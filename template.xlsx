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drawings/drawing2.xml" ContentType="application/vnd.openxmlformats-officedocument.drawing+xml"/>
  <Override PartName="/xl/ctrlProps/ctrlProp13.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defaultThemeVersion="166925"/>
  <mc:AlternateContent xmlns:mc="http://schemas.openxmlformats.org/markup-compatibility/2006">
    <mc:Choice Requires="x15">
      <x15ac:absPath xmlns:x15ac="http://schemas.microsoft.com/office/spreadsheetml/2010/11/ac" url="C:\Users\user\1\"/>
    </mc:Choice>
  </mc:AlternateContent>
  <xr:revisionPtr revIDLastSave="0" documentId="13_ncr:1_{2BB0371B-E6BA-459C-BECE-000AFC4978FB}" xr6:coauthVersionLast="37" xr6:coauthVersionMax="37" xr10:uidLastSave="{00000000-0000-0000-0000-000000000000}"/>
  <bookViews>
    <workbookView xWindow="0" yWindow="0" windowWidth="28800" windowHeight="11730" xr2:uid="{2D5AE7E1-90AE-4617-836A-263F1924C5DD}"/>
  </bookViews>
  <sheets>
    <sheet name="물성1" sheetId="1" r:id="rId1"/>
    <sheet name="물성시험(#1)"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_">#REF!</definedName>
    <definedName name="_??????Þ?_?ª">#N/A</definedName>
    <definedName name="_??____?ª">#N/A</definedName>
    <definedName name="_??_·¹_??">#N/A</definedName>
    <definedName name="_?쾴?">#REF!</definedName>
    <definedName name="_?쾴?_?">#REF!</definedName>
    <definedName name="_?쾴?___P">#REF!</definedName>
    <definedName name="_?쾴?_T">#REF!</definedName>
    <definedName name="__?_컛?___i">#REF!</definedName>
    <definedName name="__?쾴?">#REF!</definedName>
    <definedName name="__?쾴?_?">#REF!</definedName>
    <definedName name="__?쾴?___P">#REF!</definedName>
    <definedName name="__?쾴?_T">#REF!</definedName>
    <definedName name="___?_컛?___i">#REF!</definedName>
    <definedName name="____?_컛?___i">#REF!</definedName>
    <definedName name="_____A20000">#REF!</definedName>
    <definedName name="_____A25000">#REF!</definedName>
    <definedName name="____a1">#REF!</definedName>
    <definedName name="____a2">#REF!</definedName>
    <definedName name="____A20000">#REF!</definedName>
    <definedName name="____A25000">#REF!</definedName>
    <definedName name="____a3">#REF!</definedName>
    <definedName name="___10">#REF!</definedName>
    <definedName name="___11">#REF!</definedName>
    <definedName name="___6">#REF!</definedName>
    <definedName name="___7">#REF!</definedName>
    <definedName name="___8">#REF!</definedName>
    <definedName name="___9">#REF!</definedName>
    <definedName name="___a1">#REF!</definedName>
    <definedName name="___a2">#REF!</definedName>
    <definedName name="___A20000">#REF!</definedName>
    <definedName name="___A25000">#REF!</definedName>
    <definedName name="___a3">#REF!</definedName>
    <definedName name="___LS61">#REF!</definedName>
    <definedName name="___LT22">#REF!</definedName>
    <definedName name="___LT220">#REF!</definedName>
    <definedName name="___RAS3">#REF!</definedName>
    <definedName name="__1_??">#N/A</definedName>
    <definedName name="__123Graph_A" hidden="1">[1]II손익관리!#REF!</definedName>
    <definedName name="__123Graph_B" hidden="1">[1]II손익관리!#REF!</definedName>
    <definedName name="__123Graph_D" hidden="1">#REF!</definedName>
    <definedName name="__123Graph_E" hidden="1">#REF!</definedName>
    <definedName name="__2_??????Þ?_?ª">#N/A</definedName>
    <definedName name="__3_??____?ª">#N/A</definedName>
    <definedName name="__4_??_·¹_??">#N/A</definedName>
    <definedName name="__a1">#REF!</definedName>
    <definedName name="__a2">#REF!</definedName>
    <definedName name="__A20000">#REF!</definedName>
    <definedName name="__A25000">#REF!</definedName>
    <definedName name="__a3">#REF!</definedName>
    <definedName name="__C">#REF!</definedName>
    <definedName name="__ELL45">#REF!</definedName>
    <definedName name="__ELL90">#REF!</definedName>
    <definedName name="__END1">#REF!</definedName>
    <definedName name="__END2">#REF!</definedName>
    <definedName name="__END3">#REF!</definedName>
    <definedName name="__END4">#REF!</definedName>
    <definedName name="__IntlFixup" hidden="1">TRUE</definedName>
    <definedName name="__IntlFixupTable" hidden="1">#REF!</definedName>
    <definedName name="__LS61">#REF!</definedName>
    <definedName name="__LT22">#REF!</definedName>
    <definedName name="__LT220">#REF!</definedName>
    <definedName name="__RAS3">#REF!</definedName>
    <definedName name="__RE100">#REF!</definedName>
    <definedName name="__RE104">#REF!</definedName>
    <definedName name="__RE112">#REF!</definedName>
    <definedName name="__RE26">#REF!</definedName>
    <definedName name="__RE28">#REF!</definedName>
    <definedName name="__RE30">#REF!</definedName>
    <definedName name="__RE32">#REF!</definedName>
    <definedName name="__RE34">#REF!</definedName>
    <definedName name="__RE36">#REF!</definedName>
    <definedName name="__RE38">#REF!</definedName>
    <definedName name="__RE40">#REF!</definedName>
    <definedName name="__RE42">#REF!</definedName>
    <definedName name="__RE44">#REF!</definedName>
    <definedName name="__RE48">#REF!</definedName>
    <definedName name="__RE52">#REF!</definedName>
    <definedName name="__RE56">#REF!</definedName>
    <definedName name="__RE60">#REF!</definedName>
    <definedName name="__RE64">#REF!</definedName>
    <definedName name="__RE68">#REF!</definedName>
    <definedName name="__RE72">#REF!</definedName>
    <definedName name="__RE76">#REF!</definedName>
    <definedName name="__RE80">#REF!</definedName>
    <definedName name="__RE88">#REF!</definedName>
    <definedName name="__RE92">#REF!</definedName>
    <definedName name="__RE96">#REF!</definedName>
    <definedName name="__TB1">#REF!</definedName>
    <definedName name="_1">#N/A</definedName>
    <definedName name="_1_??">#N/A</definedName>
    <definedName name="_1_?쾴?">#REF!</definedName>
    <definedName name="_10">#N/A</definedName>
    <definedName name="_10_?쾴?_?">#REF!</definedName>
    <definedName name="_10_3_0Crite">#REF!</definedName>
    <definedName name="_10_ãæÐ_ÍïÞÀ_Íª">#N/A</definedName>
    <definedName name="_100G_0Extract">#REF!</definedName>
    <definedName name="_101G__Extr">#REF!</definedName>
    <definedName name="_102G__Extract">#REF!</definedName>
    <definedName name="_104GO1_">#REF!</definedName>
    <definedName name="_106GO2_">#REF!</definedName>
    <definedName name="_108go3_">#REF!</definedName>
    <definedName name="_11">#N/A</definedName>
    <definedName name="_11_3_0Criteria">#REF!</definedName>
    <definedName name="_12">#N/A</definedName>
    <definedName name="_12_3__Crite">#REF!</definedName>
    <definedName name="_13">#N/A</definedName>
    <definedName name="_13_?쾴?___P">#REF!</definedName>
    <definedName name="_13_3__Criteria">#REF!</definedName>
    <definedName name="_134P1_">#REF!</definedName>
    <definedName name="_13Å__·¹_ÀÓ">#N/A</definedName>
    <definedName name="_14">#N/A</definedName>
    <definedName name="_14Å__·¹_ÀÓ">#N/A</definedName>
    <definedName name="_14A1_">#REF!</definedName>
    <definedName name="_15">#N/A</definedName>
    <definedName name="_15A">[2]금액내역서!$D$3:$D$10</definedName>
    <definedName name="_15A1_">#REF!</definedName>
    <definedName name="_15A2_">#REF!</definedName>
    <definedName name="_16">#N/A</definedName>
    <definedName name="_16_?쾴?_T">#REF!</definedName>
    <definedName name="_16A2_">#REF!</definedName>
    <definedName name="_16ãæÐ_ÍïÞÀ_Íª">#N/A</definedName>
    <definedName name="_17">#N/A</definedName>
    <definedName name="_17_?æÐ_??Þ?_?ª">#N/A</definedName>
    <definedName name="_17A3_">#REF!</definedName>
    <definedName name="_18">#N/A</definedName>
    <definedName name="_18ãæÐ_ÍïÞÀ_Íª">#N/A</definedName>
    <definedName name="_19">#N/A</definedName>
    <definedName name="_19B1_">#REF!</definedName>
    <definedName name="_1C_">#REF!</definedName>
    <definedName name="_2">#N/A</definedName>
    <definedName name="_2_??????Þ?_?ª">#N/A</definedName>
    <definedName name="_2_?쨲?f">#REF!</definedName>
    <definedName name="_2_?쾴?_?">#REF!</definedName>
    <definedName name="_20">#N/A</definedName>
    <definedName name="_20_3_0Crite">#REF!</definedName>
    <definedName name="_21">#N/A</definedName>
    <definedName name="_21B2_">#REF!</definedName>
    <definedName name="_22">#N/A</definedName>
    <definedName name="_22B3_">#REF!</definedName>
    <definedName name="_23">#N/A</definedName>
    <definedName name="_23_3_0Criteria">#REF!</definedName>
    <definedName name="_24">#N/A</definedName>
    <definedName name="_24_3__Crite">#REF!</definedName>
    <definedName name="_25">#N/A</definedName>
    <definedName name="_25_0_0__123Grap" hidden="1">[3]공문!#REF!</definedName>
    <definedName name="_25_3__Criteria">#REF!</definedName>
    <definedName name="_26">#N/A</definedName>
    <definedName name="_26_10">#REF!</definedName>
    <definedName name="_26Å__·¹_ÀÓ">#N/A</definedName>
    <definedName name="_27">#N/A</definedName>
    <definedName name="_27_11">#REF!</definedName>
    <definedName name="_27A1_">#REF!</definedName>
    <definedName name="_28">#N/A</definedName>
    <definedName name="_28_6">#REF!</definedName>
    <definedName name="_28A2_">#REF!</definedName>
    <definedName name="_29">#N/A</definedName>
    <definedName name="_29_7">#REF!</definedName>
    <definedName name="_3">#N/A</definedName>
    <definedName name="_3_??____?ª">#N/A</definedName>
    <definedName name="_3_?쾴?___P">#REF!</definedName>
    <definedName name="_3_10">#REF!</definedName>
    <definedName name="_30">#N/A</definedName>
    <definedName name="_30_8">#REF!</definedName>
    <definedName name="_30A3_">#REF!</definedName>
    <definedName name="_31">#N/A</definedName>
    <definedName name="_31_9">#REF!</definedName>
    <definedName name="_31ãæÐ_ÍïÞÀ_Íª">#N/A</definedName>
    <definedName name="_32">#N/A</definedName>
    <definedName name="_32C_">#REF!</definedName>
    <definedName name="_33">#N/A</definedName>
    <definedName name="_33B1_">#REF!</definedName>
    <definedName name="_34">#N/A</definedName>
    <definedName name="_35">#N/A</definedName>
    <definedName name="_36">#N/A</definedName>
    <definedName name="_37">#N/A</definedName>
    <definedName name="_38">#N/A</definedName>
    <definedName name="_38B2_">#REF!</definedName>
    <definedName name="_39">#N/A</definedName>
    <definedName name="_3공장">#REF!</definedName>
    <definedName name="_4">#N/A</definedName>
    <definedName name="_４._설___비____공___사">#REF!</definedName>
    <definedName name="_4_??_·¹_??">#N/A</definedName>
    <definedName name="_4_?쾴?_T">#REF!</definedName>
    <definedName name="_4_11">#REF!</definedName>
    <definedName name="_40">#N/A</definedName>
    <definedName name="_40B3_">#REF!</definedName>
    <definedName name="_41">#N/A</definedName>
    <definedName name="_41G_0Extr">#REF!</definedName>
    <definedName name="_42">#N/A</definedName>
    <definedName name="_42G_0Extract">#REF!</definedName>
    <definedName name="_43">#N/A</definedName>
    <definedName name="_43G__Extr">#REF!</definedName>
    <definedName name="_44">#N/A</definedName>
    <definedName name="_４４__分_期">#REF!</definedName>
    <definedName name="_44G__Extract">#REF!</definedName>
    <definedName name="_45">#N/A</definedName>
    <definedName name="_45GO1_">#REF!</definedName>
    <definedName name="_46">#N/A</definedName>
    <definedName name="_46GO2_">#REF!</definedName>
    <definedName name="_47">#N/A</definedName>
    <definedName name="_47go3_">#REF!</definedName>
    <definedName name="_48">#N/A</definedName>
    <definedName name="_49">#N/A</definedName>
    <definedName name="_5">#N/A</definedName>
    <definedName name="_5_?쾴?">#REF!</definedName>
    <definedName name="_5__Å__·¹_ÀÓ">#N/A</definedName>
    <definedName name="_5_6">#REF!</definedName>
    <definedName name="_50">#N/A</definedName>
    <definedName name="_51">#N/A</definedName>
    <definedName name="_52">#N/A</definedName>
    <definedName name="_53">#N/A</definedName>
    <definedName name="_54">#N/A</definedName>
    <definedName name="_55">#N/A</definedName>
    <definedName name="_56">#N/A</definedName>
    <definedName name="_56P1_">#REF!</definedName>
    <definedName name="_57">#N/A</definedName>
    <definedName name="_58">#N/A</definedName>
    <definedName name="_59">#N/A</definedName>
    <definedName name="_6">#N/A</definedName>
    <definedName name="_6_?쾴?_?">#REF!</definedName>
    <definedName name="_6__ãæÐ_ÍïÞÀ_Íª">#N/A</definedName>
    <definedName name="_6_7">#REF!</definedName>
    <definedName name="_60">#N/A</definedName>
    <definedName name="_61">#N/A</definedName>
    <definedName name="_62">#N/A</definedName>
    <definedName name="_63">#N/A</definedName>
    <definedName name="_64">#N/A</definedName>
    <definedName name="_65">#N/A</definedName>
    <definedName name="_66">#N/A</definedName>
    <definedName name="_67">#N/A</definedName>
    <definedName name="_68">#N/A</definedName>
    <definedName name="_69">#N/A</definedName>
    <definedName name="_7">#N/A</definedName>
    <definedName name="_7_?쾴?">#REF!</definedName>
    <definedName name="_7_?쾴?___P">#REF!</definedName>
    <definedName name="_7_8">#REF!</definedName>
    <definedName name="_70">#N/A</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8">#N/A</definedName>
    <definedName name="_8_?쾴?_T">#REF!</definedName>
    <definedName name="_8_9">#REF!</definedName>
    <definedName name="_80">#N/A</definedName>
    <definedName name="_81">#N/A</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9">#N/A</definedName>
    <definedName name="_9_?æÐ_??Þ?_?ª">#N/A</definedName>
    <definedName name="_9_Å__·¹_ÀÓ">#N/A</definedName>
    <definedName name="_90">#N/A</definedName>
    <definedName name="_91">#N/A</definedName>
    <definedName name="_92">#N/A</definedName>
    <definedName name="_93">#N/A</definedName>
    <definedName name="_94">#N/A</definedName>
    <definedName name="_95">#N/A</definedName>
    <definedName name="_96">#N/A</definedName>
    <definedName name="_97">#N/A</definedName>
    <definedName name="_97G_0Extr">#REF!</definedName>
    <definedName name="_98">#N/A</definedName>
    <definedName name="_99">#N/A</definedName>
    <definedName name="_9C_">#REF!</definedName>
    <definedName name="_A1">#REF!</definedName>
    <definedName name="_A2">#REF!</definedName>
    <definedName name="_A20000">#REF!</definedName>
    <definedName name="_A25000">#REF!</definedName>
    <definedName name="_cey" hidden="1">#REF!</definedName>
    <definedName name="_cort" hidden="1">#REF!</definedName>
    <definedName name="_DAT1">#REF!</definedName>
    <definedName name="_DAT10">#REF!</definedName>
    <definedName name="_DAT11">#REF!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ELL45">#REF!</definedName>
    <definedName name="_ELL90">#REF!</definedName>
    <definedName name="_END1">#REF!</definedName>
    <definedName name="_END2">#REF!</definedName>
    <definedName name="_END3">#REF!</definedName>
    <definedName name="_END4">#REF!</definedName>
    <definedName name="_Fil" hidden="1">#REF!</definedName>
    <definedName name="_Fill" hidden="1">[4]손익!#REF!</definedName>
    <definedName name="_xlnm._FilterDatabase" hidden="1">#REF!</definedName>
    <definedName name="_Key1" hidden="1">[5]II손익관리!#REF!</definedName>
    <definedName name="_Key2" hidden="1">[5]II손익관리!#REF!</definedName>
    <definedName name="_Key3" hidden="1">#REF!</definedName>
    <definedName name="_Key4" hidden="1">#REF!</definedName>
    <definedName name="_LS61">#REF!</definedName>
    <definedName name="_LT22">#REF!</definedName>
    <definedName name="_LT220">#REF!</definedName>
    <definedName name="_Order1" hidden="1">255</definedName>
    <definedName name="_Order2" hidden="1">255</definedName>
    <definedName name="_Parse_Out" hidden="1">#REF!</definedName>
    <definedName name="_pill" hidden="1">#REF!</definedName>
    <definedName name="_PP1">[6]여흥!$A$5:$M$70</definedName>
    <definedName name="_RAS3">#REF!</definedName>
    <definedName name="_RE100">#REF!</definedName>
    <definedName name="_RE104">#REF!</definedName>
    <definedName name="_RE112">#REF!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 hidden="1">1</definedName>
    <definedName name="_Sort" hidden="1">[7]업무분장!$A$1:$IV$4072</definedName>
    <definedName name="_Sort10" hidden="1">#REF!</definedName>
    <definedName name="_Table1_In1" hidden="1">#REF!</definedName>
    <definedName name="_Table1_Out" hidden="1">#REF!</definedName>
    <definedName name="_TB1">#REF!</definedName>
    <definedName name="_TT1">#REF!</definedName>
    <definedName name="_TT2">#REF!</definedName>
    <definedName name="_TT3">#REF!</definedName>
    <definedName name="_YO1">'[8]01'!#REF!</definedName>
    <definedName name="_공간">#REF!,#REF!,#REF!,#REF!,#REF!,#REF!,#REF!,#REF!,#REF!,#REF!,#REF!,#REF!,#REF!</definedName>
    <definedName name="¡ÆC">#N/A</definedName>
    <definedName name="´??§°ø·?10">#REF!</definedName>
    <definedName name="´??§°ø·?11">#REF!</definedName>
    <definedName name="´??§°ø·?12">#REF!</definedName>
    <definedName name="´??§°ø·?13">#REF!</definedName>
    <definedName name="´??§°ø·?14">#REF!</definedName>
    <definedName name="´??§°ø·?15">#REF!</definedName>
    <definedName name="´??§°ø·?16">#REF!</definedName>
    <definedName name="´??§°ø·?17">#REF!</definedName>
    <definedName name="´??§°ø·?4">#REF!</definedName>
    <definedName name="´??§°ø·?5">#REF!</definedName>
    <definedName name="´??§°ø·?6">#REF!</definedName>
    <definedName name="´??§°ø·?7">#REF!</definedName>
    <definedName name="´??§°ø·?8">#REF!</definedName>
    <definedName name="´??§°ø·?9">#REF!</definedName>
    <definedName name="´?_°¡">#REF!</definedName>
    <definedName name="´?_°¡2">#REF!</definedName>
    <definedName name="´?_°¡3">#REF!</definedName>
    <definedName name="´?_°¡4">#REF!</definedName>
    <definedName name="´?_°¡5">#REF!</definedName>
    <definedName name="´?_°¡6">#REF!</definedName>
    <definedName name="´?°">#REF!</definedName>
    <definedName name="´?°°">#N/A</definedName>
    <definedName name="´?°°1">#N/A</definedName>
    <definedName name="´?°°2">#N/A</definedName>
    <definedName name="´?°°3">#N/A</definedName>
    <definedName name="´?°°4">#N/A</definedName>
    <definedName name="´cAE°eE¹" hidden="1">#REF!</definedName>
    <definedName name="¿uº°¿μ¾÷">#REF!</definedName>
    <definedName name="￠?u¨￢¡Æ￠?￥i¨u¡A">#REF!</definedName>
    <definedName name="￠´¡¤">#N/A</definedName>
    <definedName name="￠´¡¤￠´¡¤">#N/A</definedName>
    <definedName name="￠´¡¤￠´¡¤￠´¡¤">#N/A</definedName>
    <definedName name="￠´¡¤￠´¡¤￠´¡¤￠´¡¤">#N/A</definedName>
    <definedName name="￠´¡¤￠´¨I￠´¨I">#N/A</definedName>
    <definedName name="￠´¡¤￠´￠´￠´¡¤">#N/A</definedName>
    <definedName name="￠´¡¤￠´￠´￠´¡¾￠´￠´￠´¡¾￠´￠´￠´¡¤￠´￠´￠´¡¤￠´¡¾￠´￠´￠´¡¤￠´¡¾￠´￠´￠´¡¤￠´¡¾￠´￠´￠´¡¤￠´¡¤￠´￠´￠´￠´￠´¡¤￠´¡¤￠´￠´￠´¡¾">#N/A</definedName>
    <definedName name="￠´¡×￠´¡×">#N/A</definedName>
    <definedName name="￠´¡¾">#N/A</definedName>
    <definedName name="￠´¡¾￠´￠´￠´¡¾￠´¡¾">#N/A</definedName>
    <definedName name="￠´¨￠￠´I￠´¨￠￠´I￠´I￠´I">#N/A</definedName>
    <definedName name="￠´¨I￠´¨I￠´¨I￠´¨I￠´¡Æ￠´¨u">#N/A</definedName>
    <definedName name="￠´¨o￠´¨o￠´¨o">#N/A</definedName>
    <definedName name="￠´¨u￠´¨u">#N/A</definedName>
    <definedName name="￠´￠?￠´￠?￠´￠?￠´￠?￠´￠?">#N/A</definedName>
    <definedName name="￠´￠´￠´¡¾￠´¡¾￠´￠´￠´￠´￠´¡¾">#N/A</definedName>
    <definedName name="￠´￠´￠´￠´￠´￠´">#N/A</definedName>
    <definedName name="￠´￠´￠´￠´￠´￠´￠´￠´￠´¡¤">#N/A</definedName>
    <definedName name="￠´￠￢￠´¡×￠´￠￢￠´¡×">#N/A</definedName>
    <definedName name="￠´A￠´A￠´A￠´A￠´A">#N/A</definedName>
    <definedName name="￠´A￠´A￠´C￠Oo￠´A￠´￠´￠?A￠Oo￠´A￠´¡¾￠´￠´￠?A￠OoⓒøN￠?A￠O¡A￠´￠´¨uo￠´￠´￠´¡¤￠´¡¤￠´￠´￠´¡¾￠´¡¾￠´￠´￠´¡¤￠´¡¤￠´￠´￠´￠´￠´¡¤￠´¡¾">#N/A</definedName>
    <definedName name="￠´C￠´C￠´C￠´C">#N/A</definedName>
    <definedName name="￠´ⓒ÷">#N/A</definedName>
    <definedName name="￠´ⓒ÷￠´ⓒ÷￠´ⓒ÷">#N/A</definedName>
    <definedName name="￠´ⓒ÷￠´ⓒ÷￠´ⓒ÷￠´ⓒ÷￠´ⓒ÷">#N/A</definedName>
    <definedName name="￠´E￠´A￠´A￠´A">#N/A</definedName>
    <definedName name="￠´I￠´I￠´I">#N/A</definedName>
    <definedName name="￠￥cAE¡ÆeEⓒo" hidden="1">#REF!</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½¤½¤½">#N/A</definedName>
    <definedName name="¤¾¤¾">#N/A</definedName>
    <definedName name="¤²">#N/A</definedName>
    <definedName name="¤²¤²¤²">#N/A</definedName>
    <definedName name="¤²¤²¤²¤²¤²">#N/A</definedName>
    <definedName name="¤A¤A¤A¤A¤A">#N/A</definedName>
    <definedName name="¤A¤A¤C¶o¤A¤¤¿A¶o¤A¤±¤¤¿A¶o³N¿A¶÷¤¤¾o¤¤¤·¤·¤¤¤±¤±¤¤¤·¤·¤¤¤¤¤·¤±">#N/A</definedName>
    <definedName name="¤C¤C¤C¤C">#N/A</definedName>
    <definedName name="¤ⓒ¤ⓒ¤ⓒ¤ⓒ¤°¤¾">#N/A</definedName>
    <definedName name="¤Ð¤I¤Ð¤I¤I¤I">#N/A</definedName>
    <definedName name="¤E¤A¤A¤A">#N/A</definedName>
    <definedName name="¤I¤I¤I">#N/A</definedName>
    <definedName name="【95年">#REF!</definedName>
    <definedName name="\0">#N/A</definedName>
    <definedName name="\a">#N/A</definedName>
    <definedName name="\AA">#REF!</definedName>
    <definedName name="\b">#N/A</definedName>
    <definedName name="\c">#N/A</definedName>
    <definedName name="\cc">#N/A</definedName>
    <definedName name="\d">#N/A</definedName>
    <definedName name="\e">#N/A</definedName>
    <definedName name="\f">#N/A</definedName>
    <definedName name="\g">#N/A</definedName>
    <definedName name="\h">#N/A</definedName>
    <definedName name="\i">#N/A</definedName>
    <definedName name="\j">#N/A</definedName>
    <definedName name="\k">#N/A</definedName>
    <definedName name="\l">#N/A</definedName>
    <definedName name="\m">#N/A</definedName>
    <definedName name="\n">#N/A</definedName>
    <definedName name="\o">#N/A</definedName>
    <definedName name="\p">#N/A</definedName>
    <definedName name="\PP">#REF!</definedName>
    <definedName name="\q">#N/A</definedName>
    <definedName name="\QQ">#REF!</definedName>
    <definedName name="\r">#N/A</definedName>
    <definedName name="\s">#N/A</definedName>
    <definedName name="\u">#N/A</definedName>
    <definedName name="\v">#N/A</definedName>
    <definedName name="\w">'[9]982월원안'!#REF!</definedName>
    <definedName name="\x">#N/A</definedName>
    <definedName name="\y">#N/A</definedName>
    <definedName name="\z">#N/A</definedName>
    <definedName name="√">"SQRT"</definedName>
    <definedName name="←→">#REF!</definedName>
    <definedName name="°?">#N/A</definedName>
    <definedName name="°C">#N/A</definedName>
    <definedName name="°Ç">#N/A</definedName>
    <definedName name="¼o¼o½CAu7¿u">#N/A</definedName>
    <definedName name="¼ö¼ö½ÇÀû7¿ù">#N/A</definedName>
    <definedName name="ⅡⅢⅣⅤⅥ_">#REF!</definedName>
    <definedName name="A">#REF!</definedName>
    <definedName name="Ａ.Ｂ.Ｃ.">#REF!</definedName>
    <definedName name="A¡þ_¡¤ⓒo_AO">#N/A</definedName>
    <definedName name="A￢_·¹_AO">#N/A</definedName>
    <definedName name="A3_">#REF!</definedName>
    <definedName name="A315yoo1">#REF!</definedName>
    <definedName name="A4_">#REF!</definedName>
    <definedName name="A5_">#REF!</definedName>
    <definedName name="A6_">#REF!</definedName>
    <definedName name="A7_">#REF!</definedName>
    <definedName name="aa">#REF!</definedName>
    <definedName name="Åä">#N/A</definedName>
    <definedName name="AAA">#REF!</definedName>
    <definedName name="AAAA">#REF!</definedName>
    <definedName name="AAAAA">[0]!BlankMacro1</definedName>
    <definedName name="aaaaaa">#REF!</definedName>
    <definedName name="AAAAAAAA">[0]!BlankMacro1</definedName>
    <definedName name="AAAAAAAAAA">#REF!</definedName>
    <definedName name="aæÐRIiÞA_Iª">#N/A</definedName>
    <definedName name="aakkk">#REF!</definedName>
    <definedName name="ABC">#REF!</definedName>
    <definedName name="aⓒ¡¨￠RIi¨­A_I¨￡">#N/A</definedName>
    <definedName name="ACC">#REF!</definedName>
    <definedName name="Access_Button" hidden="1">"PJTFINAL_F02F11_List"</definedName>
    <definedName name="AccessDatabase" hidden="1">"C:\jhp2\JHP\AES\PJTFINAL.mdb"</definedName>
    <definedName name="ACT">#REF!</definedName>
    <definedName name="ad">#REF!</definedName>
    <definedName name="agdump">#REF!</definedName>
    <definedName name="agedump">#REF!</definedName>
    <definedName name="agencydump">#REF!</definedName>
    <definedName name="AGENCYLY">#REF!</definedName>
    <definedName name="AGENCYPLAN">#REF!</definedName>
    <definedName name="air_trap">#REF!</definedName>
    <definedName name="angle">#REF!</definedName>
    <definedName name="AQ">#REF!</definedName>
    <definedName name="Area_stampa_MI">#REF!</definedName>
    <definedName name="as">#REF!</definedName>
    <definedName name="ASTM">#REF!</definedName>
    <definedName name="Au">#N/A</definedName>
    <definedName name="Àü">#N/A</definedName>
    <definedName name="AUTOEXEC">#REF!</definedName>
    <definedName name="AZ" hidden="1">#REF!</definedName>
    <definedName name="B">[10]CVT산정!#REF!</definedName>
    <definedName name="B_FLG">#REF!</definedName>
    <definedName name="B3송" hidden="1">#REF!</definedName>
    <definedName name="back_pressure">#REF!</definedName>
    <definedName name="ball">#REF!</definedName>
    <definedName name="Barley_Quota">[11]!Barley_Quota</definedName>
    <definedName name="Base">#REF!</definedName>
    <definedName name="BAT">#REF!</definedName>
    <definedName name="bb">#REF!</definedName>
    <definedName name="bbb">[0]!BlankMacro1</definedName>
    <definedName name="BD1M">#REF!</definedName>
    <definedName name="BD1Y">#REF!</definedName>
    <definedName name="BD3M">#REF!</definedName>
    <definedName name="BD3Y">#REF!</definedName>
    <definedName name="BF">#REF!</definedName>
    <definedName name="BHU">#REF!</definedName>
    <definedName name="BJ1M">#REF!</definedName>
    <definedName name="BJ1Y">#REF!</definedName>
    <definedName name="BJ3M">#REF!</definedName>
    <definedName name="BJ3Y">#REF!</definedName>
    <definedName name="bjubjb">#REF!</definedName>
    <definedName name="BOLT">#REF!</definedName>
    <definedName name="BOSS">#REF!</definedName>
    <definedName name="BP">#REF!</definedName>
    <definedName name="BRKRKRTDKDK">#REF!</definedName>
    <definedName name="BTW">#REF!</definedName>
    <definedName name="BTYPE">#N/A</definedName>
    <definedName name="bubgijk">#REF!</definedName>
    <definedName name="BUNHO">#N/A</definedName>
    <definedName name="butterfly">#REF!</definedName>
    <definedName name="BV" hidden="1">#REF!</definedName>
    <definedName name="C_">#REF!</definedName>
    <definedName name="CA">#N/A</definedName>
    <definedName name="ÇÃ">#N/A</definedName>
    <definedName name="CalcAgencyPrice">#REF!</definedName>
    <definedName name="CAP">#REF!</definedName>
    <definedName name="ccc">[0]!ccc</definedName>
    <definedName name="cccccc">#REF!</definedName>
    <definedName name="CF">#REF!</definedName>
    <definedName name="CFprprprrkrkrkrkpdpddkdkdkdkdkd">#REF!</definedName>
    <definedName name="CF요인" hidden="1">#REF!</definedName>
    <definedName name="CH">#N/A</definedName>
    <definedName name="chart">#REF!</definedName>
    <definedName name="check">#REF!</definedName>
    <definedName name="CHUL">#N/A</definedName>
    <definedName name="CIB">#REF!</definedName>
    <definedName name="CJ1M">#REF!</definedName>
    <definedName name="CJ1Y">#REF!</definedName>
    <definedName name="CJ3M">#REF!</definedName>
    <definedName name="CJ3Y">#REF!</definedName>
    <definedName name="Commission">#REF!</definedName>
    <definedName name="CompanyCode">#REF!</definedName>
    <definedName name="CONSOL">'[12]1-1'!#REF!</definedName>
    <definedName name="CONSTANT">#REF!</definedName>
    <definedName name="CONT">#REF!</definedName>
    <definedName name="contt">#REF!</definedName>
    <definedName name="Country">33</definedName>
    <definedName name="CPLG">#REF!</definedName>
    <definedName name="CreateMode">#REF!</definedName>
    <definedName name="_xlnm.Criteria">[13]공통가설!#REF!</definedName>
    <definedName name="Criteria_MI">[13]공통가설!#REF!</definedName>
    <definedName name="CRT자료">[14]손익분석!$A$1:$G$26</definedName>
    <definedName name="crxd">#REF!</definedName>
    <definedName name="CX">#REF!</definedName>
    <definedName name="D">#REF!</definedName>
    <definedName name="DABB">#REF!</definedName>
    <definedName name="DABP">#REF!</definedName>
    <definedName name="DABSB">#REF!</definedName>
    <definedName name="DABSP">#REF!</definedName>
    <definedName name="DACB">#REF!</definedName>
    <definedName name="DACP">#REF!</definedName>
    <definedName name="dafaf">#REF!</definedName>
    <definedName name="DANGA">#REF!,#REF!</definedName>
    <definedName name="DANWI">#REF!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ta">#REF!</definedName>
    <definedName name="_xlnm.Database">#REF!</definedName>
    <definedName name="DATB">#REF!</definedName>
    <definedName name="DATP">#REF!</definedName>
    <definedName name="DAWB">#REF!</definedName>
    <definedName name="DaWk7">#REF!</definedName>
    <definedName name="DAWP">#REF!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D">#REF!</definedName>
    <definedName name="DDDD">[0]!BlankMacro1</definedName>
    <definedName name="DDDDD">[0]!BlankMacro1</definedName>
    <definedName name="DEC.GH">#REF!</definedName>
    <definedName name="DelDC">#REF!</definedName>
    <definedName name="DelDm">#REF!</definedName>
    <definedName name="Delivery">#REF!</definedName>
    <definedName name="DelType">#REF!</definedName>
    <definedName name="DEPO">#REF!</definedName>
    <definedName name="deptLookup">#REF!</definedName>
    <definedName name="derniere">#REF!</definedName>
    <definedName name="dfjdkafjdkjfal" hidden="1">{#N/A,#N/A,FALSE,"지침";#N/A,#N/A,FALSE,"환경분석";#N/A,#N/A,FALSE,"Sheet16"}</definedName>
    <definedName name="dgf" hidden="1">{#N/A,#N/A,FALSE,"지침";#N/A,#N/A,FALSE,"환경분석";#N/A,#N/A,FALSE,"Sheet16"}</definedName>
    <definedName name="dgh">#REF!</definedName>
    <definedName name="DH">#REF!</definedName>
    <definedName name="diameter">#REF!</definedName>
    <definedName name="diaphragm">#REF!</definedName>
    <definedName name="DKJLF">[0]!BlankMacro1</definedName>
    <definedName name="DLFM">#REF!</definedName>
    <definedName name="Document_array">{"Book1","킥오프원.xls","킥오프투.xls","덕소킥오프31.27xls.xls"}</definedName>
    <definedName name="DOGUB">#REF!</definedName>
    <definedName name="domo">#REF!</definedName>
    <definedName name="DPSB">#REF!</definedName>
    <definedName name="DPSP">#REF!</definedName>
    <definedName name="DR" hidden="1">#REF!</definedName>
    <definedName name="DR1M">#REF!</definedName>
    <definedName name="DR1Y">#REF!</definedName>
    <definedName name="DR3M">#REF!</definedName>
    <definedName name="DR3Y">#REF!</definedName>
    <definedName name="drain_trap">#REF!</definedName>
    <definedName name="DRTRTDKGMUKRT">#REF!</definedName>
    <definedName name="dual_plate_check">#REF!</definedName>
    <definedName name="dumppr">#REF!</definedName>
    <definedName name="duplex_strainer">#REF!</definedName>
    <definedName name="DW">#REF!</definedName>
    <definedName name="dyd">BlankMacro1</definedName>
    <definedName name="E">#REF!</definedName>
    <definedName name="EAACP">#REF!</definedName>
    <definedName name="EC">#REF!</definedName>
    <definedName name="eCIiIi¨­A_I¨￡">#N/A</definedName>
    <definedName name="eCIiIiÞA_Iª">#N/A</definedName>
    <definedName name="èÇÍïÍïÞÀ_Íª">#N/A</definedName>
    <definedName name="EDABB">#REF!</definedName>
    <definedName name="EDABP">#REF!</definedName>
    <definedName name="EDABSB">#REF!</definedName>
    <definedName name="EDABSP">#REF!</definedName>
    <definedName name="EDACB">#REF!</definedName>
    <definedName name="EDACP">#REF!</definedName>
    <definedName name="EDATB">#REF!</definedName>
    <definedName name="EDATP">#REF!</definedName>
    <definedName name="EDAWB">#REF!</definedName>
    <definedName name="EDAWP">#REF!</definedName>
    <definedName name="EDPSB">#REF!</definedName>
    <definedName name="EDPSP">#REF!</definedName>
    <definedName name="ee">#REF!</definedName>
    <definedName name="EEE">BlankMacro1</definedName>
    <definedName name="EEEEEE">[0]!BlankMacro1</definedName>
    <definedName name="EGABB">#REF!</definedName>
    <definedName name="EGABP">#REF!</definedName>
    <definedName name="EGABSB">#REF!</definedName>
    <definedName name="EGABSP">#REF!</definedName>
    <definedName name="EGACB">#REF!</definedName>
    <definedName name="EGACP">#REF!</definedName>
    <definedName name="EGATB">#REF!</definedName>
    <definedName name="EGATP">#REF!</definedName>
    <definedName name="EGAWB">#REF!</definedName>
    <definedName name="EGAWP">#REF!</definedName>
    <definedName name="EGPSB">#REF!</definedName>
    <definedName name="EGPSP">#REF!</definedName>
    <definedName name="END">#REF!</definedName>
    <definedName name="EOL">#REF!</definedName>
    <definedName name="EQMOB">BlankMacro1</definedName>
    <definedName name="EQUP">'[15]노원열병합  건축공사기성내역서'!#REF!</definedName>
    <definedName name="ERERER">#REF!</definedName>
    <definedName name="erzsr">#REF!</definedName>
    <definedName name="ES">#REF!</definedName>
    <definedName name="EUABSB">#REF!</definedName>
    <definedName name="EUABSP">#REF!</definedName>
    <definedName name="EUACB">#REF!</definedName>
    <definedName name="EUACP">#REF!</definedName>
    <definedName name="EUATB">#REF!</definedName>
    <definedName name="EUATP">#REF!</definedName>
    <definedName name="EUAWB">#REF!</definedName>
    <definedName name="EUAWP">#REF!</definedName>
    <definedName name="EUPSB">#REF!</definedName>
    <definedName name="EUPSP">#REF!</definedName>
    <definedName name="ex_joint">#REF!</definedName>
    <definedName name="EXP">#REF!</definedName>
    <definedName name="_xlnm.Extract">#REF!</definedName>
    <definedName name="F">#REF!</definedName>
    <definedName name="F_CHASU">#N/A</definedName>
    <definedName name="F_CODE">#N/A</definedName>
    <definedName name="F_CST">#N/A</definedName>
    <definedName name="F_DCST">#N/A</definedName>
    <definedName name="F_DEXPEN">#N/A</definedName>
    <definedName name="F_DLABOR">#N/A</definedName>
    <definedName name="F_EXPEN">#N/A</definedName>
    <definedName name="F_GUBUN">#N/A</definedName>
    <definedName name="F_LABOR">#N/A</definedName>
    <definedName name="F_NAME">#N/A</definedName>
    <definedName name="F_SCST1">#N/A</definedName>
    <definedName name="F_SCST2">#N/A</definedName>
    <definedName name="F_SCST3">#N/A</definedName>
    <definedName name="F_SCST4">#N/A</definedName>
    <definedName name="F_SCST5">#N/A</definedName>
    <definedName name="F_SCST6">#N/A</definedName>
    <definedName name="F_SCST7">#N/A</definedName>
    <definedName name="F_SU">#N/A</definedName>
    <definedName name="F_SUBTOT">#N/A</definedName>
    <definedName name="FEE">#REF!</definedName>
    <definedName name="FG10TBTB2RT">#REF!</definedName>
    <definedName name="FG12TBTB2RTDKDKGMLRT">[16]협조전!#REF!</definedName>
    <definedName name="fg1314TBTB4RTDKDKDKRT">#REF!</definedName>
    <definedName name="FG16TBTB4RTDK">#REF!</definedName>
    <definedName name="FG20TBTB2RT">#REF!</definedName>
    <definedName name="fg28TBTB2RTDKDK">#REF!</definedName>
    <definedName name="FG28TBTB2RTDKDKRT">#REF!</definedName>
    <definedName name="FG28TBTB4RTDK">#REF!</definedName>
    <definedName name="FG44TBTB4RTDKDK">#REF!</definedName>
    <definedName name="FG46TBTB4RTDKDK">#REF!</definedName>
    <definedName name="fgPRPRRKTBTB1RTDKDK">#REF!</definedName>
    <definedName name="FGRKRKRKRKRKRKR">#N/A</definedName>
    <definedName name="FGRKRKRKRKRKRKRKRKRKRKRKRKRKRKR">#REF!</definedName>
    <definedName name="FGRKRKRKRKRKRKRKRKRKRKRKRKTBTB3">#REF!</definedName>
    <definedName name="fgRKRKRKRKRKRKRKRKRKTBTB1RTDKDK">[17]부대대비!#REF!</definedName>
    <definedName name="FGRKRKRKRKRKRKTBTB1RTDKDK">[17]냉연집계!#REF!</definedName>
    <definedName name="fgs">#REF!</definedName>
    <definedName name="fgTBTB4RTDKDK">#REF!</definedName>
    <definedName name="fkdlafj" hidden="1">{#N/A,#N/A,FALSE,"지침";#N/A,#N/A,FALSE,"환경분석";#N/A,#N/A,FALSE,"Sheet16"}</definedName>
    <definedName name="FLG">#REF!</definedName>
    <definedName name="FLG_Orifice">#REF!</definedName>
    <definedName name="FN">#REF!</definedName>
    <definedName name="FR">#REF!</definedName>
    <definedName name="fsdsfd" hidden="1">{#N/A,#N/A,FALSE,"지침";#N/A,#N/A,FALSE,"환경분석";#N/A,#N/A,FALSE,"Sheet16"}</definedName>
    <definedName name="G">#REF!</definedName>
    <definedName name="G_P_P">#N/A</definedName>
    <definedName name="ga">#REF!</definedName>
    <definedName name="gagfg">#REF!</definedName>
    <definedName name="gate">#REF!</definedName>
    <definedName name="GB">#REF!</definedName>
    <definedName name="gbe">[0]!BlankMacro1</definedName>
    <definedName name="GCODE">#N/A</definedName>
    <definedName name="GG">#REF!</definedName>
    <definedName name="gggg" hidden="1">{#N/A,#N/A,FALSE,"지침";#N/A,#N/A,FALSE,"환경분석";#N/A,#N/A,FALSE,"Sheet16"}</definedName>
    <definedName name="ghdfgh">#REF!</definedName>
    <definedName name="GINPUT">#REF!</definedName>
    <definedName name="GJ1M">#REF!</definedName>
    <definedName name="GJ1Y">#REF!</definedName>
    <definedName name="GJ3M">#REF!</definedName>
    <definedName name="GJ3Y">#REF!</definedName>
    <definedName name="gjkgkl">#REF!</definedName>
    <definedName name="globe">#REF!</definedName>
    <definedName name="GNA.共">#REF!</definedName>
    <definedName name="GO">#REF!</definedName>
    <definedName name="GPRIC">#N/A</definedName>
    <definedName name="greg">[0]!BlankMacro1</definedName>
    <definedName name="grg">[0]!BlankMacro1</definedName>
    <definedName name="GrphActSales">#REF!</definedName>
    <definedName name="GrphActStk">#REF!</definedName>
    <definedName name="GrphPlanSales">#REF!</definedName>
    <definedName name="GrphTgtStk">#REF!</definedName>
    <definedName name="gt">[0]!BlankMacro1</definedName>
    <definedName name="gtr">[0]!BlankMacro1</definedName>
    <definedName name="GUBUN">#N/A</definedName>
    <definedName name="guigy">#REF!</definedName>
    <definedName name="H">#REF!</definedName>
    <definedName name="ha" hidden="1">{#N/A,#N/A,FALSE,"지침";#N/A,#N/A,FALSE,"환경분석";#N/A,#N/A,FALSE,"Sheet16"}</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H">BlankMacro1</definedName>
    <definedName name="HHH">'[18]96수출'!#REF!</definedName>
    <definedName name="HHHH" hidden="1">{#N/A,#N/A,FALSE,"CCTV"}</definedName>
    <definedName name="HMJK">#N/A</definedName>
    <definedName name="HOME">#N/A</definedName>
    <definedName name="HOME1">#REF!</definedName>
    <definedName name="HOME2">#REF!</definedName>
    <definedName name="HOME3">#REF!</definedName>
    <definedName name="hrg">[0]!BlankMacro1</definedName>
    <definedName name="HTML_CodePage" hidden="1">949</definedName>
    <definedName name="HTML_Control" hidden="1">{"'Total_curve(ABT)'!$A$1:$AN$60"}</definedName>
    <definedName name="HTML_Description" hidden="1">""</definedName>
    <definedName name="HTML_Email" hidden="1">""</definedName>
    <definedName name="HTML_Header" hidden="1">"Total_curve(ABT)"</definedName>
    <definedName name="HTML_LastUpdate" hidden="1">"02-05-09"</definedName>
    <definedName name="HTML_LineAfter" hidden="1">FALSE</definedName>
    <definedName name="HTML_LineBefore" hidden="1">FALSE</definedName>
    <definedName name="HTML_Name" hidden="1">"하상용"</definedName>
    <definedName name="HTML_OBDlg2" hidden="1">TRUE</definedName>
    <definedName name="HTML_OBDlg4" hidden="1">TRUE</definedName>
    <definedName name="HTML_OS" hidden="1">0</definedName>
    <definedName name="HTML_PathFile" hidden="1">"C:\My Documents\MyHTML.htm"</definedName>
    <definedName name="HTML_Title" hidden="1">"0509Scurve"</definedName>
    <definedName name="I">#REF!</definedName>
    <definedName name="ID">#REF!,#REF!</definedName>
    <definedName name="IELWSALES">#REF!</definedName>
    <definedName name="IELYSALES">#REF!</definedName>
    <definedName name="IEPLANSALES">#REF!</definedName>
    <definedName name="IESP">#REF!</definedName>
    <definedName name="II">#REF!</definedName>
    <definedName name="III">BlankMacro1</definedName>
    <definedName name="IIIIIII">#REF!</definedName>
    <definedName name="IL">#REF!</definedName>
    <definedName name="INCREASED">#REF!</definedName>
    <definedName name="INETOTHER">#REF!</definedName>
    <definedName name="INETPPE">#REF!</definedName>
    <definedName name="IntFreeCred">#REF!</definedName>
    <definedName name="ioknon">#REF!</definedName>
    <definedName name="ir2rtcfr3c1r4c26rtqu">#REF!</definedName>
    <definedName name="J">#REF!</definedName>
    <definedName name="JABEL0427">#REF!</definedName>
    <definedName name="JJ">#REF!</definedName>
    <definedName name="JJN">#REF!</definedName>
    <definedName name="JY" hidden="1">#REF!</definedName>
    <definedName name="JYH">[10]CVT산정!#REF!</definedName>
    <definedName name="k">[19]여흥!$A$5:$M$70</definedName>
    <definedName name="KDYT">#REF!</definedName>
    <definedName name="KH">#REF!</definedName>
    <definedName name="kim">'[20]001'!#REF!</definedName>
    <definedName name="kj" hidden="1">#REF!</definedName>
    <definedName name="KK">#N/A</definedName>
    <definedName name="kkkk">#REF!</definedName>
    <definedName name="kkkkk">#REF!</definedName>
    <definedName name="km">#REF!</definedName>
    <definedName name="KO">#REF!</definedName>
    <definedName name="kyuv">#REF!</definedName>
    <definedName name="L">[16]협조전!#REF!</definedName>
    <definedName name="LAB">0.33</definedName>
    <definedName name="LABOR">1*90.7%</definedName>
    <definedName name="LEE">'[12]1-1'!#REF!</definedName>
    <definedName name="Level">#REF!</definedName>
    <definedName name="LG">#REF!</definedName>
    <definedName name="LINE_2">#REF!</definedName>
    <definedName name="LINE1">#REF!</definedName>
    <definedName name="LINE2">#REF!</definedName>
    <definedName name="LK">#REF!</definedName>
    <definedName name="lklk">#REF!</definedName>
    <definedName name="LL">#N/A</definedName>
    <definedName name="lll">#REF!</definedName>
    <definedName name="lllllll">#REF!</definedName>
    <definedName name="lmpo">#REF!</definedName>
    <definedName name="LOB_1">#REF!</definedName>
    <definedName name="log">#REF!</definedName>
    <definedName name="LPRIC">#N/A</definedName>
    <definedName name="LWSALES">#REF!</definedName>
    <definedName name="LYBin">#REF!</definedName>
    <definedName name="LYBR">#REF!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A_L_G_A">#N/A</definedName>
    <definedName name="M_L_N_G">#N/A</definedName>
    <definedName name="M_P_D_P">#N/A</definedName>
    <definedName name="Macro1">#REF!</definedName>
    <definedName name="Main">#REF!</definedName>
    <definedName name="MARGINPLAN">#REF!</definedName>
    <definedName name="MARGINPROJ">#REF!</definedName>
    <definedName name="mat">1*90.7%</definedName>
    <definedName name="MHELP">#REF!</definedName>
    <definedName name="minjio">#REF!</definedName>
    <definedName name="MIS">#REF!</definedName>
    <definedName name="mk">#REF!</definedName>
    <definedName name="mm">#REF!</definedName>
    <definedName name="mmmm">#REF!</definedName>
    <definedName name="MONEY">#REF!,#REF!</definedName>
    <definedName name="MPDP">#REF!</definedName>
    <definedName name="MPRIC">#N/A</definedName>
    <definedName name="Mq">'[21]소상 "1"'!#REF!</definedName>
    <definedName name="MUTH">#N/A</definedName>
    <definedName name="MZ">#REF!</definedName>
    <definedName name="M행">#REF!</definedName>
    <definedName name="n">[0]!BlankMacro1</definedName>
    <definedName name="nbg">[0]!BlankMacro1</definedName>
    <definedName name="ndhg">#REF!</definedName>
    <definedName name="needle">#REF!</definedName>
    <definedName name="NEW">#REF!</definedName>
    <definedName name="NEWNAME" hidden="1">{#N/A,#N/A,FALSE,"CCTV"}</definedName>
    <definedName name="NIPP">#REF!</definedName>
    <definedName name="njj">#REF!</definedName>
    <definedName name="nn">#N/A</definedName>
    <definedName name="NNNNNN">#REF!</definedName>
    <definedName name="NO">#REF!</definedName>
    <definedName name="NOMU">#REF!</definedName>
    <definedName name="NOON">#REF!</definedName>
    <definedName name="NullArea">#REF!,#REF!,#REF!,#REF!,#REF!,#REF!,#REF!,#REF!,#REF!,#REF!,#REF!,#REF!</definedName>
    <definedName name="N행">#REF!</definedName>
    <definedName name="o">#REF!</definedName>
    <definedName name="ocf" hidden="1">#REF!</definedName>
    <definedName name="OFF">#REF!</definedName>
    <definedName name="OI">#REF!</definedName>
    <definedName name="oo">#REF!</definedName>
    <definedName name="opo" hidden="1">{#N/A,#N/A,FALSE,"지침";#N/A,#N/A,FALSE,"환경분석";#N/A,#N/A,FALSE,"Sheet16"}</definedName>
    <definedName name="OS회의">#REF!</definedName>
    <definedName name="O행">#REF!</definedName>
    <definedName name="p">#REF!</definedName>
    <definedName name="PA">#REF!</definedName>
    <definedName name="PAGE11">#N/A</definedName>
    <definedName name="PAGE12">#N/A</definedName>
    <definedName name="PAGE21">#N/A</definedName>
    <definedName name="PAGE22">#N/A</definedName>
    <definedName name="PAGE31">#N/A</definedName>
    <definedName name="PAGE32">#N/A</definedName>
    <definedName name="PAGE41">#N/A</definedName>
    <definedName name="PAGE42">#N/A</definedName>
    <definedName name="PB">#REF!</definedName>
    <definedName name="pea">#REF!</definedName>
    <definedName name="PI">#REF!</definedName>
    <definedName name="Pile">#REF!</definedName>
    <definedName name="PIPE">#REF!</definedName>
    <definedName name="PIPE40">#REF!</definedName>
    <definedName name="pit">#REF!</definedName>
    <definedName name="pjt">#REF!</definedName>
    <definedName name="PjtCode">#REF!</definedName>
    <definedName name="PlantCode">#REF!</definedName>
    <definedName name="plint_titles">#REF!</definedName>
    <definedName name="PLUG">#REF!</definedName>
    <definedName name="PNAME">#REF!</definedName>
    <definedName name="PO">#N/A</definedName>
    <definedName name="POA1RTRT">#REF!</definedName>
    <definedName name="poa1RTRTpoa2RTRT">#REF!</definedName>
    <definedName name="POA2RTRT">#REF!</definedName>
    <definedName name="poaaRTRTpobbRTRT">#REF!</definedName>
    <definedName name="POARTSQKS15C5LRTRT">#REF!</definedName>
    <definedName name="POR121175C2054RTSKS15C6LRTHDLRT">#REF!</definedName>
    <definedName name="por1c1r235c17m">#REF!</definedName>
    <definedName name="POR1C1R59C22RTSQKS15C6LRTPPPPPT">#REF!</definedName>
    <definedName name="POR3C37R54C40RTSQLBP2PRTHDLTBDL">[22]조건!#REF!</definedName>
    <definedName name="POR3C41R52C44RTSKS13C5LRTHDLTBD">#REF!</definedName>
    <definedName name="POR3C56R44C76RTSKS15C5LRTHDLTBD">#REF!</definedName>
    <definedName name="POR3C77R61C83RTSKS15C5LRTHDLTBD">[22]조건!#REF!</definedName>
    <definedName name="POR458C2054RTSKS15C6LRTHDLRTM4T">#REF!</definedName>
    <definedName name="POR6C20R55C38RTSKS13C5LRTHDLTBD">#REF!</definedName>
    <definedName name="POR7280C116RTSKS15C6LRTHR26C116">#REF!</definedName>
    <definedName name="POR7C2R55C18RTSKS13C5LRTHDLTBDL">#REF!</definedName>
    <definedName name="POR7C2R58C18RTSKS13C5LRTHDLTBDL">[22]조건!#REF!</definedName>
    <definedName name="POR7C77R72C83RTSKS13C5LRTHDLTBD">#REF!</definedName>
    <definedName name="por840c3542RTsks12c4lRTm1TB0TB5">#REF!</definedName>
    <definedName name="POR8C46R200C54RTSKS13C6LRTHR3C4">#REF!</definedName>
    <definedName name="pound">#REF!</definedName>
    <definedName name="pp">#REF!</definedName>
    <definedName name="PPP">[6]여흥!$A$5:$M$70</definedName>
    <definedName name="pppp">#REF!</definedName>
    <definedName name="pppppp">#REF!</definedName>
    <definedName name="pppppppp">#REF!</definedName>
    <definedName name="PPPPPPPPPP">#REF!</definedName>
    <definedName name="pppppppppppp">#REF!</definedName>
    <definedName name="PPPPPPPPPPPPPP">#REF!</definedName>
    <definedName name="PPPPPPPPPPPPPPPPPP">#REF!</definedName>
    <definedName name="PR">[6]여흥!$A$5:$M$70</definedName>
    <definedName name="PRDump">#REF!</definedName>
    <definedName name="premiere">#REF!</definedName>
    <definedName name="Premium_Beer">[11]!Premium_Beer</definedName>
    <definedName name="PRIN_TITLES">#REF!</definedName>
    <definedName name="print">#REF!</definedName>
    <definedName name="_xlnm.Print_Area" localSheetId="0">물성1!$A$1:$N$41</definedName>
    <definedName name="_xlnm.Print_Area" localSheetId="1">'물성시험(#1)'!$A$1:$L$9</definedName>
    <definedName name="_xlnm.Print_Area">#REF!</definedName>
    <definedName name="Print_Area_MI">#REF!</definedName>
    <definedName name="PRINT_AREA_MI1">#REF!</definedName>
    <definedName name="Print_Area_Mi2">#REF!</definedName>
    <definedName name="PRINT_AREA1">#REF!</definedName>
    <definedName name="print_styles">#REF!</definedName>
    <definedName name="print_Title">#REF!</definedName>
    <definedName name="PRINT_TITLEES">#REF!</definedName>
    <definedName name="PRINT_TITLEES.">#REF!</definedName>
    <definedName name="_xlnm.Print_Titles">#REF!</definedName>
    <definedName name="PRINT_TITLES_MI">#REF!</definedName>
    <definedName name="PRINT_TLTLES">#REF!</definedName>
    <definedName name="PRINT_TNFFJ">#REF!</definedName>
    <definedName name="PROJ">#REF!</definedName>
    <definedName name="PS15C4LRTOR5C1R1000C10RTHR3C1R4">#REF!</definedName>
    <definedName name="PSKS12C4LRTOR50C1R84C10RTHDLRTM">#REF!</definedName>
    <definedName name="PSKS12C4LRTOR6C73R45C74RTHDLRTM">#REF!</definedName>
    <definedName name="PSKS12C4LRTOR9C1R47C10RTHDLRTM3">#REF!</definedName>
    <definedName name="PSKS13C4LRTOR138C45R180C58RTHDL">#REF!</definedName>
    <definedName name="PSKS13C4LRTOR182C45R224C58RTHDL">#REF!</definedName>
    <definedName name="PSKS13C4LRTOR39C29R79C43RTHDLRT">#REF!</definedName>
    <definedName name="PSKS13C4LRTOR49C45R91C58RTHDLRT">#REF!</definedName>
    <definedName name="PSKS13C4LRTOR5C29R40C43RTHDLRTM">#REF!</definedName>
    <definedName name="PSKS13C4LRTOR5C45R47C58RTHDLRTM">#REF!</definedName>
    <definedName name="PSKS13C4LRTOR94C45R136C58RTHDLR">#REF!</definedName>
    <definedName name="PSKS13C6LRTOR3C76R62C87RTM1TB0T">#REF!</definedName>
    <definedName name="PSKS15C6LRTOR3C76R62C88RTM1TB0T">#REF!</definedName>
    <definedName name="Psqlbp4lRTOR6C15R45C16RTHDLRTM0">#REF!</definedName>
    <definedName name="Psqlbp4lRTOR6C15R45C16RTHDLRTM7">#REF!</definedName>
    <definedName name="PSR">#REF!</definedName>
    <definedName name="P행">#REF!</definedName>
    <definedName name="q">#REF!</definedName>
    <definedName name="Q91A">#REF!</definedName>
    <definedName name="q91b">#REF!</definedName>
    <definedName name="QM">#REF!</definedName>
    <definedName name="qq">#REF!</definedName>
    <definedName name="QQQ">[0]!BlankMacro1</definedName>
    <definedName name="qqqq">#REF!</definedName>
    <definedName name="QQQQAAAAA">#REF!</definedName>
    <definedName name="QTY">'[15]노원열병합  건축공사기성내역서'!#REF!</definedName>
    <definedName name="Query1">#REF!</definedName>
    <definedName name="Q행">#REF!</definedName>
    <definedName name="R_">#REF!</definedName>
    <definedName name="R_I_Q_A_S">#N/A</definedName>
    <definedName name="RASA">#REF!</definedName>
    <definedName name="RASB">#REF!</definedName>
    <definedName name="RASCO__3">#N/A</definedName>
    <definedName name="RASCO__A">#N/A</definedName>
    <definedName name="RASE">#REF!</definedName>
    <definedName name="RawAgencyPrice">#REF!</definedName>
    <definedName name="RBData">#REF!</definedName>
    <definedName name="RC자재비">#REF!</definedName>
    <definedName name="RE_SIZE">#REF!</definedName>
    <definedName name="RECORD">#REF!</definedName>
    <definedName name="_xlnm.Recorder">#REF!</definedName>
    <definedName name="RED">#REF!</definedName>
    <definedName name="reg">[0]!BlankMacro1</definedName>
    <definedName name="rere" hidden="1">{#N/A,#N/A,FALSE,"지침";#N/A,#N/A,FALSE,"환경분석";#N/A,#N/A,FALSE,"Sheet16"}</definedName>
    <definedName name="Reselects">#REF!</definedName>
    <definedName name="REW">#REF!</definedName>
    <definedName name="RG">#REF!</definedName>
    <definedName name="RH">#REF!</definedName>
    <definedName name="rkskek">[0]!rkskek</definedName>
    <definedName name="RP">#REF!</definedName>
    <definedName name="RR">#REF!</definedName>
    <definedName name="rrr">[0]!BlankMacro1</definedName>
    <definedName name="RRRRRRR">[0]!BlankMacro1</definedName>
    <definedName name="RYANG">#REF!</definedName>
    <definedName name="R행">#REF!</definedName>
    <definedName name="s" hidden="1">{#N/A,#N/A,FALSE,"지침";#N/A,#N/A,FALSE,"환경분석";#N/A,#N/A,FALSE,"Sheet16"}</definedName>
    <definedName name="S_M_D_S">#N/A</definedName>
    <definedName name="S41M">#REF!</definedName>
    <definedName name="S41Y">#REF!</definedName>
    <definedName name="S43M">#REF!</definedName>
    <definedName name="S43Y">#REF!</definedName>
    <definedName name="SALESPLAN">#REF!</definedName>
    <definedName name="SC" hidden="1">#REF!</definedName>
    <definedName name="SCK">#REF!</definedName>
    <definedName name="SCODE">#N/A</definedName>
    <definedName name="sdsss">#REF!</definedName>
    <definedName name="Service_Charges">#REF!</definedName>
    <definedName name="SFS">#REF!</definedName>
    <definedName name="Site_Fees">#REF!</definedName>
    <definedName name="SIZE">#REF!</definedName>
    <definedName name="SIZEC">#REF!</definedName>
    <definedName name="SL">#REF!</definedName>
    <definedName name="Soju_Effect">[11]!Soju_Effect</definedName>
    <definedName name="SOL">#REF!</definedName>
    <definedName name="SPECI">#REF!</definedName>
    <definedName name="ss">#REF!</definedName>
    <definedName name="SSS" hidden="1">#REF!</definedName>
    <definedName name="START">#REF!</definedName>
    <definedName name="Status">#REF!</definedName>
    <definedName name="steam_trap">#REF!</definedName>
    <definedName name="SUM">#N/A</definedName>
    <definedName name="SUP">'[15]노원열병합  건축공사기성내역서'!#REF!</definedName>
    <definedName name="SY">#REF!</definedName>
    <definedName name="SZ">#REF!</definedName>
    <definedName name="S행">#REF!</definedName>
    <definedName name="T._A._B_____공___사">#REF!</definedName>
    <definedName name="T_1">#REF!</definedName>
    <definedName name="T_2">#N/A</definedName>
    <definedName name="T_3">#N/A</definedName>
    <definedName name="T_4">#N/A</definedName>
    <definedName name="T1_">#REF!</definedName>
    <definedName name="T2_">#N/A</definedName>
    <definedName name="TA">#REF!</definedName>
    <definedName name="Table">#REF!</definedName>
    <definedName name="Table1">#REF!</definedName>
    <definedName name="TAR_1">#REF!</definedName>
    <definedName name="TAR_2">#REF!</definedName>
    <definedName name="TAR_3">#REF!</definedName>
    <definedName name="Tax_Reduction">[11]!Tax_Reduction</definedName>
    <definedName name="TEAM">[23]계정!$E$3:$F$102</definedName>
    <definedName name="TEE">#REF!</definedName>
    <definedName name="temp">#REF!</definedName>
    <definedName name="temp_strainer">#REF!</definedName>
    <definedName name="temp2">#REF!</definedName>
    <definedName name="test">#REF!</definedName>
    <definedName name="TEST0">#REF!</definedName>
    <definedName name="TESTHKEY">#REF!</definedName>
    <definedName name="TESTKEYS">#REF!</definedName>
    <definedName name="TESTVKEY">#REF!</definedName>
    <definedName name="TF">BlankMacro1</definedName>
    <definedName name="THK">#REF!</definedName>
    <definedName name="THU">#REF!</definedName>
    <definedName name="TITLE">#REF!</definedName>
    <definedName name="tlfwjr3">#REF!</definedName>
    <definedName name="TO">BlankMacro1</definedName>
    <definedName name="TOL">#REF!</definedName>
    <definedName name="ton_수주금액16백만">#REF!</definedName>
    <definedName name="TOOL장">BlankMacro1</definedName>
    <definedName name="TOT">#REF!</definedName>
    <definedName name="total">[0]!BlankMacro1</definedName>
    <definedName name="TTT">#REF!</definedName>
    <definedName name="ttttt" hidden="1">{#N/A,#N/A,FALSE,"지침";#N/A,#N/A,FALSE,"환경분석";#N/A,#N/A,FALSE,"Sheet16"}</definedName>
    <definedName name="TTTTTTT">[0]!BlankMacro1</definedName>
    <definedName name="tuchal">#REF!</definedName>
    <definedName name="TY">#REF!</definedName>
    <definedName name="T행">#REF!</definedName>
    <definedName name="ue____I¨￡">#N/A</definedName>
    <definedName name="ue____Iª">#N/A</definedName>
    <definedName name="ùê____Íª">#N/A</definedName>
    <definedName name="ugyh">#REF!</definedName>
    <definedName name="uihguhj">#REF!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ON">#REF!</definedName>
    <definedName name="up" hidden="1">{#N/A,#N/A,FALSE,"지침";#N/A,#N/A,FALSE,"환경분석";#N/A,#N/A,FALSE,"Sheet16"}</definedName>
    <definedName name="US">#REF!</definedName>
    <definedName name="UUU">BlankMacro1</definedName>
    <definedName name="U행">#REF!</definedName>
    <definedName name="v">#N/A</definedName>
    <definedName name="VC" hidden="1">#REF!</definedName>
    <definedName name="VX" hidden="1">#REF!</definedName>
    <definedName name="V행">#REF!</definedName>
    <definedName name="w">#REF!</definedName>
    <definedName name="WA">#REF!</definedName>
    <definedName name="WC">#REF!</definedName>
    <definedName name="wd">#N/A</definedName>
    <definedName name="WETO">#N/A</definedName>
    <definedName name="whw">#REF!</definedName>
    <definedName name="WL">#REF!</definedName>
    <definedName name="WOL">#REF!</definedName>
    <definedName name="WPO">#N/A</definedName>
    <definedName name="WRITE" hidden="1">{#N/A,#N/A,FALSE,"CCTV"}</definedName>
    <definedName name="wrn.97." hidden="1">{#N/A,#N/A,FALSE,"지침";#N/A,#N/A,FALSE,"환경분석";#N/A,#N/A,FALSE,"Sheet16"}</definedName>
    <definedName name="WRN.98." hidden="1">{#N/A,#N/A,FALSE,"지침";#N/A,#N/A,FALSE,"환경분석";#N/A,#N/A,FALSE,"Sheet16"}</definedName>
    <definedName name="wrn.BM." hidden="1">{#N/A,#N/A,FALSE,"CCTV"}</definedName>
    <definedName name="wrn.STAFFS." hidden="1">{#N/A,#N/A,FALSE,"TABLE"}</definedName>
    <definedName name="WSU">#REF!</definedName>
    <definedName name="WW">#REF!</definedName>
    <definedName name="WWW">#REF!</definedName>
    <definedName name="WWWW">[0]!BlankMacro1</definedName>
    <definedName name="W행">'[24]2.대외공문'!#REF!</definedName>
    <definedName name="x">#REF!</definedName>
    <definedName name="xbsb">#REF!</definedName>
    <definedName name="xcv">#REF!</definedName>
    <definedName name="xjj1">BlankMacro1</definedName>
    <definedName name="xx" hidden="1">#REF!</definedName>
    <definedName name="X행">#REF!</definedName>
    <definedName name="Y.S.KIM">#REF!,#REF!,#REF!,#REF!,#REF!,#REF!,#REF!,#REF!,#REF!,#REF!,#REF!,#REF!,#REF!,#REF!,#REF!,#REF!,#REF!,#REF!,#REF!</definedName>
    <definedName name="y_strainer">#REF!</definedName>
    <definedName name="yihuibg">#REF!</definedName>
    <definedName name="YOO">'[8]01'!#REF!</definedName>
    <definedName name="yoo10">#REF!</definedName>
    <definedName name="yoo2">#REF!</definedName>
    <definedName name="yoo3">#REF!</definedName>
    <definedName name="yoo4">#REF!</definedName>
    <definedName name="YOO5">'[8]01'!#REF!</definedName>
    <definedName name="YOO6">'[8]01'!#REF!</definedName>
    <definedName name="YOO7">'[8]01'!#REF!</definedName>
    <definedName name="yoo8">#REF!</definedName>
    <definedName name="YOO9">'[8]01'!#REF!</definedName>
    <definedName name="YOON">'[8]01'!#REF!</definedName>
    <definedName name="YOON2">'[8]01'!#REF!</definedName>
    <definedName name="YOON3">'[8]01'!#REF!</definedName>
    <definedName name="YOON4">'[8]01'!#REF!</definedName>
    <definedName name="Youngnam_Market">'[11]2.주요계수총괄'!Youngnam_Market</definedName>
    <definedName name="YT">#REF!</definedName>
    <definedName name="YU">#N/A</definedName>
    <definedName name="yy">#REF!</definedName>
    <definedName name="yyy" hidden="1">{#N/A,#N/A,FALSE,"지침";#N/A,#N/A,FALSE,"환경분석";#N/A,#N/A,FALSE,"Sheet16"}</definedName>
    <definedName name="YYYYYYYYY">[0]!BlankMacro1</definedName>
    <definedName name="Z">#REF!</definedName>
    <definedName name="Z_4B0215BE_2A11_45E4_8DAE_E840424F9251_.wvu.PrintArea" localSheetId="0" hidden="1">물성1!$A$1:$N$41</definedName>
    <definedName name="Z_L_I_T_E_N">#N/A</definedName>
    <definedName name="ZL">#N/A</definedName>
    <definedName name="ZM">#N/A</definedName>
    <definedName name="ZV">#N/A</definedName>
    <definedName name="ZZ">#REF!</definedName>
    <definedName name="π">PI()</definedName>
    <definedName name="ㄱㄱㄱ">[0]!ㄱㄱㄱ</definedName>
    <definedName name="ㄱㄱㄱㄱ" hidden="1">{#N/A,#N/A,FALSE,"지침";#N/A,#N/A,FALSE,"환경분석";#N/A,#N/A,FALSE,"Sheet16"}</definedName>
    <definedName name="ㄱㅎㅀㄴ">#REF!</definedName>
    <definedName name="가">#REF!</definedName>
    <definedName name="가나다">[0]!가나다</definedName>
    <definedName name="가나다라">[0]!가나다라</definedName>
    <definedName name="가나다라미">[0]!가나다라미</definedName>
    <definedName name="가동율7대">BlankMacro1</definedName>
    <definedName name="간접비추정">#REF!</definedName>
    <definedName name="감가뿐각붇">#REF!</definedName>
    <definedName name="감리상주" hidden="1">{#N/A,#N/A,FALSE,"지침";#N/A,#N/A,FALSE,"환경분석";#N/A,#N/A,FALSE,"Sheet16"}</definedName>
    <definedName name="강일">#REF!</definedName>
    <definedName name="개_보_수_증_축_공_사_비">[25]정공공사!#REF!</definedName>
    <definedName name="개발양수도3">#REF!</definedName>
    <definedName name="개요2">[26]정공공사!#REF!</definedName>
    <definedName name="개정번호">#REF!</definedName>
    <definedName name="개정일자">#REF!</definedName>
    <definedName name="갸">#REF!</definedName>
    <definedName name="건">#N/A</definedName>
    <definedName name="건물고">#REF!</definedName>
    <definedName name="건축">#REF!</definedName>
    <definedName name="건축1">#REF!</definedName>
    <definedName name="건축공사집계표">#REF!</definedName>
    <definedName name="건축손익">#REF!</definedName>
    <definedName name="건축수입">#N/A</definedName>
    <definedName name="건축팀별" hidden="1">{#N/A,#N/A,FALSE,"지침";#N/A,#N/A,FALSE,"환경분석";#N/A,#N/A,FALSE,"Sheet16"}</definedName>
    <definedName name="검토">[0]!검토</definedName>
    <definedName name="겉표지">#REF!</definedName>
    <definedName name="견적">#REF!</definedName>
    <definedName name="견적내역" hidden="1">{#N/A,#N/A,FALSE,"CCTV"}</definedName>
    <definedName name="경량2">#REF!</definedName>
    <definedName name="경비">#REF!</definedName>
    <definedName name="경비.본">#REF!</definedName>
    <definedName name="경비조정중기">#REF!</definedName>
    <definedName name="경영4사">#REF!</definedName>
    <definedName name="경영4사여">#REF!</definedName>
    <definedName name="경영5사">#REF!</definedName>
    <definedName name="경영5사여">#REF!</definedName>
    <definedName name="경영6사">#REF!</definedName>
    <definedName name="경영6사여">#REF!</definedName>
    <definedName name="경영계동파견">#REF!</definedName>
    <definedName name="경영과장">#REF!</definedName>
    <definedName name="경영과장여">#REF!</definedName>
    <definedName name="경영국내부임">#REF!</definedName>
    <definedName name="경영기능">#REF!</definedName>
    <definedName name="경영대리">#REF!</definedName>
    <definedName name="경영대리여">#REF!</definedName>
    <definedName name="경영부대">#REF!</definedName>
    <definedName name="경영부대여">#REF!</definedName>
    <definedName name="경영부사장">#REF!</definedName>
    <definedName name="경영부장">#REF!</definedName>
    <definedName name="경영상무">#REF!</definedName>
    <definedName name="경영상무보">#REF!</definedName>
    <definedName name="경영자문">#REF!</definedName>
    <definedName name="경영전무">#REF!</definedName>
    <definedName name="경영전문위원">#REF!</definedName>
    <definedName name="경영차장">#REF!</definedName>
    <definedName name="경영차장여">#REF!</definedName>
    <definedName name="경영해외부임">#REF!</definedName>
    <definedName name="경영휴직">#REF!</definedName>
    <definedName name="계">[10]CVT산정!#REF!</definedName>
    <definedName name="계동">#REF!</definedName>
    <definedName name="계수" hidden="1">{#N/A,#N/A,FALSE,"지침";#N/A,#N/A,FALSE,"환경분석";#N/A,#N/A,FALSE,"Sheet16"}</definedName>
    <definedName name="계장">#REF!</definedName>
    <definedName name="계정">[27]계정!$A$3:$C$119</definedName>
    <definedName name="고객별">#REF!</definedName>
    <definedName name="고객별실적">#REF!</definedName>
    <definedName name="고과2">#REF!</definedName>
    <definedName name="고생월별">#REF!</definedName>
    <definedName name="골조">#REF!</definedName>
    <definedName name="골조2">#REF!</definedName>
    <definedName name="공">#REF!</definedName>
    <definedName name="공______사______명">#REF!</definedName>
    <definedName name="공___사____원____가">#REF!</definedName>
    <definedName name="공___종">#REF!</definedName>
    <definedName name="공_사_개_요">#REF!</definedName>
    <definedName name="工_事_槪_要">#REF!</definedName>
    <definedName name="공과잡비">#REF!</definedName>
    <definedName name="공구">#REF!</definedName>
    <definedName name="공기">#REF!</definedName>
    <definedName name="공문">#REF!</definedName>
    <definedName name="공비">BlankMacro1</definedName>
    <definedName name="공비1">BlankMacro1</definedName>
    <definedName name="공사개요1" hidden="1">{#N/A,#N/A,FALSE,"지침";#N/A,#N/A,FALSE,"환경분석";#N/A,#N/A,FALSE,"Sheet16"}</definedName>
    <definedName name="공사명">#REF!</definedName>
    <definedName name="공사비">BlankMacro1</definedName>
    <definedName name="공사비집">#REF!</definedName>
    <definedName name="공사원가">#REF!</definedName>
    <definedName name="공사일지">#REF!</definedName>
    <definedName name="공산품과_FM">#REF!</definedName>
    <definedName name="공저">[0]!공저</definedName>
    <definedName name="공정8대">BlankMacro1</definedName>
    <definedName name="공정현황1">[28]호프!$A$1:$R$216</definedName>
    <definedName name="공종">#REF!</definedName>
    <definedName name="공통경비">#REF!</definedName>
    <definedName name="공통일위">#REF!</definedName>
    <definedName name="공표">#REF!</definedName>
    <definedName name="공현2교철근집계표">[10]CVT산정!#REF!</definedName>
    <definedName name="관급">#REF!,#REF!,#REF!</definedName>
    <definedName name="관급단가">#REF!</definedName>
    <definedName name="관리">#REF!</definedName>
    <definedName name="광장동">BlankMacro1</definedName>
    <definedName name="교량별실행">[0]!교량별실행</definedName>
    <definedName name="구분">#REF!</definedName>
    <definedName name="그라프">#REF!</definedName>
    <definedName name="그래프">#REF!</definedName>
    <definedName name="금액">#REF!</definedName>
    <definedName name="金額">#REF!</definedName>
    <definedName name="급료">#REF!</definedName>
    <definedName name="급료.본">#REF!</definedName>
    <definedName name="기기신설">#REF!</definedName>
    <definedName name="기기철거">#REF!</definedName>
    <definedName name="기본세대수1">#REF!</definedName>
    <definedName name="기본세대수2">#REF!</definedName>
    <definedName name="기술4사">#REF!</definedName>
    <definedName name="기술4사여">#REF!</definedName>
    <definedName name="기술5사">#REF!</definedName>
    <definedName name="기술5사여">#REF!</definedName>
    <definedName name="기술6사">#REF!</definedName>
    <definedName name="기술6사여">#REF!</definedName>
    <definedName name="기술계동파견">#REF!</definedName>
    <definedName name="기술과장">#REF!</definedName>
    <definedName name="기술과장여">#REF!</definedName>
    <definedName name="기술국내부임">#REF!</definedName>
    <definedName name="기술기능">#REF!</definedName>
    <definedName name="기술대리">#REF!</definedName>
    <definedName name="기술대리여">#REF!</definedName>
    <definedName name="기술부대">#REF!</definedName>
    <definedName name="기술부대여">#REF!</definedName>
    <definedName name="기술부사장">#REF!</definedName>
    <definedName name="기술부장">#REF!</definedName>
    <definedName name="기술상무">#REF!</definedName>
    <definedName name="기술상무보">#REF!</definedName>
    <definedName name="기술자문">#REF!</definedName>
    <definedName name="기술전무">#REF!</definedName>
    <definedName name="기술전문위원">#REF!</definedName>
    <definedName name="기술차장">#REF!</definedName>
    <definedName name="기술차장여">#REF!</definedName>
    <definedName name="기술해외부임">#REF!</definedName>
    <definedName name="기술휴직">#REF!</definedName>
    <definedName name="기안갑">'[24]2.대외공문'!#REF!</definedName>
    <definedName name="기안을">'[24]2.대외공문'!#REF!</definedName>
    <definedName name="기업">BlankMacro1</definedName>
    <definedName name="기자재비FORM">#REF!</definedName>
    <definedName name="기준층면적">#REF!</definedName>
    <definedName name="기준층수">#REF!</definedName>
    <definedName name="기초">#REF!</definedName>
    <definedName name="김김김">#REF!</definedName>
    <definedName name="김명호SW">#REF!</definedName>
    <definedName name="김상철">#REF!</definedName>
    <definedName name="김성배_상무">#REF!</definedName>
    <definedName name="김성혁">#REF!,#REF!,#REF!,#REF!,#REF!,#REF!,#REF!,#REF!,#REF!,#REF!,#REF!,#REF!,#REF!,#REF!</definedName>
    <definedName name="김양석">#REF!,#REF!,#REF!,#REF!,#REF!,#REF!,#REF!,#REF!,#REF!,#REF!,#REF!,#REF!,#REF!,#REF!,#REF!,#REF!,#REF!,#REF!,#REF!</definedName>
    <definedName name="김전진행">#REF!</definedName>
    <definedName name="김전진행2">#REF!</definedName>
    <definedName name="김전청산">#REF!</definedName>
    <definedName name="김학민">[29]현장관리비!$F$12:$H$127,[29]현장관리비!$J$12:$L$127</definedName>
    <definedName name="김희진행">#REF!</definedName>
    <definedName name="김희진행2">#REF!</definedName>
    <definedName name="김희청산">#REF!</definedName>
    <definedName name="ㄴ" hidden="1">{#N/A,#N/A,FALSE,"CCTV"}</definedName>
    <definedName name="ㄴ1">[0]!BlankMacro1</definedName>
    <definedName name="ㄴㄴ" hidden="1">{#N/A,#N/A,FALSE,"지침";#N/A,#N/A,FALSE,"환경분석";#N/A,#N/A,FALSE,"Sheet16"}</definedName>
    <definedName name="ㄴㄴㄴ">[0]!ㄴㄴㄴ</definedName>
    <definedName name="ㄴㄴㄴㄴㅇ">#N/A</definedName>
    <definedName name="ㄴㅁㅁㄴㄴㅁ">#N/A</definedName>
    <definedName name="나나">#REF!</definedName>
    <definedName name="나이것참">BlankMacro1</definedName>
    <definedName name="낙찰가">#N/A</definedName>
    <definedName name="남양설계2동">#REF!</definedName>
    <definedName name="내수출2">#REF!</definedName>
    <definedName name="내역" hidden="1">{#N/A,#N/A,FALSE,"CCTV"}</definedName>
    <definedName name="내역서">#REF!</definedName>
    <definedName name="내용2">#REF!</definedName>
    <definedName name="내용3">#REF!</definedName>
    <definedName name="내용4">#REF!</definedName>
    <definedName name="네환율">#REF!</definedName>
    <definedName name="년초99">#REF!</definedName>
    <definedName name="노무비">#REF!</definedName>
    <definedName name="노무비1">[30]수목표준대가!$J$1:$J$65536</definedName>
    <definedName name="노부비">#REF!</definedName>
    <definedName name="노임단가">#REF!</definedName>
    <definedName name="노환율">#REF!</definedName>
    <definedName name="ㄶㄶㄶㅎ">#REF!</definedName>
    <definedName name="ㄷㄱ">#REF!</definedName>
    <definedName name="ㄷㄱ교ㅛ">#REF!</definedName>
    <definedName name="ㄷㄱㄴㅌ">#REF!</definedName>
    <definedName name="ㄷㄷ">#N/A</definedName>
    <definedName name="ㄷㄷㄷ">[0]!ㄷㄷㄷ</definedName>
    <definedName name="단_가">#REF!</definedName>
    <definedName name="단가">#REF!</definedName>
    <definedName name="단가비교표">#REF!,#REF!</definedName>
    <definedName name="단가적용표">#REF!</definedName>
    <definedName name="단가조사서FORM">#REF!</definedName>
    <definedName name="단같">#N/A</definedName>
    <definedName name="단같1">#N/A</definedName>
    <definedName name="단같2">#N/A</definedName>
    <definedName name="단같3">#N/A</definedName>
    <definedName name="단같4">#N/A</definedName>
    <definedName name="短期借入金_신한투자금융">#REF!</definedName>
    <definedName name="단면1">#REF!</definedName>
    <definedName name="단열공사">#REF!</definedName>
    <definedName name="단퇴.共">#REF!</definedName>
    <definedName name="당조">[31]통장출금액!$A$192:$P$351</definedName>
    <definedName name="당초계획" hidden="1">#REF!</definedName>
    <definedName name="대각교철근집계표">[10]CVT산정!#REF!</definedName>
    <definedName name="대기영역">#REF!</definedName>
    <definedName name="대림PL">#REF!</definedName>
    <definedName name="대송교">[10]CVT산정!#REF!</definedName>
    <definedName name="대일정계획">[0]!BlankMacro1</definedName>
    <definedName name="대환율">#REF!</definedName>
    <definedName name="대회">#REF!</definedName>
    <definedName name="더">#REF!</definedName>
    <definedName name="덕_트_공">#N/A</definedName>
    <definedName name="덕소">[32]II손익관리!#REF!</definedName>
    <definedName name="도______급______액">#REF!</definedName>
    <definedName name="도착선">#REF!</definedName>
    <definedName name="독환율">#REF!</definedName>
    <definedName name="동111">0.075</definedName>
    <definedName name="동양종금">#REF!</definedName>
    <definedName name="ㄹ">#REF!</definedName>
    <definedName name="ㄹ13">[10]CVT산정!$A$89:$IV$243</definedName>
    <definedName name="ㄹㄴ">[0]!ㄹㄴ</definedName>
    <definedName name="ㄹㄴㄹㄴㅇㄹㄴ">#REF!</definedName>
    <definedName name="ㄹㄴㅇㄹㄴㅇㄹㄴㄱㄴㅇ" hidden="1">{#N/A,#N/A,FALSE,"지침";#N/A,#N/A,FALSE,"환경분석";#N/A,#N/A,FALSE,"Sheet16"}</definedName>
    <definedName name="ㄹㄹ">#N/A</definedName>
    <definedName name="ㄹㄹㄹ">[0]!ㄹㄹㄹ</definedName>
    <definedName name="ㄹㄹㄹㄹㅀㅎ">#N/A</definedName>
    <definedName name="ㄹㅇㄹ">[0]!BlankMacro1</definedName>
    <definedName name="라라ㅏㄹ">#REF!</definedName>
    <definedName name="라ㅏㄹ">#REF!</definedName>
    <definedName name="ㅁ">[0]!BlankMacro1</definedName>
    <definedName name="ㅁ01">#REF!</definedName>
    <definedName name="ㅁ1">#REF!</definedName>
    <definedName name="ㅁ100">#REF!</definedName>
    <definedName name="ㅁ1100">#REF!</definedName>
    <definedName name="ㅁ1140">#REF!</definedName>
    <definedName name="ㅁ5">#REF!</definedName>
    <definedName name="ㅁ700">'[33]1.종합손익(도급)'!#REF!</definedName>
    <definedName name="ㅁ750">[34]II손익관리!#REF!</definedName>
    <definedName name="ㅁa1140">#REF!</definedName>
    <definedName name="ㅁㄴㅁㅁ">#N/A</definedName>
    <definedName name="ㅁㄴㅇㄹㄻㅇ">#REF!</definedName>
    <definedName name="ㅁㄴㅇㄻㄴ" hidden="1">#REF!</definedName>
    <definedName name="ㅁㄹㅇㄴㅁ" hidden="1">{#N/A,#N/A,FALSE,"CCTV"}</definedName>
    <definedName name="ㅁㅁ" hidden="1">{#N/A,#N/A,FALSE,"지침";#N/A,#N/A,FALSE,"환경분석";#N/A,#N/A,FALSE,"Sheet16"}</definedName>
    <definedName name="ㅁㅁㅁ">'[35]#REF'!#REF!</definedName>
    <definedName name="ㅁㅁㅁㄹ">[0]!ㅁㅁㅁㄹ</definedName>
    <definedName name="ㅁㅁㅁㅁ">[0]!ㅁㅁㅁㅁ</definedName>
    <definedName name="막">#REF!</definedName>
    <definedName name="매출">#REF!</definedName>
    <definedName name="매출.본">#REF!</definedName>
    <definedName name="매출AM">#REF!</definedName>
    <definedName name="맨홀토공산출">#REF!</definedName>
    <definedName name="맹민용">BlankMacro1</definedName>
    <definedName name="멘트">#REF!</definedName>
    <definedName name="명칭">#REF!</definedName>
    <definedName name="모래">#REF!</definedName>
    <definedName name="모래1">#REF!</definedName>
    <definedName name="목공사">#REF!</definedName>
    <definedName name="목차">#REF!</definedName>
    <definedName name="목차2">[0]!목차2</definedName>
    <definedName name="뭐지" hidden="1">{#N/A,#N/A,FALSE,"CCTV"}</definedName>
    <definedName name="미">#REF!</definedName>
    <definedName name="미장공사">#REF!</definedName>
    <definedName name="미환율">#REF!</definedName>
    <definedName name="민">#REF!</definedName>
    <definedName name="밋션별">#REF!</definedName>
    <definedName name="ㅂ">#N/A</definedName>
    <definedName name="ㅂㅂㅂ">#N/A</definedName>
    <definedName name="ㅂㅂㅂㅂㅂ" hidden="1">{#N/A,#N/A,FALSE,"지침";#N/A,#N/A,FALSE,"환경분석";#N/A,#N/A,FALSE,"Sheet16"}</definedName>
    <definedName name="바보">#REF!</definedName>
    <definedName name="박" hidden="1">{#N/A,#N/A,FALSE,"지침";#N/A,#N/A,FALSE,"환경분석";#N/A,#N/A,FALSE,"Sheet16"}</definedName>
    <definedName name="박상">#REF!</definedName>
    <definedName name="박성복">#REF!</definedName>
    <definedName name="방수공사">#REF!</definedName>
    <definedName name="배관">#REF!</definedName>
    <definedName name="버스팀">#REF!</definedName>
    <definedName name="번호">[10]CVT산정!#REF!</definedName>
    <definedName name="벨환율">#REF!</definedName>
    <definedName name="벽식철근계수">#REF!</definedName>
    <definedName name="벽식형틀수량">#REF!</definedName>
    <definedName name="변경수주계획">#REF!</definedName>
    <definedName name="별첨2A">#REF!</definedName>
    <definedName name="보고양식1">#REF!</definedName>
    <definedName name="보고양식2">#REF!</definedName>
    <definedName name="보고양식3">#REF!</definedName>
    <definedName name="본사손익">#REF!</definedName>
    <definedName name="본사자료">#REF!,#REF!,#REF!,#REF!,#REF!,#REF!,#REF!,#REF!,#REF!,#REF!,#REF!,#REF!,#REF!,#REF!</definedName>
    <definedName name="부__가___가__치__세">#REF!</definedName>
    <definedName name="부당계약">[0]!부당계약</definedName>
    <definedName name="부당사항2">[0]!부당사항2</definedName>
    <definedName name="부대일위대가">#REF!</definedName>
    <definedName name="부사장계">#REF!</definedName>
    <definedName name="비______목">#REF!</definedName>
    <definedName name="비율">#REF!</definedName>
    <definedName name="빈칸">#REF!</definedName>
    <definedName name="ㅅ">'[36]5.경상직원'!#REF!</definedName>
    <definedName name="사">#REF!</definedName>
    <definedName name="사__급___자__재__비">#REF!</definedName>
    <definedName name="사1" hidden="1">{#N/A,#N/A,FALSE,"지침";#N/A,#N/A,FALSE,"환경분석";#N/A,#N/A,FALSE,"Sheet16"}</definedName>
    <definedName name="사랑해" hidden="1">{#N/A,#N/A,FALSE,"지침";#N/A,#N/A,FALSE,"환경분석";#N/A,#N/A,FALSE,"Sheet16"}</definedName>
    <definedName name="사업별">[0]!BlankMacro1</definedName>
    <definedName name="사업본부등급">#REF!</definedName>
    <definedName name="사업실적99본사">#REF!</definedName>
    <definedName name="사업실적비교">#REF!</definedName>
    <definedName name="사업실적추이2">#REF!</definedName>
    <definedName name="사진">[0]!사진</definedName>
    <definedName name="상각비2" hidden="1">#REF!</definedName>
    <definedName name="상주" hidden="1">{#N/A,#N/A,FALSE,"지침";#N/A,#N/A,FALSE,"환경분석";#N/A,#N/A,FALSE,"Sheet16"}</definedName>
    <definedName name="상주감리" hidden="1">{#N/A,#N/A,FALSE,"지침";#N/A,#N/A,FALSE,"환경분석";#N/A,#N/A,FALSE,"Sheet16"}</definedName>
    <definedName name="상품원가">#REF!</definedName>
    <definedName name="상품원가.본">#REF!</definedName>
    <definedName name="상환2">#N/A</definedName>
    <definedName name="새">BlankMacro1</definedName>
    <definedName name="새것">#REF!</definedName>
    <definedName name="새마을교">[10]CVT산정!#REF!</definedName>
    <definedName name="새목차">[0]!새목차</definedName>
    <definedName name="새이을" hidden="1">{#N/A,#N/A,FALSE,"지침";#N/A,#N/A,FALSE,"환경분석";#N/A,#N/A,FALSE,"Sheet16"}</definedName>
    <definedName name="새표지">[0]!새표지</definedName>
    <definedName name="서">#REF!</definedName>
    <definedName name="서정석">#REF!</definedName>
    <definedName name="석" hidden="1">{#N/A,#N/A,FALSE,"지침";#N/A,#N/A,FALSE,"환경분석";#N/A,#N/A,FALSE,"Sheet16"}</definedName>
    <definedName name="선로철거">#REF!</definedName>
    <definedName name="선투입추정">#REF!</definedName>
    <definedName name="설계_342427000감리_862426000__5">[22]조건!#REF!</definedName>
    <definedName name="설계가">#N/A</definedName>
    <definedName name="설문지" hidden="1">#REF!</definedName>
    <definedName name="설비LIST">[0]!BlankMacro1</definedName>
    <definedName name="설비내역">#REF!</definedName>
    <definedName name="세금">#REF!</definedName>
    <definedName name="세금2">#REF!</definedName>
    <definedName name="세무준비">#REF!</definedName>
    <definedName name="세부실적">[0]!BlankMacro1</definedName>
    <definedName name="세전익익" hidden="1">{#N/A,#N/A,FALSE,"지침";#N/A,#N/A,FALSE,"환경분석";#N/A,#N/A,FALSE,"Sheet16"}</definedName>
    <definedName name="소">#REF!</definedName>
    <definedName name="소라" hidden="1">{#N/A,#N/A,FALSE,"지침";#N/A,#N/A,FALSE,"환경분석";#N/A,#N/A,FALSE,"Sheet16"}</definedName>
    <definedName name="소모비">#REF!</definedName>
    <definedName name="속">#REF!</definedName>
    <definedName name="손익2">#REF!</definedName>
    <definedName name="손익계산서" hidden="1">#REF!</definedName>
    <definedName name="손익변경" hidden="1">{#N/A,#N/A,FALSE,"지침";#N/A,#N/A,FALSE,"환경분석";#N/A,#N/A,FALSE,"Sheet16"}</definedName>
    <definedName name="수">#N/A</definedName>
    <definedName name="수금계획">#REF!</definedName>
    <definedName name="수량">BlankMacro1</definedName>
    <definedName name="수량산출">#REF!</definedName>
    <definedName name="수수">#N/A</definedName>
    <definedName name="수수수">#N/A</definedName>
    <definedName name="수수실적7월">#N/A</definedName>
    <definedName name="수식1">#REF!</definedName>
    <definedName name="수장공사">#REF!</definedName>
    <definedName name="수정">#REF!</definedName>
    <definedName name="수정전표">#REF!</definedName>
    <definedName name="순">#REF!</definedName>
    <definedName name="스환율">#REF!</definedName>
    <definedName name="스환율2">#REF!</definedName>
    <definedName name="승" hidden="1">{#N/A,#N/A,FALSE,"지침";#N/A,#N/A,FALSE,"환경분석";#N/A,#N/A,FALSE,"Sheet16"}</definedName>
    <definedName name="승이가" hidden="1">{#N/A,#N/A,FALSE,"지침";#N/A,#N/A,FALSE,"환경분석";#N/A,#N/A,FALSE,"Sheet16"}</definedName>
    <definedName name="시">#REF!</definedName>
    <definedName name="시료종류">OFFSET([37]시료종류!$A$2,,,COUNTA([37]시료종류!$A$1:$A$65536)-1)</definedName>
    <definedName name="시행일자">#REF!</definedName>
    <definedName name="신규">#REF!</definedName>
    <definedName name="新規工事__小計">#REF!</definedName>
    <definedName name="新規工事_計">#N/A</definedName>
    <definedName name="新規工事_小計">#REF!</definedName>
    <definedName name="新規推進__小計">#REF!</definedName>
    <definedName name="실적">#N/A</definedName>
    <definedName name="실적__2837억원">#REF!</definedName>
    <definedName name="싱환율">#REF!</definedName>
    <definedName name="싱환율2">#REF!</definedName>
    <definedName name="싼타모">#REF!</definedName>
    <definedName name="씨파">#REF!</definedName>
    <definedName name="씨파1">#REF!</definedName>
    <definedName name="ㅇ">#N/A</definedName>
    <definedName name="ㅇㄴㅁㄴㅁㄴㅇㄴㅇㅁㄴㅇㅁㄴㅇㅁㄴㅇㅇㄴㄴㅇㅇㄴㅁ">#N/A</definedName>
    <definedName name="ㅇㄴㅇ">#N/A</definedName>
    <definedName name="ㅇㄴㅇㄴㅁ" hidden="1">{#N/A,#N/A,FALSE,"지침";#N/A,#N/A,FALSE,"환경분석";#N/A,#N/A,FALSE,"Sheet16"}</definedName>
    <definedName name="ㅇㄹㄹ">#N/A</definedName>
    <definedName name="ㅇㄻㄻㄹ">#REF!</definedName>
    <definedName name="ㅇㄻㅇㄹ" hidden="1">{#N/A,#N/A,FALSE,"지침";#N/A,#N/A,FALSE,"환경분석";#N/A,#N/A,FALSE,"Sheet16"}</definedName>
    <definedName name="ㅇㅀㄶ">#REF!</definedName>
    <definedName name="ㅇㅇ">#N/A</definedName>
    <definedName name="ㅇㅇㅇ">#REF!</definedName>
    <definedName name="ㅇㅇㅇㅇ" hidden="1">{#N/A,#N/A,FALSE,"지침";#N/A,#N/A,FALSE,"환경분석";#N/A,#N/A,FALSE,"Sheet16"}</definedName>
    <definedName name="ㅇㅇㅇㅇㅇㅇ" hidden="1">{#N/A,#N/A,FALSE,"지침";#N/A,#N/A,FALSE,"환경분석";#N/A,#N/A,FALSE,"Sheet16"}</definedName>
    <definedName name="아">#REF!</definedName>
    <definedName name="아앟ㅀ">#REF!</definedName>
    <definedName name="아야">#REF!</definedName>
    <definedName name="안___전__점__검__비">#REF!</definedName>
    <definedName name="안성진행">#REF!</definedName>
    <definedName name="안성진행2">#REF!</definedName>
    <definedName name="안성청산">#REF!</definedName>
    <definedName name="안전계획">#REF!</definedName>
    <definedName name="안효진행">#REF!</definedName>
    <definedName name="안효청산">#REF!</definedName>
    <definedName name="야간" hidden="1">{#N/A,#N/A,FALSE,"지침";#N/A,#N/A,FALSE,"환경분석";#N/A,#N/A,FALSE,"Sheet16"}</definedName>
    <definedName name="양석">#REF!,#REF!,#REF!,#REF!,#REF!,#REF!,#REF!,#REF!,#REF!,#REF!,#REF!,#REF!,#REF!,#REF!,#REF!,#REF!,#REF!,#REF!,#REF!</definedName>
    <definedName name="양석김">#REF!</definedName>
    <definedName name="어렵다">BlankMacro1</definedName>
    <definedName name="업무2">[0]!BlankMacro1</definedName>
    <definedName name="에누리">#REF!</definedName>
    <definedName name="에누리.본">#REF!</definedName>
    <definedName name="연습">#REF!</definedName>
    <definedName name="영비">#REF!</definedName>
    <definedName name="영비.본">#REF!</definedName>
    <definedName name="영수">#REF!</definedName>
    <definedName name="영수.본">#REF!</definedName>
    <definedName name="영업" hidden="1">{#N/A,#N/A,FALSE,"지침";#N/A,#N/A,FALSE,"환경분석";#N/A,#N/A,FALSE,"Sheet16"}</definedName>
    <definedName name="영업외">#REF!</definedName>
    <definedName name="영업외수" hidden="1">[38]추가예산!#REF!</definedName>
    <definedName name="영업외수익.비용.">#REF!</definedName>
    <definedName name="영업현금" hidden="1">{#N/A,#N/A,FALSE,"지침";#N/A,#N/A,FALSE,"환경분석";#N/A,#N/A,FALSE,"Sheet16"}</definedName>
    <definedName name="영역">#REF!</definedName>
    <definedName name="영역1">#REF!</definedName>
    <definedName name="영환율">#REF!</definedName>
    <definedName name="영환율2">#REF!</definedName>
    <definedName name="예비비">#REF!</definedName>
    <definedName name="오">#REF!</definedName>
    <definedName name="오지">#REF!</definedName>
    <definedName name="오창수">[0]!BlankMacro1</definedName>
    <definedName name="옹벽길이1">#REF!</definedName>
    <definedName name="옹벽길이3">#REF!</definedName>
    <definedName name="완공">#REF!</definedName>
    <definedName name="完工工事_計">#N/A</definedName>
    <definedName name="외">#REF!</definedName>
    <definedName name="外">#REF!</definedName>
    <definedName name="외화외상매출금연령분석">#REF!</definedName>
    <definedName name="원">#REF!</definedName>
    <definedName name="원가내역서">[39]II손익관리!#REF!</definedName>
    <definedName name="원가월별">#REF!</definedName>
    <definedName name="원가작성">[39]II손익관리!#REF!</definedName>
    <definedName name="월별영업">#REF!</definedName>
    <definedName name="월별투입" hidden="1">{#N/A,#N/A,FALSE,"지침";#N/A,#N/A,FALSE,"환경분석";#N/A,#N/A,FALSE,"Sheet16"}</definedName>
    <definedName name="위치">#N/A</definedName>
    <definedName name="위치도" hidden="1">{#N/A,#N/A,FALSE,"지침";#N/A,#N/A,FALSE,"환경분석";#N/A,#N/A,FALSE,"Sheet16"}</definedName>
    <definedName name="有價__券.1.A">#REF!</definedName>
    <definedName name="으름" hidden="1">{#N/A,#N/A,FALSE,"지침";#N/A,#N/A,FALSE,"환경분석";#N/A,#N/A,FALSE,"Sheet16"}</definedName>
    <definedName name="으으" hidden="1">{#N/A,#N/A,FALSE,"지침";#N/A,#N/A,FALSE,"환경분석";#N/A,#N/A,FALSE,"Sheet16"}</definedName>
    <definedName name="은_행">#REF!</definedName>
    <definedName name="이">#REF!,#REF!,#REF!,#REF!,#REF!,#REF!,#REF!,#REF!,#REF!,#REF!,#REF!,#REF!,#REF!,#REF!,#REF!,#REF!,#REF!,#REF!,#REF!</definedName>
    <definedName name="이______________윤">#REF!</definedName>
    <definedName name="이______전______비">#REF!</definedName>
    <definedName name="이런" hidden="1">{#N/A,#N/A,FALSE,"지침";#N/A,#N/A,FALSE,"환경분석";#N/A,#N/A,FALSE,"Sheet16"}</definedName>
    <definedName name="이름" hidden="1">{#N/A,#N/A,FALSE,"지침";#N/A,#N/A,FALSE,"환경분석";#N/A,#N/A,FALSE,"Sheet16"}</definedName>
    <definedName name="이상" hidden="1">{#N/A,#N/A,FALSE,"지침";#N/A,#N/A,FALSE,"환경분석";#N/A,#N/A,FALSE,"Sheet16"}</definedName>
    <definedName name="이슈" hidden="1">{#N/A,#N/A,FALSE,"지침";#N/A,#N/A,FALSE,"환경분석";#N/A,#N/A,FALSE,"Sheet16"}</definedName>
    <definedName name="이영학" hidden="1">{#N/A,#N/A,FALSE,"지침";#N/A,#N/A,FALSE,"환경분석";#N/A,#N/A,FALSE,"Sheet16"}</definedName>
    <definedName name="이원진">#REF!</definedName>
    <definedName name="移越工事__小計">#REF!</definedName>
    <definedName name="이월물량">[28]호프!$A$1:$R$216</definedName>
    <definedName name="이응각">#REF!</definedName>
    <definedName name="이준호">#REF!</definedName>
    <definedName name="이현구">[10]CVT산정!#REF!</definedName>
    <definedName name="이환율">#REF!</definedName>
    <definedName name="이희선">#REF!,#REF!</definedName>
    <definedName name="인">#REF!</definedName>
    <definedName name="인력투입">#REF!</definedName>
    <definedName name="인부신상자료">#REF!</definedName>
    <definedName name="인쇄">'[40]1유리'!$A$3:$E$33,'[40]1유리'!$A$34:$E$34</definedName>
    <definedName name="인쇄양식">[0]!인쇄양식</definedName>
    <definedName name="인원조직" hidden="1">0</definedName>
    <definedName name="인원현황">#REF!</definedName>
    <definedName name="일__반___관__리__비">#REF!</definedName>
    <definedName name="일위">#REF!,#REF!</definedName>
    <definedName name="일위대가표">{"Book1","대전관저설변.xls"}</definedName>
    <definedName name="일자">#REF!</definedName>
    <definedName name="일자1">#REF!</definedName>
    <definedName name="일정97" hidden="1">#REF!</definedName>
    <definedName name="일환율">#REF!</definedName>
    <definedName name="입력">#N/A</definedName>
    <definedName name="입력선택">#REF!</definedName>
    <definedName name="ㅈㄷㅅㅎㄴ">#REF!</definedName>
    <definedName name="ㅈㄷㅈㄷ">#N/A</definedName>
    <definedName name="자갈">#REF!</definedName>
    <definedName name="자금수지">[0]!자금수지</definedName>
    <definedName name="자료">#REF!</definedName>
    <definedName name="자재인력조달">[0]!자재인력조달</definedName>
    <definedName name="작성">#REF!</definedName>
    <definedName name="작업계획">BlankMacro1</definedName>
    <definedName name="작업구분">#REF!</definedName>
    <definedName name="잡공사">#REF!</definedName>
    <definedName name="장">[0]!장</definedName>
    <definedName name="장기미수">#REF!</definedName>
    <definedName name="장동">BlankMacro1</definedName>
    <definedName name="장비">BlankMacro1</definedName>
    <definedName name="장비동원">BlankMacro1</definedName>
    <definedName name="장산교">[10]CVT산정!#REF!</definedName>
    <definedName name="재개발04" hidden="1">{#N/A,#N/A,FALSE,"지침";#N/A,#N/A,FALSE,"환경분석";#N/A,#N/A,FALSE,"Sheet16"}</definedName>
    <definedName name="재정부">#REF!</definedName>
    <definedName name="저사양PC사용자">#REF!</definedName>
    <definedName name="적격점수1">[41]전체!#REF!</definedName>
    <definedName name="적용사례">[42]II손익관리!$A$1:$IV$6,[42]II손익관리!$A$1:$C$65536</definedName>
    <definedName name="전">#REF!</definedName>
    <definedName name="전기">#REF!</definedName>
    <definedName name="전력4사">#REF!</definedName>
    <definedName name="전력4사여">#REF!</definedName>
    <definedName name="전력5사">#REF!</definedName>
    <definedName name="전력5사여">#REF!</definedName>
    <definedName name="전력6사">#REF!</definedName>
    <definedName name="전력6사여">#REF!</definedName>
    <definedName name="전력계동파견">#REF!</definedName>
    <definedName name="전력과장">#REF!</definedName>
    <definedName name="전력과장여">#REF!</definedName>
    <definedName name="전력국내부임">#REF!</definedName>
    <definedName name="전력기능">#REF!</definedName>
    <definedName name="전력대리">#REF!</definedName>
    <definedName name="전력대리여">#REF!</definedName>
    <definedName name="전력부대">#REF!</definedName>
    <definedName name="전력부대여">#REF!</definedName>
    <definedName name="전력부사장">#REF!</definedName>
    <definedName name="전력부장">#REF!</definedName>
    <definedName name="전력상무">#REF!</definedName>
    <definedName name="전력상무보">#REF!</definedName>
    <definedName name="전력자문">#REF!</definedName>
    <definedName name="전력전무">#REF!</definedName>
    <definedName name="전력전문위원">#REF!</definedName>
    <definedName name="전력차자영">#REF!</definedName>
    <definedName name="전력차장">#REF!</definedName>
    <definedName name="전력차장여">#REF!</definedName>
    <definedName name="전력해외부임">#REF!</definedName>
    <definedName name="전력휴직">#REF!</definedName>
    <definedName name="전망07">#REF!</definedName>
    <definedName name="전자CF" hidden="1">{#N/A,#N/A,FALSE,"지침";#N/A,#N/A,FALSE,"환경분석";#N/A,#N/A,FALSE,"Sheet16"}</definedName>
    <definedName name="전종남">#REF!</definedName>
    <definedName name="전체">#REF!</definedName>
    <definedName name="전체인건비">#REF!</definedName>
    <definedName name="정거장구간">[0]!정거장구간</definedName>
    <definedName name="정직" hidden="1">'[43]장비 (2)'!#REF!</definedName>
    <definedName name="제목">#REF!</definedName>
    <definedName name="제품원가">#REF!</definedName>
    <definedName name="제품원가.본">#REF!</definedName>
    <definedName name="조적공사">#REF!</definedName>
    <definedName name="조정">#REF!</definedName>
    <definedName name="조직인원" hidden="1">0</definedName>
    <definedName name="종">#REF!</definedName>
    <definedName name="종합결의96.11">#REF!</definedName>
    <definedName name="주">#REF!</definedName>
    <definedName name="주요매출증감" hidden="1">{#N/A,#N/A,FALSE,"지침";#N/A,#N/A,FALSE,"환경분석";#N/A,#N/A,FALSE,"Sheet16"}</definedName>
    <definedName name="주택매출">#REF!</definedName>
    <definedName name="주택사업본부">#REF!</definedName>
    <definedName name="주택원가">#REF!</definedName>
    <definedName name="주택최종">#REF!</definedName>
    <definedName name="준비">#REF!</definedName>
    <definedName name="중단공사">#REF!</definedName>
    <definedName name="中斷工事__小計">#REF!</definedName>
    <definedName name="중점관리1" hidden="1">{#N/A,#N/A,FALSE,"지침";#N/A,#N/A,FALSE,"환경분석";#N/A,#N/A,FALSE,"Sheet16"}</definedName>
    <definedName name="중점관리4" hidden="1">[3]공문!#REF!</definedName>
    <definedName name="증감" hidden="1">{#N/A,#N/A,FALSE,"지침";#N/A,#N/A,FALSE,"환경분석";#N/A,#N/A,FALSE,"Sheet16"}</definedName>
    <definedName name="지__급__자__재__비">#REF!</definedName>
    <definedName name="지상1높이">#REF!</definedName>
    <definedName name="지상기둥갯수">#REF!</definedName>
    <definedName name="지상벽식SLAB두께">#REF!</definedName>
    <definedName name="지상소보단2">#REF!</definedName>
    <definedName name="지상층1철근계">#REF!</definedName>
    <definedName name="지상층1형틀계">#REF!</definedName>
    <definedName name="지역">#N/A</definedName>
    <definedName name="진짜원가">#REF!</definedName>
    <definedName name="진행">#REF!</definedName>
    <definedName name="진행1">#REF!</definedName>
    <definedName name="進行工事__小計">#REF!</definedName>
    <definedName name="進行工事__小計1">#REF!</definedName>
    <definedName name="집계">[0]!집계</definedName>
    <definedName name="차입금">#REF!</definedName>
    <definedName name="차체">#REF!</definedName>
    <definedName name="창">#REF!</definedName>
    <definedName name="창호공사">#REF!</definedName>
    <definedName name="철거자재">#REF!</definedName>
    <definedName name="철구사업본부">#REF!</definedName>
    <definedName name="첫">#REF!</definedName>
    <definedName name="淸算工事__小計">#REF!</definedName>
    <definedName name="청상과부">#REF!</definedName>
    <definedName name="청상과부1">#REF!</definedName>
    <definedName name="초임안3">#REF!</definedName>
    <definedName name="총" hidden="1">[1]목표세부명세!#REF!</definedName>
    <definedName name="총______원_______가">#REF!</definedName>
    <definedName name="총___공____사___비">#REF!</definedName>
    <definedName name="최건진행">#REF!</definedName>
    <definedName name="최건청산">#REF!</definedName>
    <definedName name="최건청산2">#REF!</definedName>
    <definedName name="최상층Slab두께">#REF!</definedName>
    <definedName name="최종합격인원">#REF!</definedName>
    <definedName name="추진">#REF!</definedName>
    <definedName name="춘천">{"Book1","대전관저설변.xls"}</definedName>
    <definedName name="출발선">#REF!</definedName>
    <definedName name="출판" hidden="1">{#N/A,#N/A,FALSE,"지침";#N/A,#N/A,FALSE,"환경분석";#N/A,#N/A,FALSE,"Sheet16"}</definedName>
    <definedName name="출판C">#REF!</definedName>
    <definedName name="출판CF">#REF!</definedName>
    <definedName name="충돌" hidden="1">{#N/A,#N/A,FALSE,"지침";#N/A,#N/A,FALSE,"환경분석";#N/A,#N/A,FALSE,"Sheet16"}</definedName>
    <definedName name="취수장정리수량" hidden="1">#REF!</definedName>
    <definedName name="측세대수1">#REF!</definedName>
    <definedName name="측옹벽길이1">#REF!</definedName>
    <definedName name="ㅋㅋㅋ1">#REF!</definedName>
    <definedName name="ㅋㅋㅋ2">#REF!</definedName>
    <definedName name="카환율">#REF!</definedName>
    <definedName name="캐쉬" hidden="1">{#N/A,#N/A,FALSE,"지침";#N/A,#N/A,FALSE,"환경분석";#N/A,#N/A,FALSE,"Sheet16"}</definedName>
    <definedName name="케1">#REF!</definedName>
    <definedName name="클_레_임">#N/A</definedName>
    <definedName name="ㅌㅌㅌ">BlankMacro1</definedName>
    <definedName name="터파기고">#REF!</definedName>
    <definedName name="템를1234">[0]!BlankMacro1</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토">#N/A</definedName>
    <definedName name="토건4사">#REF!</definedName>
    <definedName name="토건4사여">#REF!</definedName>
    <definedName name="토건5사">#REF!</definedName>
    <definedName name="토건5사여">#REF!</definedName>
    <definedName name="토건6사">#REF!</definedName>
    <definedName name="토건6사여">#REF!</definedName>
    <definedName name="토건계동파견">#REF!</definedName>
    <definedName name="토건과장">#REF!</definedName>
    <definedName name="토건과장여">#REF!</definedName>
    <definedName name="토건국내부임">#REF!</definedName>
    <definedName name="토건기능">#REF!</definedName>
    <definedName name="토건대리">#REF!</definedName>
    <definedName name="토건대리여">#REF!</definedName>
    <definedName name="토건부대">#REF!</definedName>
    <definedName name="토건부대여">#REF!</definedName>
    <definedName name="토건부사장">#REF!</definedName>
    <definedName name="토건부장">#REF!</definedName>
    <definedName name="토건상무">#REF!</definedName>
    <definedName name="토건상무보">#REF!</definedName>
    <definedName name="토건손익계획">#REF!</definedName>
    <definedName name="토건자문">#REF!</definedName>
    <definedName name="토건전무">#REF!</definedName>
    <definedName name="토건전문위원">#REF!</definedName>
    <definedName name="토건차장">#REF!</definedName>
    <definedName name="토건차장여">#REF!</definedName>
    <definedName name="토건해외부임">#REF!</definedName>
    <definedName name="토건휴직">#REF!</definedName>
    <definedName name="토공사">#REF!</definedName>
    <definedName name="토목" hidden="1">#REF!</definedName>
    <definedName name="토목p">#REF!</definedName>
    <definedName name="토목매숯">#REF!</definedName>
    <definedName name="토목이월">#REF!</definedName>
    <definedName name="토목이월1">#REF!</definedName>
    <definedName name="퇴직추계12">#REF!</definedName>
    <definedName name="투유평가">#REF!</definedName>
    <definedName name="투입">#REF!</definedName>
    <definedName name="투찰서2">[0]!투찰서2</definedName>
    <definedName name="트럭1트">#REF!</definedName>
    <definedName name="트럭실행">#REF!</definedName>
    <definedName name="트럭팀">#REF!</definedName>
    <definedName name="특별손실">#REF!</definedName>
    <definedName name="특별손실.본">#REF!</definedName>
    <definedName name="특별이익">#REF!</definedName>
    <definedName name="특별이익.본">#REF!</definedName>
    <definedName name="특장">#REF!</definedName>
    <definedName name="ㅍㅍㅍ">#N/A</definedName>
    <definedName name="파이롯트">#REF!</definedName>
    <definedName name="평당가">#REF!</definedName>
    <definedName name="폐_기_물___수_수_료">#REF!</definedName>
    <definedName name="폐_기_물___처_리_비">#REF!</definedName>
    <definedName name="포장">#REF!</definedName>
    <definedName name="포장2월ocf" hidden="1">{#N/A,#N/A,FALSE,"지침";#N/A,#N/A,FALSE,"환경분석";#N/A,#N/A,FALSE,"Sheet16"}</definedName>
    <definedName name="포장ocf" hidden="1">{#N/A,#N/A,FALSE,"지침";#N/A,#N/A,FALSE,"환경분석";#N/A,#N/A,FALSE,"Sheet16"}</definedName>
    <definedName name="표묜">#REF!</definedName>
    <definedName name="표준명">#REF!</definedName>
    <definedName name="표준번호">#REF!</definedName>
    <definedName name="표지">#REF!</definedName>
    <definedName name="표지1">[0]!표지1</definedName>
    <definedName name="프로젝트가동">#REF!</definedName>
    <definedName name="프환율">#REF!</definedName>
    <definedName name="플">#N/A</definedName>
    <definedName name="ㅎㄶ">#REF!</definedName>
    <definedName name="ㅎㄹ">#REF!</definedName>
    <definedName name="ㅎ럴">#REF!</definedName>
    <definedName name="ㅎㅎ">#N/A</definedName>
    <definedName name="ㅎㅎㅎ">#REF!</definedName>
    <definedName name="ㅎㅎㅎㅎㅎㅎㅎㅎ" hidden="1">{#N/A,#N/A,FALSE,"지침";#N/A,#N/A,FALSE,"환경분석";#N/A,#N/A,FALSE,"Sheet16"}</definedName>
    <definedName name="하">#REF!</definedName>
    <definedName name="하지원" hidden="1">{#N/A,#N/A,FALSE,"지침";#N/A,#N/A,FALSE,"환경분석";#N/A,#N/A,FALSE,"Sheet16"}</definedName>
    <definedName name="한국">BlankMacro1</definedName>
    <definedName name="함돈식상무">#REF!</definedName>
    <definedName name="합______________계">#REF!</definedName>
    <definedName name="合____計">#N/A</definedName>
    <definedName name="합계">#REF!</definedName>
    <definedName name="항목10">#REF!</definedName>
    <definedName name="항목11">#REF!</definedName>
    <definedName name="항목2">#REF!</definedName>
    <definedName name="항목3">#REF!</definedName>
    <definedName name="항목4">#REF!</definedName>
    <definedName name="항목5">#REF!</definedName>
    <definedName name="항목6">#REF!</definedName>
    <definedName name="항목7">#REF!</definedName>
    <definedName name="항목8">#REF!</definedName>
    <definedName name="항목9">#REF!</definedName>
    <definedName name="햐ㅓㅈ바허ㅏㅣ농하ㅗㅎ" hidden="1">{#N/A,#N/A,FALSE,"CCTV"}</definedName>
    <definedName name="혀오강ㄷ" hidden="1">{#N/A,#N/A,FALSE,"지침";#N/A,#N/A,FALSE,"환경분석";#N/A,#N/A,FALSE,"Sheet16"}</definedName>
    <definedName name="현광등" hidden="1">{#N/A,#N/A,FALSE,"지침";#N/A,#N/A,FALSE,"환경분석";#N/A,#N/A,FALSE,"Sheet16"}</definedName>
    <definedName name="현금흐름">[4]현금흐름!#REF!</definedName>
    <definedName name="現代綜合商事經由分">#REF!</definedName>
    <definedName name="현장" hidden="1">0</definedName>
    <definedName name="협력업체" hidden="1">{#N/A,#N/A,FALSE,"지침";#N/A,#N/A,FALSE,"환경분석";#N/A,#N/A,FALSE,"Sheet16"}</definedName>
    <definedName name="호호" hidden="1">{#N/A,#N/A,FALSE,"지침";#N/A,#N/A,FALSE,"환경분석";#N/A,#N/A,FALSE,"Sheet16"}</definedName>
    <definedName name="호환율">#REF!</definedName>
    <definedName name="화공4사">#REF!</definedName>
    <definedName name="화공4사여">#REF!</definedName>
    <definedName name="화공5사">#REF!</definedName>
    <definedName name="화공5사여">#REF!</definedName>
    <definedName name="화공6사">#REF!</definedName>
    <definedName name="화공6사여">#REF!</definedName>
    <definedName name="화공계동파견">#REF!</definedName>
    <definedName name="화공과장">#REF!</definedName>
    <definedName name="화공과장여">#REF!</definedName>
    <definedName name="화공국내부임">#REF!</definedName>
    <definedName name="화공기능">#REF!</definedName>
    <definedName name="화공대리">#REF!</definedName>
    <definedName name="화공대리여">#REF!</definedName>
    <definedName name="화공부대">#REF!</definedName>
    <definedName name="화공부대여">#REF!</definedName>
    <definedName name="화공부사장">#REF!</definedName>
    <definedName name="화공부장">#REF!</definedName>
    <definedName name="화공상무">#REF!</definedName>
    <definedName name="화공상무보">#REF!</definedName>
    <definedName name="화공자문">#REF!</definedName>
    <definedName name="화공전무">#REF!</definedName>
    <definedName name="화공전문위원">#REF!</definedName>
    <definedName name="화공차장">#REF!</definedName>
    <definedName name="화공차장여">#REF!</definedName>
    <definedName name="화공해외부임">#REF!</definedName>
    <definedName name="화공회장">#REF!</definedName>
    <definedName name="화공휴직">#REF!</definedName>
    <definedName name="환경">#REF!</definedName>
    <definedName name="환율">#REF!</definedName>
    <definedName name="환율1">#REF!</definedName>
    <definedName name="회사명">#REF!</definedName>
    <definedName name="회사실적총괄">#REF!</definedName>
    <definedName name="효효" hidden="1">{#N/A,#N/A,FALSE,"지침";#N/A,#N/A,FALSE,"환경분석";#N/A,#N/A,FALSE,"Sheet16"}</definedName>
    <definedName name="후다">[0]!후다</definedName>
    <definedName name="희선">#REF!,#REF!,#REF!,#REF!,#REF!,#REF!,#REF!,#REF!,#REF!,#REF!,#REF!,#REF!,#REF!,#REF!,#REF!,#REF!,#REF!,#REF!,#REF!</definedName>
    <definedName name="ㅏ">#REF!</definedName>
    <definedName name="ㅏㅏ">#REF!</definedName>
    <definedName name="ㅏㅏㅏㅏㅏ">#N/A</definedName>
    <definedName name="ㅐㅐㅐ" hidden="1">{#N/A,#N/A,FALSE,"지침";#N/A,#N/A,FALSE,"환경분석";#N/A,#N/A,FALSE,"Sheet16"}</definedName>
    <definedName name="ㅓㅓㅓㅓㅓ">#N/A</definedName>
    <definedName name="ㅓㅓㅗ라ㅓㄴ오라ㅓㅁㄴ오라넘오람ㄴ엄ㄴㅇㅇㄴㅁㅁㄴㅇㅇㄴㄴㅇㅁ">#N/A</definedName>
    <definedName name="ㅓㅗ" hidden="1">{#N/A,#N/A,FALSE,"지침";#N/A,#N/A,FALSE,"환경분석";#N/A,#N/A,FALSE,"Sheet16"}</definedName>
    <definedName name="ㅔㅏ">#REF!</definedName>
    <definedName name="ㅗ">[10]CVT산정!#REF!</definedName>
    <definedName name="ㅗㄹ">#REF!</definedName>
    <definedName name="ㅗ하ㅣㄴ어ㅗ뢔ㅑㅇㅈ" hidden="1">{#N/A,#N/A,FALSE,"CCTV"}</definedName>
    <definedName name="ㅗㅗㅗㅗ">#N/A</definedName>
    <definedName name="ㅛㅕㅕㅕ">#N/A</definedName>
    <definedName name="ㅜ">[25]정공공사!#REF!</definedName>
    <definedName name="ㅜn">#REF!</definedName>
    <definedName name="ㅜㅜㅜ">#N/A</definedName>
    <definedName name="ㅜㅜㅜㅜ">BlankMacro1</definedName>
    <definedName name="ㅠ">#REF!</definedName>
    <definedName name="ㅠㅜㅠㅜㅜㅜ">#N/A</definedName>
    <definedName name="ㅠㅠㅠ" hidden="1">{#N/A,#N/A,FALSE,"지침";#N/A,#N/A,FALSE,"환경분석";#N/A,#N/A,FALSE,"Sheet16"}</definedName>
    <definedName name="ㅡㅏ">#N/A</definedName>
    <definedName name="ㅡㅡㅡ" hidden="1">{#N/A,#N/A,FALSE,"지침";#N/A,#N/A,FALSE,"환경분석";#N/A,#N/A,FALSE,"Sheet16"}</definedName>
    <definedName name="ㅣ">[10]CVT산정!#REF!</definedName>
    <definedName name="ㅣㅣ">#REF!</definedName>
  </definedNames>
  <calcPr calcId="17902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8" i="1" l="1"/>
  <c r="D12" i="1"/>
  <c r="O3" i="2"/>
  <c r="D28" i="1"/>
  <c r="X3" i="1" l="1"/>
  <c r="V6" i="1"/>
  <c r="Y9" i="1"/>
  <c r="Z9" i="1"/>
  <c r="A9" i="2"/>
  <c r="G5" i="2"/>
  <c r="P3" i="2" s="1"/>
  <c r="P4" i="2" s="1"/>
  <c r="G9" i="2" l="1"/>
  <c r="H27" i="1" l="1"/>
  <c r="H33" i="1" s="1"/>
  <c r="F27" i="1"/>
  <c r="F33" i="1" s="1"/>
  <c r="D27" i="1"/>
  <c r="D33" i="1" s="1"/>
  <c r="H22" i="1"/>
  <c r="F22" i="1"/>
  <c r="D22" i="1"/>
  <c r="W21" i="1"/>
  <c r="H15" i="1"/>
  <c r="F15" i="1"/>
  <c r="J19" i="1" s="1"/>
  <c r="D15" i="1"/>
  <c r="AF11" i="1"/>
  <c r="J10" i="1"/>
  <c r="AD5" i="1"/>
  <c r="AB4" i="1"/>
  <c r="AD3" i="1"/>
  <c r="AC3" i="1"/>
  <c r="AC4" i="1" s="1"/>
  <c r="AA3" i="1"/>
  <c r="AA4" i="1" s="1"/>
  <c r="W3" i="1" s="1"/>
  <c r="O3" i="1" l="1"/>
  <c r="W5" i="1"/>
  <c r="X5" i="1" s="1"/>
  <c r="W4" i="1"/>
  <c r="J28" i="1"/>
  <c r="P3" i="1" l="1"/>
  <c r="Q3" i="1" s="1"/>
  <c r="T3" i="1"/>
  <c r="U3" i="1" s="1"/>
  <c r="O4" i="1"/>
  <c r="R41" i="1"/>
  <c r="H41" i="1" s="1"/>
  <c r="Q41" i="1"/>
  <c r="B41" i="1" s="1"/>
  <c r="N5" i="1"/>
  <c r="L5" i="1"/>
  <c r="R23" i="1"/>
  <c r="L3" i="1"/>
  <c r="S24" i="1"/>
  <c r="F16" i="1" l="1"/>
  <c r="F11" i="1"/>
  <c r="F23" i="1"/>
  <c r="F34" i="1"/>
  <c r="F29" i="1"/>
  <c r="H16" i="1" l="1"/>
  <c r="H11" i="1"/>
  <c r="H23" i="1"/>
  <c r="H34" i="1"/>
  <c r="H29" i="1"/>
  <c r="F20" i="1"/>
  <c r="F24" i="1"/>
  <c r="F28" i="1"/>
  <c r="F19" i="1"/>
  <c r="F36" i="1"/>
  <c r="F31" i="1"/>
  <c r="F13" i="1"/>
  <c r="F35" i="1"/>
  <c r="F30" i="1"/>
  <c r="F25" i="1"/>
  <c r="F17" i="1"/>
  <c r="F18" i="1" s="1"/>
  <c r="H24" i="1" l="1"/>
  <c r="H28" i="1"/>
  <c r="H19" i="1"/>
  <c r="H36" i="1"/>
  <c r="H31" i="1"/>
  <c r="H13" i="1"/>
  <c r="H35" i="1"/>
  <c r="H30" i="1"/>
  <c r="H25" i="1"/>
  <c r="H17" i="1"/>
  <c r="H18" i="1" s="1"/>
  <c r="H12" i="1"/>
  <c r="H2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N3" authorId="0" shapeId="0" xr:uid="{3D2515E2-F2C8-4CA6-8CF2-2E403B573B31}">
      <text>
        <r>
          <rPr>
            <sz val="50"/>
            <color indexed="81"/>
            <rFont val="돋움"/>
            <family val="3"/>
            <charset val="129"/>
          </rPr>
          <t>규격</t>
        </r>
        <r>
          <rPr>
            <sz val="9"/>
            <color indexed="81"/>
            <rFont val="돋움"/>
            <family val="3"/>
            <charset val="129"/>
          </rPr>
          <t xml:space="preserve">
</t>
        </r>
        <r>
          <rPr>
            <sz val="9"/>
            <color indexed="81"/>
            <rFont val="Tahoma"/>
            <family val="2"/>
          </rPr>
          <t xml:space="preserve">
</t>
        </r>
      </text>
    </comment>
  </commentList>
</comments>
</file>

<file path=xl/sharedStrings.xml><?xml version="1.0" encoding="utf-8"?>
<sst xmlns="http://schemas.openxmlformats.org/spreadsheetml/2006/main" count="90" uniqueCount="72">
  <si>
    <t>콘크리트 물성시험 성과표</t>
    <phoneticPr fontId="5" type="noConversion"/>
  </si>
  <si>
    <t>공사명</t>
    <phoneticPr fontId="5" type="noConversion"/>
  </si>
  <si>
    <t>다운2지구 B-2BL 공동주택 신축공사</t>
    <phoneticPr fontId="4" type="noConversion"/>
  </si>
  <si>
    <t>시험번호</t>
    <phoneticPr fontId="5" type="noConversion"/>
  </si>
  <si>
    <t>배합규격</t>
    <phoneticPr fontId="10" type="noConversion"/>
  </si>
  <si>
    <t>타설량</t>
    <phoneticPr fontId="5" type="noConversion"/>
  </si>
  <si>
    <t>타설일자</t>
    <phoneticPr fontId="10" type="noConversion"/>
  </si>
  <si>
    <t>타설시간</t>
    <phoneticPr fontId="10" type="noConversion"/>
  </si>
  <si>
    <t>~</t>
    <phoneticPr fontId="10" type="noConversion"/>
  </si>
  <si>
    <t>시공부위</t>
    <phoneticPr fontId="10" type="noConversion"/>
  </si>
  <si>
    <t>납품업체</t>
    <phoneticPr fontId="10" type="noConversion"/>
  </si>
  <si>
    <t>시  험  결  과</t>
    <phoneticPr fontId="5" type="noConversion"/>
  </si>
  <si>
    <t>년도
(직접입력)</t>
    <phoneticPr fontId="4" type="noConversion"/>
  </si>
  <si>
    <t>월</t>
    <phoneticPr fontId="4" type="noConversion"/>
  </si>
  <si>
    <t>일</t>
    <phoneticPr fontId="4" type="noConversion"/>
  </si>
  <si>
    <t>시험번호</t>
    <phoneticPr fontId="4" type="noConversion"/>
  </si>
  <si>
    <t>총시험횟수</t>
    <phoneticPr fontId="4" type="noConversion"/>
  </si>
  <si>
    <t>1. 슬럼프 또는 슬럼프플로시험</t>
    <phoneticPr fontId="5" type="noConversion"/>
  </si>
  <si>
    <t>염화물 기록지</t>
    <phoneticPr fontId="4" type="noConversion"/>
  </si>
  <si>
    <t>측정번호</t>
    <phoneticPr fontId="5" type="noConversion"/>
  </si>
  <si>
    <t>①</t>
    <phoneticPr fontId="4" type="noConversion"/>
  </si>
  <si>
    <t>②</t>
    <phoneticPr fontId="4" type="noConversion"/>
  </si>
  <si>
    <t>③</t>
    <phoneticPr fontId="4" type="noConversion"/>
  </si>
  <si>
    <t>측정치(㎜)</t>
    <phoneticPr fontId="5" type="noConversion"/>
  </si>
  <si>
    <t>품질기준</t>
    <phoneticPr fontId="5" type="noConversion"/>
  </si>
  <si>
    <t>쌍용</t>
    <phoneticPr fontId="4" type="noConversion"/>
  </si>
  <si>
    <t>쌍용레미콘㈜</t>
    <phoneticPr fontId="4" type="noConversion"/>
  </si>
  <si>
    <t>판정</t>
    <phoneticPr fontId="5" type="noConversion"/>
  </si>
  <si>
    <t>한라</t>
    <phoneticPr fontId="4" type="noConversion"/>
  </si>
  <si>
    <t>한라엔컴㈜</t>
    <phoneticPr fontId="4" type="noConversion"/>
  </si>
  <si>
    <t>2. 공기량 시험</t>
    <phoneticPr fontId="5" type="noConversion"/>
  </si>
  <si>
    <t>동양</t>
    <phoneticPr fontId="4" type="noConversion"/>
  </si>
  <si>
    <t>㈜동양</t>
    <phoneticPr fontId="4" type="noConversion"/>
  </si>
  <si>
    <t>용호</t>
    <phoneticPr fontId="4" type="noConversion"/>
  </si>
  <si>
    <t>용호산업㈜</t>
    <phoneticPr fontId="4" type="noConversion"/>
  </si>
  <si>
    <t>겉보기공기량(%)</t>
    <phoneticPr fontId="5" type="noConversion"/>
  </si>
  <si>
    <t>영진</t>
    <phoneticPr fontId="4" type="noConversion"/>
  </si>
  <si>
    <t>영진레미콘아스콘㈜</t>
    <phoneticPr fontId="4" type="noConversion"/>
  </si>
  <si>
    <t>골재수정계수(%)</t>
    <phoneticPr fontId="5" type="noConversion"/>
  </si>
  <si>
    <t>대원</t>
    <phoneticPr fontId="4" type="noConversion"/>
  </si>
  <si>
    <t>㈜대원레미콘</t>
    <phoneticPr fontId="4" type="noConversion"/>
  </si>
  <si>
    <t>공기량(%)</t>
    <phoneticPr fontId="5" type="noConversion"/>
  </si>
  <si>
    <t>울산</t>
    <phoneticPr fontId="4" type="noConversion"/>
  </si>
  <si>
    <t>울산레미콘㈜</t>
    <phoneticPr fontId="4" type="noConversion"/>
  </si>
  <si>
    <t>한진</t>
    <phoneticPr fontId="4" type="noConversion"/>
  </si>
  <si>
    <t>한진레미콘㈜</t>
    <phoneticPr fontId="4" type="noConversion"/>
  </si>
  <si>
    <t>신우</t>
    <phoneticPr fontId="4" type="noConversion"/>
  </si>
  <si>
    <t>신우레미콘㈜</t>
    <phoneticPr fontId="4" type="noConversion"/>
  </si>
  <si>
    <t>3. 단위수량 시험</t>
    <phoneticPr fontId="5" type="noConversion"/>
  </si>
  <si>
    <t>대성</t>
    <phoneticPr fontId="4" type="noConversion"/>
  </si>
  <si>
    <t>대성레미콘㈜</t>
    <phoneticPr fontId="4" type="noConversion"/>
  </si>
  <si>
    <t>대공</t>
    <phoneticPr fontId="4" type="noConversion"/>
  </si>
  <si>
    <t>㈜대공</t>
    <phoneticPr fontId="4" type="noConversion"/>
  </si>
  <si>
    <t>단위수량 (㎏/㎥)</t>
    <phoneticPr fontId="5" type="noConversion"/>
  </si>
  <si>
    <t>4. 염화물 함유량 시험</t>
    <phoneticPr fontId="5" type="noConversion"/>
  </si>
  <si>
    <t>측정결과 (㎏/㎥)</t>
    <phoneticPr fontId="5" type="noConversion"/>
  </si>
  <si>
    <t>5. 온도</t>
    <phoneticPr fontId="5" type="noConversion"/>
  </si>
  <si>
    <t>측정치℃)</t>
    <phoneticPr fontId="5" type="noConversion"/>
  </si>
  <si>
    <t xml:space="preserve">  【 비 고 】</t>
    <phoneticPr fontId="10" type="noConversion"/>
  </si>
  <si>
    <t xml:space="preserve">  시험 방법은 KS F 2402, KS F 2421, KS F 4009, KS Q 5002, KCI RM 101에 따른다</t>
    <phoneticPr fontId="10" type="noConversion"/>
  </si>
  <si>
    <t xml:space="preserve"> </t>
    <phoneticPr fontId="10" type="noConversion"/>
  </si>
  <si>
    <t>시험자</t>
    <phoneticPr fontId="4" type="noConversion"/>
  </si>
  <si>
    <t>(서명)</t>
    <phoneticPr fontId="4" type="noConversion"/>
  </si>
  <si>
    <t>확인자</t>
    <phoneticPr fontId="4" type="noConversion"/>
  </si>
  <si>
    <t>일자</t>
    <phoneticPr fontId="4" type="noConversion"/>
  </si>
  <si>
    <t>굳지 않은 콘크리트 시험 사진 대지</t>
    <phoneticPr fontId="4" type="noConversion"/>
  </si>
  <si>
    <t>슬럼프/공기량/염분함유량 시험전경</t>
    <phoneticPr fontId="4" type="noConversion"/>
  </si>
  <si>
    <t>적합</t>
  </si>
  <si>
    <t>4.5±1.5%</t>
  </si>
  <si>
    <t>0.3 ㎏/㎥이하</t>
  </si>
  <si>
    <t>10 ~ 35℃</t>
  </si>
  <si>
    <t>175±20</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</si>
</sst>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76" formatCode="0_);[Red]\(0\)"/>
    <numFmt numFmtId="177" formatCode="000000&quot;-&quot;00"/>
    <numFmt numFmtId="178" formatCode="#&quot;년 &quot;"/>
    <numFmt numFmtId="179" formatCode="#&quot;월 &quot;"/>
    <numFmt numFmtId="180" formatCode="#&quot;일 &quot;"/>
    <numFmt numFmtId="181" formatCode="#&quot;번 &quot;"/>
    <numFmt numFmtId="182" formatCode="\2\5&quot;-&quot;00&quot;-&quot;00&quot;0&quot;"/>
    <numFmt numFmtId="183" formatCode="#,###&quot; (㎥)&quot;"/>
    <numFmt numFmtId="184" formatCode="0_ "/>
    <numFmt numFmtId="185" formatCode="&quot;20&quot;00&quot;년 &quot;00&quot;월 &quot;00&quot;일&quot;"/>
    <numFmt numFmtId="186" formatCode="00&quot;:&quot;00"/>
    <numFmt numFmtId="187" formatCode="#"/>
    <numFmt numFmtId="188" formatCode="#&quot;회 &quot;"/>
    <numFmt numFmtId="189" formatCode="mm&quot;월&quot;\ dd&quot;일&quot;"/>
    <numFmt numFmtId="190" formatCode="0.0_ "/>
    <numFmt numFmtId="191" formatCode="0.000_ "/>
    <numFmt numFmtId="192" formatCode="0.0\ \℃"/>
    <numFmt numFmtId="193" formatCode="yyyy&quot;년 &quot;mm&quot;월 &quot;dd&quot;일&quot;"/>
    <numFmt numFmtId="194" formatCode="&quot;시험결과 (규격:25-&quot;00&quot;-&quot;00&quot;0&quot;\)"/>
  </numFmts>
  <fonts count="23">
    <font>
      <sz val="11"/>
      <color theme="1"/>
      <name val="맑은 고딕"/>
      <family val="2"/>
      <charset val="129"/>
      <scheme val="minor"/>
    </font>
    <font>
      <sz val="9"/>
      <color rgb="FF000000"/>
      <name val="Malgun Gothic"/>
      <family val="3"/>
      <charset val="129"/>
    </font>
    <font>
      <sz val="11"/>
      <name val="돋움"/>
      <family val="3"/>
      <charset val="129"/>
    </font>
    <font>
      <b/>
      <sz val="20"/>
      <color theme="0"/>
      <name val="맑은 고딕"/>
      <family val="3"/>
      <charset val="129"/>
    </font>
    <font>
      <sz val="8"/>
      <name val="맑은 고딕"/>
      <family val="2"/>
      <charset val="129"/>
      <scheme val="minor"/>
    </font>
    <font>
      <sz val="8"/>
      <name val="돋움체"/>
      <family val="3"/>
      <charset val="129"/>
    </font>
    <font>
      <sz val="11"/>
      <name val="맑은 고딕"/>
      <family val="3"/>
      <charset val="129"/>
    </font>
    <font>
      <b/>
      <sz val="20"/>
      <name val="맑은 고딕"/>
      <family val="3"/>
      <charset val="129"/>
    </font>
    <font>
      <sz val="10"/>
      <name val="맑은 고딕"/>
      <family val="3"/>
      <charset val="129"/>
    </font>
    <font>
      <u/>
      <sz val="11"/>
      <color theme="10"/>
      <name val="맑은 고딕"/>
      <family val="2"/>
      <charset val="129"/>
      <scheme val="minor"/>
    </font>
    <font>
      <sz val="8"/>
      <name val="돋움"/>
      <family val="3"/>
      <charset val="129"/>
    </font>
    <font>
      <b/>
      <sz val="13"/>
      <name val="맑은 고딕"/>
      <family val="3"/>
      <charset val="129"/>
    </font>
    <font>
      <b/>
      <sz val="11"/>
      <name val="맑은 고딕"/>
      <family val="3"/>
      <charset val="129"/>
    </font>
    <font>
      <b/>
      <sz val="10"/>
      <name val="맑은 고딕"/>
      <family val="3"/>
      <charset val="129"/>
    </font>
    <font>
      <b/>
      <sz val="18"/>
      <name val="맑은 고딕"/>
      <family val="3"/>
      <charset val="129"/>
    </font>
    <font>
      <sz val="8"/>
      <name val="맑은 고딕"/>
      <family val="3"/>
      <charset val="129"/>
    </font>
    <font>
      <b/>
      <sz val="10"/>
      <color theme="0" tint="-0.499984740745262"/>
      <name val="맑은 고딕"/>
      <family val="3"/>
      <charset val="129"/>
    </font>
    <font>
      <sz val="11"/>
      <color rgb="FF000000"/>
      <name val="맑은 고딕"/>
      <family val="3"/>
      <charset val="129"/>
    </font>
    <font>
      <b/>
      <sz val="15"/>
      <color theme="1"/>
      <name val="맑은 고딕"/>
      <family val="3"/>
      <charset val="129"/>
      <scheme val="minor"/>
    </font>
    <font>
      <b/>
      <sz val="11"/>
      <color theme="1"/>
      <name val="맑은 고딕"/>
      <family val="3"/>
      <charset val="129"/>
      <scheme val="minor"/>
    </font>
    <font>
      <sz val="50"/>
      <color indexed="81"/>
      <name val="돋움"/>
      <family val="3"/>
      <charset val="129"/>
    </font>
    <font>
      <sz val="9"/>
      <color indexed="81"/>
      <name val="돋움"/>
      <family val="3"/>
      <charset val="129"/>
    </font>
    <font>
      <sz val="9"/>
      <color indexed="81"/>
      <name val="Tahoma"/>
      <family val="2"/>
    </font>
  </fonts>
  <fills count="5">
    <fill>
      <patternFill patternType="none"/>
    </fill>
    <fill>
      <patternFill patternType="gray125"/>
    </fill>
    <fill>
      <patternFill patternType="solid">
        <fgColor theme="3" tint="0.39994506668294322"/>
        <bgColor indexed="64"/>
      </patternFill>
    </fill>
    <fill>
      <patternFill patternType="solid">
        <fgColor theme="0" tint="-4.9989318521683403E-2"/>
        <bgColor indexed="64"/>
      </patternFill>
    </fill>
    <fill>
      <patternFill patternType="solid">
        <fgColor theme="0" tint="-0.14996795556505021"/>
        <bgColor indexed="64"/>
      </patternFill>
    </fill>
  </fills>
  <borders count="43">
    <border>
      <left/>
      <right/>
      <top/>
      <bottom/>
      <diagonal/>
    </border>
    <border>
      <left style="thin">
        <color theme="3" tint="0.39991454817346722"/>
      </left>
      <right style="thin">
        <color indexed="64"/>
      </right>
      <top style="thin">
        <color theme="3" tint="0.39991454817346722"/>
      </top>
      <bottom style="thin">
        <color theme="3" tint="0.39991454817346722"/>
      </bottom>
      <diagonal/>
    </border>
    <border>
      <left/>
      <right style="thin">
        <color indexed="64"/>
      </right>
      <top style="thin">
        <color theme="3" tint="0.39991454817346722"/>
      </top>
      <bottom style="thin">
        <color theme="3" tint="0.39991454817346722"/>
      </bottom>
      <diagonal/>
    </border>
    <border>
      <left style="thin">
        <color auto="1"/>
      </left>
      <right style="thin">
        <color auto="1"/>
      </right>
      <top style="thin">
        <color theme="3" tint="0.39991454817346722"/>
      </top>
      <bottom style="thin">
        <color theme="3" tint="0.39991454817346722"/>
      </bottom>
      <diagonal/>
    </border>
    <border>
      <left style="thin">
        <color indexed="64"/>
      </left>
      <right/>
      <top style="thin">
        <color theme="3" tint="0.39991454817346722"/>
      </top>
      <bottom style="thin">
        <color theme="3" tint="0.39991454817346722"/>
      </bottom>
      <diagonal/>
    </border>
    <border>
      <left style="thin">
        <color indexed="64"/>
      </left>
      <right style="thin">
        <color theme="3" tint="0.39991454817346722"/>
      </right>
      <top style="thin">
        <color theme="3" tint="0.39991454817346722"/>
      </top>
      <bottom style="thin">
        <color theme="3" tint="0.39991454817346722"/>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top/>
      <bottom/>
      <diagonal/>
    </border>
    <border>
      <left style="medium">
        <color auto="1"/>
      </left>
      <right style="medium">
        <color auto="1"/>
      </right>
      <top style="medium">
        <color auto="1"/>
      </top>
      <bottom style="medium">
        <color auto="1"/>
      </bottom>
      <diagonal/>
    </border>
    <border>
      <left style="double">
        <color auto="1"/>
      </left>
      <right/>
      <top style="thin">
        <color auto="1"/>
      </top>
      <bottom style="thin">
        <color auto="1"/>
      </bottom>
      <diagonal/>
    </border>
    <border>
      <left style="double">
        <color auto="1"/>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top style="thin">
        <color auto="1"/>
      </top>
      <bottom style="hair">
        <color auto="1"/>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top style="hair">
        <color auto="1"/>
      </top>
      <bottom style="hair">
        <color auto="1"/>
      </bottom>
      <diagonal/>
    </border>
    <border>
      <left style="double">
        <color auto="1"/>
      </left>
      <right/>
      <top/>
      <bottom/>
      <diagonal/>
    </border>
    <border>
      <left/>
      <right style="thin">
        <color indexed="64"/>
      </right>
      <top/>
      <bottom/>
      <diagonal/>
    </border>
    <border>
      <left style="thin">
        <color auto="1"/>
      </left>
      <right style="thin">
        <color auto="1"/>
      </right>
      <top style="hair">
        <color auto="1"/>
      </top>
      <bottom style="thin">
        <color auto="1"/>
      </bottom>
      <diagonal/>
    </border>
    <border>
      <left style="thin">
        <color auto="1"/>
      </left>
      <right/>
      <top style="hair">
        <color auto="1"/>
      </top>
      <bottom style="thin">
        <color auto="1"/>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hair">
        <color auto="1"/>
      </left>
      <right/>
      <top style="hair">
        <color auto="1"/>
      </top>
      <bottom style="hair">
        <color auto="1"/>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style="thin">
        <color indexed="64"/>
      </left>
      <right/>
      <top style="thin">
        <color indexed="64"/>
      </top>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auto="1"/>
      </left>
      <right/>
      <top style="hair">
        <color auto="1"/>
      </top>
      <bottom style="thin">
        <color auto="1"/>
      </bottom>
      <diagonal/>
    </border>
    <border>
      <left style="double">
        <color auto="1"/>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top/>
      <bottom style="thin">
        <color auto="1"/>
      </bottom>
      <diagonal/>
    </border>
  </borders>
  <cellStyleXfs count="3">
    <xf numFmtId="0" fontId="0" fillId="0" borderId="0">
      <alignment vertical="center"/>
    </xf>
    <xf numFmtId="0" fontId="2" fillId="0" borderId="0"/>
    <xf numFmtId="0" fontId="9" fillId="0" borderId="0" applyNumberFormat="0" applyFill="0" applyBorder="0" applyAlignment="0" applyProtection="0">
      <alignment vertical="center"/>
    </xf>
  </cellStyleXfs>
  <cellXfs count="176">
    <xf numFmtId="0" fontId="0" fillId="0" borderId="0" xfId="0">
      <alignment vertical="center"/>
    </xf>
    <xf numFmtId="0" fontId="6" fillId="0" borderId="0" xfId="1" applyFont="1"/>
    <xf numFmtId="0" fontId="6" fillId="0" borderId="0" xfId="1" applyFont="1" applyAlignment="1">
      <alignment horizontal="center"/>
    </xf>
    <xf numFmtId="176" fontId="6" fillId="0" borderId="0" xfId="1" applyNumberFormat="1" applyFont="1"/>
    <xf numFmtId="0" fontId="7" fillId="0" borderId="0" xfId="1" applyFont="1" applyBorder="1" applyAlignment="1">
      <alignment horizontal="center" vertical="center"/>
    </xf>
    <xf numFmtId="0" fontId="8" fillId="0" borderId="10" xfId="1" applyFont="1" applyBorder="1" applyAlignment="1">
      <alignment vertical="center"/>
    </xf>
    <xf numFmtId="0" fontId="8" fillId="0" borderId="0" xfId="1" applyFont="1" applyBorder="1" applyAlignment="1">
      <alignment vertical="center"/>
    </xf>
    <xf numFmtId="176" fontId="6" fillId="0" borderId="11" xfId="1" applyNumberFormat="1" applyFont="1" applyBorder="1" applyAlignment="1">
      <alignment horizontal="center" vertical="center"/>
    </xf>
    <xf numFmtId="0" fontId="9" fillId="0" borderId="11" xfId="2" applyBorder="1" applyAlignment="1">
      <alignment horizontal="center" vertical="center"/>
    </xf>
    <xf numFmtId="178" fontId="6" fillId="0" borderId="0" xfId="1" applyNumberFormat="1" applyFont="1" applyAlignment="1">
      <alignment horizontal="center" vertical="center"/>
    </xf>
    <xf numFmtId="179" fontId="6" fillId="0" borderId="0" xfId="1" applyNumberFormat="1" applyFont="1" applyAlignment="1">
      <alignment horizontal="center" vertical="center"/>
    </xf>
    <xf numFmtId="180" fontId="6" fillId="0" borderId="0" xfId="1" applyNumberFormat="1" applyFont="1" applyAlignment="1">
      <alignment horizontal="center" vertical="center"/>
    </xf>
    <xf numFmtId="181" fontId="6" fillId="0" borderId="0" xfId="1" applyNumberFormat="1" applyFont="1" applyAlignment="1">
      <alignment horizontal="center" vertical="center"/>
    </xf>
    <xf numFmtId="0" fontId="2" fillId="0" borderId="0" xfId="1" applyNumberFormat="1" applyFont="1" applyFill="1" applyBorder="1" applyAlignment="1" applyProtection="1">
      <alignment horizontal="center" vertical="center"/>
    </xf>
    <xf numFmtId="0" fontId="6" fillId="0" borderId="0" xfId="1" applyFont="1" applyAlignment="1">
      <alignment horizontal="center" vertical="center"/>
    </xf>
    <xf numFmtId="176" fontId="6" fillId="0" borderId="0" xfId="1" applyNumberFormat="1" applyFont="1" applyBorder="1" applyAlignment="1">
      <alignment horizontal="center"/>
    </xf>
    <xf numFmtId="184" fontId="6" fillId="0" borderId="0" xfId="1" applyNumberFormat="1" applyFont="1" applyAlignment="1">
      <alignment horizontal="center" vertical="center"/>
    </xf>
    <xf numFmtId="186" fontId="8" fillId="0" borderId="7" xfId="1" applyNumberFormat="1" applyFont="1" applyBorder="1" applyAlignment="1">
      <alignment horizontal="center" vertical="center"/>
    </xf>
    <xf numFmtId="184" fontId="8" fillId="0" borderId="8" xfId="1" applyNumberFormat="1" applyFont="1" applyBorder="1" applyAlignment="1">
      <alignment horizontal="center" vertical="center"/>
    </xf>
    <xf numFmtId="186" fontId="8" fillId="0" borderId="9" xfId="1" applyNumberFormat="1" applyFont="1" applyBorder="1" applyAlignment="1">
      <alignment horizontal="center" vertical="center"/>
    </xf>
    <xf numFmtId="0" fontId="9" fillId="0" borderId="0" xfId="2" applyAlignment="1"/>
    <xf numFmtId="14" fontId="6" fillId="0" borderId="0" xfId="1" applyNumberFormat="1" applyFont="1"/>
    <xf numFmtId="184" fontId="8" fillId="0" borderId="10" xfId="1" applyNumberFormat="1" applyFont="1" applyBorder="1" applyAlignment="1">
      <alignment horizontal="left" vertical="center" indent="1"/>
    </xf>
    <xf numFmtId="184" fontId="8" fillId="0" borderId="0" xfId="1" applyNumberFormat="1" applyFont="1" applyBorder="1" applyAlignment="1">
      <alignment horizontal="left" vertical="center" indent="1"/>
    </xf>
    <xf numFmtId="0" fontId="6" fillId="0" borderId="6" xfId="1" applyFont="1" applyBorder="1" applyAlignment="1">
      <alignment horizontal="center" vertical="center" wrapText="1"/>
    </xf>
    <xf numFmtId="0" fontId="6" fillId="0" borderId="6" xfId="1" applyFont="1" applyBorder="1" applyAlignment="1">
      <alignment horizontal="center" vertical="center"/>
    </xf>
    <xf numFmtId="184" fontId="6" fillId="0" borderId="6" xfId="1" applyNumberFormat="1" applyFont="1" applyBorder="1" applyAlignment="1">
      <alignment horizontal="center" vertical="center"/>
    </xf>
    <xf numFmtId="187" fontId="6" fillId="0" borderId="6" xfId="1" applyNumberFormat="1" applyFont="1" applyBorder="1" applyAlignment="1">
      <alignment horizontal="center" vertical="center"/>
    </xf>
    <xf numFmtId="181" fontId="6" fillId="0" borderId="6" xfId="1" applyNumberFormat="1" applyFont="1" applyBorder="1" applyAlignment="1">
      <alignment horizontal="center" vertical="center"/>
    </xf>
    <xf numFmtId="188" fontId="6" fillId="0" borderId="6" xfId="1" applyNumberFormat="1" applyFont="1" applyBorder="1" applyAlignment="1">
      <alignment horizontal="center" vertical="center"/>
    </xf>
    <xf numFmtId="184" fontId="8" fillId="0" borderId="10" xfId="1" applyNumberFormat="1" applyFont="1" applyBorder="1" applyAlignment="1">
      <alignment vertical="center"/>
    </xf>
    <xf numFmtId="184" fontId="8" fillId="0" borderId="0" xfId="1" applyNumberFormat="1" applyFont="1" applyBorder="1" applyAlignment="1">
      <alignment vertical="center"/>
    </xf>
    <xf numFmtId="0" fontId="14" fillId="0" borderId="0" xfId="1" applyFont="1" applyBorder="1" applyAlignment="1">
      <alignment vertical="center"/>
    </xf>
    <xf numFmtId="189" fontId="6" fillId="0" borderId="0" xfId="1" applyNumberFormat="1" applyFont="1"/>
    <xf numFmtId="0" fontId="15" fillId="0" borderId="0" xfId="1" applyFont="1"/>
    <xf numFmtId="0" fontId="6" fillId="0" borderId="10" xfId="1" applyFont="1" applyBorder="1" applyAlignment="1">
      <alignment horizontal="center" vertical="center"/>
    </xf>
    <xf numFmtId="0" fontId="6" fillId="0" borderId="0" xfId="1" applyFont="1" applyBorder="1" applyAlignment="1">
      <alignment horizontal="center" vertical="center"/>
    </xf>
    <xf numFmtId="0" fontId="8" fillId="0" borderId="10" xfId="1" applyFont="1" applyBorder="1" applyAlignment="1">
      <alignment horizontal="left" vertical="center"/>
    </xf>
    <xf numFmtId="0" fontId="6" fillId="0" borderId="0" xfId="1" applyFont="1" applyBorder="1" applyAlignment="1">
      <alignment horizontal="left" vertical="center"/>
    </xf>
    <xf numFmtId="0" fontId="6" fillId="0" borderId="0" xfId="1" applyFont="1" applyAlignment="1">
      <alignment horizontal="left"/>
    </xf>
    <xf numFmtId="0" fontId="13" fillId="4" borderId="6" xfId="1" applyFont="1" applyFill="1" applyBorder="1" applyAlignment="1">
      <alignment horizontal="center" vertical="center"/>
    </xf>
    <xf numFmtId="0" fontId="16" fillId="0" borderId="9" xfId="1" applyFont="1" applyBorder="1" applyAlignment="1">
      <alignment horizontal="center" vertical="center"/>
    </xf>
    <xf numFmtId="0" fontId="13" fillId="0" borderId="6" xfId="1" applyFont="1" applyBorder="1" applyAlignment="1">
      <alignment horizontal="center" vertical="center" wrapText="1"/>
    </xf>
    <xf numFmtId="0" fontId="16" fillId="0" borderId="6" xfId="1" applyFont="1" applyBorder="1" applyAlignment="1">
      <alignment horizontal="center" vertical="center"/>
    </xf>
    <xf numFmtId="0" fontId="6" fillId="0" borderId="0" xfId="1" applyFont="1" applyBorder="1"/>
    <xf numFmtId="0" fontId="0" fillId="0" borderId="33" xfId="0" applyBorder="1">
      <alignment vertical="center"/>
    </xf>
    <xf numFmtId="0" fontId="0" fillId="0" borderId="14" xfId="0" applyBorder="1">
      <alignment vertical="center"/>
    </xf>
    <xf numFmtId="0" fontId="0" fillId="0" borderId="15" xfId="0" applyBorder="1">
      <alignment vertical="center"/>
    </xf>
    <xf numFmtId="0" fontId="0" fillId="0" borderId="10" xfId="0" applyBorder="1">
      <alignment vertical="center"/>
    </xf>
    <xf numFmtId="0" fontId="0" fillId="0" borderId="23" xfId="0" applyBorder="1">
      <alignment vertical="center"/>
    </xf>
    <xf numFmtId="189" fontId="0" fillId="0" borderId="0" xfId="0" applyNumberFormat="1">
      <alignment vertical="center"/>
    </xf>
    <xf numFmtId="0" fontId="0" fillId="0" borderId="42" xfId="0" applyBorder="1">
      <alignment vertical="center"/>
    </xf>
    <xf numFmtId="0" fontId="0" fillId="0" borderId="40" xfId="0" applyBorder="1">
      <alignment vertical="center"/>
    </xf>
    <xf numFmtId="0" fontId="0" fillId="0" borderId="41" xfId="0" applyBorder="1">
      <alignment vertical="center"/>
    </xf>
    <xf numFmtId="0" fontId="8" fillId="0" borderId="24" xfId="1" applyFont="1" applyBorder="1" applyAlignment="1">
      <alignment horizontal="distributed" vertical="center" indent="2"/>
    </xf>
    <xf numFmtId="0" fontId="8" fillId="0" borderId="36" xfId="1" applyFont="1" applyBorder="1" applyAlignment="1">
      <alignment horizontal="center" vertical="center"/>
    </xf>
    <xf numFmtId="0" fontId="8" fillId="0" borderId="37" xfId="1" applyFont="1" applyBorder="1" applyAlignment="1">
      <alignment horizontal="center" vertical="center"/>
    </xf>
    <xf numFmtId="0" fontId="8" fillId="0" borderId="38" xfId="1" applyFont="1" applyBorder="1" applyAlignment="1">
      <alignment horizontal="center" vertical="center"/>
    </xf>
    <xf numFmtId="0" fontId="13" fillId="0" borderId="7" xfId="1" applyFont="1" applyBorder="1" applyAlignment="1">
      <alignment horizontal="center" vertical="center"/>
    </xf>
    <xf numFmtId="0" fontId="13" fillId="0" borderId="8" xfId="1" applyFont="1" applyBorder="1" applyAlignment="1">
      <alignment horizontal="center" vertical="center"/>
    </xf>
    <xf numFmtId="0" fontId="8" fillId="0" borderId="19" xfId="1" applyFont="1" applyBorder="1" applyAlignment="1">
      <alignment horizontal="center" vertical="center"/>
    </xf>
    <xf numFmtId="192" fontId="8" fillId="0" borderId="19" xfId="1" applyNumberFormat="1" applyFont="1" applyBorder="1" applyAlignment="1">
      <alignment horizontal="center" vertical="center"/>
    </xf>
    <xf numFmtId="192" fontId="8" fillId="0" borderId="16" xfId="1" applyNumberFormat="1" applyFont="1" applyBorder="1" applyAlignment="1">
      <alignment horizontal="center" vertical="center"/>
    </xf>
    <xf numFmtId="0" fontId="8" fillId="0" borderId="20" xfId="1" applyFont="1" applyBorder="1" applyAlignment="1">
      <alignment horizontal="distributed" vertical="center" indent="2"/>
    </xf>
    <xf numFmtId="0" fontId="8" fillId="0" borderId="28" xfId="1" applyFont="1" applyBorder="1" applyAlignment="1">
      <alignment horizontal="center" vertical="center"/>
    </xf>
    <xf numFmtId="0" fontId="8" fillId="0" borderId="29" xfId="1" applyFont="1" applyBorder="1" applyAlignment="1">
      <alignment horizontal="center" vertical="center"/>
    </xf>
    <xf numFmtId="0" fontId="8" fillId="0" borderId="30" xfId="1" applyFont="1" applyBorder="1" applyAlignment="1">
      <alignment horizontal="center" vertical="center"/>
    </xf>
    <xf numFmtId="0" fontId="12" fillId="4" borderId="7" xfId="1" applyFont="1" applyFill="1" applyBorder="1" applyAlignment="1">
      <alignment horizontal="left" vertical="center"/>
    </xf>
    <xf numFmtId="0" fontId="12" fillId="4" borderId="8" xfId="1" applyFont="1" applyFill="1" applyBorder="1" applyAlignment="1">
      <alignment horizontal="left" vertical="center"/>
    </xf>
    <xf numFmtId="0" fontId="8" fillId="4" borderId="7" xfId="1" applyFont="1" applyFill="1" applyBorder="1" applyAlignment="1">
      <alignment horizontal="distributed" vertical="center" indent="2"/>
    </xf>
    <xf numFmtId="0" fontId="8" fillId="4" borderId="8" xfId="1" applyFont="1" applyFill="1" applyBorder="1" applyAlignment="1">
      <alignment horizontal="distributed" vertical="center" indent="2"/>
    </xf>
    <xf numFmtId="0" fontId="8" fillId="4" borderId="9" xfId="1" applyFont="1" applyFill="1" applyBorder="1" applyAlignment="1">
      <alignment horizontal="distributed" vertical="center" indent="2"/>
    </xf>
    <xf numFmtId="0" fontId="8" fillId="4" borderId="6" xfId="1" applyFont="1" applyFill="1" applyBorder="1" applyAlignment="1">
      <alignment horizontal="center" vertical="center"/>
    </xf>
    <xf numFmtId="0" fontId="8" fillId="4" borderId="7" xfId="1" applyFont="1" applyFill="1" applyBorder="1" applyAlignment="1">
      <alignment horizontal="center" vertical="center"/>
    </xf>
    <xf numFmtId="0" fontId="8" fillId="4" borderId="12" xfId="1" applyFont="1" applyFill="1" applyBorder="1" applyAlignment="1">
      <alignment horizontal="center" vertical="center" wrapText="1"/>
    </xf>
    <xf numFmtId="0" fontId="8" fillId="4" borderId="8" xfId="1" applyFont="1" applyFill="1" applyBorder="1" applyAlignment="1">
      <alignment horizontal="center" vertical="center" wrapText="1"/>
    </xf>
    <xf numFmtId="0" fontId="8" fillId="4" borderId="9" xfId="1" applyFont="1" applyFill="1" applyBorder="1" applyAlignment="1">
      <alignment horizontal="center" vertical="center" wrapText="1"/>
    </xf>
    <xf numFmtId="0" fontId="8" fillId="0" borderId="34" xfId="1" applyFont="1" applyBorder="1" applyAlignment="1">
      <alignment horizontal="center" vertical="center"/>
    </xf>
    <xf numFmtId="191" fontId="8" fillId="0" borderId="21" xfId="1" applyNumberFormat="1" applyFont="1" applyBorder="1" applyAlignment="1">
      <alignment horizontal="center" vertical="center"/>
    </xf>
    <xf numFmtId="191" fontId="8" fillId="0" borderId="35" xfId="1" applyNumberFormat="1" applyFont="1" applyBorder="1" applyAlignment="1">
      <alignment horizontal="center" vertical="center"/>
    </xf>
    <xf numFmtId="191" fontId="8" fillId="0" borderId="34" xfId="1" applyNumberFormat="1" applyFont="1" applyBorder="1" applyAlignment="1">
      <alignment horizontal="center" vertical="center"/>
    </xf>
    <xf numFmtId="0" fontId="8" fillId="0" borderId="22" xfId="1" applyFont="1" applyBorder="1" applyAlignment="1">
      <alignment horizontal="center" vertical="center" wrapText="1"/>
    </xf>
    <xf numFmtId="0" fontId="8" fillId="0" borderId="0" xfId="1" applyFont="1" applyBorder="1" applyAlignment="1">
      <alignment horizontal="center" vertical="center" wrapText="1"/>
    </xf>
    <xf numFmtId="0" fontId="8" fillId="0" borderId="23" xfId="1" applyFont="1" applyBorder="1" applyAlignment="1">
      <alignment horizontal="center" vertical="center" wrapText="1"/>
    </xf>
    <xf numFmtId="0" fontId="8" fillId="0" borderId="39" xfId="1" applyFont="1" applyBorder="1" applyAlignment="1">
      <alignment horizontal="center" vertical="center" wrapText="1"/>
    </xf>
    <xf numFmtId="0" fontId="8" fillId="0" borderId="40" xfId="1" applyFont="1" applyBorder="1" applyAlignment="1">
      <alignment horizontal="center" vertical="center" wrapText="1"/>
    </xf>
    <xf numFmtId="0" fontId="8" fillId="0" borderId="41" xfId="1" applyFont="1" applyBorder="1" applyAlignment="1">
      <alignment horizontal="center" vertical="center" wrapText="1"/>
    </xf>
    <xf numFmtId="0" fontId="8" fillId="4" borderId="33" xfId="1" applyFont="1" applyFill="1" applyBorder="1" applyAlignment="1">
      <alignment horizontal="distributed" vertical="center" indent="2"/>
    </xf>
    <xf numFmtId="0" fontId="8" fillId="4" borderId="14" xfId="1" applyFont="1" applyFill="1" applyBorder="1" applyAlignment="1">
      <alignment horizontal="distributed" vertical="center" indent="2"/>
    </xf>
    <xf numFmtId="0" fontId="8" fillId="4" borderId="15" xfId="1" applyFont="1" applyFill="1" applyBorder="1" applyAlignment="1">
      <alignment horizontal="distributed" vertical="center" indent="2"/>
    </xf>
    <xf numFmtId="0" fontId="8" fillId="0" borderId="26" xfId="1" applyFont="1" applyBorder="1" applyAlignment="1">
      <alignment horizontal="center" vertical="center"/>
    </xf>
    <xf numFmtId="0" fontId="8" fillId="0" borderId="17" xfId="1" applyFont="1" applyBorder="1" applyAlignment="1">
      <alignment horizontal="center" vertical="center"/>
    </xf>
    <xf numFmtId="0" fontId="8" fillId="0" borderId="27" xfId="1" applyFont="1" applyBorder="1" applyAlignment="1">
      <alignment horizontal="center" vertical="center"/>
    </xf>
    <xf numFmtId="0" fontId="8" fillId="0" borderId="16" xfId="1" applyFont="1" applyBorder="1" applyAlignment="1">
      <alignment horizontal="center" vertical="center"/>
    </xf>
    <xf numFmtId="0" fontId="8" fillId="0" borderId="18" xfId="1" applyFont="1" applyBorder="1" applyAlignment="1">
      <alignment horizontal="center" vertical="center"/>
    </xf>
    <xf numFmtId="0" fontId="8" fillId="0" borderId="28" xfId="1" applyFont="1" applyBorder="1" applyAlignment="1">
      <alignment horizontal="center" vertical="center" shrinkToFit="1"/>
    </xf>
    <xf numFmtId="0" fontId="8" fillId="0" borderId="29" xfId="1" applyFont="1" applyBorder="1" applyAlignment="1">
      <alignment horizontal="center" vertical="center" shrinkToFit="1"/>
    </xf>
    <xf numFmtId="0" fontId="8" fillId="0" borderId="30" xfId="1" applyFont="1" applyBorder="1" applyAlignment="1">
      <alignment horizontal="center" vertical="center" shrinkToFit="1"/>
    </xf>
    <xf numFmtId="190" fontId="8" fillId="0" borderId="31" xfId="1" applyNumberFormat="1" applyFont="1" applyBorder="1" applyAlignment="1">
      <alignment horizontal="center" vertical="center"/>
    </xf>
    <xf numFmtId="190" fontId="8" fillId="0" borderId="32" xfId="1" applyNumberFormat="1" applyFont="1" applyBorder="1" applyAlignment="1">
      <alignment horizontal="center" vertical="center"/>
    </xf>
    <xf numFmtId="190" fontId="8" fillId="0" borderId="19" xfId="1" applyNumberFormat="1" applyFont="1" applyBorder="1" applyAlignment="1">
      <alignment horizontal="center" vertical="center"/>
    </xf>
    <xf numFmtId="190" fontId="8" fillId="0" borderId="16" xfId="1" applyNumberFormat="1" applyFont="1" applyBorder="1" applyAlignment="1">
      <alignment horizontal="center" vertical="center"/>
    </xf>
    <xf numFmtId="0" fontId="8" fillId="0" borderId="20" xfId="1" applyFont="1" applyBorder="1" applyAlignment="1">
      <alignment horizontal="center" vertical="center"/>
    </xf>
    <xf numFmtId="0" fontId="8" fillId="0" borderId="21" xfId="1" applyFont="1" applyBorder="1" applyAlignment="1">
      <alignment horizontal="center" vertical="center"/>
    </xf>
    <xf numFmtId="0" fontId="8" fillId="0" borderId="24" xfId="1" applyFont="1" applyBorder="1" applyAlignment="1">
      <alignment horizontal="center" vertical="center"/>
    </xf>
    <xf numFmtId="0" fontId="8" fillId="0" borderId="25" xfId="1" applyFont="1" applyBorder="1" applyAlignment="1">
      <alignment horizontal="center" vertical="center"/>
    </xf>
    <xf numFmtId="190" fontId="8" fillId="0" borderId="20" xfId="1" applyNumberFormat="1" applyFont="1" applyBorder="1" applyAlignment="1">
      <alignment horizontal="center" vertical="center"/>
    </xf>
    <xf numFmtId="190" fontId="8" fillId="0" borderId="21" xfId="1" applyNumberFormat="1" applyFont="1" applyBorder="1" applyAlignment="1">
      <alignment horizontal="center" vertical="center"/>
    </xf>
    <xf numFmtId="0" fontId="13" fillId="4" borderId="13" xfId="1" applyFont="1" applyFill="1" applyBorder="1" applyAlignment="1">
      <alignment horizontal="center" vertical="center" wrapText="1"/>
    </xf>
    <xf numFmtId="0" fontId="8" fillId="4" borderId="14" xfId="1" applyFont="1" applyFill="1" applyBorder="1" applyAlignment="1">
      <alignment horizontal="center" vertical="center" wrapText="1"/>
    </xf>
    <xf numFmtId="0" fontId="8" fillId="4" borderId="15" xfId="1" applyFont="1" applyFill="1" applyBorder="1" applyAlignment="1">
      <alignment horizontal="center" vertical="center" wrapText="1"/>
    </xf>
    <xf numFmtId="0" fontId="8" fillId="0" borderId="16" xfId="1" applyFont="1" applyBorder="1" applyAlignment="1">
      <alignment horizontal="distributed" vertical="center" indent="2"/>
    </xf>
    <xf numFmtId="0" fontId="8" fillId="0" borderId="17" xfId="1" applyFont="1" applyBorder="1" applyAlignment="1">
      <alignment horizontal="distributed" vertical="center" indent="2"/>
    </xf>
    <xf numFmtId="0" fontId="8" fillId="0" borderId="18" xfId="1" applyFont="1" applyBorder="1" applyAlignment="1">
      <alignment horizontal="distributed" vertical="center" indent="2"/>
    </xf>
    <xf numFmtId="0" fontId="8" fillId="0" borderId="13" xfId="1" applyFont="1" applyBorder="1" applyAlignment="1">
      <alignment horizontal="center" vertical="center" wrapText="1"/>
    </xf>
    <xf numFmtId="0" fontId="8" fillId="0" borderId="14" xfId="1" applyFont="1" applyBorder="1" applyAlignment="1">
      <alignment horizontal="center" vertical="center" wrapText="1"/>
    </xf>
    <xf numFmtId="0" fontId="8" fillId="0" borderId="15" xfId="1" applyFont="1" applyBorder="1" applyAlignment="1">
      <alignment horizontal="center" vertical="center" wrapText="1"/>
    </xf>
    <xf numFmtId="0" fontId="8" fillId="0" borderId="10" xfId="1" applyFont="1" applyBorder="1" applyAlignment="1">
      <alignment horizontal="center" vertical="center"/>
    </xf>
    <xf numFmtId="0" fontId="8" fillId="0" borderId="0" xfId="1" applyFont="1" applyBorder="1" applyAlignment="1">
      <alignment horizontal="center" vertical="center"/>
    </xf>
    <xf numFmtId="0" fontId="8" fillId="0" borderId="8" xfId="1" applyFont="1" applyBorder="1" applyAlignment="1">
      <alignment horizontal="center" vertical="center"/>
    </xf>
    <xf numFmtId="0" fontId="11" fillId="3" borderId="7" xfId="1" applyFont="1" applyFill="1" applyBorder="1" applyAlignment="1">
      <alignment horizontal="center" vertical="center"/>
    </xf>
    <xf numFmtId="0" fontId="11" fillId="3" borderId="8" xfId="1" applyFont="1" applyFill="1" applyBorder="1" applyAlignment="1">
      <alignment horizontal="center" vertical="center"/>
    </xf>
    <xf numFmtId="0" fontId="11" fillId="3" borderId="9" xfId="1" applyFont="1" applyFill="1" applyBorder="1" applyAlignment="1">
      <alignment horizontal="center" vertical="center"/>
    </xf>
    <xf numFmtId="0" fontId="12" fillId="4" borderId="12" xfId="1" applyFont="1" applyFill="1" applyBorder="1" applyAlignment="1">
      <alignment horizontal="center" vertical="center"/>
    </xf>
    <xf numFmtId="0" fontId="12" fillId="4" borderId="8" xfId="1" applyFont="1" applyFill="1" applyBorder="1" applyAlignment="1">
      <alignment horizontal="center" vertical="center"/>
    </xf>
    <xf numFmtId="0" fontId="12" fillId="4" borderId="9" xfId="1" applyFont="1" applyFill="1" applyBorder="1" applyAlignment="1">
      <alignment horizontal="center" vertical="center"/>
    </xf>
    <xf numFmtId="184" fontId="8" fillId="0" borderId="10" xfId="1" applyNumberFormat="1" applyFont="1" applyBorder="1" applyAlignment="1">
      <alignment horizontal="left" vertical="center" indent="1"/>
    </xf>
    <xf numFmtId="184" fontId="8" fillId="0" borderId="0" xfId="1" applyNumberFormat="1" applyFont="1" applyBorder="1" applyAlignment="1">
      <alignment horizontal="left" vertical="center" indent="1"/>
    </xf>
    <xf numFmtId="0" fontId="8" fillId="0" borderId="6" xfId="1" applyFont="1" applyBorder="1" applyAlignment="1">
      <alignment horizontal="distributed" vertical="center" indent="2"/>
    </xf>
    <xf numFmtId="0" fontId="8" fillId="0" borderId="7" xfId="1" applyFont="1" applyBorder="1" applyAlignment="1">
      <alignment horizontal="distributed" vertical="center" indent="2"/>
    </xf>
    <xf numFmtId="0" fontId="8" fillId="0" borderId="8" xfId="1" applyFont="1" applyBorder="1" applyAlignment="1">
      <alignment horizontal="distributed" vertical="center" indent="2"/>
    </xf>
    <xf numFmtId="0" fontId="8" fillId="0" borderId="9" xfId="1" applyFont="1" applyBorder="1" applyAlignment="1">
      <alignment horizontal="distributed" vertical="center" indent="2"/>
    </xf>
    <xf numFmtId="0" fontId="3" fillId="2" borderId="1" xfId="1" applyFont="1" applyFill="1" applyBorder="1" applyAlignment="1">
      <alignment horizontal="center" vertical="center"/>
    </xf>
    <xf numFmtId="0" fontId="3" fillId="2" borderId="2" xfId="1" applyFont="1" applyFill="1" applyBorder="1" applyAlignment="1">
      <alignment horizontal="center" vertical="center"/>
    </xf>
    <xf numFmtId="0" fontId="3" fillId="2" borderId="3" xfId="1" applyFont="1" applyFill="1" applyBorder="1" applyAlignment="1">
      <alignment horizontal="center" vertical="center"/>
    </xf>
    <xf numFmtId="0" fontId="3" fillId="2" borderId="4" xfId="1" applyFont="1" applyFill="1" applyBorder="1" applyAlignment="1">
      <alignment horizontal="center" vertical="center"/>
    </xf>
    <xf numFmtId="0" fontId="3" fillId="2" borderId="5" xfId="1" applyFont="1" applyFill="1" applyBorder="1" applyAlignment="1">
      <alignment horizontal="center" vertical="center"/>
    </xf>
    <xf numFmtId="0" fontId="8" fillId="0" borderId="7" xfId="1" applyFont="1" applyBorder="1" applyAlignment="1">
      <alignment horizontal="center" vertical="center"/>
    </xf>
    <xf numFmtId="0" fontId="8" fillId="0" borderId="9" xfId="1" applyFont="1" applyBorder="1" applyAlignment="1">
      <alignment horizontal="center" vertical="center"/>
    </xf>
    <xf numFmtId="177" fontId="8" fillId="0" borderId="7" xfId="1" applyNumberFormat="1" applyFont="1" applyBorder="1" applyAlignment="1">
      <alignment horizontal="center" vertical="center"/>
    </xf>
    <xf numFmtId="177" fontId="8" fillId="0" borderId="8" xfId="1" applyNumberFormat="1" applyFont="1" applyBorder="1" applyAlignment="1">
      <alignment horizontal="center" vertical="center"/>
    </xf>
    <xf numFmtId="177" fontId="8" fillId="0" borderId="9" xfId="1" applyNumberFormat="1" applyFont="1" applyBorder="1" applyAlignment="1">
      <alignment horizontal="center" vertical="center"/>
    </xf>
    <xf numFmtId="0" fontId="8" fillId="0" borderId="6" xfId="1" applyFont="1" applyBorder="1" applyAlignment="1">
      <alignment horizontal="distributed" vertical="center" wrapText="1" indent="2"/>
    </xf>
    <xf numFmtId="183" fontId="6" fillId="0" borderId="7" xfId="1" applyNumberFormat="1" applyFont="1" applyBorder="1" applyAlignment="1">
      <alignment horizontal="center" vertical="center"/>
    </xf>
    <xf numFmtId="183" fontId="6" fillId="0" borderId="8" xfId="1" applyNumberFormat="1" applyFont="1" applyBorder="1" applyAlignment="1">
      <alignment horizontal="center" vertical="center"/>
    </xf>
    <xf numFmtId="183" fontId="6" fillId="0" borderId="9" xfId="1" applyNumberFormat="1" applyFont="1" applyBorder="1" applyAlignment="1">
      <alignment horizontal="center" vertical="center"/>
    </xf>
    <xf numFmtId="0" fontId="0" fillId="0" borderId="0" xfId="0" applyBorder="1" applyAlignment="1">
      <alignment horizontal="center" vertical="center"/>
    </xf>
    <xf numFmtId="194" fontId="19" fillId="3" borderId="6" xfId="0" applyNumberFormat="1" applyFont="1" applyFill="1" applyBorder="1" applyAlignment="1">
      <alignment horizontal="center" vertical="center"/>
    </xf>
    <xf numFmtId="193" fontId="19" fillId="3" borderId="6" xfId="0" applyNumberFormat="1" applyFont="1" applyFill="1" applyBorder="1" applyAlignment="1">
      <alignment horizontal="center" vertical="center"/>
    </xf>
    <xf numFmtId="0" fontId="18" fillId="3" borderId="7" xfId="0" applyFont="1" applyFill="1" applyBorder="1" applyAlignment="1">
      <alignment horizontal="center" vertical="center" wrapText="1"/>
    </xf>
    <xf numFmtId="0" fontId="18" fillId="3" borderId="8" xfId="0" applyFont="1" applyFill="1" applyBorder="1" applyAlignment="1">
      <alignment horizontal="center" vertical="center"/>
    </xf>
    <xf numFmtId="0" fontId="18" fillId="3" borderId="9" xfId="0" applyFont="1" applyFill="1" applyBorder="1" applyAlignment="1">
      <alignment horizontal="center" vertical="center"/>
    </xf>
    <xf numFmtId="176" fontId="0" fillId="0" borderId="0" xfId="0" applyNumberFormat="1" applyFill="1" applyAlignment="1">
      <alignment horizontal="center" vertical="center"/>
    </xf>
    <xf numFmtId="0" fontId="9" fillId="0" borderId="0" xfId="2" applyAlignment="1">
      <alignment horizontal="center" vertical="center"/>
    </xf>
    <xf numFmtId="0" fontId="0" fillId="0" borderId="0" xfId="0" applyAlignment="1">
      <alignment horizontal="center" vertical="center"/>
    </xf>
    <xf numFmtId="0" fontId="19" fillId="3" borderId="6" xfId="0" applyFont="1" applyFill="1" applyBorder="1" applyAlignment="1">
      <alignment horizontal="center" vertical="center"/>
    </xf>
    <xf numFmtId="193" fontId="19" fillId="3" borderId="7" xfId="0" applyNumberFormat="1" applyFont="1" applyFill="1" applyBorder="1" applyAlignment="1">
      <alignment horizontal="center" vertical="center"/>
    </xf>
    <xf numFmtId="193" fontId="19" fillId="3" borderId="8" xfId="0" applyNumberFormat="1" applyFont="1" applyFill="1" applyBorder="1" applyAlignment="1">
      <alignment horizontal="center" vertical="center"/>
    </xf>
    <xf numFmtId="193" fontId="19" fillId="3" borderId="9" xfId="0" applyNumberFormat="1" applyFont="1" applyFill="1" applyBorder="1" applyAlignment="1">
      <alignment horizontal="center" vertical="center"/>
    </xf>
    <xf numFmtId="182" fontId="8" fillId="0" borderId="7" xfId="1" applyNumberFormat="1" applyFont="1" applyFill="1" applyBorder="1" applyAlignment="1">
      <alignment horizontal="center" vertical="center"/>
    </xf>
    <xf numFmtId="182" fontId="8" fillId="0" borderId="8" xfId="1" applyNumberFormat="1" applyFont="1" applyFill="1" applyBorder="1" applyAlignment="1">
      <alignment horizontal="center" vertical="center"/>
    </xf>
    <xf numFmtId="182" fontId="8" fillId="0" borderId="9" xfId="1" applyNumberFormat="1" applyFont="1" applyFill="1" applyBorder="1" applyAlignment="1">
      <alignment horizontal="center" vertical="center"/>
    </xf>
    <xf numFmtId="185" fontId="8" fillId="0" borderId="7" xfId="1" applyNumberFormat="1" applyFont="1" applyFill="1" applyBorder="1" applyAlignment="1">
      <alignment horizontal="center" vertical="center"/>
    </xf>
    <xf numFmtId="185" fontId="8" fillId="0" borderId="8" xfId="1" applyNumberFormat="1" applyFont="1" applyFill="1" applyBorder="1" applyAlignment="1">
      <alignment horizontal="center" vertical="center"/>
    </xf>
    <xf numFmtId="185" fontId="8" fillId="0" borderId="9" xfId="1" applyNumberFormat="1" applyFont="1" applyFill="1" applyBorder="1" applyAlignment="1">
      <alignment horizontal="center" vertical="center"/>
    </xf>
    <xf numFmtId="0" fontId="8" fillId="0" borderId="7" xfId="1" applyFont="1" applyFill="1" applyBorder="1" applyAlignment="1">
      <alignment horizontal="center" vertical="center" shrinkToFit="1"/>
    </xf>
    <xf numFmtId="0" fontId="8" fillId="0" borderId="8" xfId="1" applyFont="1" applyFill="1" applyBorder="1" applyAlignment="1">
      <alignment horizontal="center" vertical="center" shrinkToFit="1"/>
    </xf>
    <xf numFmtId="0" fontId="8" fillId="0" borderId="9" xfId="1" applyFont="1" applyFill="1" applyBorder="1" applyAlignment="1">
      <alignment horizontal="center" vertical="center" shrinkToFit="1"/>
    </xf>
    <xf numFmtId="0" fontId="8" fillId="0" borderId="19" xfId="1" applyFont="1" applyFill="1" applyBorder="1" applyAlignment="1">
      <alignment horizontal="center" vertical="center"/>
    </xf>
    <xf numFmtId="190" fontId="8" fillId="0" borderId="19" xfId="1" applyNumberFormat="1" applyFont="1" applyFill="1" applyBorder="1" applyAlignment="1">
      <alignment horizontal="center" vertical="center"/>
    </xf>
    <xf numFmtId="191" fontId="8" fillId="0" borderId="21" xfId="1" applyNumberFormat="1" applyFont="1" applyFill="1" applyBorder="1" applyAlignment="1">
      <alignment horizontal="center" vertical="center"/>
    </xf>
    <xf numFmtId="191" fontId="8" fillId="0" borderId="35" xfId="1" applyNumberFormat="1" applyFont="1" applyFill="1" applyBorder="1" applyAlignment="1">
      <alignment horizontal="center" vertical="center"/>
    </xf>
    <xf numFmtId="192" fontId="8" fillId="0" borderId="19" xfId="1" applyNumberFormat="1" applyFont="1" applyFill="1" applyBorder="1" applyAlignment="1">
      <alignment horizontal="center" vertical="center"/>
    </xf>
    <xf numFmtId="184" fontId="8" fillId="0" borderId="7" xfId="1" applyNumberFormat="1" applyFont="1" applyFill="1" applyBorder="1" applyAlignment="1">
      <alignment horizontal="center" vertical="center"/>
    </xf>
    <xf numFmtId="184" fontId="8" fillId="0" borderId="8" xfId="1" applyNumberFormat="1" applyFont="1" applyFill="1" applyBorder="1" applyAlignment="1">
      <alignment horizontal="center" vertical="center"/>
    </xf>
    <xf numFmtId="184" fontId="8" fillId="0" borderId="9" xfId="1" applyNumberFormat="1" applyFont="1" applyFill="1" applyBorder="1" applyAlignment="1">
      <alignment horizontal="center" vertical="center"/>
    </xf>
  </cellXfs>
  <cellStyles count="3">
    <cellStyle name="표준" xfId="0" builtinId="0"/>
    <cellStyle name="표준 2" xfId="1" xr:uid="{9A981C52-4304-4EBF-910F-C8D45106D60E}"/>
    <cellStyle name="하이퍼링크"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externalLink" Target="externalLinks/externalLink37.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42" Type="http://schemas.openxmlformats.org/officeDocument/2006/relationships/externalLink" Target="externalLinks/externalLink40.xml"/><Relationship Id="rId47" Type="http://schemas.openxmlformats.org/officeDocument/2006/relationships/externalLink" Target="externalLinks/externalLink45.xml"/><Relationship Id="rId50" Type="http://schemas.openxmlformats.org/officeDocument/2006/relationships/sharedStrings" Target="sharedStrings.xml"/><Relationship Id="rId7"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externalLink" Target="externalLinks/externalLink14.xml"/><Relationship Id="rId29" Type="http://schemas.openxmlformats.org/officeDocument/2006/relationships/externalLink" Target="externalLinks/externalLink27.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externalLink" Target="externalLinks/externalLink38.xml"/><Relationship Id="rId45" Type="http://schemas.openxmlformats.org/officeDocument/2006/relationships/externalLink" Target="externalLinks/externalLink43.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49" Type="http://schemas.openxmlformats.org/officeDocument/2006/relationships/styles" Target="styles.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4" Type="http://schemas.openxmlformats.org/officeDocument/2006/relationships/externalLink" Target="externalLinks/externalLink42.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externalLink" Target="externalLinks/externalLink41.xml"/><Relationship Id="rId48" Type="http://schemas.openxmlformats.org/officeDocument/2006/relationships/theme" Target="theme/theme1.xml"/><Relationship Id="rId8" Type="http://schemas.openxmlformats.org/officeDocument/2006/relationships/externalLink" Target="externalLinks/externalLink6.xml"/><Relationship Id="rId51" Type="http://schemas.openxmlformats.org/officeDocument/2006/relationships/calcChain" Target="calcChain.xml"/><Relationship Id="rId3" Type="http://schemas.openxmlformats.org/officeDocument/2006/relationships/externalLink" Target="externalLinks/externalLink1.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46" Type="http://schemas.openxmlformats.org/officeDocument/2006/relationships/externalLink" Target="externalLinks/externalLink44.xml"/><Relationship Id="rId20" Type="http://schemas.openxmlformats.org/officeDocument/2006/relationships/externalLink" Target="externalLinks/externalLink18.xml"/><Relationship Id="rId41" Type="http://schemas.openxmlformats.org/officeDocument/2006/relationships/externalLink" Target="externalLinks/externalLink39.xml"/><Relationship Id="rId1" Type="http://schemas.openxmlformats.org/officeDocument/2006/relationships/worksheet" Target="worksheets/sheet1.xml"/><Relationship Id="rId6" Type="http://schemas.openxmlformats.org/officeDocument/2006/relationships/externalLink" Target="externalLinks/externalLink4.xml"/></Relationships>
</file>

<file path=xl/ctrlProps/ctrlProp1.xml><?xml version="1.0" encoding="utf-8"?>
<formControlPr xmlns="http://schemas.microsoft.com/office/spreadsheetml/2009/9/main" objectType="Spin" dx="22" fmlaLink="$W$9" max="12" min="1" page="10" val="12"/>
</file>

<file path=xl/ctrlProps/ctrlProp2.xml><?xml version="1.0" encoding="utf-8"?>
<formControlPr xmlns="http://schemas.microsoft.com/office/spreadsheetml/2009/9/main" objectType="Spin" dx="22" fmlaLink="$X$9" max="31" min="1" page="10" val="5"/>
</file>

<file path=xl/ctrlProps/ctrlProp3.xml><?xml version="1.0" encoding="utf-8"?>
<formControlPr xmlns="http://schemas.microsoft.com/office/spreadsheetml/2009/9/main" objectType="Radio" checked="Checked" firstButton="1" fmlaLink="$AD$4"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Radio" lockText="1" noThreeD="1"/>
</file>

<file path=xl/ctrlProps/ctrlProp7.xml><?xml version="1.0" encoding="utf-8"?>
<formControlPr xmlns="http://schemas.microsoft.com/office/spreadsheetml/2009/9/main" objectType="Radio" lockText="1" noThreeD="1"/>
</file>

<file path=xl/ctrlProps/ctrlProp8.xml><?xml version="1.0" encoding="utf-8"?>
<formControlPr xmlns="http://schemas.microsoft.com/office/spreadsheetml/2009/9/main" objectType="Radio" lockText="1" noThreeD="1"/>
</file>

<file path=xl/ctrlProps/ctrlProp9.xml><?xml version="1.0" encoding="utf-8"?>
<formControlPr xmlns="http://schemas.microsoft.com/office/spreadsheetml/2009/9/main" objectType="Radio" lockText="1" noThreeD="1"/>
</file>

<file path=xl/ctrlProps/ctrlProp10.xml><?xml version="1.0" encoding="utf-8"?>
<formControlPr xmlns="http://schemas.microsoft.com/office/spreadsheetml/2009/9/main" objectType="Radio" lockText="1" noThreeD="1"/>
</file>

<file path=xl/ctrlProps/ctrlProp11.xml><?xml version="1.0" encoding="utf-8"?>
<formControlPr xmlns="http://schemas.microsoft.com/office/spreadsheetml/2009/9/main" objectType="Radio" lockText="1" noThreeD="1"/>
</file>

<file path=xl/ctrlProps/ctrlProp12.xml><?xml version="1.0" encoding="utf-8"?>
<formControlPr xmlns="http://schemas.microsoft.com/office/spreadsheetml/2009/9/main" objectType="Radio" lockText="1" noThreeD="1"/>
</file>

<file path=xl/ctrlProps/ctrlProp13.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737153</xdr:colOff>
      <xdr:row>37</xdr:row>
      <xdr:rowOff>8282</xdr:rowOff>
    </xdr:from>
    <xdr:to>
      <xdr:col>14</xdr:col>
      <xdr:colOff>28659</xdr:colOff>
      <xdr:row>39</xdr:row>
      <xdr:rowOff>23282</xdr:rowOff>
    </xdr:to>
    <xdr:pic>
      <xdr:nvPicPr>
        <xdr:cNvPr id="2" name="그림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90428" y="11562107"/>
          <a:ext cx="1044106" cy="396000"/>
        </a:xfrm>
        <a:prstGeom prst="rect">
          <a:avLst/>
        </a:prstGeom>
      </xdr:spPr>
    </xdr:pic>
    <xdr:clientData/>
  </xdr:twoCellAnchor>
  <mc:AlternateContent xmlns:mc="http://schemas.openxmlformats.org/markup-compatibility/2006">
    <mc:Choice xmlns:a14="http://schemas.microsoft.com/office/drawing/2010/main" Requires="a14">
      <xdr:twoCellAnchor>
        <xdr:from>
          <xdr:col>22</xdr:col>
          <xdr:colOff>0</xdr:colOff>
          <xdr:row>9</xdr:row>
          <xdr:rowOff>28575</xdr:rowOff>
        </xdr:from>
        <xdr:to>
          <xdr:col>23</xdr:col>
          <xdr:colOff>0</xdr:colOff>
          <xdr:row>13</xdr:row>
          <xdr:rowOff>0</xdr:rowOff>
        </xdr:to>
        <xdr:sp macro="" textlink="">
          <xdr:nvSpPr>
            <xdr:cNvPr id="1025" name="Spinner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23</xdr:col>
          <xdr:colOff>0</xdr:colOff>
          <xdr:row>9</xdr:row>
          <xdr:rowOff>28575</xdr:rowOff>
        </xdr:from>
        <xdr:to>
          <xdr:col>24</xdr:col>
          <xdr:colOff>0</xdr:colOff>
          <xdr:row>13</xdr:row>
          <xdr:rowOff>0</xdr:rowOff>
        </xdr:to>
        <xdr:sp macro="" textlink="">
          <xdr:nvSpPr>
            <xdr:cNvPr id="1026" name="Spinner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0</xdr:colOff>
          <xdr:row>9</xdr:row>
          <xdr:rowOff>0</xdr:rowOff>
        </xdr:from>
        <xdr:to>
          <xdr:col>25</xdr:col>
          <xdr:colOff>0</xdr:colOff>
          <xdr:row>10</xdr:row>
          <xdr:rowOff>0</xdr:rowOff>
        </xdr:to>
        <xdr:sp macro="" textlink="">
          <xdr:nvSpPr>
            <xdr:cNvPr id="1027" name="Option Button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0</xdr:colOff>
          <xdr:row>10</xdr:row>
          <xdr:rowOff>0</xdr:rowOff>
        </xdr:from>
        <xdr:to>
          <xdr:col>25</xdr:col>
          <xdr:colOff>0</xdr:colOff>
          <xdr:row>11</xdr:row>
          <xdr:rowOff>0</xdr:rowOff>
        </xdr:to>
        <xdr:sp macro="" textlink="">
          <xdr:nvSpPr>
            <xdr:cNvPr id="1028" name="Option Button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0</xdr:colOff>
          <xdr:row>11</xdr:row>
          <xdr:rowOff>0</xdr:rowOff>
        </xdr:from>
        <xdr:to>
          <xdr:col>25</xdr:col>
          <xdr:colOff>0</xdr:colOff>
          <xdr:row>12</xdr:row>
          <xdr:rowOff>0</xdr:rowOff>
        </xdr:to>
        <xdr:sp macro="" textlink="">
          <xdr:nvSpPr>
            <xdr:cNvPr id="1029" name="Option Button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0</xdr:colOff>
          <xdr:row>12</xdr:row>
          <xdr:rowOff>0</xdr:rowOff>
        </xdr:from>
        <xdr:to>
          <xdr:col>25</xdr:col>
          <xdr:colOff>0</xdr:colOff>
          <xdr:row>13</xdr:row>
          <xdr:rowOff>0</xdr:rowOff>
        </xdr:to>
        <xdr:sp macro="" textlink="">
          <xdr:nvSpPr>
            <xdr:cNvPr id="1030" name="Option Button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0</xdr:colOff>
          <xdr:row>13</xdr:row>
          <xdr:rowOff>0</xdr:rowOff>
        </xdr:from>
        <xdr:to>
          <xdr:col>25</xdr:col>
          <xdr:colOff>0</xdr:colOff>
          <xdr:row>14</xdr:row>
          <xdr:rowOff>0</xdr:rowOff>
        </xdr:to>
        <xdr:sp macro="" textlink="">
          <xdr:nvSpPr>
            <xdr:cNvPr id="1031" name="Option Button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0</xdr:colOff>
          <xdr:row>14</xdr:row>
          <xdr:rowOff>0</xdr:rowOff>
        </xdr:from>
        <xdr:to>
          <xdr:col>25</xdr:col>
          <xdr:colOff>0</xdr:colOff>
          <xdr:row>15</xdr:row>
          <xdr:rowOff>0</xdr:rowOff>
        </xdr:to>
        <xdr:sp macro="" textlink="">
          <xdr:nvSpPr>
            <xdr:cNvPr id="1032" name="Option Button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0</xdr:colOff>
          <xdr:row>15</xdr:row>
          <xdr:rowOff>0</xdr:rowOff>
        </xdr:from>
        <xdr:to>
          <xdr:col>25</xdr:col>
          <xdr:colOff>0</xdr:colOff>
          <xdr:row>16</xdr:row>
          <xdr:rowOff>0</xdr:rowOff>
        </xdr:to>
        <xdr:sp macro="" textlink="">
          <xdr:nvSpPr>
            <xdr:cNvPr id="1033" name="Option Button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0</xdr:colOff>
          <xdr:row>16</xdr:row>
          <xdr:rowOff>0</xdr:rowOff>
        </xdr:from>
        <xdr:to>
          <xdr:col>25</xdr:col>
          <xdr:colOff>0</xdr:colOff>
          <xdr:row>17</xdr:row>
          <xdr:rowOff>0</xdr:rowOff>
        </xdr:to>
        <xdr:sp macro="" textlink="">
          <xdr:nvSpPr>
            <xdr:cNvPr id="1034" name="Option Button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0</xdr:colOff>
          <xdr:row>17</xdr:row>
          <xdr:rowOff>0</xdr:rowOff>
        </xdr:from>
        <xdr:to>
          <xdr:col>25</xdr:col>
          <xdr:colOff>0</xdr:colOff>
          <xdr:row>18</xdr:row>
          <xdr:rowOff>0</xdr:rowOff>
        </xdr:to>
        <xdr:sp macro="" textlink="">
          <xdr:nvSpPr>
            <xdr:cNvPr id="1035" name="Option Button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0</xdr:colOff>
          <xdr:row>18</xdr:row>
          <xdr:rowOff>0</xdr:rowOff>
        </xdr:from>
        <xdr:to>
          <xdr:col>25</xdr:col>
          <xdr:colOff>0</xdr:colOff>
          <xdr:row>19</xdr:row>
          <xdr:rowOff>0</xdr:rowOff>
        </xdr:to>
        <xdr:sp macro="" textlink="">
          <xdr:nvSpPr>
            <xdr:cNvPr id="1036" name="Option Button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10</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19</xdr:col>
          <xdr:colOff>0</xdr:colOff>
          <xdr:row>4</xdr:row>
          <xdr:rowOff>0</xdr:rowOff>
        </xdr:from>
        <xdr:to>
          <xdr:col>21</xdr:col>
          <xdr:colOff>47625</xdr:colOff>
          <xdr:row>6</xdr:row>
          <xdr:rowOff>95250</xdr:rowOff>
        </xdr:to>
        <xdr:sp macro="" textlink="">
          <xdr:nvSpPr>
            <xdr:cNvPr id="2049" name="Button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w="9525">
              <a:miter lim="800000"/>
              <a:headEnd/>
              <a:tailEnd/>
            </a:ln>
          </xdr:spPr>
          <xdr:txBody>
            <a:bodyPr vertOverflow="clip" wrap="square" lIns="27432" tIns="32004" rIns="27432" bIns="32004" anchor="ctr" upright="1"/>
            <a:lstStyle/>
            <a:p>
              <a:pPr algn="ctr" rtl="0">
                <a:defRPr sz="1000"/>
              </a:pPr>
              <a:r>
                <a:rPr lang="ko-KR" altLang="en-US" sz="1100" b="0" i="0" u="none" strike="noStrike" baseline="0">
                  <a:solidFill>
                    <a:srgbClr val="000000"/>
                  </a:solidFill>
                  <a:latin typeface="맑은 고딕"/>
                  <a:ea typeface="맑은 고딕"/>
                </a:rPr>
                <a:t>사진정렬</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cljh\c\EXCEL\&#49688;&#51452;\&#49324;&#50629;&#49457;~1\96\&#49552;&#51061;&#44592;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51312;&#50689;&#44508;\01.&#45817;&#49328;&#46041;&#51076;&#45824;&#50500;&#54028;&#53944;\06.&#45824;&#48156;&#51452;&#52376;&#50629;&#47924;\09.&#49444;&#48320;&#44160;&#53664;&#49436;\&#44277;&#47928;&#48372;&#44256;\WINDOWS\TEMP\My%20Documents\Estimate\&#48512;&#45824;&#53664;&#47785;\&#50872;&#51652;&#50896;&#51204;&#54984;&#47144;&#46041;\SE0-DWG\&#52404;&#50977;\XLS\ALL-XLS\ULSAN\PRIC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undown\&#45817;&#49328;&#46041;\windows\TEMP\&#51473;&#51109;&#44592;&#44221;&#50689;&#44228;&#54925;\1&#52264;&#51312;&#51221;\&#44277;&#47924;&#50629;&#47924;\&#45824;&#48376;&#49324;\&#44148;&#52629;&#49884;&#44277;&#54016;%20&#44277;&#49324;&#54788;&#54889;&#48372;&#44256;\4&#50900;&#49892;&#5120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doosan\dscsuper\EXCEL\&#54624;&#47021;&#51060;\&#54840;&#50896;&#46160;&#4932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44256;&#49457;&#51456;2\C\&#51060;&#45572;&#44592;Excel\&#49888;&#51221;TK\&#44592;&#53440;\99&#45380;\&#49548;&#51109;&#51064;&#44228;&#51064;&#49688;.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49888;&#49345;&#50980;\SHIN\pks\&#52628;&#44032;&#50896;&#44032;\pks\&#44592;&#49457;\&#44264;&#51312;&#44592;&#49457;&#44256;&#51312;&#4943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TDUJ10\&#47928;&#49436;&#44277;&#50976;\BAE\JOJIC\&#50629;&#4792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F:\&#51312;&#50689;&#44508;\01.&#45817;&#49328;&#46041;&#51076;&#45824;&#50500;&#54028;&#53944;\06.&#45824;&#48156;&#51452;&#52376;&#50629;&#47924;\09.&#49444;&#48320;&#44160;&#53664;&#49436;\&#44277;&#47928;&#48372;&#44256;\WINDOWS\TEMP\ESTI\&#54644;&#50808;\FED\R-0017\&#50577;&#49885;&#53685;&#51068;.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204;&#52268;&#44600;\C\DATA\&#49373;&#49328;\&#51204;&#47581;\&#48337;&#51204;&#47581;\&#50896;&#50504;\982&#50896;&#5050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51076;&#49884;\ZIP\&#51452;&#52384;&#51452;&#51312;9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smadmin\c\DATA\&#44221;&#50689;&#44228;&#54925;\99&#45380;&#46020;\&#51228;&#52636;&#51088;&#47308;\&#51473;&#44592;&#44228;&#54925;5.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51312;&#50689;&#44508;\01.&#45817;&#49328;&#46041;&#51076;&#45824;&#50500;&#54028;&#53944;\06.&#45824;&#48156;&#51452;&#52376;&#50629;&#47924;\09.&#49444;&#48320;&#44160;&#53664;&#49436;\&#44277;&#47928;&#48372;&#44256;\WINDOWS\TEMP\DOOSAN\DSCGHM\PROJECT\FED\Fed0010\costbreak%20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50773;&#50896;&#53469;\C\My%20Documents\WONMI.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undown\&#45817;&#49328;&#46041;\EXCEL\&#47588;&#52636;\97\&#49892;&#51201;\11&#50900;&#49892;&#51201;.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A:\MSOFFICE\EXCEL\&#53664;&#44148;13&#54924;.XLW"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44608;&#46020;&#50980;\C\HEE-DONG\&#44592;&#53440;\&#54801;&#51312;&#5120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Documents%20and%20Settings\&#52292;&#52268;&#44216;\Local%20Settings\Temporary%20Internet%20Files\Content.IE5\LJNBD10E\&#51060;&#50689;&#48124;\&#44592;&#53440;&#51088;&#47308;\IPCHAL.97\P-PROJEC\P-PRJT.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B:\&#44288;&#47532;96.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49888;&#49345;&#50980;\SHIN\pks\&#52628;&#44032;&#50896;&#44032;\pks\&#44592;&#49457;\&#44592;&#49457;9904.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F:\&#51312;&#50689;&#44508;\01.&#45817;&#49328;&#46041;&#51076;&#45824;&#50500;&#54028;&#53944;\06.&#45824;&#48156;&#51452;&#52376;&#50629;&#47924;\09.&#49444;&#48320;&#44160;&#53664;&#49436;\&#44277;&#47928;&#48372;&#44256;\WINDOWS\TEMP\WINDOWS\TEMP\FEDR0007\FED%20R-0050\BID1.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44608;&#46020;&#50980;\C\HEE-DONG\&#49688;&#48520;&#49552;&#51061;\9614\&#49688;&#48520;&#45236;&#49688;.14"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Startup" Target="&#50724;&#54588;&#49828;&#53588;/&#49340;&#55148;&#50724;&#53588;/&#49340;&#55148;&#50724;&#53588;.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woomi\woomi\Documents%20and%20Settings\&#52292;&#52268;&#44216;\My%20Documents\My%20Documents\&#54788;&#51109;&#50629;&#47924;\DATAJUNG\DATA1\&#54032;&#44288;&#48708;\98&#45380;&#50696;&#49328;\&#51204;&#52404;&#50696;&#49328;\98&#54032;&#44288;&#48708;1&#52264;.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woomi\woomi\Documents%20and%20Settings\&#52292;&#52268;&#44216;\My%20Documents\My%20Documents\&#54788;&#51109;&#50629;&#47924;\WINDOWS\TEMP\&#44608;&#54952;&#50689;\&#50900;&#54788;&#54889;\&#54364;&#51456;&#47928;&#49436;.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F:\Documents%20and%20Settings\&#52292;&#52268;&#44216;\Local%20Settings\Temporary%20Internet%20Files\Content.IE5\LJNBD10E\&#51060;&#50689;&#48124;\&#44592;&#53440;&#51088;&#47308;\cch\&#44288;&#44277;&#49324;\&#51312;&#45804;&#52397;\97\&#49688;&#46020;&#47112;&#51200;\GRP\&#50864;&#51452;&#54637;&#44277;.HSA\&#48516;&#49437;\&#44277;&#51109;.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F:\Documents%20and%20Settings\&#52292;&#52268;&#44216;\Local%20Settings\Temporary%20Internet%20Files\Content.IE5\LJNBD10E\&#51060;&#50689;&#48124;\&#44592;&#53440;&#51088;&#47308;\IPCHAL.97\P-PROJEC\&#48516;&#49437;\&#44277;&#5110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woomi\woomi\Documents%20and%20Settings\&#52292;&#52268;&#44216;\My%20Documents\My%20Documents\&#54788;&#51109;&#50629;&#47924;\DATAJUNG\DATA\&#54032;&#44288;&#48708;\98&#54032;&#44288;&#48708;\&#49892;&#51201;&#48516;&#49437;\98&#54032;&#44288;&#48708;3&#52264;.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undown\&#45817;&#49328;&#46041;\windows\TEMP\&#51473;&#51109;&#44592;&#44221;&#50689;&#44228;&#54925;\1&#52264;&#51312;&#51221;\EXCEL\&#47588;&#52636;\98\&#44228;&#54925;\98&#45380;1.1&#52264;.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51221;&#44592;&#46024;\&#44277;&#49324;&#44060;&#50836;\EXCEL\&#45824;&#54617;.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Midori\c\WORK\2000\&#50732;&#47548;&#54589;&#48120;&#49696;&#44288;\5&#50900;&#48320;&#44221;&#46020;&#47732;\&#52572;&#51333;&#46020;&#47732;\&#50732;&#47548;&#54589;&#48120;&#49696;&#44288;.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Sundown\&#45817;&#49328;&#46041;\windows\TEMP\&#52285;&#49888;&#48372;&#44256;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A:\WINDOWS\TEMP\WONMI.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51060;&#49849;&#44508;\APT\MSOffice\Excel\KYEOUSA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44608;&#51456;&#50672;\C\EXCEL\&#54665;&#45817;&#50896;&#4403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44608;&#46020;&#50980;\C\&#44608;&#46020;&#50980;\&#47588;&#52636;\&#44228;&#54925;\98&#49324;&#50629;&#44228;&#54925;\LHI\SB\&#48139;&#49496;&#4832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Documents%20and%20Settings\&#52292;&#52268;&#44216;\Local%20Settings\Temporary%20Internet%20Files\Content.IE5\LJNBD10E\&#51060;&#50689;&#48124;\&#44592;&#53440;&#51088;&#47308;\&#44256;&#52384;&#51221;&#51228;.XLS" TargetMode="External"/></Relationships>
</file>

<file path=xl/externalLinks/_rels/externalLink37.xml.rels><?xml version="1.0" encoding="UTF-8" standalone="yes"?>
<Relationships xmlns="http://schemas.openxmlformats.org/package/2006/relationships"><Relationship Id="rId1" Type="http://schemas.microsoft.com/office/2006/relationships/xlExternalLinkPath/xlPathMissing" Target="&#49884;&#47308;&#51333;&#47448;"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F:\&#51473;&#50669;&#54924;&#51032;\96&#45380;10&#50900;\&#44288;&#47532;&#48376;&#48512;10.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A:\han\WONMI.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undown\&#45817;&#49328;&#46041;\MSOFFICE\EXCEL\97&#49552;&#51061;\&#50672;&#49845;.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WORK\JARYO\&#50896;&#51452;&#45236;&#50669;.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50900;&#52264;&#44208;&#49328;\9604&#50900;&#52264;.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scsdm\c\&#51060;&#45572;&#44592;Excel\&#49888;&#51221;TK\&#44592;&#53440;\99&#45380;\&#49548;&#51109;&#51064;&#44228;&#51064;&#49688;.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Z:\9.%20&#54408;&#51656;\QBB03&#44396;&#51312;&#47932;&#48324;&#53440;&#49444;&#54788;&#54889;\&#44396;&#51312;&#47932;&#48324;%20&#53440;&#49444;&#54788;&#54889;%20&#50808;_&#50872;&#49328;.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Z:\9.%20&#54408;&#51656;\QBB03&#44396;&#51312;&#47932;&#48324;&#53440;&#49444;&#54788;&#54889;\&#49324;&#51652;&#45824;&#51648;\2511260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표세부명세"/>
      <sheetName val="은행"/>
      <sheetName val="양식"/>
      <sheetName val="총괄"/>
      <sheetName val="가리봉pro"/>
      <sheetName val="복합pro"/>
      <sheetName val="연립pro"/>
      <sheetName val="부산1pro"/>
      <sheetName val="경상집계"/>
      <sheetName val="경상총괄"/>
      <sheetName val="수지총괄"/>
      <sheetName val="수지집계"/>
      <sheetName val="양도손익"/>
      <sheetName val="양도손익총괄"/>
      <sheetName val="양도수지집계"/>
      <sheetName val="양도수지총괄"/>
      <sheetName val="부산2pro"/>
      <sheetName val="석관pro"/>
      <sheetName val="수원pro"/>
      <sheetName val="은행pro"/>
      <sheetName val="잠원PRO"/>
      <sheetName val="홍은pro"/>
      <sheetName val="원주pro"/>
      <sheetName val="이천pro"/>
      <sheetName val="창현pro"/>
      <sheetName val="춘천pro"/>
      <sheetName val="오남2차pro"/>
      <sheetName val="창신PRO"/>
      <sheetName val="서곡PRO"/>
      <sheetName val="연성pro"/>
      <sheetName val="팔달pro"/>
      <sheetName val="병점PRO"/>
      <sheetName val="잠원"/>
      <sheetName val="가리봉동"/>
      <sheetName val="석관"/>
      <sheetName val="홍은"/>
      <sheetName val="이천"/>
      <sheetName val="부산"/>
      <sheetName val="부산2"/>
      <sheetName val="창현"/>
      <sheetName val="수원"/>
      <sheetName val="자금추정"/>
      <sheetName val="콘도손익"/>
      <sheetName val="장림"/>
      <sheetName val="장림전제"/>
      <sheetName val="Sheet2"/>
      <sheetName val="Sheet3"/>
      <sheetName val="공문"/>
      <sheetName val="VXXX"/>
      <sheetName val="VXXXXX"/>
      <sheetName val="II손익관리"/>
      <sheetName val="1.종합손익(도급)"/>
      <sheetName val="1.종합손익(주택,개발)"/>
      <sheetName val="2.실행예산"/>
      <sheetName val="2.2과부족"/>
      <sheetName val="2.3원가절감"/>
      <sheetName val="8.외주비집행현황"/>
      <sheetName val="9.자재비"/>
      <sheetName val="10.현장집행"/>
      <sheetName val="3.추가원가"/>
      <sheetName val="3.추가원가 (2)"/>
      <sheetName val="4.사전공사"/>
      <sheetName val="5.추정공사비"/>
      <sheetName val="6.금융비용"/>
      <sheetName val="7.공사비집행현황(총괄)"/>
      <sheetName val="11.1생산성"/>
      <sheetName val="인력대비(정직)"/>
      <sheetName val="11.2인원산출"/>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입찰안"/>
      <sheetName val="노임이"/>
      <sheetName val="첨부1"/>
      <sheetName val="공통가설"/>
      <sheetName val="간접"/>
      <sheetName val="집계표"/>
      <sheetName val="손익기01"/>
      <sheetName val="Sheet1"/>
      <sheetName val="동선(을)"/>
      <sheetName val="예가표"/>
      <sheetName val="SG"/>
      <sheetName val="현금흐름"/>
      <sheetName val="COL"/>
      <sheetName val="손익분석"/>
      <sheetName val="수입"/>
      <sheetName val="관로내역원"/>
      <sheetName val="SUMMARY"/>
      <sheetName val="PAINT"/>
      <sheetName val="손익"/>
      <sheetName val="자바라1"/>
      <sheetName val="CTEMCOST"/>
      <sheetName val="ELECTRIC"/>
      <sheetName val="A4288"/>
      <sheetName val="C-A(취합)파리"/>
      <sheetName val="수정시산표"/>
      <sheetName val="주택"/>
      <sheetName val="주택(백만원)"/>
      <sheetName val="신공항A-9(원가수정)"/>
      <sheetName val="KUNGDEVI"/>
      <sheetName val="전계가"/>
      <sheetName val="원가계산서"/>
      <sheetName val="금액내역서"/>
      <sheetName val="인사자료총집계"/>
      <sheetName val="그래프"/>
      <sheetName val="GDP"/>
      <sheetName val="5Traffic1"/>
      <sheetName val="부문인원3"/>
      <sheetName val="설계내역서"/>
      <sheetName val="실행내역"/>
      <sheetName val="공사개요"/>
      <sheetName val="금융비용"/>
      <sheetName val="시멘트"/>
      <sheetName val="현장관리비"/>
      <sheetName val="감독1130"/>
      <sheetName val="bm(CIcable)"/>
      <sheetName val="공사비집계"/>
      <sheetName val="CC Down load 0716"/>
      <sheetName val="화물2팀"/>
      <sheetName val="변경실행(2차) "/>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01"/>
      <sheetName val="금융"/>
      <sheetName val="결재인"/>
      <sheetName val="내역"/>
      <sheetName val="단가"/>
      <sheetName val="산근"/>
      <sheetName val="여흥"/>
      <sheetName val="APT"/>
      <sheetName val="나.출고"/>
      <sheetName val="나.입고"/>
      <sheetName val="8월차잔"/>
      <sheetName val="유동성사채"/>
      <sheetName val="3계정별(고속)"/>
      <sheetName val="고속"/>
      <sheetName val="고속목표"/>
      <sheetName val="09년인건비(고속)"/>
      <sheetName val="3계정별(자동주유기)"/>
      <sheetName val="자동주유기"/>
      <sheetName val="자동주유목표"/>
      <sheetName val="고속합산"/>
      <sheetName val="고속합산목표"/>
      <sheetName val="3계정별(속리산)"/>
      <sheetName val="속리산"/>
      <sheetName val="속리산목표"/>
      <sheetName val="09년 인건비(속리산)"/>
      <sheetName val="고속속리산"/>
      <sheetName val="고속속리산목표"/>
      <sheetName val="직행"/>
      <sheetName val="직행목표"/>
      <sheetName val="합산"/>
      <sheetName val="합산목표"/>
      <sheetName val="속리산제외"/>
      <sheetName val="속리산제외목표"/>
      <sheetName val="09년월별예산(운송)"/>
      <sheetName val="합산목표(감가+57.5)"/>
      <sheetName val="SCHEDULE"/>
      <sheetName val="JUCKEYK"/>
      <sheetName val="노임단가"/>
      <sheetName val="982월원안"/>
      <sheetName val="내역서"/>
      <sheetName val="TR제작사양"/>
      <sheetName val="호프"/>
      <sheetName val="감가상각"/>
      <sheetName val="#REF"/>
      <sheetName val="기성청구 공문"/>
      <sheetName val="IW-LIST"/>
      <sheetName val="물량표"/>
      <sheetName val="노무비"/>
      <sheetName val="Calen"/>
      <sheetName val="A-4"/>
      <sheetName val="CAUDIT"/>
      <sheetName val="추가예산"/>
      <sheetName val="물량표(신)"/>
      <sheetName val="대공종"/>
      <sheetName val="b_balju (2)"/>
      <sheetName val="b_gunmul"/>
      <sheetName val="갑지(추정)"/>
      <sheetName val="  한국 AMP ASP-23 판매가격  "/>
      <sheetName val="ABUT수량-A1"/>
      <sheetName val="견적의뢰"/>
      <sheetName val="화의-현금흐름"/>
      <sheetName val="중기조종사 단위단가"/>
      <sheetName val="6PILE  (돌출)"/>
      <sheetName val="장기대여금1"/>
      <sheetName val="기둥(원형)"/>
      <sheetName val="기본DATA"/>
      <sheetName val="건축내역"/>
      <sheetName val="실행간접비용"/>
      <sheetName val="2연암거"/>
      <sheetName val="경사수로집계표"/>
      <sheetName val="경사수로"/>
      <sheetName val="진입교량"/>
      <sheetName val="유림골조"/>
      <sheetName val="공통비총괄표"/>
      <sheetName val="일위대가표"/>
      <sheetName val="DATA"/>
      <sheetName val="실적공사"/>
      <sheetName val="업무처리전"/>
      <sheetName val="방배동내역(리라)"/>
      <sheetName val="Variables"/>
      <sheetName val="woo(mac)"/>
      <sheetName val="제조원가 원단위 분석"/>
      <sheetName val="종합표양식(품의 &amp; 입고)_2"/>
      <sheetName val="상각스케쥴(조정)"/>
      <sheetName val="요약"/>
      <sheetName val="총괄내역서"/>
      <sheetName val="원가관리 (동월대비)"/>
      <sheetName val="기계경비(시간당)"/>
      <sheetName val="램머"/>
      <sheetName val="단가표"/>
      <sheetName val="Sheet13"/>
      <sheetName val="Sheet14"/>
      <sheetName val="익월수주전망"/>
      <sheetName val="입찰내역서"/>
      <sheetName val="MIJIBI"/>
      <sheetName val="점수계산1-2"/>
      <sheetName val="SIL98"/>
      <sheetName val="일위대가"/>
      <sheetName val="개발비자산성검토"/>
      <sheetName val="45,46"/>
      <sheetName val="980731"/>
      <sheetName val="광곡세부내역"/>
      <sheetName val="S&amp;R"/>
      <sheetName val="시산표(매출조정전)"/>
      <sheetName val="93"/>
      <sheetName val="예정(3)"/>
      <sheetName val="동원(3)"/>
      <sheetName val="토목검측서"/>
      <sheetName val="2-2.매출분석"/>
      <sheetName val="RECIMAKE"/>
      <sheetName val="A-100전제"/>
      <sheetName val="몰드시스템 리스트"/>
      <sheetName val="정비손익"/>
      <sheetName val="200"/>
      <sheetName val="건축공사실행"/>
      <sheetName val="수주현황2월"/>
      <sheetName val="실행철강하도"/>
      <sheetName val="재료"/>
      <sheetName val="영동(D)"/>
      <sheetName val="37개월"/>
      <sheetName val="원가(통신)"/>
      <sheetName val="공통부대관리"/>
      <sheetName val="표지"/>
      <sheetName val="설비원가"/>
      <sheetName val="대비표"/>
      <sheetName val="골조시행"/>
      <sheetName val="Total"/>
      <sheetName val="조명시설"/>
      <sheetName val="MIBK원단위"/>
      <sheetName val="Proposal"/>
      <sheetName val="7 (2)"/>
      <sheetName val="SM1-09"/>
      <sheetName val="SM2-09"/>
      <sheetName val="BD-09"/>
      <sheetName val="총내역서"/>
      <sheetName val="주형"/>
      <sheetName val="sum1 (2)"/>
      <sheetName val="적격"/>
      <sheetName val="3.바닥판설계"/>
      <sheetName val="Sheet1 (2)"/>
      <sheetName val="집행내역"/>
      <sheetName val="Borrower"/>
      <sheetName val="중요02월25일"/>
      <sheetName val="정산표"/>
      <sheetName val="월말명세0912"/>
      <sheetName val="11.외화채무증권(AFS,HTM)08"/>
      <sheetName val="Hedge09"/>
      <sheetName val="13.감액TEST_08"/>
      <sheetName val="해외채권"/>
      <sheetName val="BS09"/>
      <sheetName val="단가추이"/>
      <sheetName val="경유량추이"/>
      <sheetName val="단가산출"/>
      <sheetName val="역T형"/>
      <sheetName val="RE9604"/>
      <sheetName val="평가제외"/>
      <sheetName val="12년 CF(9월)"/>
      <sheetName val="SO416"/>
      <sheetName val="가공MH"/>
      <sheetName val="08년(Form1)"/>
      <sheetName val="1_종합손익(도급)"/>
      <sheetName val="1_종합손익(주택,개발)"/>
      <sheetName val="2_실행예산"/>
      <sheetName val="2_2과부족"/>
      <sheetName val="2_3원가절감"/>
      <sheetName val="8_외주비집행현황"/>
      <sheetName val="9_자재비"/>
      <sheetName val="10_현장집행"/>
      <sheetName val="3_추가원가"/>
      <sheetName val="3_추가원가_(2)"/>
      <sheetName val="4_사전공사"/>
      <sheetName val="5_추정공사비"/>
      <sheetName val="6_금융비용"/>
      <sheetName val="7_공사비집행현황(총괄)"/>
      <sheetName val="11_1생산성"/>
      <sheetName val="11_2인원산출"/>
      <sheetName val="미드수량"/>
      <sheetName val="참조"/>
      <sheetName val="DATE"/>
      <sheetName val="2.총괄표"/>
      <sheetName val="LinerWt"/>
      <sheetName val="산출근거"/>
      <sheetName val="일위(토목)"/>
      <sheetName val="입찰내역 발주처 양식"/>
      <sheetName val="_x0018__x0000_"/>
      <sheetName val=""/>
      <sheetName val="손익현황"/>
      <sheetName val="현황CODE"/>
      <sheetName val="XZLC004_PART2"/>
      <sheetName val="XZLC003_PART1"/>
      <sheetName val="조경"/>
      <sheetName val="세부내역서"/>
      <sheetName val="slipsumpR"/>
      <sheetName val="적용건축"/>
      <sheetName val="자재단가"/>
      <sheetName val="D-623D"/>
      <sheetName val="BQMPALOC"/>
      <sheetName val="현장지지물물량"/>
      <sheetName val="입찰보고"/>
      <sheetName val="지점장"/>
      <sheetName val="부서코드표"/>
      <sheetName val="97년추정손익계산서"/>
      <sheetName val="업무연락"/>
      <sheetName val="Ethylene"/>
      <sheetName val="월별매출"/>
      <sheetName val="ChlorAlkali"/>
      <sheetName val="VXXXXXXX"/>
      <sheetName val="13월별BS"/>
      <sheetName val="하수급견적대비"/>
      <sheetName val="참조시트"/>
      <sheetName val="부속동"/>
      <sheetName val="품셈TABLE"/>
      <sheetName val="表21 净利润调节表"/>
      <sheetName val="원가계산하도"/>
      <sheetName val="입출재고현황 (2)"/>
      <sheetName val="슬래브"/>
      <sheetName val="ADR"/>
      <sheetName val="부하계산서"/>
      <sheetName val="회사정보"/>
      <sheetName val="공사비증감"/>
      <sheetName val="CC_Down_load_0716"/>
      <sheetName val="변경실행(2차)_"/>
      <sheetName val="나_출고"/>
      <sheetName val="나_입고"/>
      <sheetName val="09년_인건비(속리산)"/>
      <sheetName val="합산목표(감가+57_5)"/>
      <sheetName val="기성청구_공문"/>
      <sheetName val="재고현황"/>
      <sheetName val="발행제기"/>
      <sheetName val="2.대외공문"/>
      <sheetName val="자금추ȕ"/>
      <sheetName val="찍기"/>
      <sheetName val="단가일람"/>
      <sheetName val="단위량당중기"/>
      <sheetName val="수량집계표(舊)"/>
      <sheetName val="연돌일위집계"/>
      <sheetName val="품셈표"/>
      <sheetName val="504전기실 동부하-L"/>
      <sheetName val="Sheet15"/>
      <sheetName val="Sheet9"/>
      <sheetName val="DUT-BAT1"/>
      <sheetName val="월별수입"/>
      <sheetName val="차수"/>
      <sheetName val="담보"/>
      <sheetName val="1유리"/>
      <sheetName val="예적금"/>
      <sheetName val="월별손익"/>
      <sheetName val="매출"/>
      <sheetName val="비가동-20"/>
      <sheetName val="완제품3"/>
      <sheetName val="설계명세서"/>
      <sheetName val="전신환매도율"/>
      <sheetName val="경비"/>
      <sheetName val="INPUT"/>
      <sheetName val="05년말(건재)"/>
      <sheetName val="TRE TABLE"/>
      <sheetName val="단가(반정3교-원주)"/>
      <sheetName val="갑근세납세필증명원"/>
      <sheetName val="주현(해보)"/>
      <sheetName val="주현(영광)"/>
      <sheetName val="P.M 별"/>
      <sheetName val="2.주요계수총괄"/>
      <sheetName val="물량표S"/>
      <sheetName val="견적"/>
      <sheetName val="신공"/>
      <sheetName val="Project Brief"/>
      <sheetName val="CC16-내역서"/>
      <sheetName val="Y-WORK"/>
      <sheetName val="C3"/>
      <sheetName val="공통비(전체)"/>
      <sheetName val="토목공사"/>
      <sheetName val="새공통(96임금인상기준)"/>
      <sheetName val="비교1"/>
      <sheetName val="유림총괄"/>
      <sheetName val="철골공사"/>
      <sheetName val="구성비"/>
      <sheetName val="교각계산"/>
      <sheetName val="현금"/>
      <sheetName val="한강운반비"/>
      <sheetName val="0001new"/>
      <sheetName val="동절기투입(자재)"/>
      <sheetName val="BEST"/>
      <sheetName val="통장출금액"/>
      <sheetName val="카메라"/>
      <sheetName val="실적"/>
      <sheetName val="단면 (2)"/>
      <sheetName val="GAEYO"/>
      <sheetName val="시화점실행"/>
      <sheetName val="부대공"/>
      <sheetName val="원가서"/>
      <sheetName val="자금운용계획표"/>
      <sheetName val="국내총괄"/>
      <sheetName val="특판제외"/>
      <sheetName val="건축원가"/>
      <sheetName val="5사남"/>
      <sheetName val="020114"/>
      <sheetName val="0111월"/>
      <sheetName val="양식3"/>
      <sheetName val="퇴충"/>
      <sheetName val="요약PL"/>
      <sheetName val="FAB"/>
      <sheetName val="수지"/>
      <sheetName val="PIPE"/>
      <sheetName val="FLANGE"/>
      <sheetName val="VALVE"/>
      <sheetName val="내역표지"/>
      <sheetName val="감가상각비"/>
      <sheetName val="BAND(200)"/>
      <sheetName val="OUTER AREA(겹침없음)"/>
      <sheetName val="EG-09"/>
      <sheetName val="M3산출"/>
      <sheetName val="EL 표면적"/>
      <sheetName val="양식(직판용)"/>
      <sheetName val="部署名"/>
      <sheetName val="車両別燃費及び油類単価"/>
      <sheetName val="1_종합손익(도급)1"/>
      <sheetName val="推移グラフ"/>
      <sheetName val="조정내역"/>
      <sheetName val="Year"/>
      <sheetName val="인원계획-미화"/>
      <sheetName val="Prices"/>
      <sheetName val="CF6"/>
      <sheetName val="FRQ"/>
      <sheetName val="기준"/>
      <sheetName val="cp-e1"/>
      <sheetName val="전도품의"/>
      <sheetName val="YES-T"/>
      <sheetName val="BOX-1510"/>
      <sheetName val="A"/>
      <sheetName val="Training"/>
      <sheetName val="Facility Information"/>
      <sheetName val="General"/>
      <sheetName val="Instructions"/>
      <sheetName val="People"/>
      <sheetName val="Quality"/>
      <sheetName val="Risk"/>
      <sheetName val="주차"/>
      <sheetName val="경비2내역"/>
      <sheetName val="MEMORY"/>
      <sheetName val="_x005f_x0018__x005f_x0000_"/>
      <sheetName val="내역(한신APT)"/>
      <sheetName val="1. 시공측량"/>
      <sheetName val="시산표"/>
      <sheetName val="공사내역"/>
      <sheetName val="자재목록"/>
      <sheetName val="정부노임단가"/>
      <sheetName val="P-산#1-1(WOWA1)"/>
      <sheetName val="합천내역"/>
      <sheetName val="전기단가조사서"/>
      <sheetName val="Sheet4"/>
      <sheetName val="월별예산"/>
      <sheetName val="목록"/>
      <sheetName val="중기"/>
      <sheetName val="품목"/>
      <sheetName val="설치원가"/>
      <sheetName val="터파기및재료"/>
      <sheetName val="3본사"/>
      <sheetName val="98지급계획"/>
      <sheetName val="직재"/>
      <sheetName val="PAD TR보호대기초"/>
      <sheetName val="HANDHOLE(2)"/>
      <sheetName val="가로등기초"/>
      <sheetName val="음료실행"/>
      <sheetName val="상가지급현황"/>
      <sheetName val="건축2"/>
      <sheetName val="일위(PN)"/>
      <sheetName val="1.본사계정별"/>
      <sheetName val="FB25JN"/>
      <sheetName val="22철거수량"/>
      <sheetName val="분전함신설"/>
      <sheetName val="접지1종"/>
      <sheetName val="_x0018_?"/>
      <sheetName val="설계명세서(선로)"/>
      <sheetName val="Cover"/>
      <sheetName val="목차"/>
      <sheetName val="기본원칙"/>
      <sheetName val="예산전제"/>
      <sheetName val="전사 PL"/>
      <sheetName val="자금 제외 PL"/>
      <sheetName val="자금 PL"/>
      <sheetName val="전사 BS"/>
      <sheetName val="자금 제외 BS"/>
      <sheetName val="자금 BS"/>
      <sheetName val="BS 계정 설명"/>
      <sheetName val=" Cash Flow(전사)"/>
      <sheetName val=" Cash Flow(자금제외)"/>
      <sheetName val=" Cash Flow(자금)"/>
      <sheetName val="ROIC "/>
      <sheetName val="인력계획"/>
      <sheetName val="인건비 명세"/>
      <sheetName val="판관비 명세"/>
      <sheetName val="배부판관비내역"/>
      <sheetName val="OH Cost경비(내역)"/>
      <sheetName val="OH Cost경비(배부기준)"/>
      <sheetName val="기타수지&amp;특별손익 명세"/>
      <sheetName val="전사공통손익"/>
      <sheetName val="투자성경비"/>
      <sheetName val="자금계획(장단기차입금)"/>
      <sheetName val="자금계획(순지급이자)"/>
      <sheetName val="투자계획"/>
      <sheetName val="고정자산증감내역"/>
      <sheetName val="조직도"/>
      <sheetName val="9710"/>
      <sheetName val="물량"/>
      <sheetName val="노임"/>
      <sheetName val="전사_PL"/>
      <sheetName val="자금_제외_PL"/>
      <sheetName val="자금_PL"/>
      <sheetName val="전사_BS"/>
      <sheetName val="자금_제외_BS"/>
      <sheetName val="자금_BS"/>
      <sheetName val="BS_계정_설명"/>
      <sheetName val="_Cash_Flow(전사)"/>
      <sheetName val="_Cash_Flow(자금제외)"/>
      <sheetName val="_Cash_Flow(자금)"/>
      <sheetName val="ROIC_"/>
      <sheetName val="인건비_명세"/>
      <sheetName val="판관비_명세"/>
      <sheetName val="OH_Cost경비(내역)"/>
      <sheetName val="OH_Cost경비(배부기준)"/>
      <sheetName val="기타수지&amp;특별손익_명세"/>
      <sheetName val="01_02월_성과급"/>
      <sheetName val="Process List"/>
      <sheetName val="설비등록목록"/>
      <sheetName val="생산직"/>
      <sheetName val="집계확인"/>
      <sheetName val="선수금"/>
      <sheetName val="Sheet11"/>
      <sheetName val="PVM#10"/>
      <sheetName val="재공품"/>
      <sheetName val="제시 손익계산서"/>
      <sheetName val="제시PL(최종)"/>
      <sheetName val="업무연락 (2)"/>
      <sheetName val="제시대차대조표"/>
      <sheetName val="M_7회차 담금_계획"/>
      <sheetName val="통합손익(TGIF)"/>
      <sheetName val="통합손익"/>
      <sheetName val="저속"/>
      <sheetName val="01.02월 성과급"/>
      <sheetName val="발생집계"/>
      <sheetName val="96PAYC"/>
      <sheetName val="뒤차축소"/>
      <sheetName val="09~10년 매출계획"/>
      <sheetName val="??"/>
      <sheetName val="97 사업추정(WEKI)"/>
      <sheetName val="Sound9월"/>
      <sheetName val="_x005f_x0000__x005f_x0000_"/>
      <sheetName val="96월별PL"/>
      <sheetName val="팀별 실적"/>
      <sheetName val="팀별 실적 (환산)"/>
      <sheetName val="손익(11)_수출포함"/>
      <sheetName val="예산대실적"/>
      <sheetName val="품종별월계"/>
      <sheetName val="출입자명단"/>
      <sheetName val="989월실행"/>
      <sheetName val="환산TB"/>
      <sheetName val="6월 공정외주"/>
      <sheetName val="주행"/>
      <sheetName val="1_종합손익(도급)2"/>
      <sheetName val="1_종합손익(주택,개발)1"/>
      <sheetName val="2_실행예산1"/>
      <sheetName val="2_2과부족1"/>
      <sheetName val="2_3원가절감1"/>
      <sheetName val="8_외주비집행현황1"/>
      <sheetName val="9_자재비1"/>
      <sheetName val="10_현장집행1"/>
      <sheetName val="3_추가원가1"/>
      <sheetName val="3_추가원가_(2)1"/>
      <sheetName val="4_사전공사1"/>
      <sheetName val="5_추정공사비1"/>
      <sheetName val="6_금융비용1"/>
      <sheetName val="7_공사비집행현황(총괄)1"/>
      <sheetName val="11_1생산성1"/>
      <sheetName val="11_2인원산출1"/>
      <sheetName val="변경실행(2차)_1"/>
      <sheetName val="CC_Down_load_07161"/>
      <sheetName val="나_출고1"/>
      <sheetName val="나_입고1"/>
      <sheetName val="__한국_AMP_ASP-23_판매가격__"/>
      <sheetName val="09년_인건비(속리산)1"/>
      <sheetName val="합산목표(감가+57_5)1"/>
      <sheetName val="제조원가_원단위_분석"/>
      <sheetName val="종합표양식(품의_&amp;_입고)_2"/>
      <sheetName val="원가관리_(동월대비)"/>
      <sheetName val="b_balju_(2)"/>
      <sheetName val="2-2_매출분석"/>
      <sheetName val="몰드시스템_리스트"/>
      <sheetName val="11_외화채무증권(AFS,HTM)08"/>
      <sheetName val="13_감액TEST_08"/>
      <sheetName val="7_(2)"/>
      <sheetName val="12년_CF(9월)"/>
      <sheetName val="중기조종사_단위단가"/>
      <sheetName val="6PILE__(돌출)"/>
      <sheetName val="기성청구_공문1"/>
      <sheetName val="Sheet1_(2)"/>
      <sheetName val="2_대외공문"/>
      <sheetName val="表21_净利润调节表"/>
      <sheetName val="sum1_(2)"/>
      <sheetName val="3_바닥판설계"/>
      <sheetName val="504전기실_동부하-L"/>
      <sheetName val="2_총괄표"/>
      <sheetName val="OUTER_AREA(겹침없음)"/>
      <sheetName val="EL_표면적"/>
      <sheetName val="KAM설비"/>
      <sheetName val="변동인원"/>
      <sheetName val="1_종합손익(도급)3"/>
      <sheetName val="1_종합손익(주택,개발)2"/>
      <sheetName val="2_실행예산2"/>
      <sheetName val="2_2과부족2"/>
      <sheetName val="2_3원가절감2"/>
      <sheetName val="8_외주비집행현황2"/>
      <sheetName val="9_자재비2"/>
      <sheetName val="10_현장집행2"/>
      <sheetName val="3_추가원가2"/>
      <sheetName val="3_추가원가_(2)2"/>
      <sheetName val="4_사전공사2"/>
      <sheetName val="5_추정공사비2"/>
      <sheetName val="6_금융비용2"/>
      <sheetName val="7_공사비집행현황(총괄)2"/>
      <sheetName val="11_1생산성2"/>
      <sheetName val="11_2인원산출2"/>
      <sheetName val="변경실행(2차)_2"/>
      <sheetName val="CC_Down_load_07162"/>
      <sheetName val="나_출고2"/>
      <sheetName val="나_입고2"/>
      <sheetName val="09년_인건비(속리산)2"/>
      <sheetName val="합산목표(감가+57_5)2"/>
      <sheetName val="__한국_AMP_ASP-23_판매가격__1"/>
      <sheetName val="제조원가_원단위_분석1"/>
      <sheetName val="종합표양식(품의_&amp;_입고)_21"/>
      <sheetName val="원가관리_(동월대비)1"/>
      <sheetName val="b_balju_(2)1"/>
      <sheetName val="2-2_매출분석1"/>
      <sheetName val="몰드시스템_리스트1"/>
      <sheetName val="11_외화채무증권(AFS,HTM)081"/>
      <sheetName val="13_감액TEST_081"/>
      <sheetName val="7_(2)1"/>
      <sheetName val="12년_CF(9월)1"/>
      <sheetName val="중기조종사_단위단가1"/>
      <sheetName val="6PILE__(돌출)1"/>
      <sheetName val="기성청구_공문2"/>
      <sheetName val="Sheet1_(2)1"/>
      <sheetName val="2_대외공문1"/>
      <sheetName val="表21_净利润调节表1"/>
      <sheetName val="sum1_(2)1"/>
      <sheetName val="3_바닥판설계1"/>
      <sheetName val="504전기실_동부하-L1"/>
      <sheetName val="2_총괄표1"/>
      <sheetName val="OUTER_AREA(겹침없음)1"/>
      <sheetName val="EL_표면적1"/>
      <sheetName val="P_M_별"/>
      <sheetName val="대구경북"/>
      <sheetName val="월별손익현황"/>
      <sheetName val="서울서부"/>
      <sheetName val="부산경남"/>
      <sheetName val="서울동부"/>
      <sheetName val="인천경기"/>
      <sheetName val="중부본부"/>
      <sheetName val="호남본부"/>
      <sheetName val="15년"/>
      <sheetName val="16년"/>
      <sheetName val="공사비예산서(토목분)"/>
      <sheetName val="공정단가계약"/>
      <sheetName val="병"/>
      <sheetName val="64061000"/>
      <sheetName val="钢板差异"/>
      <sheetName val="시험연구비상각"/>
      <sheetName val="외화"/>
      <sheetName val="Tong hop"/>
      <sheetName val="MarketData"/>
      <sheetName val="Definitions"/>
      <sheetName val="95.1.1이후취득자산(숨기기상태)"/>
      <sheetName val="RV미수수익보정"/>
      <sheetName val="불균등-거치외(미수)"/>
      <sheetName val="불균등-TOP(선수)"/>
      <sheetName val="법인구분"/>
      <sheetName val="기초코드"/>
      <sheetName val="1.MDF1공장"/>
      <sheetName val="제1호"/>
      <sheetName val="차액보증"/>
      <sheetName val="도"/>
      <sheetName val="의정부문예회관변경내역"/>
      <sheetName val="125PIECE"/>
      <sheetName val="原価センタ"/>
      <sheetName val="Data Validation"/>
      <sheetName val="근거 및 가정"/>
      <sheetName val="2 카드채권(대출포함)"/>
      <sheetName val="부하(성남)"/>
      <sheetName val="Sheet5"/>
      <sheetName val="납부내역총괄표 (수정)"/>
      <sheetName val="감액총괄표"/>
      <sheetName val="9GNG운반"/>
      <sheetName val="수종별수량 (2)"/>
      <sheetName val="구간별수량"/>
      <sheetName val="118.세금과공과"/>
      <sheetName val="수선비"/>
      <sheetName val="기초"/>
      <sheetName val="재무상태표"/>
      <sheetName val="총괄표"/>
      <sheetName val="배수공"/>
      <sheetName val="노동부"/>
      <sheetName val="전선 및 전선관"/>
      <sheetName val="연습"/>
      <sheetName val="위탁매매_1103"/>
      <sheetName val="자기매매_1103"/>
      <sheetName val="위탁매매_1109"/>
      <sheetName val="자기매매_1109"/>
      <sheetName val="_x005f_x0018_"/>
      <sheetName val="1.차입금"/>
      <sheetName val="choose"/>
      <sheetName val="본문"/>
      <sheetName val="FILE1"/>
      <sheetName val="FILE2"/>
      <sheetName val="6-5공구원본"/>
      <sheetName val="부대시행1"/>
      <sheetName val="부대시행1 (2)"/>
      <sheetName val="부대시행2"/>
      <sheetName val="부대토공"/>
      <sheetName val="부대철콘"/>
      <sheetName val="부대토공실"/>
      <sheetName val="부대철콘실"/>
      <sheetName val="Sheet8"/>
      <sheetName val="ETC"/>
      <sheetName val="95하U$가격"/>
      <sheetName val="3.6.2남양주택배"/>
      <sheetName val="Manual"/>
      <sheetName val="Back Data 1"/>
      <sheetName val="__"/>
      <sheetName val="판가반영"/>
      <sheetName val="설산1.나"/>
      <sheetName val="본사S"/>
      <sheetName val="약품공급2"/>
      <sheetName val="수량산출"/>
      <sheetName val="개산공사비"/>
      <sheetName val="소총괄표"/>
      <sheetName val="아파트연면적비율(참고1)"/>
      <sheetName val="전체철근집계"/>
      <sheetName val="슬래԰"/>
      <sheetName val="슬래"/>
      <sheetName val="슬래렀"/>
      <sheetName val="슬래㰀"/>
      <sheetName val="슬래밀"/>
      <sheetName val="선급비용"/>
      <sheetName val="접대비"/>
      <sheetName val="해외 기술훈련비 (합계)"/>
      <sheetName val="최소가치(간편)-회계"/>
      <sheetName val="회사제시"/>
      <sheetName val="1월 예산"/>
      <sheetName val="슬래　"/>
      <sheetName val="슬래尀"/>
      <sheetName val="슬래⠀"/>
      <sheetName val="슬래"/>
      <sheetName val="슬래堌"/>
      <sheetName val=" 견적서"/>
      <sheetName val="선평원내역"/>
      <sheetName val="Weekly Progress(계장)"/>
      <sheetName val="BID"/>
      <sheetName val="식재품셈"/>
      <sheetName val="원가1"/>
      <sheetName val="원가2"/>
      <sheetName val="0101시산표"/>
      <sheetName val="oct"/>
      <sheetName val="sep"/>
      <sheetName val="미지급금"/>
      <sheetName val="선급금"/>
      <sheetName val="aug"/>
      <sheetName val="단기차입금"/>
      <sheetName val="외화보통예금"/>
      <sheetName val="외회외상매입금"/>
      <sheetName val="외화외상매출금"/>
      <sheetName val="장기차입금"/>
      <sheetName val="일위대가(계측기설치)"/>
      <sheetName val="Master"/>
      <sheetName val="Macro1"/>
      <sheetName val="설문 평가"/>
      <sheetName val="RAW"/>
      <sheetName val="수량산출내역1115"/>
      <sheetName val="화전내"/>
      <sheetName val="슬래䰀"/>
      <sheetName val="11월"/>
      <sheetName val="슬래퀀"/>
      <sheetName val="슬래簀"/>
      <sheetName val="슬래瀀"/>
      <sheetName val="BD%_70s"/>
      <sheetName val="특외대"/>
      <sheetName val="슬래鰀"/>
      <sheetName val="슬래뀀"/>
      <sheetName val="기초정보"/>
      <sheetName val="소야공정계획표"/>
      <sheetName val="종단계산"/>
      <sheetName val="산출근거(S4)"/>
      <sheetName val="#1) 투자 구분"/>
      <sheetName val="U_TYPE_1_"/>
      <sheetName val="설치자재"/>
      <sheetName val="Utility Usage YTN TOWER"/>
      <sheetName val="98수문일위"/>
      <sheetName val="수량산출서 갑지"/>
      <sheetName val="TYPE-1"/>
      <sheetName val="1_종합손익(도급)4"/>
      <sheetName val="1_종합손익(주택,개발)3"/>
      <sheetName val="2_실행예산3"/>
      <sheetName val="2_2과부족3"/>
      <sheetName val="2_3원가절감3"/>
      <sheetName val="8_외주비집행현황3"/>
      <sheetName val="9_자재비3"/>
      <sheetName val="10_현장집행3"/>
      <sheetName val="3_추가원가3"/>
      <sheetName val="3_추가원가_(2)3"/>
      <sheetName val="4_사전공사3"/>
      <sheetName val="5_추정공사비3"/>
      <sheetName val="6_금융비용3"/>
      <sheetName val="7_공사비집행현황(총괄)3"/>
      <sheetName val="11_1생산성3"/>
      <sheetName val="11_2인원산출3"/>
      <sheetName val="CC_Down_load_07163"/>
      <sheetName val="변경실행(2차)_3"/>
      <sheetName val="나_출고3"/>
      <sheetName val="나_입고3"/>
      <sheetName val="09년_인건비(속리산)3"/>
      <sheetName val="합산목표(감가+57_5)3"/>
      <sheetName val="b_balju_(2)2"/>
      <sheetName val="__한국_AMP_ASP-23_판매가격__2"/>
      <sheetName val="중기조종사_단위단가2"/>
      <sheetName val="6PILE__(돌출)2"/>
      <sheetName val="기성청구_공문3"/>
      <sheetName val="2_주요계수총괄"/>
      <sheetName val="제조원가_원단위_분석2"/>
      <sheetName val="종합표양식(품의_&amp;_입고)_22"/>
      <sheetName val="원가관리_(동월대비)2"/>
      <sheetName val="7_(2)2"/>
      <sheetName val="2-2_매출분석2"/>
      <sheetName val="몰드시스템_리스트2"/>
      <sheetName val="sum1_(2)2"/>
      <sheetName val="11_외화채무증권(AFS,HTM)082"/>
      <sheetName val="13_감액TEST_082"/>
      <sheetName val="Sheet1_(2)2"/>
      <sheetName val="3_바닥판설계2"/>
      <sheetName val="2_총괄표2"/>
      <sheetName val="입찰내역_발주처_양식"/>
      <sheetName val="12년_CF(9월)2"/>
      <sheetName val="Project_Brief"/>
      <sheetName val="表21_净利润调节表2"/>
      <sheetName val="입출재고현황_(2)"/>
      <sheetName val="2_대외공문2"/>
      <sheetName val="TRE_TABLE"/>
      <sheetName val="504전기실_동부하-L2"/>
      <sheetName val="OUTER_AREA(겹침없음)2"/>
      <sheetName val="EL_표면적2"/>
      <sheetName val="P_M_별1"/>
      <sheetName val="단면_(2)"/>
      <sheetName val="1_본사계정별"/>
      <sheetName val="전사_PL1"/>
      <sheetName val="자금_제외_PL1"/>
      <sheetName val="자금_PL1"/>
      <sheetName val="전사_BS1"/>
      <sheetName val="자금_제외_BS1"/>
      <sheetName val="자금_BS1"/>
      <sheetName val="BS_계정_설명1"/>
      <sheetName val="_Cash_Flow(전사)1"/>
      <sheetName val="_Cash_Flow(자금제외)1"/>
      <sheetName val="_Cash_Flow(자금)1"/>
      <sheetName val="ROIC_1"/>
      <sheetName val="인건비_명세1"/>
      <sheetName val="판관비_명세1"/>
      <sheetName val="OH_Cost경비(내역)1"/>
      <sheetName val="OH_Cost경비(배부기준)1"/>
      <sheetName val="기타수지&amp;특별손익_명세1"/>
      <sheetName val="Process_List"/>
      <sheetName val="제시_손익계산서"/>
      <sheetName val="업무연락_(2)"/>
      <sheetName val="M_7회차_담금_계획"/>
      <sheetName val="01_02월_성과급1"/>
      <sheetName val="09~10년_매출계획"/>
      <sheetName val="97_사업추정(WEKI)"/>
      <sheetName val="팀별_실적"/>
      <sheetName val="팀별_실적_(환산)"/>
      <sheetName val="6월_공정외주"/>
      <sheetName val="Tong_hop"/>
      <sheetName val="95_1_1이후취득자산(숨기기상태)"/>
      <sheetName val="1_MDF1공장"/>
      <sheetName val="Facility_Information"/>
      <sheetName val="안산기계장치"/>
      <sheetName val="Bond"/>
      <sheetName val="품목코드표"/>
      <sheetName val="명단원자료(이전)"/>
      <sheetName val="Data_Validation"/>
      <sheetName val="부서별집계표"/>
      <sheetName val="금년실적"/>
      <sheetName val="B-1.기본정보"/>
      <sheetName val="원본"/>
      <sheetName val="要員用master"/>
      <sheetName val="TB"/>
      <sheetName val="PL"/>
      <sheetName val="CS"/>
      <sheetName val="공정"/>
      <sheetName val="예산계정INDEX"/>
      <sheetName val="환율change"/>
      <sheetName val="일반관리비"/>
      <sheetName val="보고서"/>
      <sheetName val="인수기간별S"/>
      <sheetName val="본부유지율"/>
      <sheetName val="4-2물건누계"/>
      <sheetName val="자동차추정자료"/>
      <sheetName val="손해감소유형"/>
      <sheetName val="7"/>
      <sheetName val="항목"/>
      <sheetName val="대투_보관자료 변경"/>
      <sheetName val="내수자재"/>
      <sheetName val="2013.2월 연결대상"/>
      <sheetName val="BS_Package_내부거래"/>
      <sheetName val="PL_Package_내부거래"/>
      <sheetName val="손익실적"/>
      <sheetName val="손익실적(매출원가)"/>
      <sheetName val="당년사별실적"/>
      <sheetName val="VXXXX"/>
      <sheetName val="탄산"/>
      <sheetName val="Back_Data_1"/>
      <sheetName val="※유형구분분류"/>
      <sheetName val="※类型区分分类"/>
      <sheetName val="선택창"/>
      <sheetName val="외주현황.wq1"/>
      <sheetName val="첨부1(손익관리)"/>
      <sheetName val="카메라2"/>
      <sheetName val="카메라1"/>
      <sheetName val="첨부11(기계정지개선)"/>
      <sheetName val="카메라3"/>
      <sheetName val="카메라-생산실적"/>
      <sheetName val="카메라-생산실적분석"/>
      <sheetName val="sheet6"/>
      <sheetName val="MAT"/>
      <sheetName val="실행기성 갑지"/>
      <sheetName val="Eq. Mobilization"/>
      <sheetName val="기계경비"/>
      <sheetName val="조도계산서 (도서)"/>
      <sheetName val="FitOutConfCentre"/>
      <sheetName val="제-노임"/>
      <sheetName val="최적단면"/>
      <sheetName val="공사비_NDE"/>
      <sheetName val="도급예산내역서봉투"/>
      <sheetName val="공사원가계산서"/>
      <sheetName val="설계산출표지"/>
      <sheetName val="도급예산내역서총괄표"/>
      <sheetName val="을부담운반비"/>
      <sheetName val="운반비산출"/>
      <sheetName val="청천내"/>
      <sheetName val="현장경비"/>
      <sheetName val="데이타"/>
      <sheetName val="세금자료"/>
      <sheetName val="sum_x0008__x0000__x000d__x0000__x0006__x0000_"/>
      <sheetName val="Ѐ܀ऀ܀؀਀؀Ԁ̀Ѐ̀Ѐࠀ܀ఀ؀܀"/>
      <sheetName val="배열수식"/>
      <sheetName val="설계조건"/>
      <sheetName val="RE"/>
      <sheetName val="FP"/>
      <sheetName val="IS"/>
      <sheetName val="NCR_HEC_6 Opens"/>
      <sheetName val="NCR_HEC_4 Open &amp; Vendor_2 Opens"/>
      <sheetName val="表21_净利润夐#奜#"/>
      <sheetName val="기초견적가"/>
      <sheetName val="TANK"/>
      <sheetName val="조건표"/>
      <sheetName val="결과조달"/>
      <sheetName val="견적대비표"/>
      <sheetName val="포장복구집계"/>
      <sheetName val="간선계산"/>
      <sheetName val="AS복구"/>
      <sheetName val="2000년1차"/>
      <sheetName val="Code"/>
      <sheetName val="전기"/>
      <sheetName val="ITEM"/>
      <sheetName val="일반공사"/>
      <sheetName val="터널조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변수값"/>
      <sheetName val="요율"/>
      <sheetName val="2공구하도급내역서"/>
      <sheetName val="시설물"/>
      <sheetName val="연결임시"/>
      <sheetName val="구조물공"/>
      <sheetName val="부대tu"/>
      <sheetName val="9509"/>
      <sheetName val="투찰추정"/>
      <sheetName val="하부철근수량"/>
      <sheetName val="식재출력용"/>
      <sheetName val="가로등내역서"/>
      <sheetName val="저"/>
      <sheetName val="Baby일위대가"/>
      <sheetName val="실행대비"/>
      <sheetName val="지급자재"/>
      <sheetName val="노무비단가"/>
      <sheetName val="관리,공감"/>
      <sheetName val="식재인부"/>
      <sheetName val="입찰"/>
      <sheetName val="산출내역서"/>
      <sheetName val="4차원가계산서"/>
      <sheetName val="중기상차"/>
      <sheetName val="단가결정"/>
      <sheetName val="유지관리"/>
      <sheetName val="내역아"/>
      <sheetName val="여과지동"/>
      <sheetName val="울타리"/>
      <sheetName val="기초자료"/>
      <sheetName val="자재대"/>
      <sheetName val="조명율표"/>
      <sheetName val="원가"/>
      <sheetName val="공정코드"/>
      <sheetName val="토공"/>
      <sheetName val="총괄-1"/>
      <sheetName val="도급"/>
      <sheetName val="포장공"/>
      <sheetName val="설 계"/>
      <sheetName val="현경"/>
      <sheetName val="단가대비표"/>
      <sheetName val="기계"/>
      <sheetName val="정화조"/>
      <sheetName val="토목"/>
      <sheetName val="F 월별기성수금현황 "/>
      <sheetName val="준검 내역서"/>
      <sheetName val="배수내역"/>
      <sheetName val="터널전기"/>
      <sheetName val="수목단가"/>
      <sheetName val="시설수량표"/>
      <sheetName val="식재수량표"/>
      <sheetName val="을-ATYPE"/>
      <sheetName val="N賃率-職"/>
      <sheetName val="C1.3.1"/>
      <sheetName val="13.포장용역비표준"/>
      <sheetName val="9.가공부자재표준"/>
      <sheetName val="8.ROLL표준(TSW)"/>
      <sheetName val="4.톤당조관량표준"/>
      <sheetName val="5.조관부자재표준"/>
      <sheetName val="부대공Ⅱ"/>
      <sheetName val="입찰내역 Ĉ_x0000__x0000_ᇆ"/>
      <sheetName val="입찰내역 Ĉ_x0000__x0000_ᇆ"/>
      <sheetName val="정보화기기매출"/>
      <sheetName val="Bonuses"/>
      <sheetName val="HQ 급여 "/>
      <sheetName val="OF 급여"/>
      <sheetName val="F.Ma급여"/>
      <sheetName val="SMT 급여"/>
      <sheetName val="QC 급여"/>
      <sheetName val="Sam sung 급여"/>
      <sheetName val="Dlock 급여"/>
      <sheetName val=" thôi việc 급여"/>
      <sheetName val="Công smt"/>
      <sheetName val="Công smt (2)"/>
      <sheetName val="Detail smt"/>
      <sheetName val="Công QC"/>
      <sheetName val="Detail QC "/>
      <sheetName val="Công SS"/>
      <sheetName val="Detail SS"/>
      <sheetName val="Công FMa"/>
      <sheetName val="Detail FMa"/>
      <sheetName val="Công OF"/>
      <sheetName val="Detail OF"/>
      <sheetName val="Công Dlock"/>
      <sheetName val="Detail Dlock"/>
      <sheetName val="Công thôi việc"/>
      <sheetName val="Detail thôi"/>
      <sheetName val="EPOXY"/>
      <sheetName val="2-1.강사료,교통비 지급명세"/>
      <sheetName val="compare2"/>
      <sheetName val="Krw"/>
      <sheetName val="BS"/>
      <sheetName val="추정pl"/>
      <sheetName val="KEY CODE"/>
      <sheetName val="予算実績管理現況"/>
      <sheetName val="FA-LISTING"/>
      <sheetName val="고정자산-회사제시"/>
      <sheetName val="해외_기술훈련비_(합계)"/>
      <sheetName val="118_세금과공과"/>
      <sheetName val="97년"/>
      <sheetName val="????"/>
      <sheetName val="규"/>
      <sheetName val="규(3)"/>
      <sheetName val="소"/>
      <sheetName val="RE(2)"/>
      <sheetName val="4. Inj 투자상세내역"/>
      <sheetName val="3. Blow 투자 상세내역"/>
      <sheetName val="4__Inj_투자상세내역"/>
      <sheetName val="3__Blow_투자_상세내역"/>
      <sheetName val="Jul-Sep Actual cost (2)"/>
      <sheetName val="97실적"/>
      <sheetName val="을지"/>
      <sheetName val="npv"/>
      <sheetName val="13손익(실적)"/>
      <sheetName val="이름표시"/>
      <sheetName val="요일 테이블"/>
      <sheetName val="요일테이블"/>
      <sheetName val="요일_테이블"/>
      <sheetName val="요일 테이블 (2)"/>
      <sheetName val="TO Data Base"/>
      <sheetName val="YTD Summary"/>
      <sheetName val="Month Summary"/>
      <sheetName val="Trial Balance MAY 2009"/>
      <sheetName val="TB Pivot"/>
      <sheetName val="Freight"/>
      <sheetName val="Freight-loc"/>
      <sheetName val="Freight-Mat"/>
      <sheetName val="Rebates"/>
      <sheetName val="total per LB LB2"/>
      <sheetName val="Trial Balance Vlookup"/>
      <sheetName val="Trial Balance APRIL 2009"/>
      <sheetName val="目录"/>
      <sheetName val="Lists"/>
      <sheetName val="Step2_Correlation"/>
      <sheetName val="Step2_Histogram"/>
      <sheetName val="Roll Out_AQ"/>
      <sheetName val="DePara"/>
      <sheetName val="2004"/>
      <sheetName val="VPO"/>
      <sheetName val="Evolução mandamentos"/>
      <sheetName val="Prod"/>
      <sheetName val="Eficiencia"/>
      <sheetName val="Tabelas"/>
      <sheetName val="Planilha resultados"/>
      <sheetName val="Custos"/>
      <sheetName val="Historico 2003"/>
      <sheetName val="BH"/>
      <sheetName val="Ferias"/>
      <sheetName val="Sig Cycles_Accts &amp; Processes"/>
      <sheetName val="TO_Data_Base"/>
      <sheetName val="YTD_Summary"/>
      <sheetName val="Month_Summary"/>
      <sheetName val="Trial_Balance_MAY_2009"/>
      <sheetName val="TB_Pivot"/>
      <sheetName val="total_per_LB_LB2"/>
      <sheetName val="Trial_Balance_Vlookup"/>
      <sheetName val="Trial_Balance_APRIL_2009"/>
      <sheetName val="Roll_Out_AQ"/>
      <sheetName val="Evolução_mandamentos"/>
      <sheetName val="3 ISo YTD"/>
      <sheetName val="GuV"/>
      <sheetName val="E 法规NC"/>
      <sheetName val="KPI与VIC"/>
      <sheetName val="Données LMU"/>
      <sheetName val="Brazil Sovereign"/>
      <sheetName val="Gauge"/>
      <sheetName val="Resumen Costo"/>
      <sheetName val="Production_REP_CURR"/>
      <sheetName val="Dropdownlists"/>
      <sheetName val="Tabs"/>
      <sheetName val="padajuća_lista"/>
      <sheetName val="Controls_data"/>
      <sheetName val="Assiduidade"/>
      <sheetName val="Fixed ZBB"/>
      <sheetName val="TO_Data_Base1"/>
      <sheetName val="STARTSHEET"/>
      <sheetName val="Base_PEF2"/>
      <sheetName val="CADASTRO"/>
      <sheetName val="dados"/>
      <sheetName val="DIST"/>
      <sheetName val="MALHAD"/>
      <sheetName val="MUG"/>
      <sheetName val="packages"/>
      <sheetName val="Curve"/>
      <sheetName val="PUXADIA"/>
      <sheetName val="Controls_data2"/>
      <sheetName val="5.1"/>
      <sheetName val="Extract Loss"/>
      <sheetName val="QA 跟踪记录表"/>
      <sheetName val="RG Depots"/>
      <sheetName val="Overview"/>
      <sheetName val="material data"/>
      <sheetName val="other data"/>
      <sheetName val="Como Estamos"/>
      <sheetName val="Front"/>
      <sheetName val="#REF!"/>
      <sheetName val="Database (RUR)Mar YTD"/>
      <sheetName val="参数"/>
      <sheetName val="数据"/>
      <sheetName val="Mapping"/>
      <sheetName val="SKU Mapping"/>
      <sheetName val="参数表"/>
      <sheetName val="Drop Down"/>
      <sheetName val="相关字段"/>
      <sheetName val="产品层次"/>
      <sheetName val="Drops"/>
      <sheetName val="HuNan"/>
      <sheetName val="销售组织"/>
      <sheetName val="物料类型清单"/>
      <sheetName val="评估级别"/>
      <sheetName val="Volumen"/>
      <sheetName val="Parameters"/>
      <sheetName val="Cases"/>
      <sheetName val="Revenues"/>
      <sheetName val="Assumptions"/>
      <sheetName val="Raw Data"/>
      <sheetName val="10年KPI预算"/>
      <sheetName val="数据源"/>
      <sheetName val="EBM-2 GHQ"/>
      <sheetName val="Base PEF"/>
      <sheetName val="Canal"/>
      <sheetName val="Ajustes"/>
      <sheetName val="Placas"/>
      <sheetName val="TO_Data_Base3"/>
      <sheetName val="YTD_Summary3"/>
      <sheetName val="Month_Summary3"/>
      <sheetName val="Trial_Balance_MAY_20093"/>
      <sheetName val="TB_Pivot3"/>
      <sheetName val="total_per_LB_LB23"/>
      <sheetName val="Trial_Balance_Vlookup3"/>
      <sheetName val="Trial_Balance_APRIL_20093"/>
      <sheetName val="Evolução_mandamentos3"/>
      <sheetName val="Roll_Out_AQ3"/>
      <sheetName val="Planilha_resultados2"/>
      <sheetName val="Historico_20032"/>
      <sheetName val="Sig_Cycles_Accts_&amp;_Processes2"/>
      <sheetName val="YTD_Summary1"/>
      <sheetName val="Month_Summary1"/>
      <sheetName val="Trial_Balance_MAY_20091"/>
      <sheetName val="TB_Pivot1"/>
      <sheetName val="total_per_LB_LB21"/>
      <sheetName val="Trial_Balance_Vlookup1"/>
      <sheetName val="Trial_Balance_APRIL_20091"/>
      <sheetName val="Evolução_mandamentos1"/>
      <sheetName val="Roll_Out_AQ1"/>
      <sheetName val="Planilha_resultados"/>
      <sheetName val="Historico_2003"/>
      <sheetName val="Sig_Cycles_Accts_&amp;_Processes"/>
      <sheetName val="Feriados"/>
      <sheetName val="Crit"/>
      <sheetName val="Unidades_SAC-REVENDA1"/>
      <sheetName val="Engine"/>
      <sheetName val="REALxMETA_-_CERVEJA"/>
      <sheetName val="menu"/>
      <sheetName val="Principal"/>
      <sheetName val="PM"/>
      <sheetName val="Empresas"/>
      <sheetName val="REALxMETA_-_CERVEJA1"/>
      <sheetName val="Validate"/>
      <sheetName val="Premissas"/>
      <sheetName val="CDI"/>
      <sheetName val="Setup"/>
      <sheetName val="M-Quest"/>
      <sheetName val="Dev_SAC_"/>
      <sheetName val="Fab2"/>
      <sheetName val="MêsBase"/>
      <sheetName val="PREVISÃO"/>
      <sheetName val="12_1"/>
      <sheetName val="CVsku"/>
      <sheetName val="Financials"/>
      <sheetName val="Plan3"/>
      <sheetName val="Anual"/>
      <sheetName val="fabricas"/>
      <sheetName val="Plan1"/>
      <sheetName val="FRA"/>
      <sheetName val="COUPOM"/>
      <sheetName val="Brainstorming1"/>
      <sheetName val="aux"/>
      <sheetName val="Set_Up1"/>
      <sheetName val="BD"/>
      <sheetName val="Listas"/>
      <sheetName val="Meta"/>
      <sheetName val="Months_and_Countries"/>
      <sheetName val="Resumo"/>
      <sheetName val="Entrada_de_Dados1"/>
      <sheetName val="Projects_list"/>
      <sheetName val="Dev_Mercado"/>
      <sheetName val="Nossa_Meta"/>
      <sheetName val="Participantes"/>
      <sheetName val="EI_Calc1"/>
      <sheetName val="Controle"/>
      <sheetName val="9"/>
      <sheetName val="qyrMetas_Real"/>
      <sheetName val="REALxMETA_-_REFRI1"/>
      <sheetName val="Sispec99"/>
      <sheetName val="SispecPSAP"/>
      <sheetName val="Tab_Aux1"/>
      <sheetName val="Custo_Variável"/>
      <sheetName val="Bloomberg"/>
      <sheetName val="Dados_do_Packaging"/>
      <sheetName val="Tendência"/>
      <sheetName val="Perda_Lata"/>
      <sheetName val="Unidades_SAC-REVENDA"/>
      <sheetName val="JUNIO"/>
      <sheetName val="TO_Data_Base2"/>
      <sheetName val="YTD_Summary2"/>
      <sheetName val="Month_Summary2"/>
      <sheetName val="Trial_Balance_MAY_20092"/>
      <sheetName val="TB_Pivot2"/>
      <sheetName val="total_per_LB_LB22"/>
      <sheetName val="Trial_Balance_Vlookup2"/>
      <sheetName val="Trial_Balance_APRIL_20092"/>
      <sheetName val="Evolução_mandamentos2"/>
      <sheetName val="Roll_Out_AQ2"/>
      <sheetName val="Planilha_resultados1"/>
      <sheetName val="Historico_20031"/>
      <sheetName val="Sig_Cycles_Accts_&amp;_Processes1"/>
      <sheetName val="TO_Data_Base4"/>
      <sheetName val="YTD_Summary4"/>
      <sheetName val="Month_Summary4"/>
      <sheetName val="Trial_Balance_MAY_20094"/>
      <sheetName val="TB_Pivot4"/>
      <sheetName val="total_per_LB_LB24"/>
      <sheetName val="Trial_Balance_Vlookup4"/>
      <sheetName val="Trial_Balance_APRIL_20094"/>
      <sheetName val="Evolução_mandamentos4"/>
      <sheetName val="Roll_Out_AQ4"/>
      <sheetName val="Planilha_resultados3"/>
      <sheetName val="Historico_20033"/>
      <sheetName val="Sig_Cycles_Accts_&amp;_Processes3"/>
      <sheetName val="TO_Data_Base5"/>
      <sheetName val="YTD_Summary5"/>
      <sheetName val="Month_Summary5"/>
      <sheetName val="Trial_Balance_MAY_20095"/>
      <sheetName val="TB_Pivot5"/>
      <sheetName val="total_per_LB_LB25"/>
      <sheetName val="Trial_Balance_Vlookup5"/>
      <sheetName val="Trial_Balance_APRIL_20095"/>
      <sheetName val="Evolução_mandamentos5"/>
      <sheetName val="Roll_Out_AQ5"/>
      <sheetName val="Planilha_resultados4"/>
      <sheetName val="Historico_20034"/>
      <sheetName val="Sig_Cycles_Accts_&amp;_Processes4"/>
      <sheetName val="POA"/>
      <sheetName val="Parâmetros"/>
      <sheetName val="Base de Dados"/>
      <sheetName val="Margem_OE"/>
      <sheetName val="Testing Template Guidance"/>
      <sheetName val="Test Programs"/>
      <sheetName val="List"/>
      <sheetName val="VIC"/>
      <sheetName val="VLC"/>
      <sheetName val="BaseDados"/>
      <sheetName val="TO_Data_Base6"/>
      <sheetName val="YTD_Summary6"/>
      <sheetName val="Month_Summary6"/>
      <sheetName val="Trial_Balance_MAY_20096"/>
      <sheetName val="TB_Pivot6"/>
      <sheetName val="total_per_LB_LB26"/>
      <sheetName val="Trial_Balance_Vlookup6"/>
      <sheetName val="Trial_Balance_APRIL_20096"/>
      <sheetName val="Evolução_mandamentos6"/>
      <sheetName val="Roll_Out_AQ6"/>
      <sheetName val="Planilha_resultados5"/>
      <sheetName val="Historico_20035"/>
      <sheetName val="Sig_Cycles_Accts_&amp;_Processes5"/>
      <sheetName val="Back-up"/>
      <sheetName val="MOL"/>
      <sheetName val="Dados BLP"/>
      <sheetName val="Controls data"/>
      <sheetName val="核心经销商销量"/>
      <sheetName val="ValidDataDrops"/>
      <sheetName val="BLP"/>
      <sheetName val="FJJX Bud_IB"/>
      <sheetName val="DATOS"/>
      <sheetName val="look-up data"/>
      <sheetName val="Tabela1"/>
      <sheetName val="[손익기01.XL_x0000__x0000_DePara"/>
      <sheetName val="JOB PROFILE - LAS"/>
      <sheetName val="ARdistr (2)"/>
      <sheetName val="MonthlyChart_Budget"/>
      <sheetName val="Forecast_Chart"/>
      <sheetName val="Forecast_Chart_2"/>
      <sheetName val="Monthly_Forecast"/>
      <sheetName val="MonthlyChart_Simple"/>
      <sheetName val="MonthlyChart_Sloped"/>
      <sheetName val="lookup"/>
      <sheetName val="基本信息"/>
      <sheetName val="SKU_Profile"/>
      <sheetName val="Prd.Hierarchy(产品层级)"/>
      <sheetName val="600ML"/>
      <sheetName val="producto"/>
      <sheetName val="Com (2PK)"/>
      <sheetName val="ctmg"/>
      <sheetName val="Asset"/>
      <sheetName val="MODELO"/>
      <sheetName val="ANS-Ap_Result_2003"/>
      <sheetName val="SupplyChainData"/>
      <sheetName val="Reasons"/>
      <sheetName val="Fun_Bl_Prod"/>
      <sheetName val="Calculos"/>
      <sheetName val="backlog"/>
      <sheetName val="Prd.Hierarchy(产品层次)"/>
      <sheetName val="Project Code"/>
      <sheetName val="Base_PEF"/>
      <sheetName val="Нарушения"/>
      <sheetName val="15년 BL 사계"/>
      <sheetName val="_손익기01.XL"/>
      <sheetName val="TargIS"/>
      <sheetName val="drop down list"/>
      <sheetName val="источник"/>
      <sheetName val="Fixed_ZBB"/>
      <sheetName val="E_法规NC"/>
      <sheetName val="3_ISo_YTD"/>
      <sheetName val="Données_LMU"/>
      <sheetName val="Brazil_Sovereign"/>
      <sheetName val="Base_de_Dados"/>
      <sheetName val="Resumen_Costo"/>
      <sheetName val="Extract_Loss"/>
      <sheetName val="TO_Data_Base7"/>
      <sheetName val="Groupings"/>
      <sheetName val="cat&amp;ee"/>
      <sheetName val="SKU"/>
      <sheetName val="[손익기01.XL_x005f_x0000__x005f_x0000_DePara"/>
      <sheetName val="ES部行动跟踪记录"/>
      <sheetName val="TO_Data_Base8"/>
      <sheetName val="YTD_Summary7"/>
      <sheetName val="Month_Summary7"/>
      <sheetName val="Trial_Balance_MAY_20097"/>
      <sheetName val="TB_Pivot7"/>
      <sheetName val="total_per_LB_LB27"/>
      <sheetName val="Trial_Balance_Vlookup7"/>
      <sheetName val="Trial_Balance_APRIL_20097"/>
      <sheetName val="Roll_Out_AQ7"/>
      <sheetName val="Evolução_mandamentos7"/>
      <sheetName val="Planilha_resultados6"/>
      <sheetName val="Historico_20036"/>
      <sheetName val="[손익기01.XL"/>
      <sheetName val="Sig_Cycles_Accts_&amp;_Processes6"/>
      <sheetName val="Como_Estamos"/>
      <sheetName val="ARdistr_(2)"/>
      <sheetName val="QA_跟踪记录表"/>
      <sheetName val="5_1"/>
      <sheetName val="Controls_data1"/>
      <sheetName val="RG_Depots"/>
      <sheetName val="material_data"/>
      <sheetName val="other_data"/>
      <sheetName val="Database_(RUR)Mar_YTD"/>
      <sheetName val="SKU_Mapping"/>
      <sheetName val="Drop_Down"/>
      <sheetName val="Raw_Data"/>
      <sheetName val="EBM-2_GHQ"/>
      <sheetName val="Testing_Template_Guidance"/>
      <sheetName val="Test_Programs"/>
      <sheetName val="Dados_BLP"/>
      <sheetName val="[손익기01_XLDePara"/>
      <sheetName val="Execution"/>
      <sheetName val="Tablas"/>
      <sheetName val="Income Stmt"/>
      <sheetName val="JOB_PROFILE_-_LAS"/>
      <sheetName val="Quarterly LBO Model"/>
      <sheetName val="_손익기01.XL_x005f_x0000__x005f_x0000_DePara"/>
      <sheetName val="전사_PL2"/>
      <sheetName val="자금_제외_PL2"/>
      <sheetName val="자금_PL2"/>
      <sheetName val="전사_BS2"/>
      <sheetName val="자금_제외_BS2"/>
      <sheetName val="자금_BS2"/>
      <sheetName val="BS_계정_설명2"/>
      <sheetName val="_Cash_Flow(전사)2"/>
      <sheetName val="_Cash_Flow(자금제외)2"/>
      <sheetName val="_Cash_Flow(자금)2"/>
      <sheetName val="ROIC_2"/>
      <sheetName val="인건비_명세2"/>
      <sheetName val="판관비_명세2"/>
      <sheetName val="OH_Cost경비(내역)2"/>
      <sheetName val="OH_Cost경비(배부기준)2"/>
      <sheetName val="기타수지&amp;특별손익_명세2"/>
      <sheetName val="업무연락_(2)1"/>
      <sheetName val="제시_손익계산서1"/>
      <sheetName val="01_02월_성과급2"/>
      <sheetName val="M_7회차_담금_계획1"/>
      <sheetName val="팀별_실적1"/>
      <sheetName val="팀별_실적_(환산)1"/>
      <sheetName val="4__Inj_투자상세내역1"/>
      <sheetName val="3__Blow_투자_상세내역1"/>
      <sheetName val="Process_List1"/>
      <sheetName val="요일_테이블1"/>
      <sheetName val="요일_테이블_(2)"/>
      <sheetName val="TO_Data_Base9"/>
      <sheetName val="YTD_Summary8"/>
      <sheetName val="Month_Summary8"/>
      <sheetName val="Trial_Balance_MAY_20098"/>
      <sheetName val="TB_Pivot8"/>
      <sheetName val="total_per_LB_LB28"/>
      <sheetName val="Trial_Balance_Vlookup8"/>
      <sheetName val="Trial_Balance_APRIL_20098"/>
      <sheetName val="Roll_Out_AQ8"/>
      <sheetName val="Evolução_mandamentos8"/>
      <sheetName val="Planilha_resultados7"/>
      <sheetName val="Historico_20037"/>
      <sheetName val="Sig_Cycles_Accts_&amp;_Processes7"/>
      <sheetName val="3_ISo_YTD1"/>
      <sheetName val="E_法规NC1"/>
      <sheetName val="Données_LMU1"/>
      <sheetName val="Brazil_Sovereign1"/>
      <sheetName val="Resumen_Costo1"/>
      <sheetName val="Fixed_ZBB1"/>
      <sheetName val="5_11"/>
      <sheetName val="Extract_Loss1"/>
      <sheetName val="QA_跟踪记录表1"/>
      <sheetName val="RG_Depots1"/>
      <sheetName val="material_data1"/>
      <sheetName val="other_data1"/>
      <sheetName val="Como_Estamos1"/>
      <sheetName val="Database_(RUR)Mar_YTD1"/>
      <sheetName val="SKU_Mapping1"/>
      <sheetName val="Drop_Down1"/>
      <sheetName val="Raw_Data1"/>
      <sheetName val="EBM-2_GHQ1"/>
      <sheetName val="Base_PEF1"/>
      <sheetName val="Base_de_Dados1"/>
      <sheetName val="Testing_Template_Guidance1"/>
      <sheetName val="Test_Programs1"/>
      <sheetName val="Dados_BLP1"/>
      <sheetName val="Controls_data3"/>
      <sheetName val="FJJX_Bud_IB"/>
      <sheetName val="look-up_data"/>
      <sheetName val="JOB_PROFILE_-_LAS1"/>
      <sheetName val="ARdistr_(2)1"/>
      <sheetName val="Prd_Hierarchy(产品层级)"/>
      <sheetName val="15년_BL_사계"/>
      <sheetName val="Com_(2PK)"/>
      <sheetName val="Prd_Hierarchy(产品层次)"/>
      <sheetName val="Project_Code"/>
      <sheetName val="_손익기01_XL"/>
      <sheetName val="drop_down_list"/>
      <sheetName val="[손익기01_XL_x005f_x0000__x005f_x0000_DePara"/>
      <sheetName val="Income_Stmt"/>
      <sheetName val="Quarterly_LBO_Model"/>
      <sheetName val="_손익기01_XL_x005f_x0000__x005f_x0000_DePara"/>
      <sheetName val="[손익기01_XL"/>
      <sheetName val="986월원안"/>
      <sheetName val="오승"/>
      <sheetName val="팀별"/>
      <sheetName val="Action-Log"/>
      <sheetName val="Classification 分类"/>
      <sheetName val="Figures Report"/>
      <sheetName val="Set Up"/>
      <sheetName val="CONFIG"/>
      <sheetName val="Fare prices"/>
      <sheetName val="Hotel prices"/>
      <sheetName val="Intro"/>
      <sheetName val="DropDowns"/>
      <sheetName val="CPT倒罐记录"/>
      <sheetName val="extent"/>
      <sheetName val="Tab"/>
      <sheetName val="Arm_PNP"/>
      <sheetName val="cl"/>
      <sheetName val="XLRpt_TempSheet"/>
      <sheetName val="Suporte_2"/>
      <sheetName val="tab STATUS DO PROCESSO "/>
      <sheetName val="Results"/>
      <sheetName val="Perf. Plan. Diário1"/>
      <sheetName val="In (2)"/>
      <sheetName val="slide 24 cat A"/>
      <sheetName val="slide 82 cat b"/>
      <sheetName val="Prog"/>
      <sheetName val="PLANNER6"/>
      <sheetName val="Hoja2"/>
      <sheetName val="Hoja3"/>
      <sheetName val="범주"/>
      <sheetName val="Incident 유형구분표"/>
      <sheetName val="Macro"/>
      <sheetName val="광주"/>
      <sheetName val="TNC(1안)"/>
      <sheetName val="CLASIFICACION DE AI"/>
      <sheetName val="Base da Datos"/>
      <sheetName val="Apoio"/>
      <sheetName val="SAM"/>
      <sheetName val="DAG"/>
      <sheetName val="Dados dos Produtos"/>
      <sheetName val="Maestro"/>
      <sheetName val="DD list"/>
      <sheetName val="3YP2016-Bottom up"/>
      <sheetName val="부서별12월추계액"/>
      <sheetName val="One_Pager"/>
      <sheetName val="DE-PARA"/>
      <sheetName val="FornecD"/>
      <sheetName val="FornecDAjustado"/>
      <sheetName val="Detalle"/>
      <sheetName val="auxiliar"/>
      <sheetName val="MASTER APP"/>
      <sheetName val="Hoja1"/>
      <sheetName val="Cond. Inseguros"/>
      <sheetName val="Comp. Inseguros"/>
      <sheetName val="Lista de datos"/>
      <sheetName val="Base de Datos"/>
      <sheetName val="Motivos"/>
      <sheetName val="Parametros"/>
      <sheetName val="Actionlog"/>
      <sheetName val="_손익기01.XL_x0000__x0000_DePara"/>
      <sheetName val="_손익기01_XLDePara"/>
      <sheetName val="link"/>
      <sheetName val="Vol-Rev"/>
      <sheetName val="来源"/>
      <sheetName val=" DD List"/>
      <sheetName val="Formula"/>
      <sheetName val="各支柱模块清单"/>
      <sheetName val="Share Price 2002"/>
      <sheetName val="隐患分析"/>
      <sheetName val="安全隐患"/>
      <sheetName val="班组分析"/>
      <sheetName val="源"/>
      <sheetName val="Clasif."/>
      <sheetName val="Lista CI"/>
      <sheetName val="Resumen"/>
      <sheetName val="BBDD"/>
      <sheetName val="Farol Acciones"/>
      <sheetName val="Lista de Entrenamientos"/>
      <sheetName val="Package-SubPackage"/>
      <sheetName val="Supply Cost Centers"/>
      <sheetName val="Basetables"/>
      <sheetName val="BEP 加薪 KPI"/>
      <sheetName val="유형(분류표)"/>
      <sheetName val="PREMISAS"/>
      <sheetName val="ACTION"/>
      <sheetName val="LE"/>
      <sheetName val="表3筛选项"/>
      <sheetName val="진천"/>
      <sheetName val="중연"/>
      <sheetName val="용연"/>
      <sheetName val="울산"/>
      <sheetName val="대구"/>
      <sheetName val="구미"/>
      <sheetName val="언양"/>
      <sheetName val="대차대조표"/>
      <sheetName val="입력자료"/>
      <sheetName val="2-2.투자"/>
      <sheetName val="기본연봉"/>
      <sheetName val="사원"/>
      <sheetName val="9-1차이내역"/>
      <sheetName val="Proj. Fin."/>
      <sheetName val="ITS Assumptions"/>
      <sheetName val="Proj__Fin_"/>
      <sheetName val="2-2_투자"/>
      <sheetName val="Master Data"/>
      <sheetName val="2007전체투자세액공제_2008년처분"/>
      <sheetName val="득점현황"/>
      <sheetName val="#5"/>
      <sheetName val="#3"/>
      <sheetName val="Appendix(권장,단체)"/>
      <sheetName val="환율표"/>
      <sheetName val="세액계산"/>
      <sheetName val="현용"/>
      <sheetName val="현장"/>
      <sheetName val="MH_생산"/>
      <sheetName val="구분List"/>
      <sheetName val="기본"/>
      <sheetName val="10월_vs_12월_채권잔액"/>
      <sheetName val="Rev. Recon 1"/>
      <sheetName val="1.고객불만건수"/>
      <sheetName val="1.변경범위"/>
      <sheetName val="表21_净利润墨-닑⿕"/>
      <sheetName val="TO"/>
      <sheetName val="C2121"/>
      <sheetName val="C2123"/>
      <sheetName val="C2124"/>
      <sheetName val="C2125"/>
      <sheetName val="C2127"/>
      <sheetName val="C2122"/>
      <sheetName val="7.Utility Analysis"/>
      <sheetName val="Operational Activities"/>
      <sheetName val="대투_보관자료_변경"/>
      <sheetName val="상품입력"/>
      <sheetName val="월별자료"/>
      <sheetName val="Index"/>
      <sheetName val="대전-교대(A1-A2)"/>
      <sheetName val="날개수량1.5"/>
      <sheetName val="MTP"/>
      <sheetName val="갑지"/>
      <sheetName val="1. 작성방식"/>
      <sheetName val="MEMO"/>
      <sheetName val="민감도분석"/>
      <sheetName val="LOG"/>
      <sheetName val="보고서 표"/>
      <sheetName val="0. 가정 및 결론"/>
      <sheetName val="1. 투자비"/>
      <sheetName val="2. Rent-roll"/>
      <sheetName val="3. Funding"/>
      <sheetName val="4. 운영수익"/>
      <sheetName val="5. 운영비용"/>
      <sheetName val="6.1 N+1년차 NOI 산정"/>
      <sheetName val="6. 부동산매각"/>
      <sheetName val="7. 보유세"/>
      <sheetName val="8. 교통유발부담금"/>
      <sheetName val="9. BS부속"/>
      <sheetName val="10. CF(M)"/>
      <sheetName val="11. IS(M)"/>
      <sheetName val="12. BS(M)"/>
      <sheetName val="14. IS(FY)"/>
      <sheetName val="13. CF(FY)"/>
      <sheetName val="15. BS(FY)"/>
      <sheetName val="16. RE(FY)"/>
      <sheetName val="부산제일극장"/>
      <sheetName val="1"/>
      <sheetName val="EP0618"/>
      <sheetName val="CAT_5"/>
      <sheetName val="CF表示組替表"/>
      <sheetName val="토목주소"/>
      <sheetName val="프랜트면허"/>
      <sheetName val="I一般比"/>
      <sheetName val="분석가정"/>
      <sheetName val="일위대가목차"/>
      <sheetName val="6월 공嚺㓶가"/>
      <sheetName val="기초정보 코드"/>
      <sheetName val="계좌정보"/>
      <sheetName val="1월~9월"/>
      <sheetName val="숨김"/>
      <sheetName val="1_종합손익(도급)5"/>
      <sheetName val="1_종합손익(주택,개발)4"/>
      <sheetName val="2_실행예산4"/>
      <sheetName val="2_2과부족4"/>
      <sheetName val="2_3원가절감4"/>
      <sheetName val="8_외주비집행현황4"/>
      <sheetName val="9_자재비4"/>
      <sheetName val="10_현장집행4"/>
      <sheetName val="3_추가원가4"/>
      <sheetName val="3_추가원가_(2)4"/>
      <sheetName val="4_사전공사4"/>
      <sheetName val="5_추정공사비4"/>
      <sheetName val="6_금융비용4"/>
      <sheetName val="7_공사비집행현황(총괄)4"/>
      <sheetName val="11_1생산성4"/>
      <sheetName val="11_2인원산출4"/>
      <sheetName val="변경실행(2차)_4"/>
      <sheetName val="CC_Down_load_07164"/>
      <sheetName val="나_출고4"/>
      <sheetName val="나_입고4"/>
      <sheetName val="09년_인건비(속리산)4"/>
      <sheetName val="합산목표(감가+57_5)4"/>
      <sheetName val="__한국_AMP_ASP-23_판매가격__3"/>
      <sheetName val="제조원가_원단위_분석3"/>
      <sheetName val="종합표양식(품의_&amp;_입고)_23"/>
      <sheetName val="원가관리_(동월대비)3"/>
      <sheetName val="b_balju_(2)3"/>
      <sheetName val="2-2_매출분석3"/>
      <sheetName val="몰드시스템_리스트3"/>
      <sheetName val="7_(2)3"/>
      <sheetName val="11_외화채무증권(AFS,HTM)083"/>
      <sheetName val="13_감액TEST_083"/>
      <sheetName val="12년_CF(9월)3"/>
      <sheetName val="중기조종사_단위단가3"/>
      <sheetName val="6PILE__(돌출)3"/>
      <sheetName val="기성청구_공문4"/>
      <sheetName val="Sheet1_(2)3"/>
      <sheetName val="2_대외공문3"/>
      <sheetName val="表21_净利润调节表3"/>
      <sheetName val="sum1_(2)3"/>
      <sheetName val="3_바닥판설계3"/>
      <sheetName val="504전기실_동부하-L3"/>
      <sheetName val="2_총괄표3"/>
      <sheetName val="OUTER_AREA(겹침없음)3"/>
      <sheetName val="EL_표면적3"/>
      <sheetName val="P_M_별2"/>
      <sheetName val="입찰내역_발주처_양식1"/>
      <sheetName val="근거_및_가정"/>
      <sheetName val="09~10년_매출계획1"/>
      <sheetName val="2_카드채권(대출포함)"/>
      <sheetName val="전사_PL3"/>
      <sheetName val="자금_제외_PL3"/>
      <sheetName val="자금_PL3"/>
      <sheetName val="전사_BS3"/>
      <sheetName val="자금_제외_BS3"/>
      <sheetName val="자금_BS3"/>
      <sheetName val="BS_계정_설명3"/>
      <sheetName val="_Cash_Flow(전사)3"/>
      <sheetName val="_Cash_Flow(자금제외)3"/>
      <sheetName val="_Cash_Flow(자금)3"/>
      <sheetName val="ROIC_3"/>
      <sheetName val="인건비_명세3"/>
      <sheetName val="판관비_명세3"/>
      <sheetName val="OH_Cost경비(내역)3"/>
      <sheetName val="OH_Cost경비(배부기준)3"/>
      <sheetName val="기타수지&amp;특별손익_명세3"/>
      <sheetName val="입출재고현황_(2)1"/>
      <sheetName val="TRE_TABLE1"/>
      <sheetName val="Process_List2"/>
      <sheetName val="제시_손익계산서2"/>
      <sheetName val="업무연락_(2)2"/>
      <sheetName val="M_7회차_담금_계획2"/>
      <sheetName val="01_02월_성과급3"/>
      <sheetName val="97_사업추정(WEKI)1"/>
      <sheetName val="팀별_실적2"/>
      <sheetName val="팀별_실적_(환산)2"/>
      <sheetName val="6월_공정외주1"/>
      <sheetName val="1_차입금"/>
      <sheetName val="2_주요계수총괄1"/>
      <sheetName val="Data_Validation1"/>
      <sheetName val="1_본사계정별1"/>
      <sheetName val="부대시행1_(2)"/>
      <sheetName val="118_세금과공과1"/>
      <sheetName val="Tong_hop1"/>
      <sheetName val="95_1_1이후취득자산(숨기기상태)1"/>
      <sheetName val="1_MDF1공장1"/>
      <sheetName val="3_6_2남양주택배"/>
      <sheetName val="Project_Brief1"/>
      <sheetName val="Back_Data_11"/>
      <sheetName val="Facility_Information1"/>
      <sheetName val="단면_(2)1"/>
      <sheetName val="PAD_TR보호대기초"/>
      <sheetName val="1월_예산"/>
      <sheetName val="_견적서"/>
      <sheetName val="해외_기술훈련비_(합계)1"/>
      <sheetName val="#1)_투자_구분"/>
      <sheetName val="1__시공측량"/>
      <sheetName val="수종별수량_(2)"/>
      <sheetName val="Utility_Usage_YTN_TOWER"/>
      <sheetName val="B-1_기본정보"/>
      <sheetName val="설산1_나"/>
      <sheetName val="?"/>
      <sheetName val="설문_평가"/>
      <sheetName val="Weekly_Progress(계장)"/>
      <sheetName val="납부내역총괄표_(수정)"/>
      <sheetName val="전선_및_전선관"/>
      <sheetName val="KEY_CODE"/>
      <sheetName val="2013_2월_연결대상"/>
      <sheetName val="외주현황_wq1"/>
      <sheetName val="2-1_강사료,교통비_지급명세"/>
      <sheetName val="13_포장용역비표준"/>
      <sheetName val="9_가공부자재표준"/>
      <sheetName val="8_ROLL표준(TSW)"/>
      <sheetName val="4_톤당조관량표준"/>
      <sheetName val="5_조관부자재표준"/>
      <sheetName val="실행기성_갑지"/>
      <sheetName val="4__Inj_투자상세내역2"/>
      <sheetName val="3__Blow_투자_상세내역2"/>
      <sheetName val="Jul-Sep_Actual_cost_(2)"/>
      <sheetName val="요일_테이블2"/>
      <sheetName val="요일_테이블_(2)1"/>
      <sheetName val="TO_Data_Base10"/>
      <sheetName val="YTD_Summary9"/>
      <sheetName val="Month_Summary9"/>
      <sheetName val="Trial_Balance_MAY_20099"/>
      <sheetName val="TB_Pivot9"/>
      <sheetName val="total_per_LB_LB29"/>
      <sheetName val="Trial_Balance_Vlookup9"/>
      <sheetName val="Trial_Balance_APRIL_20099"/>
      <sheetName val="Roll_Out_AQ9"/>
      <sheetName val="Evolução_mandamentos9"/>
      <sheetName val="Planilha_resultados8"/>
      <sheetName val="Historico_20038"/>
      <sheetName val="Sig_Cycles_Accts_&amp;_Processes8"/>
      <sheetName val="3_ISo_YTD2"/>
      <sheetName val="E_法规NC2"/>
      <sheetName val="Données_LMU2"/>
      <sheetName val="Brazil_Sovereign2"/>
      <sheetName val="Resumen_Costo2"/>
      <sheetName val="Fixed_ZBB2"/>
      <sheetName val="5_12"/>
      <sheetName val="Extract_Loss2"/>
      <sheetName val="QA_跟踪记录表2"/>
      <sheetName val="RG_Depots2"/>
      <sheetName val="material_data2"/>
      <sheetName val="other_data2"/>
      <sheetName val="Como_Estamos2"/>
      <sheetName val="Database_(RUR)Mar_YTD2"/>
      <sheetName val="SKU_Mapping2"/>
      <sheetName val="Drop_Down2"/>
      <sheetName val="Raw_Data2"/>
      <sheetName val="EBM-2_GHQ2"/>
      <sheetName val="Base_PEF3"/>
      <sheetName val="Base_de_Dados2"/>
      <sheetName val="Testing_Template_Guidance2"/>
      <sheetName val="Test_Programs2"/>
      <sheetName val="Dados_BLP2"/>
      <sheetName val="Controls_data4"/>
      <sheetName val="FJJX_Bud_IB1"/>
      <sheetName val="look-up_data1"/>
      <sheetName val="JOB_PROFILE_-_LAS2"/>
      <sheetName val="ARdistr_(2)2"/>
      <sheetName val="Prd_Hierarchy(产品层级)1"/>
      <sheetName val="Com_(2PK)1"/>
      <sheetName val="Prd_Hierarchy(产品层次)1"/>
      <sheetName val="Project_Code1"/>
      <sheetName val="15년_BL_사계1"/>
      <sheetName val="_손익기01_XL1"/>
      <sheetName val="drop_down_list1"/>
      <sheetName val="[손익기01_XL_x005f_x0000__x005f_x0000_DePara1"/>
      <sheetName val="[손익기01_XL1"/>
      <sheetName val="Income_Stmt1"/>
      <sheetName val="Quarterly_LBO_Model1"/>
      <sheetName val="_손익기01_XL_x005f_x0000__x005f_x0000_DePara1"/>
      <sheetName val="Classification_分类"/>
      <sheetName val="Figures_Report"/>
      <sheetName val="Set_Up"/>
      <sheetName val="Fare_prices"/>
      <sheetName val="Hotel_prices"/>
      <sheetName val="tab_STATUS_DO_PROCESSO_"/>
      <sheetName val="Perf__Plan__Diário1"/>
      <sheetName val="In_(2)"/>
      <sheetName val="slide_24_cat_A"/>
      <sheetName val="slide_82_cat_b"/>
      <sheetName val="Incident_유형구분표"/>
      <sheetName val="CLASIFICACION_DE_AI"/>
      <sheetName val="Base_da_Datos"/>
      <sheetName val="Dados_dos_Produtos"/>
      <sheetName val="DD_list"/>
      <sheetName val="3YP2016-Bottom_up"/>
      <sheetName val="MASTER_APP"/>
      <sheetName val="Cond__Inseguros"/>
      <sheetName val="Comp__Inseguros"/>
      <sheetName val="Lista_de_datos"/>
      <sheetName val="Base_de_Datos"/>
      <sheetName val="_DD_List"/>
      <sheetName val="Share_Price_2002"/>
      <sheetName val="Clasif_"/>
      <sheetName val="Lista_CI"/>
      <sheetName val="Farol_Acciones"/>
      <sheetName val="Lista_de_Entrenamientos"/>
      <sheetName val="Supply_Cost_Centers"/>
      <sheetName val="BEP_加薪_KPI"/>
      <sheetName val="표시트"/>
      <sheetName val="カテゴリ表"/>
      <sheetName val="카드채권(대출포함)"/>
      <sheetName val="공통"/>
      <sheetName val="T6-6(7)"/>
      <sheetName val="공시용PL"/>
      <sheetName val="97손익계획"/>
      <sheetName val="가정"/>
      <sheetName val="예산대실적_작성"/>
      <sheetName val="SALE"/>
      <sheetName val="조정분개"/>
      <sheetName val="이테크_손익"/>
      <sheetName val="군장_손익"/>
      <sheetName val="에스엠지_손익"/>
      <sheetName val="인프라_손익"/>
      <sheetName val="중국연결_손익"/>
      <sheetName val="사우디_손익"/>
      <sheetName val="말레이_손익"/>
      <sheetName val="인니_손익"/>
      <sheetName val="연결손익요약(기획차이)"/>
      <sheetName val="연결손익요약(보고용)"/>
      <sheetName val="연결재무"/>
      <sheetName val="이테크_재무"/>
      <sheetName val="군장_재무"/>
      <sheetName val="에스엠지_재무"/>
      <sheetName val="인프라_재무"/>
      <sheetName val="중국연결_재무"/>
      <sheetName val="사우디_재무"/>
      <sheetName val="말레이_재무"/>
      <sheetName val="인니_재무"/>
      <sheetName val="CE(공)"/>
      <sheetName val="연결손익"/>
      <sheetName val="building"/>
      <sheetName val="그룹자료"/>
      <sheetName val="임율자료"/>
      <sheetName val="A(Rev.3)"/>
      <sheetName val="설비등록׃⼫"/>
      <sheetName val="설비등록_x0010__x0000_"/>
      <sheetName val="기성현황집계표"/>
      <sheetName val="호남본"/>
      <sheetName val="중기일위대가"/>
      <sheetName val="전기자료"/>
      <sheetName val="Sheet10"/>
      <sheetName val="공통비_x0000__x0000_ʯ"/>
      <sheetName val="공통비_x0000_í遘̩"/>
      <sheetName val="6호기"/>
      <sheetName val="1공구산출내역서"/>
      <sheetName val="협가표"/>
      <sheetName val="지장물C"/>
      <sheetName val="일위대가(목록)"/>
      <sheetName val="재료비"/>
      <sheetName val="견적내역서"/>
      <sheetName val="시험장S자로가로등공사"/>
      <sheetName val="코드"/>
      <sheetName val="표)CFT장 조직별 배분"/>
      <sheetName val="기술분류체계"/>
      <sheetName val="Remark"/>
      <sheetName val="20180214 P&amp;T"/>
      <sheetName val="Ref. 중점 추진 과제별 상세"/>
      <sheetName val="작성요령"/>
      <sheetName val="선택지"/>
      <sheetName val="Congfig"/>
      <sheetName val="Bank code"/>
      <sheetName val="총수율"/>
      <sheetName val="11"/>
      <sheetName val="Drop-down RAW"/>
      <sheetName val="특수선일위대가"/>
      <sheetName val="첨부#2.Cash Flow(현장작성)"/>
      <sheetName val="가설공사내역"/>
      <sheetName val="401"/>
      <sheetName val="총괄집계표"/>
      <sheetName val="합계표"/>
      <sheetName val="BATCH"/>
      <sheetName val="1-1"/>
      <sheetName val="wall"/>
      <sheetName val="Sheet17"/>
      <sheetName val="_x0018__"/>
      <sheetName val="아산추가1220"/>
      <sheetName val="1.수인터널"/>
      <sheetName val="드롭다운"/>
      <sheetName val="support"/>
      <sheetName val="000000"/>
      <sheetName val="목록!"/>
      <sheetName val="마스터0919"/>
      <sheetName val="공시용CF"/>
      <sheetName val="BM_NEW2"/>
      <sheetName val="pg15"/>
      <sheetName val="2.6 三无 (2)"/>
      <sheetName val="노임단가(공사)"/>
      <sheetName val="RES"/>
      <sheetName val="Desal-E&amp;I"/>
      <sheetName val="数据有效性"/>
      <sheetName val="Worker List"/>
      <sheetName val="GB-IC Villingen GG"/>
      <sheetName val="MC&amp;다변화"/>
      <sheetName val="Library"/>
      <sheetName val="Month-Report"/>
      <sheetName val="10매출"/>
      <sheetName val="7_공사비집_x0000__x0000_Ā_x0000__x0005__x0000_翸_x0000_"/>
      <sheetName val="_x005f_x005f_x005f_x0018__x005f_x005f_x005f_x0000_"/>
      <sheetName val="_x005f_x0018_?"/>
      <sheetName val="입찰내역 Ĉ"/>
      <sheetName val="집계"/>
      <sheetName val="BSD (2)"/>
      <sheetName val="月度設定"/>
      <sheetName val="BQ"/>
      <sheetName val="Basic"/>
      <sheetName val="gr_val"/>
      <sheetName val="gr_sum"/>
      <sheetName val="4.1 월별 에너지 사용량"/>
      <sheetName val="sum_x0008_"/>
      <sheetName val="견적을지"/>
      <sheetName val="코드관리"/>
      <sheetName val="M&amp;Q Lead"/>
      <sheetName val="증감대비"/>
      <sheetName val="공종단가"/>
      <sheetName val="교량하부공"/>
      <sheetName val="1~9 하중계산"/>
      <sheetName val="정공공사"/>
      <sheetName val="오류항목"/>
      <sheetName val="기본일위"/>
      <sheetName val="유리단가"/>
      <sheetName val="수정양식"/>
      <sheetName val="#1 Basic"/>
      <sheetName val="만기"/>
      <sheetName val="월별비교(물리)"/>
      <sheetName val="CODE生成机"/>
      <sheetName val="조직필터"/>
      <sheetName val="산자사 운전용품"/>
      <sheetName val="Phieu trinh ky cấu tháp"/>
      <sheetName val="Phieu trinh ky VTP"/>
      <sheetName val="KS-VTP"/>
      <sheetName val="KS-VL rời"/>
      <sheetName val="BCCP"/>
      <sheetName val="Tai san"/>
      <sheetName val="Check dong tien"/>
      <sheetName val="Chi phí SDTS"/>
      <sheetName val="Check COST"/>
      <sheetName val="KHTC"/>
      <sheetName val="DATA HD"/>
      <sheetName val="THNC"/>
      <sheetName val="KEY"/>
      <sheetName val="NC"/>
      <sheetName val="2TM"/>
      <sheetName val="1TM"/>
      <sheetName val="Tong hop 1TM"/>
      <sheetName val="WBS"/>
      <sheetName val="DMKH"/>
      <sheetName val="NS Lán trại"/>
      <sheetName val="Check cong no NC"/>
      <sheetName val="갑지1"/>
      <sheetName val="1-2.설계변경요청서(갑지)"/>
      <sheetName val="사유집계"/>
      <sheetName val="설계변경내역서(주차관제)"/>
      <sheetName val="증감사유"/>
      <sheetName val="첨부1.(주차관제-.당공)"/>
      <sheetName val="첨부1-1.설계변경내역서(CCTV)"/>
      <sheetName val="첨부1-2.(주차관제-변공)"/>
      <sheetName val="2-6.변공량(추가공사)"/>
      <sheetName val=" 2-1.관제(물량산출서집계표)"/>
      <sheetName val=" 2-2.유도(물량산출서집계표)"/>
      <sheetName val="물량산출서(총괄)"/>
      <sheetName val="3-1.주차관제"/>
      <sheetName val="3-2.주차-광케이블"/>
      <sheetName val="3-3.층별LPR"/>
      <sheetName val="4-1.유도-광케이블"/>
      <sheetName val="4-2.주차키오스크"/>
      <sheetName val="4-3.4면카메라"/>
      <sheetName val="4-5.CCTV"/>
      <sheetName val="4-6.블럭유도등"/>
      <sheetName val="4-7.입구만차등"/>
      <sheetName val="4-8.비상벨"/>
      <sheetName val="산출"/>
      <sheetName val="슬래_xd800_"/>
      <sheetName val="월간공정표(04월))"/>
      <sheetName val="3.일반사상"/>
      <sheetName val="외부자료"/>
      <sheetName val="Exchange rate"/>
      <sheetName val="euc"/>
      <sheetName val="필요면적"/>
      <sheetName val="STANDARD"/>
      <sheetName val="한계원가"/>
      <sheetName val="시스템 개요 유효값"/>
      <sheetName val="단기차입금(200006)"/>
      <sheetName val="有型区分分类"/>
      <sheetName val="업무 분류(Category)"/>
      <sheetName val="작성양식"/>
      <sheetName val="유효성검사"/>
      <sheetName val="7상품수"/>
      <sheetName val="DB"/>
      <sheetName val="기성"/>
      <sheetName val="OUTER_A՜_x0000_缀_x0000__x0000__x0000_尀빙끯"/>
      <sheetName val="항목(1)"/>
      <sheetName val="BOOK4"/>
      <sheetName val="504전기실_x0000__x0000__x0001_Ԁ_x0000_"/>
      <sheetName val="STRAT PLAN WKSHT"/>
      <sheetName val="Sales Plan &amp; other"/>
      <sheetName val="ConsolidateUSD"/>
      <sheetName val="STRAT_PLAN_WKSHT"/>
      <sheetName val="Sales_Plan_&amp;_other"/>
      <sheetName val="ref"/>
      <sheetName val="drop downs"/>
      <sheetName val="640ꠌ᜹렀㣃씃"/>
      <sheetName val="640ꠏ᜹쀀씃"/>
      <sheetName val="Basic Information"/>
      <sheetName val="DCY"/>
      <sheetName val="DHS"/>
      <sheetName val="HHJ"/>
      <sheetName val="SWS-1"/>
      <sheetName val="부재료 비교(11년 vs 10년)"/>
      <sheetName val="INDICE"/>
      <sheetName val="Dashboard Prevención Riesgos "/>
      <sheetName val="Seguimiento"/>
      <sheetName val="TOP KPIs MTM"/>
      <sheetName val="PLAN DE ACCION"/>
      <sheetName val="Faro de Indicadores"/>
      <sheetName val="ORGANIGRAMA"/>
      <sheetName val="Catalog_Zone"/>
      <sheetName val="DropList"/>
      <sheetName val="Unidades SAC-REVENDA"/>
      <sheetName val="FornecM Check"/>
      <sheetName val="下拉清单"/>
      <sheetName val="工伤分类"/>
      <sheetName val="菜单"/>
      <sheetName val="Hazards Analysis-隐患分析"/>
      <sheetName val="요일_테이블3"/>
      <sheetName val="요일_테이블_(2)2"/>
      <sheetName val="TO_Data_Base11"/>
      <sheetName val="YTD_Summary10"/>
      <sheetName val="Month_Summary10"/>
      <sheetName val="Trial_Balance_MAY_200910"/>
      <sheetName val="TB_Pivot10"/>
      <sheetName val="total_per_LB_LB210"/>
      <sheetName val="Trial_Balance_Vlookup10"/>
      <sheetName val="Trial_Balance_APRIL_200910"/>
      <sheetName val="Roll_Out_AQ10"/>
      <sheetName val="Evolução_mandamentos10"/>
      <sheetName val="Planilha_resultados9"/>
      <sheetName val="Historico_20039"/>
      <sheetName val="Sig_Cycles_Accts_&amp;_Processes9"/>
      <sheetName val="Fixed_ZBB3"/>
      <sheetName val="E_法规NC3"/>
      <sheetName val="3_ISo_YTD3"/>
      <sheetName val="Données_LMU3"/>
      <sheetName val="Brazil_Sovereign3"/>
      <sheetName val="Resumen_Costo3"/>
      <sheetName val="Base_de_Dados3"/>
      <sheetName val="Extract_Loss3"/>
      <sheetName val="5_13"/>
      <sheetName val="QA_跟踪记录表3"/>
      <sheetName val="RG_Depots3"/>
      <sheetName val="material_data3"/>
      <sheetName val="other_data3"/>
      <sheetName val="Como_Estamos3"/>
      <sheetName val="Database_(RUR)Mar_YTD3"/>
      <sheetName val="SKU_Mapping3"/>
      <sheetName val="Drop_Down3"/>
      <sheetName val="Raw_Data3"/>
      <sheetName val="EBM-2_GHQ3"/>
      <sheetName val="Base_PEF4"/>
      <sheetName val="Controls_data5"/>
      <sheetName val="Dados_BLP3"/>
      <sheetName val="Testing_Template_Guidance3"/>
      <sheetName val="Test_Programs3"/>
      <sheetName val="FJJX_Bud_IB2"/>
      <sheetName val="JOB_PROFILE_-_LAS3"/>
      <sheetName val="ARdistr_(2)3"/>
      <sheetName val="look-up_data2"/>
      <sheetName val="Prd_Hierarchy(产品层级)2"/>
      <sheetName val="Com_(2PK)2"/>
      <sheetName val="전사_PL4"/>
      <sheetName val="자금_제외_PL4"/>
      <sheetName val="자금_PL4"/>
      <sheetName val="전사_BS4"/>
      <sheetName val="자금_제외_BS4"/>
      <sheetName val="자금_BS4"/>
      <sheetName val="BS_계정_설명4"/>
      <sheetName val="_Cash_Flow(전사)4"/>
      <sheetName val="_Cash_Flow(자금제외)4"/>
      <sheetName val="_Cash_Flow(자금)4"/>
      <sheetName val="ROIC_4"/>
      <sheetName val="인건비_명세4"/>
      <sheetName val="판관비_명세4"/>
      <sheetName val="OH_Cost경비(내역)4"/>
      <sheetName val="OH_Cost경비(배부기준)4"/>
      <sheetName val="기타수지&amp;특별손익_명세4"/>
      <sheetName val="업무연락_(2)3"/>
      <sheetName val="제시_손익계산서3"/>
      <sheetName val="01_02월_성과급4"/>
      <sheetName val="M_7회차_담금_계획3"/>
      <sheetName val="팀별_실적3"/>
      <sheetName val="팀별_실적_(환산)3"/>
      <sheetName val="4__Inj_투자상세내역3"/>
      <sheetName val="3__Blow_투자_상세내역3"/>
      <sheetName val="Process_List3"/>
      <sheetName val="Prd_Hierarchy(产品层次)2"/>
      <sheetName val="Project_Code2"/>
      <sheetName val="_손익기01_XL2"/>
      <sheetName val="drop_down_list2"/>
      <sheetName val="[손익기01_XL_x005f_x0000__x005f_x0000_DePara2"/>
      <sheetName val="Income_Stmt2"/>
      <sheetName val="Quarterly_LBO_Model2"/>
      <sheetName val="[손익기01_XL2"/>
      <sheetName val="_손익기01_XL_x005f_x0000__x005f_x0000_DePara2"/>
      <sheetName val="15년_BL_사계2"/>
      <sheetName val="Classification_分类1"/>
      <sheetName val="Figures_Report1"/>
      <sheetName val="Set_Up2"/>
      <sheetName val="Fare_prices1"/>
      <sheetName val="Hotel_prices1"/>
      <sheetName val="tab_STATUS_DO_PROCESSO_1"/>
      <sheetName val="Perf__Plan__Diário11"/>
      <sheetName val="In_(2)1"/>
      <sheetName val="slide_24_cat_A1"/>
      <sheetName val="slide_82_cat_b1"/>
      <sheetName val="Incident_유형구분표1"/>
      <sheetName val="CLASIFICACION_DE_AI1"/>
      <sheetName val="Base_da_Datos1"/>
      <sheetName val="Dados_dos_Produtos1"/>
      <sheetName val="DD_list1"/>
      <sheetName val="F08 - Asia Pac Full Year Q3"/>
      <sheetName val="Actions"/>
      <sheetName val="Listco"/>
      <sheetName val="Intl"/>
      <sheetName val="Procurement"/>
      <sheetName val="Top Priorities"/>
      <sheetName val="SLOB"/>
      <sheetName val="Listco Stock"/>
      <sheetName val="SOH"/>
      <sheetName val="Intl Purchase"/>
      <sheetName val="GTME"/>
      <sheetName val="FY outlook"/>
      <sheetName val="CY outlook"/>
      <sheetName val="FY"/>
      <sheetName val="CY"/>
      <sheetName val="Cash metrics"/>
      <sheetName val="Listco-Tony"/>
      <sheetName val="Intl-Ming"/>
      <sheetName val="Procurement-Jeff"/>
      <sheetName val="Hierarchy"/>
      <sheetName val="P6 7"/>
      <sheetName val="Top_Priorities"/>
      <sheetName val="Listco_Stock"/>
      <sheetName val="Intl_Purchase"/>
      <sheetName val="FY_outlook"/>
      <sheetName val="CY_outlook"/>
      <sheetName val="Cash_metrics"/>
      <sheetName val="F08_-_Asia_Pac_Full_Year_Q3"/>
      <sheetName val="TABLA"/>
      <sheetName val="_ExportMetadata"/>
      <sheetName val="Valor_Actual_2002"/>
      <sheetName val="Vtas2000"/>
      <sheetName val="Liquidacion_Julio_2002"/>
      <sheetName val="icos0502"/>
      <sheetName val="pplay_load3"/>
      <sheetName val="tabla_fcst_unid"/>
      <sheetName val="P6_7"/>
      <sheetName val="DATOS BASE"/>
      <sheetName val="Estatus"/>
      <sheetName val="Info"/>
      <sheetName val="Estratificación AI"/>
      <sheetName val="Dashboard"/>
      <sheetName val="condicion inseguras"/>
      <sheetName val="Actos Inseguros"/>
      <sheetName val="Control de incidentes"/>
      <sheetName val="Plan de Acción"/>
      <sheetName val="备注"/>
      <sheetName val="_손익기01.XL_x005f_x005f_x005f_x0000__x005f_x005f_x0"/>
      <sheetName val="연료전력(군포)"/>
      <sheetName val="적립수신"/>
      <sheetName val="순수통장"/>
      <sheetName val="일별"/>
      <sheetName val="加薪规则排序"/>
      <sheetName val="Analysis"/>
      <sheetName val="索引表"/>
      <sheetName val="Control"/>
      <sheetName val="引用"/>
      <sheetName val="담당자Raw"/>
      <sheetName val="支柱模块源数据--请勿更改或删除"/>
      <sheetName val="MasterData"/>
      <sheetName val="条件表"/>
      <sheetName val="下拉菜单"/>
      <sheetName val="Issues List_Payments"/>
      <sheetName val="drop-down_lists"/>
      <sheetName val="数据库"/>
      <sheetName val="turnover reason퇴직사유"/>
      <sheetName val="Grafica Actos"/>
      <sheetName val="PGK-1610"/>
      <sheetName val="POC LIST"/>
      <sheetName val="Condiciones SyE"/>
      <sheetName val="DETALLE MENSUAL"/>
      <sheetName val="do not delete"/>
      <sheetName val="NA"/>
      <sheetName val="MidAm"/>
      <sheetName val="LAN"/>
      <sheetName val="LAS"/>
      <sheetName val="COPEC"/>
      <sheetName val="EUR"/>
      <sheetName val="Africa"/>
      <sheetName val="APAC S"/>
      <sheetName val="APAC N"/>
      <sheetName val="Slide output"/>
      <sheetName val="[손익기01.XL??DePara"/>
      <sheetName val="Farol Metas"/>
      <sheetName val="Preview2"/>
      <sheetName val="Agenda"/>
      <sheetName val="Cadastros"/>
      <sheetName val="Base_Cobertura_WP"/>
      <sheetName val="TOTAL_HL"/>
      <sheetName val="99"/>
      <sheetName val="BASE_APOIO"/>
      <sheetName val="AO"/>
      <sheetName val="2"/>
      <sheetName val="BG"/>
      <sheetName val="Farol"/>
      <sheetName val="Base_Farol_Manual_Consolidada"/>
      <sheetName val="Árvore"/>
      <sheetName val="Tela_Inicial"/>
      <sheetName val="XLR_NoRangeSheet"/>
      <sheetName val="GVs"/>
      <sheetName val="Cadastro_Comercial"/>
      <sheetName val="2-Instalações"/>
      <sheetName val="RESUMO_MC"/>
      <sheetName val="Organization"/>
      <sheetName val="EMPREGADOS"/>
      <sheetName val="4-Estrutura_da_Área_de_Vendas"/>
      <sheetName val="5-Vendas-5_4-5_5-5_6"/>
      <sheetName val="FE"/>
      <sheetName val="BD_-_Realizado"/>
      <sheetName val="Cadastro_de_Veículos"/>
      <sheetName val="3-Equipamentos_e_Meios"/>
      <sheetName val="Cálculo_TMEF-TMR"/>
      <sheetName val="Liberação_Juros_Set_2004"/>
      <sheetName val="Lista_de_Feriados"/>
      <sheetName val="BASE"/>
      <sheetName val="Base_Graf"/>
      <sheetName val="Aderencia_Algoritmo_SIV"/>
      <sheetName val="Árvore_3v"/>
      <sheetName val="Sistema"/>
      <sheetName val="Dados_Dev"/>
      <sheetName val="Cxs_Int"/>
      <sheetName val="Pilares"/>
      <sheetName val="IC's"/>
      <sheetName val="Rel_Histórico"/>
      <sheetName val="TMEF_-_TMR_151"/>
      <sheetName val="Entrada_de_Dados"/>
      <sheetName val="EI_Calc"/>
      <sheetName val="Produtos"/>
      <sheetName val="PV"/>
      <sheetName val="Base_Críticas_de_Pedidos"/>
      <sheetName val="REALxMETA_-_REFRI"/>
      <sheetName val="Planificador"/>
      <sheetName val="8-Procedimentos"/>
      <sheetName val="Gráfico_3"/>
      <sheetName val="Gráfico"/>
      <sheetName val="Gráfico_Anual"/>
      <sheetName val="GR"/>
      <sheetName val="Tabela_Preço"/>
      <sheetName val="Tab_Aux"/>
      <sheetName val="Produtos_e_Custos"/>
      <sheetName val="TI"/>
      <sheetName val="Plan2"/>
      <sheetName val="BASE_GV"/>
      <sheetName val="Matriz_Unidade"/>
      <sheetName val="Variavel"/>
      <sheetName val="Mod Relac."/>
      <sheetName val="Vlookup"/>
      <sheetName val="REALxMETA - CERVEJA"/>
      <sheetName val="REALxMETA - REFRI"/>
      <sheetName val="Catalogo"/>
      <sheetName val="MD"/>
      <sheetName val="Directrices de Metas 2017"/>
      <sheetName val="SKU Basic Data"/>
      <sheetName val="数据验证"/>
      <sheetName val="Лист2"/>
      <sheetName val="L1_L2_Lookup"/>
      <sheetName val="Entity Target"/>
      <sheetName val="条件"/>
      <sheetName val="Matriz"/>
      <sheetName val="Pareto"/>
      <sheetName val="Hoja5"/>
      <sheetName val="Personal"/>
      <sheetName val="VALIDACION DE DATOS"/>
      <sheetName val="Hoja4"/>
      <sheetName val="Drop-down List"/>
      <sheetName val="by DD"/>
      <sheetName val="Ba"/>
      <sheetName val="分类统计"/>
      <sheetName val="隐患分类"/>
      <sheetName val="Check Qualidade"/>
      <sheetName val="Lista"/>
      <sheetName val="De_Para"/>
      <sheetName val="De Para"/>
      <sheetName val="FornecM_Check"/>
      <sheetName val="Unidades_SAC-REVENDA2"/>
      <sheetName val="[손익기01_XL??DePara"/>
      <sheetName val="Farol_Metas"/>
      <sheetName val="Mod_Relac_"/>
      <sheetName val="Estratificación_AI"/>
      <sheetName val="condicion_inseguras"/>
      <sheetName val="Actos_Inseguros"/>
      <sheetName val="Control_de_incidentes"/>
      <sheetName val="Plan_de_Acción"/>
      <sheetName val="Feuil2"/>
      <sheetName val="Check Aderencia"/>
      <sheetName val="원부재료1"/>
      <sheetName val="_x005f_x0018__"/>
      <sheetName val="전기요금 산출내역"/>
      <sheetName val="TOWER 12TON"/>
      <sheetName val="TOWER 10TON"/>
      <sheetName val="JIB CRANE,HOIST"/>
      <sheetName val="1TL종점(1)"/>
      <sheetName val="_x005f_x0000___x0000__x0000__x0005__x0000_㴐ኰ"/>
      <sheetName val="_x005f_x0000___x0000__x0000__x0005__x0000_움ᕕ"/>
      <sheetName val="2_실행ﶻĉ_x0000_"/>
      <sheetName val="2_실행䔭疖꜀"/>
      <sheetName val="2_실행ﶻ_x001e__x0000_"/>
      <sheetName val="진행 DATA (2)"/>
      <sheetName val="NG Item"/>
      <sheetName val="PAD_TR보호대기초1"/>
      <sheetName val="1__시공측량1"/>
      <sheetName val="납부내역총괄표_(수정)1"/>
      <sheetName val="수종별수량_(2)1"/>
      <sheetName val="Weekly_Progress(계장)1"/>
      <sheetName val="근거_및_가정1"/>
      <sheetName val="2_카드채권(대출포함)1"/>
      <sheetName val="1_차입금1"/>
      <sheetName val="부대시행1_(2)1"/>
      <sheetName val="3_6_2남양주택배1"/>
      <sheetName val="설산1_나1"/>
      <sheetName val="개발계획수립"/>
      <sheetName val="건축"/>
      <sheetName val="산근(목록)"/>
      <sheetName val="심사계산"/>
      <sheetName val="기초단가"/>
      <sheetName val="변수"/>
      <sheetName val="심사물량"/>
      <sheetName val="입력"/>
      <sheetName val="노임단"/>
      <sheetName val="단위수량"/>
      <sheetName val="예측단가간지"/>
      <sheetName val="환경일위대가"/>
      <sheetName val="1~69"/>
      <sheetName val="01_건설공사_투입인원수_산정"/>
      <sheetName val="운반공"/>
      <sheetName val="이형관중량"/>
      <sheetName val="일위목록"/>
      <sheetName val="자재단"/>
      <sheetName val="장비단"/>
      <sheetName val="고시단가"/>
      <sheetName val="지구단위계획"/>
      <sheetName val="단위모델"/>
      <sheetName val="1_종합손익(도급)6"/>
      <sheetName val="1_종합손익(주택,개발)5"/>
      <sheetName val="2_실행예산5"/>
      <sheetName val="2_2과부족5"/>
      <sheetName val="2_3원가절감5"/>
      <sheetName val="8_외주비집행현황5"/>
      <sheetName val="9_자재비5"/>
      <sheetName val="10_현장집행5"/>
      <sheetName val="3_추가원가5"/>
      <sheetName val="3_추가원가_(2)5"/>
      <sheetName val="4_사전공사5"/>
      <sheetName val="5_추정공사비5"/>
      <sheetName val="6_금융비용5"/>
      <sheetName val="7_공사비집행현황(총괄)5"/>
      <sheetName val="11_1생산성5"/>
      <sheetName val="11_2인원산출5"/>
      <sheetName val="CC_Down_load_07165"/>
      <sheetName val="변경실행(2차)_5"/>
      <sheetName val="나_출고5"/>
      <sheetName val="나_입고5"/>
      <sheetName val="09년_인건비(속리산)5"/>
      <sheetName val="합산목표(감가+57_5)5"/>
      <sheetName val="__한국_AMP_ASP-23_판매가격__4"/>
      <sheetName val="제조원가_원단위_분석4"/>
      <sheetName val="종합표양식(품의_&amp;_입고)_24"/>
      <sheetName val="원가관리_(동월대비)4"/>
      <sheetName val="기성청구_공문5"/>
      <sheetName val="6PILE__(돌출)4"/>
      <sheetName val="b_balju_(2)4"/>
      <sheetName val="중기조종사_단위단가4"/>
      <sheetName val="2-2_매출분석4"/>
      <sheetName val="몰드시스템_리스트4"/>
      <sheetName val="7_(2)4"/>
      <sheetName val="11_외화채무증권(AFS,HTM)084"/>
      <sheetName val="13_감액TEST_084"/>
      <sheetName val="Sheet1_(2)4"/>
      <sheetName val="sum1_(2)4"/>
      <sheetName val="12년_CF(9월)4"/>
      <sheetName val="2_대외공문4"/>
      <sheetName val="表21_净利润调节表4"/>
      <sheetName val="3_바닥판설계4"/>
      <sheetName val="2_총괄표4"/>
      <sheetName val="2_주요계수총괄2"/>
      <sheetName val="Project_Brief2"/>
      <sheetName val="TRE_TABLE2"/>
      <sheetName val="입찰내역_발주처_양식2"/>
      <sheetName val="504전기실_동부하-L4"/>
      <sheetName val="입출재고현황_(2)2"/>
      <sheetName val="P_M_별3"/>
      <sheetName val="단면_(2)2"/>
      <sheetName val="OUTER_AREA(겹침없음)4"/>
      <sheetName val="EL_표면적4"/>
      <sheetName val="1_본사계정별2"/>
      <sheetName val="Facility_Information2"/>
      <sheetName val="09~10년_매출계획2"/>
      <sheetName val="97_사업추정(WEKI)2"/>
      <sheetName val="6월_공정외주2"/>
      <sheetName val="Tong_hop2"/>
      <sheetName val="95_1_1이후취득자산(숨기기상태)2"/>
      <sheetName val="1_MDF1공장2"/>
      <sheetName val="PAD_TR보호대기초2"/>
      <sheetName val="1__시공측량2"/>
      <sheetName val="Data_Validation2"/>
      <sheetName val="납부내역총괄표_(수정)2"/>
      <sheetName val="수종별수량_(2)2"/>
      <sheetName val="Weekly_Progress(계장)2"/>
      <sheetName val="근거_및_가정2"/>
      <sheetName val="2_카드채권(대출포함)2"/>
      <sheetName val="1_차입금2"/>
      <sheetName val="부대시행1_(2)2"/>
      <sheetName val="118_세금과공과2"/>
      <sheetName val="3_6_2남양주택배2"/>
      <sheetName val="설산1_나2"/>
      <sheetName val="01_02월_성B_x0000_"/>
      <sheetName val="Back_Data_12"/>
      <sheetName val="1월_예산1"/>
      <sheetName val="_견적서1"/>
      <sheetName val="해외_기술훈련비_(합계)2"/>
      <sheetName val="설문_평가1"/>
      <sheetName val="전선_및_전선관1"/>
      <sheetName val="#1)_투자_구분1"/>
      <sheetName val="2013_2월_연결대상1"/>
      <sheetName val="Utility_Usage_YTN_TOWER1"/>
      <sheetName val="B-1_기본정보1"/>
      <sheetName val="대투_보관자료_변경1"/>
      <sheetName val="G_R300경비"/>
      <sheetName val="AS포장복구_"/>
      <sheetName val="설_계"/>
      <sheetName val="수량산출서_갑지"/>
      <sheetName val="KEY_CODE1"/>
      <sheetName val="실행기성_갑지1"/>
      <sheetName val="Eq__Mobilization"/>
      <sheetName val="준검_내역서"/>
      <sheetName val="날개수량1_5"/>
      <sheetName val="Rev__Recon_1"/>
      <sheetName val="1_고객불만건수"/>
      <sheetName val="1_변경범위"/>
      <sheetName val="외주현황_wq11"/>
      <sheetName val="Jul-Sep_Actual_cost_(2)1"/>
      <sheetName val="3YP2016-Bottom_up1"/>
      <sheetName val="MASTER_APP1"/>
      <sheetName val="Cond__Inseguros1"/>
      <sheetName val="Comp__Inseguros1"/>
      <sheetName val="Lista_de_datos1"/>
      <sheetName val="Base_de_Datos1"/>
      <sheetName val="_DD_List1"/>
      <sheetName val="Share_Price_20021"/>
      <sheetName val="Clasif_1"/>
      <sheetName val="Lista_CI1"/>
      <sheetName val="Farol_Acciones1"/>
      <sheetName val="Lista_de_Entrenamientos1"/>
      <sheetName val="Supply_Cost_Centers1"/>
      <sheetName val="BEP_加薪_KPI1"/>
      <sheetName val="2-1_강사료,교통비_지급명세1"/>
      <sheetName val="13_포장용역비표준1"/>
      <sheetName val="9_가공부자재표준1"/>
      <sheetName val="8_ROLL표준(TSW)1"/>
      <sheetName val="4_톤당조관량표준1"/>
      <sheetName val="5_조관부자재표준1"/>
      <sheetName val="2-2_투자1"/>
      <sheetName val="Proj__Fin_1"/>
      <sheetName val="ITS_Assumptions"/>
      <sheetName val="Master_Data"/>
      <sheetName val="HQ_급여_"/>
      <sheetName val="OF_급여"/>
      <sheetName val="F_Ma급여"/>
      <sheetName val="SMT_급여"/>
      <sheetName val="QC_급여"/>
      <sheetName val="Sam_sung_급여"/>
      <sheetName val="Dlock_급여"/>
      <sheetName val="_thôi_việc_급여"/>
      <sheetName val="Công_smt"/>
      <sheetName val="Công_smt_(2)"/>
      <sheetName val="Detail_smt"/>
      <sheetName val="Công_QC"/>
      <sheetName val="Detail_QC_"/>
      <sheetName val="Công_SS"/>
      <sheetName val="Detail_SS"/>
      <sheetName val="Công_FMa"/>
      <sheetName val="Detail_FMa"/>
      <sheetName val="Công_OF"/>
      <sheetName val="Detail_OF"/>
      <sheetName val="Công_Dlock"/>
      <sheetName val="Detail_Dlock"/>
      <sheetName val="Công_thôi_việc"/>
      <sheetName val="Detail_thôi"/>
      <sheetName val="7_Utility_Analysis"/>
      <sheetName val="Operational_Activities"/>
      <sheetName val="F_월별기성수금현황_"/>
      <sheetName val="기초정보_코드"/>
      <sheetName val="1__작성방식"/>
      <sheetName val="조도계산서_(도서)"/>
      <sheetName val="C1_3_1"/>
      <sheetName val="입찰내역_Ĉᇆ"/>
      <sheetName val="입찰내역_Ĉᇆ"/>
      <sheetName val="6월_공嚺㓶가"/>
      <sheetName val="sum_x000a_"/>
      <sheetName val="_"/>
      <sheetName val="설비등록"/>
      <sheetName val="표)CFT장_조직별_배분"/>
      <sheetName val="20180214_P&amp;T"/>
      <sheetName val="Ref__중점_추진_과제별_상세"/>
      <sheetName val="2_6_三无_(2)"/>
      <sheetName val="Worker_List"/>
      <sheetName val="GB-IC_Villingen_GG"/>
      <sheetName val="A(Rev_3)"/>
      <sheetName val="C1ㅇ"/>
      <sheetName val="단가조정"/>
      <sheetName val="나_출_x0000__x0000_"/>
      <sheetName val="입찰내역_Ĉ"/>
      <sheetName val="보고서_표"/>
      <sheetName val="0__가정_및_결론"/>
      <sheetName val="1__투자비"/>
      <sheetName val="2__Rent-roll"/>
      <sheetName val="3__Funding"/>
      <sheetName val="4__운영수익"/>
      <sheetName val="5__운영비용"/>
      <sheetName val="6_1_N+1년차_NOI_산정"/>
      <sheetName val="6__부동산매각"/>
      <sheetName val="7__보유세"/>
      <sheetName val="8__교통유발부담금"/>
      <sheetName val="9__BS부속"/>
      <sheetName val="10__CF(M)"/>
      <sheetName val="11__IS(M)"/>
      <sheetName val="12__BS(M)"/>
      <sheetName val="14__IS(FY)"/>
      <sheetName val="13__CF(FY)"/>
      <sheetName val="15__BS(FY)"/>
      <sheetName val="16__RE(FY)"/>
      <sheetName val="1_수인터널"/>
      <sheetName val="부대내역"/>
      <sheetName val="날개벽수량표"/>
      <sheetName val="관리자"/>
      <sheetName val="받을어음"/>
      <sheetName val="구분 Table"/>
      <sheetName val="역T형옹벽(3.0)"/>
      <sheetName val="외상매출금현황-수정분 A2"/>
      <sheetName val="상불"/>
      <sheetName val="Assign"/>
      <sheetName val="합잔_역사"/>
      <sheetName val="01현금및현금성자산(ok)"/>
      <sheetName val="부대공사총괄"/>
      <sheetName val="건축공사집계표"/>
      <sheetName val="방배동내역 (총괄)"/>
      <sheetName val="미계약2"/>
      <sheetName val="_x005f_x005f_x005f_x0000__x005f_x005f_x005f_x0000_"/>
      <sheetName val="견적 맵"/>
      <sheetName val="Cntmrs"/>
      <sheetName val="JT3.0견적-구1"/>
      <sheetName val="Dropbox 목록"/>
      <sheetName val="504전기실_Ç_x0000_Ԁ_x0000_瀀"/>
      <sheetName val="504전기실_Ç_x0000_Ԁ_x0000_退"/>
      <sheetName val="504전기실_壇멿︀ⳕԯ"/>
      <sheetName val="NKC (final)"/>
      <sheetName val="자판실행"/>
      <sheetName val="工완성공사율"/>
      <sheetName val="자금_제_x0000__x0000_Ԁ_x0000_"/>
      <sheetName val="생산성(2차)"/>
      <sheetName val="요약(1차)"/>
      <sheetName val="운반"/>
      <sheetName val="M&amp;Q_Lead"/>
      <sheetName val="Phieu_trinh_ky_cấu_tháp"/>
      <sheetName val="Phieu_trinh_ky_VTP"/>
      <sheetName val="KS-VL_rời"/>
      <sheetName val="Tai_san"/>
      <sheetName val="Check_dong_tien"/>
      <sheetName val="Chi_phí_SDTS"/>
      <sheetName val="Check_COST"/>
      <sheetName val="DATA_HD"/>
      <sheetName val="Tong_hop_1TM"/>
      <sheetName val="NS_Lán_trại"/>
      <sheetName val="Check_cong_no_NC"/>
      <sheetName val="4_1_월별_에너지_사용량"/>
      <sheetName val="첨부#2_Cash_Flow(현장작성)"/>
      <sheetName val="7_공사비집Ā翸"/>
      <sheetName val="Bank_code"/>
      <sheetName val="Drop-down_RAW"/>
      <sheetName val="NKC_(final)"/>
      <sheetName val="1-2_설계변경요청서(갑지)"/>
      <sheetName val="첨부1_(주차관제-_당공)"/>
      <sheetName val="첨부1-1_설계변경내역서(CCTV)"/>
      <sheetName val="첨부1-2_(주차관제-변공)"/>
      <sheetName val="2-6_변공량(추가공사)"/>
      <sheetName val="_2-1_관제(물량산출서집계표)"/>
      <sheetName val="_2-2_유도(물량산출서집계표)"/>
      <sheetName val="3-1_주차관제"/>
      <sheetName val="3-2_주차-광케이블"/>
      <sheetName val="3-3_층별LPR"/>
      <sheetName val="4-1_유도-광케이블"/>
      <sheetName val="4-2_주차키오스크"/>
      <sheetName val="4-3_4면카메라"/>
      <sheetName val="4-5_CCTV"/>
      <sheetName val="4-6_블럭유도등"/>
      <sheetName val="4-7_입구만차등"/>
      <sheetName val="4-8_비상벨"/>
      <sheetName val="기준재고"/>
      <sheetName val="수액원료4"/>
      <sheetName val="문의내용 카테고리 분류(수정X)"/>
      <sheetName val="네고14"/>
      <sheetName val="관리1"/>
      <sheetName val="연체리스료"/>
      <sheetName val="대차대조표-공시형"/>
      <sheetName val="VNHA"/>
      <sheetName val="hiddenSheet"/>
      <sheetName val="날개벽(시점좌측)"/>
      <sheetName val="이름표"/>
      <sheetName val="철거산출근거"/>
      <sheetName val="Sheet475"/>
      <sheetName val="Diesel Price "/>
      <sheetName val="$bhp"/>
      <sheetName val="업무분장 "/>
      <sheetName val="7300-1000.11"/>
      <sheetName val="7300-1000_11"/>
      <sheetName val="기준Data"/>
      <sheetName val="PJT 현황"/>
      <sheetName val="참고) 기준정보"/>
      <sheetName val="포지셔닝(유형별)"/>
      <sheetName val="채권(하반기)"/>
      <sheetName val="금액"/>
      <sheetName val="제품"/>
      <sheetName val="분류표"/>
      <sheetName val="Long Term Prices"/>
      <sheetName val="생산량"/>
      <sheetName val="BK_PPA"/>
      <sheetName val="간접비차이_PJT"/>
      <sheetName val="(참조)"/>
      <sheetName val="Investment Category"/>
      <sheetName val="1월"/>
      <sheetName val="회사전체"/>
      <sheetName val="_x005f_x005f_x005f_x0000__x005f"/>
      <sheetName val="소주(苏州)"/>
      <sheetName val="XREF"/>
      <sheetName val="Asset9809CAK"/>
      <sheetName val="PUR-12K"/>
      <sheetName val="TSCLFEB"/>
      <sheetName val="1o_Sem"/>
      <sheetName val="2o_Sem"/>
      <sheetName val="ID_Ano"/>
      <sheetName val="BaseReal"/>
      <sheetName val="Devolução_Cx_Mês"/>
      <sheetName val="Base_Fornec_M_AS_Hl"/>
      <sheetName val="Acompanhamento_Devolução"/>
      <sheetName val="Base_%_VD"/>
      <sheetName val="Ta_x0005_"/>
      <sheetName val="Base Farol"/>
      <sheetName val="Gerencial IL"/>
      <sheetName val="Ventas Campo"/>
      <sheetName val="Graficos"/>
      <sheetName val="FornecM_Check1"/>
      <sheetName val="Unidades_SAC-REVENDA3"/>
      <sheetName val="[손익기01_XL??DePara1"/>
      <sheetName val="Farol_Metas1"/>
      <sheetName val="Mod_Relac_1"/>
      <sheetName val="Estratificación_AI1"/>
      <sheetName val="condicion_inseguras1"/>
      <sheetName val="Actos_Inseguros1"/>
      <sheetName val="Control_de_incidentes1"/>
      <sheetName val="Plan_de_Acción1"/>
      <sheetName val="TOP_KPIs_MTM"/>
      <sheetName val="PLAN_DE_ACCION"/>
      <sheetName val="Faro_de_Indicadores"/>
      <sheetName val="Grafica_Actos"/>
      <sheetName val="Condiciones_SyE"/>
      <sheetName val="REALxMETA_-_CERVEJA2"/>
      <sheetName val="REALxMETA_-_REFRI2"/>
      <sheetName val="Dashboard_Prevención_Riesgos_"/>
      <sheetName val="POC_LIST"/>
      <sheetName val="Entity_Target"/>
      <sheetName val="Issues_List_Payments"/>
      <sheetName val="ACTOS POR RIESGO"/>
      <sheetName val="drop lists"/>
      <sheetName val="MRL NON SUPPLY URU"/>
      <sheetName val="AIIM - Empresas Ext 2012"/>
      <sheetName val="Blad2"/>
      <sheetName val="KPIs Hana"/>
      <sheetName val="CausasProblemasFolios"/>
      <sheetName val="Catalago de refacciones "/>
      <sheetName val="Existencias al 07-Nov-2012"/>
      <sheetName val="GAP"/>
      <sheetName val="Check GG"/>
      <sheetName val="요일_테이블4"/>
      <sheetName val="요일_테이블_(2)3"/>
      <sheetName val="TO_Data_Base12"/>
      <sheetName val="YTD_Summary11"/>
      <sheetName val="Month_Summary11"/>
      <sheetName val="Trial_Balance_MAY_200911"/>
      <sheetName val="TB_Pivot11"/>
      <sheetName val="total_per_LB_LB211"/>
      <sheetName val="Trial_Balance_Vlookup11"/>
      <sheetName val="Trial_Balance_APRIL_200911"/>
      <sheetName val="Roll_Out_AQ11"/>
      <sheetName val="Evolução_mandamentos11"/>
      <sheetName val="Planilha_resultados10"/>
      <sheetName val="Historico_200310"/>
      <sheetName val="Sig_Cycles_Accts_&amp;_Processes10"/>
      <sheetName val="Fixed_ZBB4"/>
      <sheetName val="E_法规NC4"/>
      <sheetName val="3_ISo_YTD4"/>
      <sheetName val="Données_LMU4"/>
      <sheetName val="Brazil_Sovereign4"/>
      <sheetName val="Resumen_Costo4"/>
      <sheetName val="Base_de_Dados4"/>
      <sheetName val="Extract_Loss4"/>
      <sheetName val="5_14"/>
      <sheetName val="QA_跟踪记录表4"/>
      <sheetName val="RG_Depots4"/>
      <sheetName val="material_data4"/>
      <sheetName val="other_data4"/>
      <sheetName val="Como_Estamos4"/>
      <sheetName val="Database_(RUR)Mar_YTD4"/>
      <sheetName val="SKU_Mapping4"/>
      <sheetName val="Drop_Down4"/>
      <sheetName val="Raw_Data4"/>
      <sheetName val="EBM-2_GHQ4"/>
      <sheetName val="Base_PEF5"/>
      <sheetName val="Controls_data6"/>
      <sheetName val="Dados_BLP4"/>
      <sheetName val="Testing_Template_Guidance4"/>
      <sheetName val="Test_Programs4"/>
      <sheetName val="FJJX_Bud_IB3"/>
      <sheetName val="JOB_PROFILE_-_LAS4"/>
      <sheetName val="ARdistr_(2)4"/>
      <sheetName val="look-up_data3"/>
      <sheetName val="Prd_Hierarchy(产品层级)3"/>
      <sheetName val="Com_(2PK)3"/>
      <sheetName val="전사_PL5"/>
      <sheetName val="자금_제외_PL5"/>
      <sheetName val="자금_PL5"/>
      <sheetName val="전사_BS5"/>
      <sheetName val="자금_제외_BS5"/>
      <sheetName val="자금_BS5"/>
      <sheetName val="BS_계정_설명5"/>
      <sheetName val="_Cash_Flow(전사)5"/>
      <sheetName val="_Cash_Flow(자금제외)5"/>
      <sheetName val="_Cash_Flow(자금)5"/>
      <sheetName val="ROIC_5"/>
      <sheetName val="인건비_명세5"/>
      <sheetName val="판관비_명세5"/>
      <sheetName val="OH_Cost경비(내역)5"/>
      <sheetName val="OH_Cost경비(배부기준)5"/>
      <sheetName val="기타수지&amp;특별손익_명세5"/>
      <sheetName val="업무연락_(2)4"/>
      <sheetName val="제시_손익계산서4"/>
      <sheetName val="01_02월_성과급5"/>
      <sheetName val="M_7회차_담금_계획4"/>
      <sheetName val="팀별_실적4"/>
      <sheetName val="팀별_실적_(환산)4"/>
      <sheetName val="4__Inj_투자상세내역4"/>
      <sheetName val="3__Blow_투자_상세내역4"/>
      <sheetName val="Process_List4"/>
      <sheetName val="Prd_Hierarchy(产品层次)3"/>
      <sheetName val="Project_Code3"/>
      <sheetName val="_손익기01_XL3"/>
      <sheetName val="drop_down_list3"/>
      <sheetName val="[손익기01_XL_x005f_x0000__x005f_x0000_DePara3"/>
      <sheetName val="Income_Stmt3"/>
      <sheetName val="Quarterly_LBO_Model3"/>
      <sheetName val="[손익기01_XL3"/>
      <sheetName val="_손익기01_XL_x005f_x0000__x005f_x0000_DePara3"/>
      <sheetName val="15년_BL_사계3"/>
      <sheetName val="Classification_分类2"/>
      <sheetName val="Figures_Report2"/>
      <sheetName val="Set_Up3"/>
      <sheetName val="Fare_prices2"/>
      <sheetName val="Hotel_prices2"/>
      <sheetName val="tab_STATUS_DO_PROCESSO_2"/>
      <sheetName val="Perf__Plan__Diário12"/>
      <sheetName val="In_(2)2"/>
      <sheetName val="slide_24_cat_A2"/>
      <sheetName val="slide_82_cat_b2"/>
      <sheetName val="Incident_유형구분표2"/>
      <sheetName val="CLASIFICACION_DE_AI2"/>
      <sheetName val="Base_da_Datos2"/>
      <sheetName val="Dados_dos_Produtos2"/>
      <sheetName val="DD_list2"/>
      <sheetName val="F08_-_Asia_Pac_Full_Year_Q31"/>
      <sheetName val="Top_Priorities1"/>
      <sheetName val="Listco_Stock1"/>
      <sheetName val="Intl_Purchase1"/>
      <sheetName val="FY_outlook1"/>
      <sheetName val="CY_outlook1"/>
      <sheetName val="Cash_metrics1"/>
      <sheetName val="P6_71"/>
      <sheetName val="DATOS_BASE"/>
      <sheetName val="Hazards_Analysis-隐患分析"/>
      <sheetName val="_손익기01_XL_x005f_x005f_x005f_x0000__x005f_x005f_x0"/>
      <sheetName val="turnover_reason퇴직사유"/>
      <sheetName val="SKU_Basic_Data"/>
      <sheetName val="DETALLE_MENSUAL"/>
      <sheetName val="do_not_delete"/>
      <sheetName val="APAC_S"/>
      <sheetName val="APAC_N"/>
      <sheetName val="Slide_output"/>
      <sheetName val="Directrices_de_Metas_2017"/>
      <sheetName val="구분"/>
      <sheetName val="요일_테이블5"/>
      <sheetName val="요일_테이블_(2)4"/>
      <sheetName val="TO_Data_Base13"/>
      <sheetName val="YTD_Summary12"/>
      <sheetName val="Month_Summary12"/>
      <sheetName val="Trial_Balance_MAY_200912"/>
      <sheetName val="TB_Pivot12"/>
      <sheetName val="total_per_LB_LB212"/>
      <sheetName val="Trial_Balance_Vlookup12"/>
      <sheetName val="Trial_Balance_APRIL_200912"/>
      <sheetName val="Roll_Out_AQ12"/>
      <sheetName val="Evolução_mandamentos12"/>
      <sheetName val="Planilha_resultados11"/>
      <sheetName val="Historico_200311"/>
      <sheetName val="Sig_Cycles_Accts_&amp;_Processes11"/>
      <sheetName val="Fixed_ZBB5"/>
      <sheetName val="E_法规NC5"/>
      <sheetName val="3_ISo_YTD5"/>
      <sheetName val="Données_LMU5"/>
      <sheetName val="Brazil_Sovereign5"/>
      <sheetName val="Resumen_Costo5"/>
      <sheetName val="Base_de_Dados5"/>
      <sheetName val="Extract_Loss5"/>
      <sheetName val="5_15"/>
      <sheetName val="QA_跟踪记录表5"/>
      <sheetName val="RG_Depots5"/>
      <sheetName val="material_data5"/>
      <sheetName val="other_data5"/>
      <sheetName val="Como_Estamos5"/>
      <sheetName val="Database_(RUR)Mar_YTD5"/>
      <sheetName val="SKU_Mapping5"/>
      <sheetName val="Drop_Down5"/>
      <sheetName val="Raw_Data5"/>
      <sheetName val="EBM-2_GHQ5"/>
      <sheetName val="Base_PEF6"/>
      <sheetName val="Controls_data7"/>
      <sheetName val="Dados_BLP5"/>
      <sheetName val="Testing_Template_Guidance5"/>
      <sheetName val="Test_Programs5"/>
      <sheetName val="FJJX_Bud_IB4"/>
      <sheetName val="JOB_PROFILE_-_LAS5"/>
      <sheetName val="ARdistr_(2)5"/>
      <sheetName val="look-up_data4"/>
      <sheetName val="Prd_Hierarchy(产品层级)4"/>
      <sheetName val="Com_(2PK)4"/>
      <sheetName val="전사_PL6"/>
      <sheetName val="자금_제외_PL6"/>
      <sheetName val="자금_PL6"/>
      <sheetName val="전사_BS6"/>
      <sheetName val="자금_제외_BS6"/>
      <sheetName val="자금_BS6"/>
      <sheetName val="BS_계정_설명6"/>
      <sheetName val="_Cash_Flow(전사)6"/>
      <sheetName val="_Cash_Flow(자금제외)6"/>
      <sheetName val="_Cash_Flow(자금)6"/>
      <sheetName val="ROIC_6"/>
      <sheetName val="인건비_명세6"/>
      <sheetName val="판관비_명세6"/>
      <sheetName val="OH_Cost경비(내역)6"/>
      <sheetName val="OH_Cost경비(배부기준)6"/>
      <sheetName val="기타수지&amp;특별손익_명세6"/>
      <sheetName val="업무연락_(2)5"/>
      <sheetName val="제시_손익계산서5"/>
      <sheetName val="01_02월_성과급6"/>
      <sheetName val="M_7회차_담금_계획5"/>
      <sheetName val="팀별_실적5"/>
      <sheetName val="팀별_실적_(환산)5"/>
      <sheetName val="4__Inj_투자상세내역5"/>
      <sheetName val="3__Blow_투자_상세내역5"/>
      <sheetName val="Process_List5"/>
      <sheetName val="7_(2)5"/>
      <sheetName val="Prd_Hierarchy(产品层次)4"/>
      <sheetName val="Project_Code4"/>
      <sheetName val="_손익기01_XL4"/>
      <sheetName val="drop_down_list4"/>
      <sheetName val="[손익기01_XL_x005f_x0000__x005f_x0000_DePara4"/>
      <sheetName val="Income_Stmt4"/>
      <sheetName val="Quarterly_LBO_Model4"/>
      <sheetName val="[손익기01_XL4"/>
      <sheetName val="_손익기01_XL_x005f_x0000__x005f_x0000_DePara4"/>
      <sheetName val="15년_BL_사계4"/>
      <sheetName val="Classification_分类3"/>
      <sheetName val="Figures_Report3"/>
      <sheetName val="Set_Up4"/>
      <sheetName val="Fare_prices3"/>
      <sheetName val="Hotel_prices3"/>
      <sheetName val="tab_STATUS_DO_PROCESSO_3"/>
      <sheetName val="Perf__Plan__Diário13"/>
      <sheetName val="In_(2)3"/>
      <sheetName val="slide_24_cat_A3"/>
      <sheetName val="slide_82_cat_b3"/>
      <sheetName val="09~10년_매출계획3"/>
      <sheetName val="1_MDF1공장3"/>
      <sheetName val="Incident_유형구분표3"/>
      <sheetName val="CLASIFICACION_DE_AI3"/>
      <sheetName val="Base_da_Datos3"/>
      <sheetName val="Dados_dos_Produtos3"/>
      <sheetName val="DD_list3"/>
      <sheetName val="3YP2016-Bottom_up2"/>
      <sheetName val="MASTER_APP2"/>
      <sheetName val="Cond__Inseguros2"/>
      <sheetName val="Comp__Inseguros2"/>
      <sheetName val="Lista_de_datos2"/>
      <sheetName val="Base_de_Datos2"/>
      <sheetName val="_DD_List2"/>
      <sheetName val="Share_Price_20022"/>
      <sheetName val="Clasif_2"/>
      <sheetName val="Lista_CI2"/>
      <sheetName val="Farol_Acciones2"/>
      <sheetName val="Lista_de_Entrenamientos2"/>
      <sheetName val="Supply_Cost_Centers2"/>
      <sheetName val="F08_-_Asia_Pac_Full_Year_Q32"/>
      <sheetName val="Top_Priorities2"/>
      <sheetName val="Listco_Stock2"/>
      <sheetName val="Intl_Purchase2"/>
      <sheetName val="FY_outlook2"/>
      <sheetName val="CY_outlook2"/>
      <sheetName val="Cash_metrics2"/>
      <sheetName val="P6_72"/>
      <sheetName val="DATOS_BASE1"/>
      <sheetName val="Hazards_Analysis-隐患分析1"/>
      <sheetName val="_손익기01_XL_x005f_x005f_x005f_x0000__x005f_x005f_x1"/>
      <sheetName val="Dashboard_Prevención_Riesgos_1"/>
      <sheetName val="TOP_KPIs_MTM1"/>
      <sheetName val="PLAN_DE_ACCION1"/>
      <sheetName val="Faro_de_Indicadores1"/>
      <sheetName val="Issues_List_Payments1"/>
      <sheetName val="Grafica_Actos1"/>
      <sheetName val="Condiciones_SyE1"/>
      <sheetName val="turnover_reason퇴직사유1"/>
      <sheetName val="POC_LIST1"/>
      <sheetName val="SKU_Basic_Data1"/>
      <sheetName val="DETALLE_MENSUAL1"/>
      <sheetName val="do_not_delete1"/>
      <sheetName val="REALxMETA_-_CERVEJA3"/>
      <sheetName val="REALxMETA_-_REFRI3"/>
      <sheetName val="APAC_S1"/>
      <sheetName val="APAC_N1"/>
      <sheetName val="Slide_output1"/>
      <sheetName val="Directrices_de_Metas_20171"/>
      <sheetName val="Entity_Target1"/>
      <sheetName val="VALIDACION_DE_DATOS"/>
      <sheetName val="Drop-down_List"/>
      <sheetName val="by_DD"/>
      <sheetName val="_손익기01.XL_x005f_x0000__x0"/>
      <sheetName val="工作表2"/>
      <sheetName val="条件格式选项"/>
      <sheetName val="单位信息"/>
      <sheetName val="条件格式"/>
      <sheetName val="요일 테이블 "/>
      <sheetName val="Nombre de SOP"/>
      <sheetName val="Vermelha"/>
      <sheetName val="Список"/>
      <sheetName val="targets"/>
      <sheetName val=" mngt Pillar"/>
      <sheetName val="2. Indicadores"/>
      <sheetName val="Ta¨"/>
      <sheetName val="Ta "/>
      <sheetName val="Sheet3 (2)"/>
      <sheetName val="Hoegaarden"/>
      <sheetName val="Lao &amp; Cam"/>
      <sheetName val="Hoegaarden 2019"/>
      <sheetName val="Lao &amp; Cam 2019"/>
      <sheetName val="Malaysia"/>
      <sheetName val="Malaysia 2019"/>
      <sheetName val="Singapore"/>
      <sheetName val="Singapore 2019"/>
      <sheetName val="Sheet2 (2)"/>
      <sheetName val="下拉菜单选项"/>
      <sheetName val="Lookups"/>
      <sheetName val="Other Listings"/>
      <sheetName val="Registros"/>
      <sheetName val="Lista de Entrenamientos RSO"/>
      <sheetName val="Tablero SDG"/>
      <sheetName val="Lista Areas"/>
      <sheetName val="One Page"/>
      <sheetName val="Tablero_SDG"/>
      <sheetName val="Lista_Areas"/>
      <sheetName val="One_Page"/>
      <sheetName val="Tablero_SDG1"/>
      <sheetName val="Lista_Areas1"/>
      <sheetName val="One_Page1"/>
      <sheetName val="Sub-Productos HN"/>
      <sheetName val="SDG"/>
      <sheetName val="Eficiencia linea"/>
      <sheetName val="Tablero_SDG2"/>
      <sheetName val="Lista_Areas2"/>
      <sheetName val="One_Page2"/>
      <sheetName val="Sub-Productos_HN"/>
      <sheetName val="Capa"/>
      <sheetName val="Reference"/>
      <sheetName val="Dropdown"/>
      <sheetName val="[손익기01_XL_x0000__x0000_DePara2"/>
      <sheetName val="_손익기01_XL_x0000__x0000_DePara2"/>
      <sheetName val="[손익기01_XL_x0000__x0000_DePara1"/>
      <sheetName val="_손익기01_XL_x0000__x0000_DePara1"/>
      <sheetName val="有效性"/>
      <sheetName val="基础信息"/>
      <sheetName val="dd"/>
      <sheetName val="隐患统计图"/>
      <sheetName val="Refs"/>
      <sheetName val="Unidades_SAC-REVENDA4"/>
      <sheetName val="FornecM_Check2"/>
      <sheetName val="Mod_Relac_2"/>
      <sheetName val="[손익기01_XL??DePara2"/>
      <sheetName val="Farol_Metas2"/>
      <sheetName val="Estratificación_AI2"/>
      <sheetName val="condicion_inseguras2"/>
      <sheetName val="Actos_Inseguros2"/>
      <sheetName val="Control_de_incidentes2"/>
      <sheetName val="Plan_de_Acción2"/>
      <sheetName val="Check_Qualidade"/>
      <sheetName val="De_Para1"/>
      <sheetName val="Check_Aderencia"/>
      <sheetName val="Ta"/>
      <sheetName val="Base_Farol"/>
      <sheetName val="Ventas_Campo"/>
      <sheetName val="Gerencial_IL"/>
      <sheetName val="Ta_"/>
      <sheetName val="ACTOS_POR_RIESGO"/>
      <sheetName val="Nombre_de_SOP"/>
      <sheetName val="drop_lists"/>
      <sheetName val="Check_GG"/>
      <sheetName val="KPIs_Hana"/>
      <sheetName val="Catalago_de_refacciones_"/>
      <sheetName val="Existencias_al_07-Nov-2012"/>
      <sheetName val="MRL_NON_SUPPLY_URU"/>
      <sheetName val="AIIM_-_Empresas_Ext_2012"/>
      <sheetName val="Pauta RPS Distribuição"/>
      <sheetName val="BaseGrupo"/>
      <sheetName val="RProd"/>
      <sheetName val="Planilha1"/>
      <sheetName val="Planilha2"/>
      <sheetName val="Estoque"/>
      <sheetName val="Estoque (2)"/>
      <sheetName val="ajuda"/>
      <sheetName val="Adm"/>
      <sheetName val="Controls"/>
      <sheetName val="菜单联动"/>
      <sheetName val="不安全行为库"/>
      <sheetName val="KPI标准"/>
      <sheetName val="Motorista"/>
      <sheetName val="[손익기01_XL_x0000__x0000_DePara3"/>
      <sheetName val="_손익기01_XL_x0000__x0000_DePara3"/>
      <sheetName val="_손익기01.XL_x0000__x0"/>
      <sheetName val="[손익기01_XL_x0000__x0000_DePara4"/>
      <sheetName val="_손익기01_XL_x0000__x0000_DePara4"/>
      <sheetName val="_손익기01_XL_x005f_x0000__x0"/>
      <sheetName val="_손익기01_XL_x005f_x0000__x1"/>
      <sheetName val="Julio"/>
      <sheetName val="CONTADOR"/>
      <sheetName val="DROP"/>
      <sheetName val="INGRESO"/>
      <sheetName val="DATOS DE VALIDACIÓN"/>
      <sheetName val="clasificación"/>
      <sheetName val="Datos con"/>
      <sheetName val="Dato"/>
      <sheetName val="Enero(11)"/>
      <sheetName val="Respel-RAEE"/>
      <sheetName val="Asistencia"/>
      <sheetName val=" Datos Cond."/>
      <sheetName val="CRITERIOS"/>
      <sheetName val="참조용"/>
      <sheetName val="이상욱"/>
      <sheetName val="최창원"/>
      <sheetName val="권순오"/>
      <sheetName val="유윤선"/>
      <sheetName val="서유덕"/>
      <sheetName val="이창훈"/>
      <sheetName val="이도현"/>
      <sheetName val="진형수"/>
      <sheetName val="원영훈"/>
      <sheetName val="정진광"/>
      <sheetName val="강승권"/>
      <sheetName val="마민호"/>
      <sheetName val="주차통행료"/>
      <sheetName val="이상욱2"/>
      <sheetName val="Comp Inseguros"/>
      <sheetName val="BNR_2012 в ящике"/>
      <sheetName val="Legend"/>
      <sheetName val="INGRESO (2)"/>
      <sheetName val="PG-K1610 (UEN Areas)MNG"/>
      <sheetName val="DATOS GEN."/>
      <sheetName val="NUEVOS CRITERIOS"/>
      <sheetName val="Condiciones Agua"/>
      <sheetName val="筛选列表"/>
      <sheetName val="ETD"/>
      <sheetName val="Cons"/>
      <sheetName val="TO_Data_Base14"/>
      <sheetName val="YTD_Summary13"/>
      <sheetName val="Month_Summary13"/>
      <sheetName val="Trial_Balance_MAY_200913"/>
      <sheetName val="TB_Pivot13"/>
      <sheetName val="total_per_LB_LB213"/>
      <sheetName val="Trial_Balance_Vlookup13"/>
      <sheetName val="Trial_Balance_APRIL_200913"/>
      <sheetName val="Roll_Out_AQ13"/>
      <sheetName val="Evolução_mandamentos13"/>
      <sheetName val="Planilha_resultados12"/>
      <sheetName val="Historico_200312"/>
      <sheetName val="Sig_Cycles_Accts_&amp;_Processes12"/>
      <sheetName val="Fixed_ZBB6"/>
      <sheetName val="E_法规NC6"/>
      <sheetName val="3_ISo_YTD6"/>
      <sheetName val="Données_LMU6"/>
      <sheetName val="Brazil_Sovereign6"/>
      <sheetName val="Resumen_Costo6"/>
      <sheetName val="Extract_Loss6"/>
      <sheetName val="QA_跟踪记录表6"/>
      <sheetName val="5_16"/>
      <sheetName val="Base_de_Dados6"/>
      <sheetName val="Como_Estamos6"/>
      <sheetName val="Controls_data8"/>
      <sheetName val="RG_Depots6"/>
      <sheetName val="material_data6"/>
      <sheetName val="other_data6"/>
      <sheetName val="Database_(RUR)Mar_YTD6"/>
      <sheetName val="SKU_Mapping6"/>
      <sheetName val="Drop_Down6"/>
      <sheetName val="Raw_Data6"/>
      <sheetName val="EBM-2_GHQ6"/>
      <sheetName val="Base_PEF7"/>
      <sheetName val="Testing_Template_Guidance6"/>
      <sheetName val="Test_Programs6"/>
      <sheetName val="Dados_BLP6"/>
      <sheetName val="FJJX_Bud_IB5"/>
      <sheetName val="JOB_PROFILE_-_LAS6"/>
      <sheetName val="ARdistr_(2)6"/>
      <sheetName val="look-up_data5"/>
      <sheetName val="Prd_Hierarchy(产品层级)5"/>
      <sheetName val="Com_(2PK)5"/>
      <sheetName val="Project_Code5"/>
      <sheetName val="요일_테이블6"/>
      <sheetName val="요일_테이블_(2)5"/>
      <sheetName val="Prd_Hierarchy(产品层次)5"/>
      <sheetName val="전사_PL7"/>
      <sheetName val="자금_제외_PL7"/>
      <sheetName val="자금_PL7"/>
      <sheetName val="전사_BS7"/>
      <sheetName val="자금_제외_BS7"/>
      <sheetName val="자금_BS7"/>
      <sheetName val="BS_계정_설명7"/>
      <sheetName val="_Cash_Flow(전사)7"/>
      <sheetName val="_Cash_Flow(자금제외)7"/>
      <sheetName val="_Cash_Flow(자금)7"/>
      <sheetName val="ROIC_7"/>
      <sheetName val="인건비_명세7"/>
      <sheetName val="판관비_명세7"/>
      <sheetName val="OH_Cost경비(내역)7"/>
      <sheetName val="OH_Cost경비(배부기준)7"/>
      <sheetName val="기타수지&amp;특별손익_명세7"/>
      <sheetName val="업무연락_(2)6"/>
      <sheetName val="제시_손익계산서6"/>
      <sheetName val="01_02월_성과급7"/>
      <sheetName val="M_7회차_담금_계획6"/>
      <sheetName val="팀별_실적6"/>
      <sheetName val="팀별_실적_(환산)6"/>
      <sheetName val="4__Inj_투자상세내역6"/>
      <sheetName val="3__Blow_투자_상세내역6"/>
      <sheetName val="Process_List6"/>
      <sheetName val="7_(2)6"/>
      <sheetName val="_손익기01_XL5"/>
      <sheetName val="Income_Stmt5"/>
      <sheetName val="drop_down_list5"/>
      <sheetName val="[손익기01_XL_x005f_x0000__x005f_x0000_DePara5"/>
      <sheetName val="Quarterly_LBO_Model5"/>
      <sheetName val="Figures_Report4"/>
      <sheetName val="[손익기01_XL5"/>
      <sheetName val="_손익기01_XL_x005f_x0000__x005f_x0000_DePara5"/>
      <sheetName val="Fare_prices4"/>
      <sheetName val="Hotel_prices4"/>
      <sheetName val="Set_Up5"/>
      <sheetName val="15년_BL_사계5"/>
      <sheetName val="Classification_分类4"/>
      <sheetName val="tab_STATUS_DO_PROCESSO_4"/>
      <sheetName val="Perf__Plan__Diário14"/>
      <sheetName val="In_(2)4"/>
      <sheetName val="CLASIFICACION_DE_AI4"/>
      <sheetName val="Base_da_Datos4"/>
      <sheetName val="slide_24_cat_A4"/>
      <sheetName val="slide_82_cat_b4"/>
      <sheetName val="Dados_dos_Produtos4"/>
      <sheetName val="09~10년_매출계획4"/>
      <sheetName val="1_MDF1공장4"/>
      <sheetName val="Incident_유형구분표4"/>
      <sheetName val="3YP2016-Bottom_up3"/>
      <sheetName val="DD_list4"/>
      <sheetName val="Base_de_Datos3"/>
      <sheetName val="Clasif_3"/>
      <sheetName val="Supply_Cost_Centers3"/>
      <sheetName val="Cond__Inseguros3"/>
      <sheetName val="Comp__Inseguros3"/>
      <sheetName val="Lista_de_datos3"/>
      <sheetName val="MASTER_APP3"/>
      <sheetName val="2_카드채권(대출포함)3"/>
      <sheetName val="Lista_CI3"/>
      <sheetName val="Dashboard_Prevención_Riesgos_2"/>
      <sheetName val="TOP_KPIs_MTM2"/>
      <sheetName val="PLAN_DE_ACCION2"/>
      <sheetName val="Faro_de_Indicadores2"/>
      <sheetName val="Farol_Acciones3"/>
      <sheetName val="Lista_de_Entrenamientos3"/>
      <sheetName val="Share_Price_20023"/>
      <sheetName val="_DD_List3"/>
      <sheetName val="BEP_加薪_KPI2"/>
      <sheetName val="Issues_List_Payments2"/>
      <sheetName val="do_not_delete2"/>
      <sheetName val="Grafica_Actos2"/>
      <sheetName val="APAC_S2"/>
      <sheetName val="APAC_N2"/>
      <sheetName val="Slide_output2"/>
      <sheetName val="Condiciones_SyE2"/>
      <sheetName val="REALxMETA_-_CERVEJA4"/>
      <sheetName val="REALxMETA_-_REFRI4"/>
      <sheetName val="Directrices_de_Metas_20172"/>
      <sheetName val="_손익기01_XL_x005f_x005f_x005f_x0000__x005f_x005f_x2"/>
      <sheetName val="Hazards_Analysis-隐患分析2"/>
      <sheetName val="F08_-_Asia_Pac_Full_Year_Q33"/>
      <sheetName val="Top_Priorities3"/>
      <sheetName val="Listco_Stock3"/>
      <sheetName val="Intl_Purchase3"/>
      <sheetName val="FY_outlook3"/>
      <sheetName val="CY_outlook3"/>
      <sheetName val="Cash_metrics3"/>
      <sheetName val="P6_73"/>
      <sheetName val="DATOS_BASE2"/>
      <sheetName val="POC_LIST2"/>
      <sheetName val="turnover_reason퇴직사유2"/>
      <sheetName val="SKU_Basic_Data2"/>
      <sheetName val="Entity_Target2"/>
      <sheetName val="DETALLE_MENSUAL2"/>
      <sheetName val="Drop-down_List1"/>
      <sheetName val="by_DD1"/>
      <sheetName val="VALIDACION_DE_DATOS1"/>
      <sheetName val="부재료_비교(11년_vs_10년)"/>
      <sheetName val="Sheet3_(2)"/>
      <sheetName val="Lao_&amp;_Cam"/>
      <sheetName val="Hoegaarden_2019"/>
      <sheetName val="Lao_&amp;_Cam_2019"/>
      <sheetName val="Malaysia_2019"/>
      <sheetName val="Singapore_2019"/>
      <sheetName val="Sheet2_(2)"/>
      <sheetName val="요일_테이블_"/>
      <sheetName val="Other_Listings"/>
      <sheetName val="2__Indicadores"/>
      <sheetName val="Lista_de_Entrenamientos_RSO"/>
      <sheetName val="Tablero_SDG3"/>
      <sheetName val="Lista_Areas3"/>
      <sheetName val="One_Page3"/>
      <sheetName val="Sub-Productos_HN1"/>
      <sheetName val="Eficiencia_linea"/>
      <sheetName val="_mngt_Pillar"/>
      <sheetName val="Un"/>
      <sheetName val="Justificativas"/>
      <sheetName val="DO NOT MOVE"/>
      <sheetName val="PINC汇总"/>
      <sheetName val="Note"/>
      <sheetName val="物料主数据"/>
      <sheetName val="选项"/>
      <sheetName val="品牌填写下拉菜单"/>
      <sheetName val="Dropdown list"/>
      <sheetName val="Liste"/>
      <sheetName val="清单"/>
      <sheetName val="beerflow"/>
      <sheetName val="요일_테이블7"/>
      <sheetName val="요일_테이블_(2)6"/>
      <sheetName val="TO_Data_Base15"/>
      <sheetName val="YTD_Summary14"/>
      <sheetName val="Month_Summary14"/>
      <sheetName val="Trial_Balance_MAY_200914"/>
      <sheetName val="TB_Pivot14"/>
      <sheetName val="total_per_LB_LB214"/>
      <sheetName val="Trial_Balance_Vlookup14"/>
      <sheetName val="Trial_Balance_APRIL_200914"/>
      <sheetName val="Roll_Out_AQ14"/>
      <sheetName val="Evolução_mandamentos14"/>
      <sheetName val="Planilha_resultados13"/>
      <sheetName val="Historico_200313"/>
      <sheetName val="Sig_Cycles_Accts_&amp;_Processes13"/>
      <sheetName val="3_ISo_YTD7"/>
      <sheetName val="E_法规NC7"/>
      <sheetName val="Données_LMU7"/>
      <sheetName val="Brazil_Sovereign7"/>
      <sheetName val="Resumen_Costo7"/>
      <sheetName val="Fixed_ZBB7"/>
      <sheetName val="5_17"/>
      <sheetName val="Extract_Loss7"/>
      <sheetName val="QA_跟踪记录表7"/>
      <sheetName val="RG_Depots7"/>
      <sheetName val="material_data7"/>
      <sheetName val="other_data7"/>
      <sheetName val="Como_Estamos7"/>
      <sheetName val="Database_(RUR)Mar_YTD7"/>
      <sheetName val="SKU_Mapping7"/>
      <sheetName val="Drop_Down7"/>
      <sheetName val="Raw_Data7"/>
      <sheetName val="EBM-2_GHQ7"/>
      <sheetName val="Base_PEF8"/>
      <sheetName val="Base_de_Dados7"/>
      <sheetName val="Testing_Template_Guidance7"/>
      <sheetName val="Test_Programs7"/>
      <sheetName val="Dados_BLP7"/>
      <sheetName val="Controls_data9"/>
      <sheetName val="FJJX_Bud_IB6"/>
      <sheetName val="look-up_data6"/>
      <sheetName val="JOB_PROFILE_-_LAS7"/>
      <sheetName val="ARdistr_(2)7"/>
      <sheetName val="Prd_Hierarchy(产品层级)6"/>
      <sheetName val="Com_(2PK)6"/>
      <sheetName val="전사_PL8"/>
      <sheetName val="자금_제외_PL8"/>
      <sheetName val="자금_PL8"/>
      <sheetName val="전사_BS8"/>
      <sheetName val="자금_제외_BS8"/>
      <sheetName val="자금_BS8"/>
      <sheetName val="BS_계정_설명8"/>
      <sheetName val="_Cash_Flow(전사)8"/>
      <sheetName val="_Cash_Flow(자금제외)8"/>
      <sheetName val="_Cash_Flow(자금)8"/>
      <sheetName val="ROIC_8"/>
      <sheetName val="인건비_명세8"/>
      <sheetName val="판관비_명세8"/>
      <sheetName val="OH_Cost경비(내역)8"/>
      <sheetName val="OH_Cost경비(배부기준)8"/>
      <sheetName val="기타수지&amp;특별손익_명세8"/>
      <sheetName val="업무연락_(2)7"/>
      <sheetName val="제시_손익계산서7"/>
      <sheetName val="01_02월_성과급8"/>
      <sheetName val="M_7회차_담금_계획7"/>
      <sheetName val="팀별_실적7"/>
      <sheetName val="팀별_실적_(환산)7"/>
      <sheetName val="4__Inj_투자상세내역7"/>
      <sheetName val="3__Blow_투자_상세내역7"/>
      <sheetName val="Process_List7"/>
      <sheetName val="7_(2)7"/>
      <sheetName val="Prd_Hierarchy(产品层次)6"/>
      <sheetName val="Project_Code6"/>
      <sheetName val="_손익기01_XL6"/>
      <sheetName val="drop_down_list6"/>
      <sheetName val="[손익기01_XL_x005f_x0000__x005f_x0000_DePara6"/>
      <sheetName val="Income_Stmt6"/>
      <sheetName val="Quarterly_LBO_Model6"/>
      <sheetName val="_손익기01_XL_x005f_x0000__x005f_x0000_DePara6"/>
      <sheetName val="[손익기01_XL6"/>
      <sheetName val="15년_BL_사계6"/>
      <sheetName val="1_종합손익(주택,개발)6"/>
      <sheetName val="2_실행예산6"/>
      <sheetName val="2_2과부족6"/>
      <sheetName val="2_3원가절감6"/>
      <sheetName val="8_외주비집행현황6"/>
      <sheetName val="9_자재비6"/>
      <sheetName val="10_현장집행6"/>
      <sheetName val="3_추가원가6"/>
      <sheetName val="3_추가원가_(2)6"/>
      <sheetName val="4_사전공사6"/>
      <sheetName val="5_추정공사비6"/>
      <sheetName val="6_금융비용6"/>
      <sheetName val="7_공사비집행현황(총괄)6"/>
      <sheetName val="11_1생산성6"/>
      <sheetName val="11_2인원산출6"/>
      <sheetName val="Classification_分类5"/>
      <sheetName val="Figures_Report5"/>
      <sheetName val="Set_Up6"/>
      <sheetName val="Fare_prices5"/>
      <sheetName val="Hotel_prices5"/>
      <sheetName val="__한국_AMP_ASP-23_판매가격__5"/>
      <sheetName val="제조원가_원단위_분석5"/>
      <sheetName val="종합표양식(품의_&amp;_입고)_25"/>
      <sheetName val="원가관리_(동월대비)5"/>
      <sheetName val="b_balju_(2)5"/>
      <sheetName val="2-2_매출분석5"/>
      <sheetName val="몰드시스템_리스트5"/>
      <sheetName val="11_외화채무증권(AFS,HTM)085"/>
      <sheetName val="13_감액TEST_085"/>
      <sheetName val="12년_CF(9월)5"/>
      <sheetName val="중기조종사_단위단가5"/>
      <sheetName val="6PILE__(돌출)5"/>
      <sheetName val="Sheet1_(2)5"/>
      <sheetName val="09~10년_매출계획5"/>
      <sheetName val="1_MDF1공장5"/>
      <sheetName val="tab_STATUS_DO_PROCESSO_5"/>
      <sheetName val="Perf__Plan__Diário15"/>
      <sheetName val="In_(2)5"/>
      <sheetName val="slide_24_cat_A5"/>
      <sheetName val="slide_82_cat_b5"/>
      <sheetName val="Incident_유형구분표5"/>
      <sheetName val="CLASIFICACION_DE_AI5"/>
      <sheetName val="Base_da_Datos5"/>
      <sheetName val="Dados_dos_Produtos5"/>
      <sheetName val="DD_list5"/>
      <sheetName val="3YP2016-Bottom_up4"/>
      <sheetName val="2_카드채권(대출포함)4"/>
      <sheetName val="MASTER_APP4"/>
      <sheetName val="Cond__Inseguros4"/>
      <sheetName val="Comp__Inseguros4"/>
      <sheetName val="Lista_de_datos4"/>
      <sheetName val="Base_de_Datos4"/>
      <sheetName val="_DD_List4"/>
      <sheetName val="Share_Price_20024"/>
      <sheetName val="Clasif_4"/>
      <sheetName val="Lista_CI4"/>
      <sheetName val="Farol_Acciones4"/>
      <sheetName val="Lista_de_Entrenamientos4"/>
      <sheetName val="Supply_Cost_Centers4"/>
      <sheetName val="BEP_加薪_KPI3"/>
      <sheetName val="F08_-_Asia_Pac_Full_Year_Q34"/>
      <sheetName val="Top_Priorities4"/>
      <sheetName val="Listco_Stock4"/>
      <sheetName val="Intl_Purchase4"/>
      <sheetName val="FY_outlook4"/>
      <sheetName val="CY_outlook4"/>
      <sheetName val="Cash_metrics4"/>
      <sheetName val="P6_74"/>
      <sheetName val="DATOS_BASE3"/>
      <sheetName val="Unidades_SAC-REVENDA5"/>
      <sheetName val="FornecM_Check3"/>
      <sheetName val="Estratificación_AI3"/>
      <sheetName val="condicion_inseguras3"/>
      <sheetName val="Actos_Inseguros3"/>
      <sheetName val="Control_de_incidentes3"/>
      <sheetName val="Plan_de_Acción3"/>
      <sheetName val="Dashboard_Prevención_Riesgos_3"/>
      <sheetName val="TOP_KPIs_MTM3"/>
      <sheetName val="PLAN_DE_ACCION3"/>
      <sheetName val="Faro_de_Indicadores3"/>
      <sheetName val="Hazards_Analysis-隐患分析3"/>
      <sheetName val="_손익기01_XL_x005f_x005f_x005f_x0000__x005f_x005f_x3"/>
      <sheetName val="97_사업추정(WEKI)3"/>
      <sheetName val="Tong_hop3"/>
      <sheetName val="95_1_1이후취득자산(숨기기상태)3"/>
      <sheetName val="6월_공정외주3"/>
      <sheetName val="입출재고현황_(2)3"/>
      <sheetName val="TRE_TABLE3"/>
      <sheetName val="입찰내역_발주처_양식3"/>
      <sheetName val="Jul-Sep_Actual_cost_(2)2"/>
      <sheetName val="Issues_List_Payments3"/>
      <sheetName val="turnover_reason퇴직사유3"/>
      <sheetName val="Grafica_Actos3"/>
      <sheetName val="POC_LIST3"/>
      <sheetName val="부재료_비교(11년_vs_10년)1"/>
      <sheetName val="Condiciones_SyE3"/>
      <sheetName val="DETALLE_MENSUAL3"/>
      <sheetName val="do_not_delete3"/>
      <sheetName val="APAC_S3"/>
      <sheetName val="APAC_N3"/>
      <sheetName val="Slide_output3"/>
      <sheetName val="[손익기01_XL??DePara3"/>
      <sheetName val="Farol_Metas3"/>
      <sheetName val="Mod_Relac_3"/>
      <sheetName val="REALxMETA_-_CERVEJA5"/>
      <sheetName val="REALxMETA_-_REFRI5"/>
      <sheetName val="Directrices_de_Metas_20173"/>
      <sheetName val="Data_validation3"/>
      <sheetName val="SKU_Basic_Data3"/>
      <sheetName val="Entity_Target3"/>
      <sheetName val="VALIDACION_DE_DATOS2"/>
      <sheetName val="Drop-down_List2"/>
      <sheetName val="by_DD2"/>
      <sheetName val="Check_Qualidade1"/>
      <sheetName val="De_Para2"/>
      <sheetName val="Check_Aderencia1"/>
      <sheetName val="_손익기01_XL_x005f_x0000__x01"/>
      <sheetName val="Base_Farol1"/>
      <sheetName val="Gerencial_IL1"/>
      <sheetName val="Ventas_Campo1"/>
      <sheetName val="ACTOS_POR_RIESGO1"/>
      <sheetName val="drop_lists1"/>
      <sheetName val="MRL_NON_SUPPLY_URU1"/>
      <sheetName val="AIIM_-_Empresas_Ext_20121"/>
      <sheetName val="KPIs_Hana1"/>
      <sheetName val="Catalago_de_refacciones_1"/>
      <sheetName val="Existencias_al_07-Nov-20121"/>
      <sheetName val="Check_GG1"/>
      <sheetName val="Sheet3_(2)1"/>
      <sheetName val="요일_테이블_1"/>
      <sheetName val="Nombre_de_SOP1"/>
      <sheetName val="_mngt_Pillar1"/>
      <sheetName val="2__Indicadores1"/>
      <sheetName val="Ta_1"/>
      <sheetName val="Lao_&amp;_Cam1"/>
      <sheetName val="Hoegaarden_20191"/>
      <sheetName val="Lao_&amp;_Cam_20191"/>
      <sheetName val="Malaysia_20191"/>
      <sheetName val="Singapore_20191"/>
      <sheetName val="Sheet2_(2)1"/>
      <sheetName val="Other_Listings1"/>
      <sheetName val="Lista_de_Entrenamientos_RSO1"/>
      <sheetName val="Tablero_SDG4"/>
      <sheetName val="Lista_Areas4"/>
      <sheetName val="One_Page4"/>
      <sheetName val="Sub-Productos_HN2"/>
      <sheetName val="Eficiencia_linea1"/>
      <sheetName val="Pauta_RPS_Distribuição"/>
      <sheetName val="Estoque_(2)"/>
      <sheetName val="_손익기01_XL_x0"/>
      <sheetName val="Comp_Inseguros"/>
      <sheetName val="BNR_2012_в_ящике"/>
      <sheetName val="DATOS_DE_VALIDACIÓN"/>
      <sheetName val="Datos_con"/>
      <sheetName val="_Datos_Cond_"/>
      <sheetName val="DO_NOT_MOVE"/>
      <sheetName val="INGRESO_(2)"/>
      <sheetName val="PG-K1610_(UEN_Areas)MNG"/>
      <sheetName val="DATOS_GEN_"/>
      <sheetName val="NUEVOS_CRITERIOS"/>
      <sheetName val="Condiciones_Agua"/>
      <sheetName val="[손익기01_XLDePara5"/>
      <sheetName val="_손익기01_XLDePara5"/>
      <sheetName val="Control de Fallas"/>
      <sheetName val="Setup for Templates"/>
      <sheetName val="Datos emp"/>
      <sheetName val="Проверки"/>
      <sheetName val="Drop list"/>
      <sheetName val="FX Rates"/>
      <sheetName val="Proced."/>
      <sheetName val="PTN"/>
      <sheetName val="Cut Machine Summary"/>
      <sheetName val="Validation lists"/>
      <sheetName val="Planilha_relts_xdb75__xdb62_eos7"/>
      <sheetName val="Testing_Template_Huidance1"/>
      <sheetName val="  한국 AMP ASP-23 판㧤가격  "/>
      <sheetName val="11.䡸화채무줝ⴌ(AFS,HTM)08"/>
      <sheetName val="status"/>
      <sheetName val="TIPO DE ACTO"/>
      <sheetName val="Marcas"/>
      <sheetName val="Concentrado"/>
      <sheetName val="CRITICIDAD DE CI"/>
      <sheetName val="Catálogo de CI"/>
      <sheetName val="% CUMPLIMIENTO"/>
      <sheetName val="% cumplimiento "/>
      <sheetName val="CALIFICACIONES 2019"/>
      <sheetName val="Lev 4 360 deg check Crit Task"/>
      <sheetName val="Lev 4 Chk IC Stock Crit Task"/>
      <sheetName val="Lev 4 WMS Putaway Crit Task"/>
      <sheetName val="Final_Summary-All"/>
      <sheetName val="Auxiliary"/>
      <sheetName val="PREENCHIMENTO"/>
      <sheetName val="Vagas x Candidatos"/>
      <sheetName val="Listas y equipos a evaluar"/>
      <sheetName val="NH3"/>
      <sheetName val="Hoja7"/>
      <sheetName val="Data Reporte"/>
      <sheetName val="Read me"/>
      <sheetName val="_x0000__x0005__x0000__x0001__x0000__x0000__x0000_"/>
      <sheetName val="_x0000__x0005__x0000_ÿ_x000f__x0000_ÿ"/>
      <sheetName val="Imputs"/>
      <sheetName val="Champions List"/>
      <sheetName val="Guidelines"/>
      <sheetName val="NAZ Strategy"/>
      <sheetName val="Daily Dashboard"/>
      <sheetName val="TO_Data_Base16"/>
      <sheetName val="YTD_Summary15"/>
      <sheetName val="Month_Summary15"/>
      <sheetName val="Trial_Balance_MAY_200915"/>
      <sheetName val="TB_Pivot15"/>
      <sheetName val="total_per_LB_LB215"/>
      <sheetName val="Trial_Balance_Vlookup15"/>
      <sheetName val="Trial_Balance_APRIL_200915"/>
      <sheetName val="Roll_Out_AQ15"/>
      <sheetName val="Evolução_mandamentos15"/>
      <sheetName val="Planilha_resultados14"/>
      <sheetName val="Historico_200314"/>
      <sheetName val="Sig_Cycles_Accts_&amp;_Processes14"/>
      <sheetName val="Fixed_ZBB8"/>
      <sheetName val="Como_Estamos8"/>
      <sheetName val="3_ISo_YTD8"/>
      <sheetName val="E_法规NC8"/>
      <sheetName val="Données_LMU8"/>
      <sheetName val="Brazil_Sovereign8"/>
      <sheetName val="Resumen_Costo8"/>
      <sheetName val="Base_de_Dados8"/>
      <sheetName val="Extract_Loss8"/>
      <sheetName val="5_18"/>
      <sheetName val="QA_跟踪记录表8"/>
      <sheetName val="RG_Depots8"/>
      <sheetName val="material_data8"/>
      <sheetName val="other_data8"/>
      <sheetName val="JOB_PROFILE_-_LAS8"/>
      <sheetName val="Database_(RUR)Mar_YTD8"/>
      <sheetName val="SKU_Mapping8"/>
      <sheetName val="Drop_Down8"/>
      <sheetName val="Raw_Data8"/>
      <sheetName val="EBM-2_GHQ8"/>
      <sheetName val="Base_PEF9"/>
      <sheetName val="Testing_Template_Guidance8"/>
      <sheetName val="Test_Programs8"/>
      <sheetName val="Controls_data10"/>
      <sheetName val="Dados_BLP8"/>
      <sheetName val="FJJX_Bud_IB7"/>
      <sheetName val="ARdistr_(2)8"/>
      <sheetName val="look-up_data7"/>
      <sheetName val="Prd_Hierarchy(产品层级)7"/>
      <sheetName val="Com_(2PK)7"/>
      <sheetName val="요일_테이블8"/>
      <sheetName val="요일_테이블_(2)7"/>
      <sheetName val="Prd_Hierarchy(产品层次)7"/>
      <sheetName val="Project_Code7"/>
      <sheetName val="전사_PL9"/>
      <sheetName val="자금_제외_PL9"/>
      <sheetName val="자금_PL9"/>
      <sheetName val="전사_BS9"/>
      <sheetName val="자금_제외_BS9"/>
      <sheetName val="자금_BS9"/>
      <sheetName val="BS_계정_설명9"/>
      <sheetName val="_Cash_Flow(전사)9"/>
      <sheetName val="_Cash_Flow(자금제외)9"/>
      <sheetName val="_Cash_Flow(자금)9"/>
      <sheetName val="ROIC_9"/>
      <sheetName val="인건비_명세9"/>
      <sheetName val="판관비_명세9"/>
      <sheetName val="OH_Cost경비(내역)9"/>
      <sheetName val="OH_Cost경비(배부기준)9"/>
      <sheetName val="기타수지&amp;특별손익_명세9"/>
      <sheetName val="업무연락_(2)8"/>
      <sheetName val="제시_손익계산서8"/>
      <sheetName val="01_02월_성과급9"/>
      <sheetName val="M_7회차_담금_계획8"/>
      <sheetName val="팀별_실적8"/>
      <sheetName val="팀별_실적_(환산)8"/>
      <sheetName val="4__Inj_투자상세내역8"/>
      <sheetName val="3__Blow_투자_상세내역8"/>
      <sheetName val="Process_List8"/>
      <sheetName val="7_(2)8"/>
      <sheetName val="_손익기01_XL7"/>
      <sheetName val="drop_down_list7"/>
      <sheetName val="[손익기01_XL_x005f_x0000__x005f_x0000_DePara7"/>
      <sheetName val="Income_Stmt7"/>
      <sheetName val="Quarterly_LBO_Model7"/>
      <sheetName val="Figures_Report6"/>
      <sheetName val="Set_Up7"/>
      <sheetName val="[손익기01_XL7"/>
      <sheetName val="tab_STATUS_DO_PROCESSO_6"/>
      <sheetName val="_손익기01_XL_x005f_x0000__x005f_x0000_DePara7"/>
      <sheetName val="Perf__Plan__Diário16"/>
      <sheetName val="In_(2)6"/>
      <sheetName val="Fare_prices6"/>
      <sheetName val="Hotel_prices6"/>
      <sheetName val="15년_BL_사계7"/>
      <sheetName val="Classification_分类6"/>
      <sheetName val="1_종합손익(도급)7"/>
      <sheetName val="1_종합손익(주택,개발)7"/>
      <sheetName val="2_실행예산7"/>
      <sheetName val="2_2과부족7"/>
      <sheetName val="2_3원가절감7"/>
      <sheetName val="8_외주비집행현황7"/>
      <sheetName val="9_자재비7"/>
      <sheetName val="10_현장집행7"/>
      <sheetName val="3_추가원가7"/>
      <sheetName val="3_추가원가_(2)7"/>
      <sheetName val="4_사전공사7"/>
      <sheetName val="5_추정공사비7"/>
      <sheetName val="6_금융비용7"/>
      <sheetName val="7_공사비집행현황(총괄)7"/>
      <sheetName val="11_1생산성7"/>
      <sheetName val="11_2인원산출7"/>
      <sheetName val="Clasif_5"/>
      <sheetName val="Cond__Inseguros5"/>
      <sheetName val="Comp__Inseguros5"/>
      <sheetName val="Lista_de_datos5"/>
      <sheetName val="MASTER_APP5"/>
      <sheetName val="CLASIFICACION_DE_AI6"/>
      <sheetName val="Base_da_Datos6"/>
      <sheetName val="__한국_AMP_ASP-23_판매가격__6"/>
      <sheetName val="CC_Down_load_07166"/>
      <sheetName val="변경실행(2차)_6"/>
      <sheetName val="나_출고6"/>
      <sheetName val="나_입고6"/>
      <sheetName val="09년_인건비(속리산)6"/>
      <sheetName val="합산목표(감가+57_5)6"/>
      <sheetName val="제조원가_원단위_분석6"/>
      <sheetName val="종합표양식(품의_&amp;_입고)_26"/>
      <sheetName val="원가관리_(동월대비)6"/>
      <sheetName val="b_balju_(2)6"/>
      <sheetName val="2-2_매출분석6"/>
      <sheetName val="몰드시스템_리스트6"/>
      <sheetName val="11_외화채무증권(AFS,HTM)086"/>
      <sheetName val="13_감액TEST_086"/>
      <sheetName val="12년_CF(9월)6"/>
      <sheetName val="중기조종사_단위단가6"/>
      <sheetName val="6PILE__(돌출)6"/>
      <sheetName val="기성청구_공문6"/>
      <sheetName val="Sheet1_(2)6"/>
      <sheetName val="slide_24_cat_A6"/>
      <sheetName val="slide_82_cat_b6"/>
      <sheetName val="Dados_dos_Produtos6"/>
      <sheetName val="09~10년_매출계획6"/>
      <sheetName val="1_MDF1공장6"/>
      <sheetName val="Incident_유형구분표6"/>
      <sheetName val="3YP2016-Bottom_up5"/>
      <sheetName val="DD_list6"/>
      <sheetName val="Lista_CI5"/>
      <sheetName val="Base_de_Datos5"/>
      <sheetName val="Dashboard_Prevención_Riesgos_4"/>
      <sheetName val="TOP_KPIs_MTM4"/>
      <sheetName val="PLAN_DE_ACCION4"/>
      <sheetName val="Faro_de_Indicadores4"/>
      <sheetName val="2_카드채권(대출포함)5"/>
      <sheetName val="表21_净利润调节表5"/>
      <sheetName val="DETALLE_MENSUAL4"/>
      <sheetName val="Farol_Acciones5"/>
      <sheetName val="FornecM_Check4"/>
      <sheetName val="Unidades_SAC-REVENDA6"/>
      <sheetName val="Lista_de_Entrenamientos5"/>
      <sheetName val="Supply_Cost_Centers5"/>
      <sheetName val="Estratificación_AI4"/>
      <sheetName val="condicion_inseguras4"/>
      <sheetName val="Actos_Inseguros4"/>
      <sheetName val="Control_de_incidentes4"/>
      <sheetName val="Plan_de_Acción4"/>
      <sheetName val="_DD_List5"/>
      <sheetName val="Share_Price_20025"/>
      <sheetName val="Grafica_Actos4"/>
      <sheetName val="Condiciones_SyE4"/>
      <sheetName val="REALxMETA_-_CERVEJA6"/>
      <sheetName val="REALxMETA_-_REFRI6"/>
      <sheetName val="BEP_加薪_KPI4"/>
      <sheetName val="[손익기01_XL??DePara4"/>
      <sheetName val="Farol_Metas4"/>
      <sheetName val="Mod_Relac_4"/>
      <sheetName val="Issues_List_Payments4"/>
      <sheetName val="Directrices_de_Metas_20174"/>
      <sheetName val="POC_LIST4"/>
      <sheetName val="Entity_Target4"/>
      <sheetName val="F08_-_Asia_Pac_Full_Year_Q35"/>
      <sheetName val="Top_Priorities5"/>
      <sheetName val="Listco_Stock5"/>
      <sheetName val="Intl_Purchase5"/>
      <sheetName val="FY_outlook5"/>
      <sheetName val="CY_outlook5"/>
      <sheetName val="Cash_metrics5"/>
      <sheetName val="P6_75"/>
      <sheetName val="DATOS_BASE4"/>
      <sheetName val="Hazards_Analysis-隐患分析4"/>
      <sheetName val="_손익기01_XL_x005f_x005f_x005f_x0000__x005f_x005f_x4"/>
      <sheetName val="SKU_Basic_Data4"/>
      <sheetName val="97_사업추정(WEKI)4"/>
      <sheetName val="Tong_hop4"/>
      <sheetName val="95_1_1이후취득자산(숨기기상태)4"/>
      <sheetName val="6월_공정외주4"/>
      <sheetName val="입출재고현황_(2)4"/>
      <sheetName val="TRE_TABLE4"/>
      <sheetName val="입찰내역_발주처_양식4"/>
      <sheetName val="ACTOS_POR_RIESGO2"/>
      <sheetName val="do_not_delete4"/>
      <sheetName val="Check_Qualidade2"/>
      <sheetName val="De_Para3"/>
      <sheetName val="Nombre_de_SOP2"/>
      <sheetName val="drop_lists2"/>
      <sheetName val="APAC_S4"/>
      <sheetName val="APAC_N4"/>
      <sheetName val="Slide_output4"/>
      <sheetName val="turnover_reason퇴직사유4"/>
      <sheetName val="Data_validation4"/>
      <sheetName val="MRL_NON_SUPPLY_URU2"/>
      <sheetName val="Drop-down_List3"/>
      <sheetName val="by_DD3"/>
      <sheetName val="VALIDACION_DE_DATOS3"/>
      <sheetName val="Jul-Sep_Actual_cost_(2)3"/>
      <sheetName val="Check_Aderencia2"/>
      <sheetName val="Base_Farol2"/>
      <sheetName val="Gerencial_IL2"/>
      <sheetName val="Ventas_Campo2"/>
      <sheetName val="AIIM_-_Empresas_Ext_20122"/>
      <sheetName val="KPIs_Hana2"/>
      <sheetName val="Catalago_de_refacciones_2"/>
      <sheetName val="Existencias_al_07-Nov-20122"/>
      <sheetName val="Check_GG2"/>
      <sheetName val="Ta_2"/>
      <sheetName val="2__Indicadores2"/>
      <sheetName val="_손익기01_XL_x005f_x0000__x02"/>
      <sheetName val="부재료_비교(11년_vs_10년)2"/>
      <sheetName val="Sheet3_(2)2"/>
      <sheetName val="Lao_&amp;_Cam2"/>
      <sheetName val="Hoegaarden_20192"/>
      <sheetName val="Lao_&amp;_Cam_20192"/>
      <sheetName val="Malaysia_20192"/>
      <sheetName val="Singapore_20192"/>
      <sheetName val="Sheet2_(2)2"/>
      <sheetName val="Comp_Inseguros1"/>
      <sheetName val="Lista_de_Entrenamientos_RSO2"/>
      <sheetName val="_mngt_Pillar2"/>
      <sheetName val="Tablero_SDG5"/>
      <sheetName val="Lista_Areas5"/>
      <sheetName val="One_Page5"/>
      <sheetName val="Sub-Productos_HN3"/>
      <sheetName val="Eficiencia_linea2"/>
      <sheetName val="Pauta_RPS_Distribuição1"/>
      <sheetName val="Estoque_(2)1"/>
      <sheetName val="요일_테이블_2"/>
      <sheetName val="Other_Listings2"/>
      <sheetName val="BNR_2012_в_ящике1"/>
      <sheetName val="FX_Rates"/>
      <sheetName val="Vagas_x_Candidatos"/>
      <sheetName val="DO_NOT_MOVE1"/>
      <sheetName val="DATOS_DE_VALIDACIÓN1"/>
      <sheetName val="Datos_con1"/>
      <sheetName val="_Datos_Cond_1"/>
      <sheetName val="INGRESO_(2)1"/>
      <sheetName val="PG-K1610_(UEN_Areas)MNG1"/>
      <sheetName val="DATOS_GEN_1"/>
      <sheetName val="NUEVOS_CRITERIOS1"/>
      <sheetName val="Condiciones_Agua1"/>
      <sheetName val="__한국_AMP_ASP-23_판㧤가격__"/>
      <sheetName val="11_䡸화채무줝ⴌ(AFS,HTM)08"/>
      <sheetName val="Drop_list"/>
      <sheetName val="Dropdown_list"/>
      <sheetName val="Proced_"/>
      <sheetName val="Control_de_Fallas"/>
      <sheetName val="Setup_for_Templates"/>
      <sheetName val="Datos_emp"/>
      <sheetName val="TIPO_DE_ACTO"/>
      <sheetName val="%_cumplimiento_"/>
      <sheetName val="%_CUMPLIMIENTO"/>
      <sheetName val="Listas_y_equipos_a_evaluar"/>
      <sheetName val="CRITICIDAD_DE_CI"/>
      <sheetName val="Catálogo_de_CI"/>
      <sheetName val="Data_Reporte"/>
      <sheetName val="Read_me"/>
      <sheetName val="ÿÿ"/>
      <sheetName val="Validation_lists"/>
      <sheetName val="Cut_Machine_Summary"/>
      <sheetName val="Daily_Dashboard"/>
      <sheetName val="YTD_Summary16"/>
      <sheetName val="Month_Summary16"/>
      <sheetName val="Trial_Balance_MAY_200916"/>
      <sheetName val="TB_Pivot16"/>
      <sheetName val="total_per_LB_LB216"/>
      <sheetName val="Trial_Balance_Vlookup16"/>
      <sheetName val="Trial_Balance_APRIL_200916"/>
      <sheetName val="TO_Data_Base17"/>
      <sheetName val="Roll_Out_AQ16"/>
      <sheetName val="Evolução_mandamentos16"/>
      <sheetName val="Planilha_resultados15"/>
      <sheetName val="Historico_200315"/>
      <sheetName val="Sig_Cycles_Accts_&amp;_Processes15"/>
      <sheetName val="Fixed_ZBB9"/>
      <sheetName val="3_ISo_YTD9"/>
      <sheetName val="E_法规NC9"/>
      <sheetName val="Données_LMU9"/>
      <sheetName val="Brazil_Sovereign9"/>
      <sheetName val="Resumen_Costo9"/>
      <sheetName val="Extract_Loss9"/>
      <sheetName val="QA_跟踪记录表9"/>
      <sheetName val="5_19"/>
      <sheetName val="Como_Estamos9"/>
      <sheetName val="Base_de_Dados9"/>
      <sheetName val="RG_Depots9"/>
      <sheetName val="material_data9"/>
      <sheetName val="other_data9"/>
      <sheetName val="Database_(RUR)Mar_YTD9"/>
      <sheetName val="SKU_Mapping9"/>
      <sheetName val="Drop_Down9"/>
      <sheetName val="Raw_Data9"/>
      <sheetName val="EBM-2_GHQ9"/>
      <sheetName val="Base_PEF10"/>
      <sheetName val="Testing_Template_Guidance9"/>
      <sheetName val="Test_Programs9"/>
      <sheetName val="Controls_data11"/>
      <sheetName val="Dados_BLP9"/>
      <sheetName val="ARdistr_(2)9"/>
      <sheetName val="FJJX_Bud_IB8"/>
      <sheetName val="look-up_data8"/>
      <sheetName val="Prd_Hierarchy(产品层级)8"/>
      <sheetName val="Com_(2PK)8"/>
      <sheetName val="JOB_PROFILE_-_LAS9"/>
      <sheetName val="요일_테이블9"/>
      <sheetName val="요일_테이블_(2)8"/>
      <sheetName val="Prd_Hierarchy(产品层次)8"/>
      <sheetName val="Project_Code8"/>
      <sheetName val="전사_PL10"/>
      <sheetName val="자금_제외_PL10"/>
      <sheetName val="자금_PL10"/>
      <sheetName val="전사_BS10"/>
      <sheetName val="자금_제외_BS10"/>
      <sheetName val="자금_BS10"/>
      <sheetName val="BS_계정_설명10"/>
      <sheetName val="_Cash_Flow(전사)10"/>
      <sheetName val="_Cash_Flow(자금제외)10"/>
      <sheetName val="_Cash_Flow(자금)10"/>
      <sheetName val="ROIC_10"/>
      <sheetName val="인건비_명세10"/>
      <sheetName val="판관비_명세10"/>
      <sheetName val="OH_Cost경비(내역)10"/>
      <sheetName val="OH_Cost경비(배부기준)10"/>
      <sheetName val="기타수지&amp;특별손익_명세10"/>
      <sheetName val="업무연락_(2)9"/>
      <sheetName val="제시_손익계산서9"/>
      <sheetName val="01_02월_성과급10"/>
      <sheetName val="M_7회차_담금_계획9"/>
      <sheetName val="팀별_실적9"/>
      <sheetName val="팀별_실적_(환산)9"/>
      <sheetName val="4__Inj_투자상세내역9"/>
      <sheetName val="3__Blow_투자_상세내역9"/>
      <sheetName val="Process_List9"/>
      <sheetName val="7_(2)9"/>
      <sheetName val="_손익기01_XL8"/>
      <sheetName val="Income_Stmt8"/>
      <sheetName val="drop_down_list8"/>
      <sheetName val="Figures_Report7"/>
      <sheetName val="[손익기01_XL_x005f_x0000__x005f_x0000_DePara8"/>
      <sheetName val="Quarterly_LBO_Model8"/>
      <sheetName val="[손익기01_XL8"/>
      <sheetName val="_손익기01_XL_x005f_x0000__x005f_x0000_DePara8"/>
      <sheetName val="15년_BL_사계8"/>
      <sheetName val="1_종합손익(도급)8"/>
      <sheetName val="1_종합손익(주택,개발)8"/>
      <sheetName val="2_실행예산8"/>
      <sheetName val="2_2과부족8"/>
      <sheetName val="2_3원가절감8"/>
      <sheetName val="8_외주비집행현황8"/>
      <sheetName val="9_자재비8"/>
      <sheetName val="10_현장집행8"/>
      <sheetName val="3_추가원가8"/>
      <sheetName val="3_추가원가_(2)8"/>
      <sheetName val="4_사전공사8"/>
      <sheetName val="5_추정공사비8"/>
      <sheetName val="6_금융비용8"/>
      <sheetName val="7_공사비집행현황(총괄)8"/>
      <sheetName val="11_1생산성8"/>
      <sheetName val="11_2인원산출8"/>
      <sheetName val="Classification_分类7"/>
      <sheetName val="Set_Up8"/>
      <sheetName val="Fare_prices7"/>
      <sheetName val="Hotel_prices7"/>
      <sheetName val="tab_STATUS_DO_PROCESSO_7"/>
      <sheetName val="Perf__Plan__Diário17"/>
      <sheetName val="In_(2)7"/>
      <sheetName val="__한국_AMP_ASP-23_판매가격__7"/>
      <sheetName val="CC_Down_load_07167"/>
      <sheetName val="변경실행(2차)_7"/>
      <sheetName val="나_출고7"/>
      <sheetName val="나_입고7"/>
      <sheetName val="09년_인건비(속리산)7"/>
      <sheetName val="합산목표(감가+57_5)7"/>
      <sheetName val="제조원가_원단위_분석7"/>
      <sheetName val="종합표양식(품의_&amp;_입고)_27"/>
      <sheetName val="원가관리_(동월대비)7"/>
      <sheetName val="b_balju_(2)7"/>
      <sheetName val="2-2_매출분석7"/>
      <sheetName val="몰드시스템_리스트7"/>
      <sheetName val="11_외화채무증권(AFS,HTM)087"/>
      <sheetName val="13_감액TEST_087"/>
      <sheetName val="12년_CF(9월)7"/>
      <sheetName val="중기조종사_단위단가7"/>
      <sheetName val="6PILE__(돌출)7"/>
      <sheetName val="기성청구_공문7"/>
      <sheetName val="Sheet1_(2)7"/>
      <sheetName val="CLASIFICACION_DE_AI7"/>
      <sheetName val="Base_da_Datos7"/>
      <sheetName val="slide_24_cat_A7"/>
      <sheetName val="slide_82_cat_b7"/>
      <sheetName val="Dados_dos_Produtos7"/>
      <sheetName val="09~10년_매출계획7"/>
      <sheetName val="1_MDF1공장7"/>
      <sheetName val="Incident_유형구분표7"/>
      <sheetName val="3YP2016-Bottom_up6"/>
      <sheetName val="DD_list7"/>
      <sheetName val="Base_de_Datos6"/>
      <sheetName val="Supply_Cost_Centers6"/>
      <sheetName val="2_카드채권(대출포함)6"/>
      <sheetName val="表21_净利润调节表6"/>
      <sheetName val="Cond__Inseguros6"/>
      <sheetName val="Comp__Inseguros6"/>
      <sheetName val="Lista_de_datos6"/>
      <sheetName val="MASTER_APP6"/>
      <sheetName val="Clasif_6"/>
      <sheetName val="Farol_Acciones6"/>
      <sheetName val="Lista_de_Entrenamientos6"/>
      <sheetName val="Unidades_SAC-REVENDA7"/>
      <sheetName val="FornecM_Check5"/>
      <sheetName val="Lista_CI6"/>
      <sheetName val="Estratificación_AI5"/>
      <sheetName val="condicion_inseguras5"/>
      <sheetName val="Actos_Inseguros5"/>
      <sheetName val="Control_de_incidentes5"/>
      <sheetName val="Plan_de_Acción5"/>
      <sheetName val="_DD_List6"/>
      <sheetName val="Share_Price_20026"/>
      <sheetName val="Issues_List_Payments5"/>
      <sheetName val="BEP_加薪_KPI5"/>
      <sheetName val="Faro_de_Indicadores5"/>
      <sheetName val="TOP_KPIs_MTM5"/>
      <sheetName val="PLAN_DE_ACCION5"/>
      <sheetName val="Grafica_Actos5"/>
      <sheetName val="POC_LIST5"/>
      <sheetName val="Dashboard_Prevención_Riesgos_5"/>
      <sheetName val="APAC_S5"/>
      <sheetName val="APAC_N5"/>
      <sheetName val="Slide_output5"/>
      <sheetName val="do_not_delete5"/>
      <sheetName val="[손익기01_XL??DePara5"/>
      <sheetName val="Farol_Metas5"/>
      <sheetName val="Mod_Relac_5"/>
      <sheetName val="Condiciones_SyE5"/>
      <sheetName val="REALxMETA_-_CERVEJA7"/>
      <sheetName val="REALxMETA_-_REFRI7"/>
      <sheetName val="Directrices_de_Metas_20175"/>
      <sheetName val="F08_-_Asia_Pac_Full_Year_Q36"/>
      <sheetName val="Top_Priorities6"/>
      <sheetName val="Listco_Stock6"/>
      <sheetName val="Intl_Purchase6"/>
      <sheetName val="FY_outlook6"/>
      <sheetName val="CY_outlook6"/>
      <sheetName val="Cash_metrics6"/>
      <sheetName val="P6_76"/>
      <sheetName val="DATOS_BASE5"/>
      <sheetName val="DETALLE_MENSUAL5"/>
      <sheetName val="Entity_Target5"/>
      <sheetName val="VALIDACION_DE_DATOS4"/>
      <sheetName val="_손익기01_XL_x005f_x005f_x005f_x0000__x005f_x005f_x5"/>
      <sheetName val="Hazards_Analysis-隐患分析5"/>
      <sheetName val="97_사업추정(WEKI)5"/>
      <sheetName val="Tong_hop5"/>
      <sheetName val="95_1_1이후취득자산(숨기기상태)5"/>
      <sheetName val="sum1_(2)5"/>
      <sheetName val="3_바닥판설계5"/>
      <sheetName val="6월_공정외주5"/>
      <sheetName val="2_대외공문5"/>
      <sheetName val="2_총괄표5"/>
      <sheetName val="입출재고현황_(2)5"/>
      <sheetName val="504전기실_동부하-L5"/>
      <sheetName val="OUTER_AREA(겹침없음)5"/>
      <sheetName val="EL_표면적5"/>
      <sheetName val="TRE_TABLE5"/>
      <sheetName val="입찰내역_발주처_양식5"/>
      <sheetName val="Data_validation5"/>
      <sheetName val="turnover_reason퇴직사유5"/>
      <sheetName val="SKU_Basic_Data5"/>
      <sheetName val="Jul-Sep_Actual_cost_(2)4"/>
      <sheetName val="Drop-down_List4"/>
      <sheetName val="by_DD4"/>
      <sheetName val="Check_Qualidade3"/>
      <sheetName val="Check_Aderencia3"/>
      <sheetName val="De_Para4"/>
      <sheetName val="Base_Farol3"/>
      <sheetName val="Gerencial_IL3"/>
      <sheetName val="Ventas_Campo3"/>
      <sheetName val="ACTOS_POR_RIESGO3"/>
      <sheetName val="drop_lists3"/>
      <sheetName val="MRL_NON_SUPPLY_URU3"/>
      <sheetName val="AIIM_-_Empresas_Ext_20123"/>
      <sheetName val="KPIs_Hana3"/>
      <sheetName val="Catalago_de_refacciones_3"/>
      <sheetName val="Existencias_al_07-Nov-20123"/>
      <sheetName val="Check_GG3"/>
      <sheetName val="Nombre_de_SOP3"/>
      <sheetName val="Ta_3"/>
      <sheetName val="2__Indicadores3"/>
      <sheetName val="부재료_비교(11년_vs_10년)3"/>
      <sheetName val="_손익기01_XL_x005f_x0000__x03"/>
      <sheetName val="_mngt_Pillar3"/>
      <sheetName val="Sheet3_(2)3"/>
      <sheetName val="Lista_de_Entrenamientos_RSO3"/>
      <sheetName val="Tablero_SDG6"/>
      <sheetName val="Lista_Areas6"/>
      <sheetName val="One_Page6"/>
      <sheetName val="Sub-Productos_HN4"/>
      <sheetName val="Eficiencia_linea3"/>
      <sheetName val="요일_테이블_3"/>
      <sheetName val="Sheet2_(2)3"/>
      <sheetName val="Lao_&amp;_Cam3"/>
      <sheetName val="Hoegaarden_20193"/>
      <sheetName val="Lao_&amp;_Cam_20193"/>
      <sheetName val="Malaysia_20193"/>
      <sheetName val="Singapore_20193"/>
      <sheetName val="Other_Listings3"/>
      <sheetName val="Pauta_RPS_Distribuição2"/>
      <sheetName val="Estoque_(2)2"/>
      <sheetName val="Comp_Inseguros2"/>
      <sheetName val="BNR_2012_в_ящике2"/>
      <sheetName val="DATOS_DE_VALIDACIÓN2"/>
      <sheetName val="Datos_con2"/>
      <sheetName val="_Datos_Cond_2"/>
      <sheetName val="DO_NOT_MOVE2"/>
      <sheetName val="INGRESO_(2)2"/>
      <sheetName val="PG-K1610_(UEN_Areas)MNG2"/>
      <sheetName val="DATOS_GEN_2"/>
      <sheetName val="NUEVOS_CRITERIOS2"/>
      <sheetName val="Condiciones_Agua2"/>
      <sheetName val="Dropdown_list1"/>
      <sheetName val="FX_Rates1"/>
      <sheetName val="Vagas_x_Candidatos1"/>
      <sheetName val="__한국_AMP_ASP-23_판㧤가격__1"/>
      <sheetName val="11_䡸화채무줝ⴌ(AFS,HTM)081"/>
      <sheetName val="Drop_list1"/>
      <sheetName val="Proced_1"/>
      <sheetName val="Control_de_Fallas1"/>
      <sheetName val="Setup_for_Templates1"/>
      <sheetName val="Datos_emp1"/>
      <sheetName val="TIPO_DE_ACTO1"/>
      <sheetName val="%_cumplimiento_1"/>
      <sheetName val="%_CUMPLIMIENTO1"/>
      <sheetName val="Listas_y_equipos_a_evaluar1"/>
      <sheetName val="CRITICIDAD_DE_CI1"/>
      <sheetName val="Catálogo_de_CI1"/>
      <sheetName val="Data_Reporte1"/>
      <sheetName val="Read_me1"/>
      <sheetName val="Validation_lists1"/>
      <sheetName val="Cut_Machine_Summary1"/>
      <sheetName val="Daily_Dashboard1"/>
      <sheetName val="Champions_List"/>
      <sheetName val="_손익기01_XL_x0000__x1"/>
      <sheetName val="_손익기01_XL_x005f_x0000__x2"/>
      <sheetName val="费用指引"/>
      <sheetName val="进货时间"/>
      <sheetName val="参考字段（不许更改）"/>
      <sheetName val="Mapeo SKUs"/>
      <sheetName val="Vol.(Ds)"/>
      <sheetName val="Vol.(Ka)"/>
      <sheetName val="Vol.(Oth)"/>
      <sheetName val="Vol.(Oth) Cortesias"/>
      <sheetName val="INPUT-$Intervention(Ds)"/>
      <sheetName val="INPUT-ICO"/>
      <sheetName val="INPUT-Cust.Sugg.Margin(Ds)"/>
      <sheetName val="On Invoice"/>
      <sheetName val="INPUT-$Intervention(Ka)"/>
      <sheetName val="INPUT-Cust.Sugg.Margin(Ka)"/>
      <sheetName val="INPUT SKUs"/>
      <sheetName val="清單"/>
      <sheetName val="Brand P&amp;L"/>
      <sheetName val="MALTA"/>
      <sheetName val="SPARK"/>
      <sheetName val="SUPERMONT"/>
      <sheetName val="SUPERMONT P"/>
      <sheetName val="Mapeo_SKUs"/>
      <sheetName val="Vol_(Ds)"/>
      <sheetName val="Vol_(Ka)"/>
      <sheetName val="Vol_(Oth)"/>
      <sheetName val="Vol_(Oth)_Cortesias"/>
      <sheetName val="INPUT-Cust_Sugg_Margin(Ds)"/>
      <sheetName val="On_Invoice"/>
      <sheetName val="INPUT-Cust_Sugg_Margin(Ka)"/>
      <sheetName val="INPUT_SKUs"/>
      <sheetName val="Mapeo_SKUs1"/>
      <sheetName val="Vol_(Ds)1"/>
      <sheetName val="Vol_(Ka)1"/>
      <sheetName val="Vol_(Oth)1"/>
      <sheetName val="Vol_(Oth)_Cortesias1"/>
      <sheetName val="INPUT-Cust_Sugg_Margin(Ds)1"/>
      <sheetName val="On_Invoice1"/>
      <sheetName val="INPUT-Cust_Sugg_Margin(Ka)1"/>
      <sheetName val="INPUT_SKUs1"/>
      <sheetName val="유효성목록"/>
      <sheetName val="Data selection"/>
      <sheetName val="BMU_H"/>
      <sheetName val="1."/>
      <sheetName val="Customer &amp; SO"/>
      <sheetName val="Session Proposal"/>
      <sheetName val="社員リスト"/>
      <sheetName val="생산성"/>
      <sheetName val="Book1"/>
      <sheetName val="数据分类"/>
      <sheetName val="Dropdown Menu"/>
      <sheetName val="Territory"/>
      <sheetName val="MMR12活动类型"/>
      <sheetName val="经销商"/>
      <sheetName val="Region"/>
      <sheetName val="SalesPkg_TR_KHCode_TR_KHCode"/>
      <sheetName val="填写内容参考"/>
      <sheetName val="Análise Tempos"/>
      <sheetName val="Incentivo Automóvil"/>
      <sheetName val="EQR"/>
      <sheetName val="CNQ"/>
      <sheetName val="Справочник"/>
      <sheetName val="PDA BOP"/>
      <sheetName val="Referencias"/>
      <sheetName val="Códigos"/>
      <sheetName val="Validação de Dados"/>
      <sheetName val="No llenar "/>
      <sheetName val="0-info"/>
      <sheetName val="FAI分析"/>
      <sheetName val="미관리업소"/>
      <sheetName val="유류대 현황"/>
      <sheetName val="정평화"/>
      <sheetName val="김익성"/>
      <sheetName val="최일수"/>
      <sheetName val="정원구"/>
      <sheetName val="문공식"/>
      <sheetName val="박현일"/>
      <sheetName val="김진생"/>
      <sheetName val="Overdue(Feb)"/>
      <sheetName val="Overdue(Jan)"/>
      <sheetName val="취합"/>
      <sheetName val="PN+Extension"/>
      <sheetName val="1. 템플릿"/>
      <sheetName val="2. 작성 참고사항"/>
      <sheetName val="2월"/>
      <sheetName val="3월"/>
      <sheetName val="4월"/>
      <sheetName val="거리"/>
      <sheetName val="架构"/>
      <sheetName val="库存模板"/>
      <sheetName val="陈列明细"/>
      <sheetName val="mapping (2)"/>
      <sheetName val="Ref."/>
      <sheetName val="折扣类型"/>
      <sheetName val="目标SKU"/>
      <sheetName val="Backup"/>
      <sheetName val="匹配"/>
      <sheetName val="序列"/>
      <sheetName val="Lista de Motivos"/>
      <sheetName val="Ponto Crítico - Resp. Plano"/>
      <sheetName val="Lista Funcionários (2)"/>
      <sheetName val="PIRÂMIDE"/>
      <sheetName val="Consolidator"/>
      <sheetName val="2.3 Projects Status"/>
      <sheetName val="YTD_Summary17"/>
      <sheetName val="Month_Summary17"/>
      <sheetName val="Trial_Balance_MAY_200917"/>
      <sheetName val="TB_Pivot17"/>
      <sheetName val="total_per_LB_LB217"/>
      <sheetName val="Trial_Balance_Vlookup17"/>
      <sheetName val="Trial_Balance_APRIL_200917"/>
      <sheetName val="TO_Data_Base18"/>
      <sheetName val="Roll_Out_AQ17"/>
      <sheetName val="Evolução_mandamentos17"/>
      <sheetName val="Planilha_resultados16"/>
      <sheetName val="Historico_200316"/>
      <sheetName val="Sig_Cycles_Accts_&amp;_Processes16"/>
      <sheetName val="Fixed_ZBB10"/>
      <sheetName val="3_ISo_YTD10"/>
      <sheetName val="E_法规NC10"/>
      <sheetName val="Données_LMU10"/>
      <sheetName val="Brazil_Sovereign10"/>
      <sheetName val="Resumen_Costo10"/>
      <sheetName val="Extract_Loss10"/>
      <sheetName val="QA_跟踪记录表10"/>
      <sheetName val="5_110"/>
      <sheetName val="Como_Estamos10"/>
      <sheetName val="Base_de_Dados10"/>
      <sheetName val="RG_Depots10"/>
      <sheetName val="material_data10"/>
      <sheetName val="other_data10"/>
      <sheetName val="Database_(RUR)Mar_YTD10"/>
      <sheetName val="SKU_Mapping10"/>
      <sheetName val="Drop_Down10"/>
      <sheetName val="Raw_Data10"/>
      <sheetName val="EBM-2_GHQ10"/>
      <sheetName val="Base_PEF11"/>
      <sheetName val="Testing_Template_Guidance10"/>
      <sheetName val="Test_Programs10"/>
      <sheetName val="Controls_data12"/>
      <sheetName val="Dados_BLP10"/>
      <sheetName val="ARdistr_(2)10"/>
      <sheetName val="FJJX_Bud_IB9"/>
      <sheetName val="look-up_data9"/>
      <sheetName val="Prd_Hierarchy(产品层级)9"/>
      <sheetName val="Com_(2PK)9"/>
      <sheetName val="JOB_PROFILE_-_LAS10"/>
      <sheetName val="요일_테이블10"/>
      <sheetName val="요일_테이블_(2)9"/>
      <sheetName val="Prd_Hierarchy(产品层次)9"/>
      <sheetName val="Project_Code9"/>
      <sheetName val="전사_PL11"/>
      <sheetName val="자금_제외_PL11"/>
      <sheetName val="자금_PL11"/>
      <sheetName val="전사_BS11"/>
      <sheetName val="자금_제외_BS11"/>
      <sheetName val="자금_BS11"/>
      <sheetName val="BS_계정_설명11"/>
      <sheetName val="_Cash_Flow(전사)11"/>
      <sheetName val="_Cash_Flow(자금제외)11"/>
      <sheetName val="_Cash_Flow(자금)11"/>
      <sheetName val="ROIC_11"/>
      <sheetName val="인건비_명세11"/>
      <sheetName val="판관비_명세11"/>
      <sheetName val="OH_Cost경비(내역)11"/>
      <sheetName val="OH_Cost경비(배부기준)11"/>
      <sheetName val="기타수지&amp;특별손익_명세11"/>
      <sheetName val="업무연락_(2)10"/>
      <sheetName val="제시_손익계산서10"/>
      <sheetName val="01_02월_성과급11"/>
      <sheetName val="M_7회차_담금_계획10"/>
      <sheetName val="팀별_실적10"/>
      <sheetName val="팀별_실적_(환산)10"/>
      <sheetName val="4__Inj_투자상세내역10"/>
      <sheetName val="3__Blow_투자_상세내역10"/>
      <sheetName val="Process_List10"/>
      <sheetName val="7_(2)10"/>
      <sheetName val="_손익기01_XL9"/>
      <sheetName val="Income_Stmt9"/>
      <sheetName val="drop_down_list9"/>
      <sheetName val="Figures_Report8"/>
      <sheetName val="[손익기01_XL_x005f_x0000__x005f_x0000_DePara9"/>
      <sheetName val="Quarterly_LBO_Model9"/>
      <sheetName val="[손익기01_XL9"/>
      <sheetName val="_손익기01_XL_x005f_x0000__x005f_x0000_DePara9"/>
      <sheetName val="15년_BL_사계9"/>
      <sheetName val="1_종합손익(도급)9"/>
      <sheetName val="1_종합손익(주택,개발)9"/>
      <sheetName val="2_실행예산9"/>
      <sheetName val="2_2과부족9"/>
      <sheetName val="2_3원가절감9"/>
      <sheetName val="8_외주비집행현황9"/>
      <sheetName val="9_자재비9"/>
      <sheetName val="10_현장집행9"/>
      <sheetName val="3_추가원가9"/>
      <sheetName val="3_추가원가_(2)9"/>
      <sheetName val="4_사전공사9"/>
      <sheetName val="5_추정공사비9"/>
      <sheetName val="6_금융비용9"/>
      <sheetName val="7_공사비집행현황(총괄)9"/>
      <sheetName val="11_1생산성9"/>
      <sheetName val="11_2인원산출9"/>
      <sheetName val="Classification_分类8"/>
      <sheetName val="Set_Up9"/>
      <sheetName val="Fare_prices8"/>
      <sheetName val="Hotel_prices8"/>
      <sheetName val="tab_STATUS_DO_PROCESSO_8"/>
      <sheetName val="Perf__Plan__Diário18"/>
      <sheetName val="In_(2)8"/>
      <sheetName val="__한국_AMP_ASP-23_판매가격__8"/>
      <sheetName val="CC_Down_load_07168"/>
      <sheetName val="변경실행(2차)_8"/>
      <sheetName val="나_출고8"/>
      <sheetName val="나_입고8"/>
      <sheetName val="09년_인건비(속리산)8"/>
      <sheetName val="합산목표(감가+57_5)8"/>
      <sheetName val="제조원가_원단위_분석8"/>
      <sheetName val="종합표양식(품의_&amp;_입고)_28"/>
      <sheetName val="원가관리_(동월대비)8"/>
      <sheetName val="b_balju_(2)8"/>
      <sheetName val="2-2_매출분석8"/>
      <sheetName val="몰드시스템_리스트8"/>
      <sheetName val="11_외화채무증권(AFS,HTM)088"/>
      <sheetName val="13_감액TEST_088"/>
      <sheetName val="12년_CF(9월)8"/>
      <sheetName val="중기조종사_단위단가8"/>
      <sheetName val="6PILE__(돌출)8"/>
      <sheetName val="기성청구_공문8"/>
      <sheetName val="Sheet1_(2)8"/>
      <sheetName val="CLASIFICACION_DE_AI8"/>
      <sheetName val="Base_da_Datos8"/>
      <sheetName val="slide_24_cat_A8"/>
      <sheetName val="slide_82_cat_b8"/>
      <sheetName val="Dados_dos_Produtos8"/>
      <sheetName val="09~10년_매출계획8"/>
      <sheetName val="1_MDF1공장8"/>
      <sheetName val="Incident_유형구분표8"/>
      <sheetName val="3YP2016-Bottom_up7"/>
      <sheetName val="DD_list8"/>
      <sheetName val="Base_de_Datos7"/>
      <sheetName val="2_카드채권(대출포함)7"/>
      <sheetName val="表21_净利润调节表7"/>
      <sheetName val="MASTER_APP7"/>
      <sheetName val="Cond__Inseguros7"/>
      <sheetName val="Comp__Inseguros7"/>
      <sheetName val="Lista_de_datos7"/>
      <sheetName val="Supply_Cost_Centers7"/>
      <sheetName val="Clasif_7"/>
      <sheetName val="Farol_Acciones7"/>
      <sheetName val="Lista_de_Entrenamientos7"/>
      <sheetName val="Unidades_SAC-REVENDA8"/>
      <sheetName val="FornecM_Check6"/>
      <sheetName val="Lista_CI7"/>
      <sheetName val="Estratificación_AI6"/>
      <sheetName val="condicion_inseguras6"/>
      <sheetName val="Actos_Inseguros6"/>
      <sheetName val="Control_de_incidentes6"/>
      <sheetName val="Plan_de_Acción6"/>
      <sheetName val="_DD_List7"/>
      <sheetName val="Share_Price_20027"/>
      <sheetName val="BEP_加薪_KPI6"/>
      <sheetName val="F08_-_Asia_Pac_Full_Year_Q37"/>
      <sheetName val="Top_Priorities7"/>
      <sheetName val="Listco_Stock7"/>
      <sheetName val="Intl_Purchase7"/>
      <sheetName val="FY_outlook7"/>
      <sheetName val="CY_outlook7"/>
      <sheetName val="Cash_metrics7"/>
      <sheetName val="P6_77"/>
      <sheetName val="DATOS_BASE6"/>
      <sheetName val="Issues_List_Payments6"/>
      <sheetName val="Faro_de_Indicadores6"/>
      <sheetName val="TOP_KPIs_MTM6"/>
      <sheetName val="PLAN_DE_ACCION6"/>
      <sheetName val="Grafica_Actos6"/>
      <sheetName val="POC_LIST6"/>
      <sheetName val="Dashboard_Prevención_Riesgos_6"/>
      <sheetName val="APAC_S6"/>
      <sheetName val="APAC_N6"/>
      <sheetName val="Slide_output6"/>
      <sheetName val="do_not_delete6"/>
      <sheetName val="[손익기01_XL??DePara6"/>
      <sheetName val="Farol_Metas6"/>
      <sheetName val="Mod_Relac_6"/>
      <sheetName val="Condiciones_SyE6"/>
      <sheetName val="REALxMETA_-_CERVEJA8"/>
      <sheetName val="REALxMETA_-_REFRI8"/>
      <sheetName val="Directrices_de_Metas_20176"/>
      <sheetName val="DETALLE_MENSUAL6"/>
      <sheetName val="Entity_Target6"/>
      <sheetName val="VALIDACION_DE_DATOS5"/>
      <sheetName val="_손익기01_XL_x005f_x005f_x005f_x0000__x005f_x005f_x6"/>
      <sheetName val="Hazards_Analysis-隐患分析6"/>
      <sheetName val="97_사업추정(WEKI)6"/>
      <sheetName val="Tong_hop6"/>
      <sheetName val="95_1_1이후취득자산(숨기기상태)6"/>
      <sheetName val="sum1_(2)6"/>
      <sheetName val="3_바닥판설계6"/>
      <sheetName val="6월_공정외주6"/>
      <sheetName val="2_대외공문6"/>
      <sheetName val="2_총괄표6"/>
      <sheetName val="PAR"/>
      <sheetName val="订单追踪_信阳市区_0825"/>
      <sheetName val="Data_validation6"/>
      <sheetName val="입출재고현황_(2)6"/>
      <sheetName val="504전기실_동부하-L6"/>
      <sheetName val="OUTER_AREA(겹침없음)6"/>
      <sheetName val="EL_표면적6"/>
      <sheetName val="TRE_TABLE6"/>
      <sheetName val="입찰내역_발주처_양식6"/>
      <sheetName val="turnover_reason퇴직사유6"/>
      <sheetName val="SKU_Basic_Data6"/>
      <sheetName val="Check_Qualidade4"/>
      <sheetName val="De_Para5"/>
      <sheetName val="Check_Aderencia4"/>
      <sheetName val="Drop-down_List5"/>
      <sheetName val="by_DD5"/>
      <sheetName val="Jul-Sep_Actual_cost_(2)5"/>
      <sheetName val="Base_Farol4"/>
      <sheetName val="Gerencial_IL4"/>
      <sheetName val="Ventas_Campo4"/>
      <sheetName val="ACTOS_POR_RIESGO4"/>
      <sheetName val="drop_lists4"/>
      <sheetName val="MRL_NON_SUPPLY_URU4"/>
      <sheetName val="AIIM_-_Empresas_Ext_20124"/>
      <sheetName val="KPIs_Hana4"/>
      <sheetName val="Catalago_de_refacciones_4"/>
      <sheetName val="Existencias_al_07-Nov-20124"/>
      <sheetName val="Check_GG4"/>
      <sheetName val="Nombre_de_SOP4"/>
      <sheetName val="NAZ_Strategy"/>
      <sheetName val="Ta_4"/>
      <sheetName val="2__Indicadores4"/>
      <sheetName val="부재료_비교(11년_vs_10년)4"/>
      <sheetName val="_손익기01_XL_x005f_x0000__x04"/>
      <sheetName val="Lista_de_Entrenamientos_RSO4"/>
      <sheetName val="Tablero_SDG7"/>
      <sheetName val="Lista_Areas7"/>
      <sheetName val="One_Page7"/>
      <sheetName val="Sub-Productos_HN5"/>
      <sheetName val="Eficiencia_linea4"/>
      <sheetName val="_mngt_Pillar4"/>
      <sheetName val="Sheet3_(2)4"/>
      <sheetName val="요일_테이블_4"/>
      <sheetName val="Sheet2_(2)4"/>
      <sheetName val="Lao_&amp;_Cam4"/>
      <sheetName val="Hoegaarden_20194"/>
      <sheetName val="Lao_&amp;_Cam_20194"/>
      <sheetName val="Malaysia_20194"/>
      <sheetName val="Singapore_20194"/>
      <sheetName val="Other_Listings4"/>
      <sheetName val="Pauta_RPS_Distribuição3"/>
      <sheetName val="Estoque_(2)3"/>
      <sheetName val="Comp_Inseguros3"/>
      <sheetName val="BNR_2012_в_ящике3"/>
      <sheetName val="DATOS_DE_VALIDACIÓN3"/>
      <sheetName val="Datos_con3"/>
      <sheetName val="_Datos_Cond_3"/>
      <sheetName val="DO_NOT_MOVE3"/>
      <sheetName val="INGRESO_(2)3"/>
      <sheetName val="PG-K1610_(UEN_Areas)MNG3"/>
      <sheetName val="DATOS_GEN_3"/>
      <sheetName val="NUEVOS_CRITERIOS3"/>
      <sheetName val="Condiciones_Agua3"/>
      <sheetName val="Dropdown_list2"/>
      <sheetName val="Proced_2"/>
      <sheetName val="Drop_list2"/>
      <sheetName val="FX_Rates2"/>
      <sheetName val="Vagas_x_Candidatos2"/>
      <sheetName val="__한국_AMP_ASP-23_판㧤가격__2"/>
      <sheetName val="11_䡸화채무줝ⴌ(AFS,HTM)082"/>
      <sheetName val="Control_de_Fallas2"/>
      <sheetName val="Setup_for_Templates2"/>
      <sheetName val="Datos_emp2"/>
      <sheetName val="TIPO_DE_ACTO2"/>
      <sheetName val="%_cumplimiento_2"/>
      <sheetName val="%_CUMPLIMIENTO2"/>
      <sheetName val="Listas_y_equipos_a_evaluar2"/>
      <sheetName val="CRITICIDAD_DE_CI2"/>
      <sheetName val="Catálogo_de_CI2"/>
      <sheetName val="Data_Reporte2"/>
      <sheetName val="Read_me2"/>
      <sheetName val="Validation_lists2"/>
      <sheetName val="Cut_Machine_Summary2"/>
      <sheetName val="Daily_Dashboard2"/>
      <sheetName val="Champions_List1"/>
      <sheetName val="CALIFICACIONES_2019"/>
      <sheetName val="Lev_4_360_deg_check_Crit_Task"/>
      <sheetName val="Lev_4_Chk_IC_Stock_Crit_Task"/>
      <sheetName val="Lev_4_WMS_Putaway_Crit_Task"/>
      <sheetName val="Mapeo_SKUs2"/>
      <sheetName val="Vol_(Ds)2"/>
      <sheetName val="Vol_(Ka)2"/>
      <sheetName val="Vol_(Oth)2"/>
      <sheetName val="Vol_(Oth)_Cortesias2"/>
      <sheetName val="INPUT-Cust_Sugg_Margin(Ds)2"/>
      <sheetName val="On_Invoice2"/>
      <sheetName val="INPUT-Cust_Sugg_Margin(Ka)2"/>
      <sheetName val="INPUT_SKUs2"/>
      <sheetName val="Brand_P&amp;L"/>
      <sheetName val="SUPERMONT_P"/>
      <sheetName val="Data_selection"/>
      <sheetName val="1_"/>
      <sheetName val="Customer_&amp;_SO"/>
      <sheetName val="Session_Proposal"/>
      <sheetName val="PROCESS MD"/>
      <sheetName val="Table"/>
      <sheetName val="Consolidated_Project List"/>
      <sheetName val="Fixed Cost"/>
      <sheetName val="[손익기01_XL_x0000__x0000_DePara6"/>
      <sheetName val="_손익기01_XL_x0000__x0000_DePara6"/>
      <sheetName val="_손익기01_XL_x005f_x0000__x3"/>
      <sheetName val="_손익기01_XL_x0000__x01"/>
      <sheetName val="_손익기01_XL_x0000__x2"/>
      <sheetName val="_손익기01_XL_x0000__x3"/>
      <sheetName val="Project List"/>
      <sheetName val="概览"/>
      <sheetName val="Выпадающие списки"/>
      <sheetName val="Списки"/>
      <sheetName val="Listas desplegables"/>
      <sheetName val="Resumen General"/>
      <sheetName val="Cátalogo de CI"/>
      <sheetName val="Hoja2 (2)"/>
      <sheetName val="Technology check list"/>
      <sheetName val="Status de Usuario"/>
      <sheetName val="pel_nvo"/>
      <sheetName val="SST"/>
      <sheetName val="Actos y Condiciones "/>
      <sheetName val="Settings"/>
      <sheetName val="NO BORRAR"/>
      <sheetName val="CUMPLIMIENTO"/>
      <sheetName val="Formato checklist Lab"/>
      <sheetName val="SOP Freshness"/>
      <sheetName val="PAINEL RECOLHA CRÉDITO"/>
      <sheetName val="Gráficos - CDD"/>
      <sheetName val="Values"/>
      <sheetName val="Industries"/>
      <sheetName val="监控探头清单"/>
      <sheetName val="下拉选项"/>
      <sheetName val="不安全行为分类"/>
      <sheetName val="IQ_SALE_REAL_ESTATE_CF_FIN"/>
      <sheetName val="IQ_SALE_REAL_ESTATE_CF_INS"/>
      <sheetName val="IQ_SALE_REAL_ESTATE_CF_UTI"/>
      <sheetName val="IQ_SHORT_INTEREST_PERCENT"/>
      <sheetName val="IQ_TAX_EQUIV_NET_INT_INC"/>
      <sheetName val="IQ_TOTAL_DEBT_ISSUED_BNK"/>
      <sheetName val="IQ_TOTAL_DEBT_ISSUED_FIN"/>
      <sheetName val="IQ_TOTAL_DEBT_ISSUED_REIT"/>
      <sheetName val="IQ_TOTAL_DEBT_ISSUED_UTI"/>
      <sheetName val="IQ_TOTAL_DEBT_ISSUES_INS"/>
      <sheetName val="IQ_TOTAL_DEBT_OVER_EBITDA"/>
      <sheetName val="Text"/>
      <sheetName val="3. Training &amp; travel"/>
      <sheetName val="Mapeo_SKUs4"/>
      <sheetName val="Vol_(Ds)4"/>
      <sheetName val="Vol_(Ka)4"/>
      <sheetName val="Vol_(Oth)4"/>
      <sheetName val="Vol_(Oth)_Cortesias4"/>
      <sheetName val="INPUT-Cust_Sugg_Margin(Ds)4"/>
      <sheetName val="On_Invoice4"/>
      <sheetName val="INPUT-Cust_Sugg_Margin(Ka)4"/>
      <sheetName val="INPUT_SKUs4"/>
      <sheetName val="SUPERMONT_P2"/>
      <sheetName val="Brand_P&amp;L1"/>
      <sheetName val="Mapeo_SKUs3"/>
      <sheetName val="Vol_(Ds)3"/>
      <sheetName val="Vol_(Ka)3"/>
      <sheetName val="Vol_(Oth)3"/>
      <sheetName val="Vol_(Oth)_Cortesias3"/>
      <sheetName val="INPUT-Cust_Sugg_Margin(Ds)3"/>
      <sheetName val="On_Invoice3"/>
      <sheetName val="INPUT-Cust_Sugg_Margin(Ka)3"/>
      <sheetName val="INPUT_SKUs3"/>
      <sheetName val="SUPERMONT_P1"/>
      <sheetName val="Source"/>
      <sheetName val="Dimension IN Sheet1!D1912"/>
      <sheetName val="Dimension IN 1912"/>
      <sheetName val="Introduction"/>
      <sheetName val="Manage to Sustain"/>
      <sheetName val="Meeting List"/>
      <sheetName val="DropLists"/>
      <sheetName val="Packages Info"/>
      <sheetName val="Preferred Option"/>
      <sheetName val="TO_Data_Base19"/>
      <sheetName val="YTD_Summary18"/>
      <sheetName val="Month_Summary18"/>
      <sheetName val="Trial_Balance_MAY_200918"/>
      <sheetName val="TB_Pivot18"/>
      <sheetName val="total_per_LB_LB218"/>
      <sheetName val="Trial_Balance_Vlookup18"/>
      <sheetName val="Trial_Balance_APRIL_200918"/>
      <sheetName val="Roll_Out_AQ18"/>
      <sheetName val="Evolução_mandamentos18"/>
      <sheetName val="Planilha_resultados17"/>
      <sheetName val="Historico_200317"/>
      <sheetName val="Sig_Cycles_Accts_&amp;_Processes17"/>
      <sheetName val="Fixed_ZBB11"/>
      <sheetName val="E_法规NC11"/>
      <sheetName val="3_ISo_YTD11"/>
      <sheetName val="Données_LMU11"/>
      <sheetName val="Brazil_Sovereign11"/>
      <sheetName val="Resumen_Costo11"/>
      <sheetName val="Base_de_Dados11"/>
      <sheetName val="Extract_Loss11"/>
      <sheetName val="5_111"/>
      <sheetName val="QA_跟踪记录表11"/>
      <sheetName val="RG_Depots11"/>
      <sheetName val="material_data11"/>
      <sheetName val="other_data11"/>
      <sheetName val="Como_Estamos11"/>
      <sheetName val="Database_(RUR)Mar_YTD11"/>
      <sheetName val="SKU_Mapping11"/>
      <sheetName val="Drop_Down11"/>
      <sheetName val="Raw_Data11"/>
      <sheetName val="EBM-2_GHQ11"/>
      <sheetName val="Base_PEF12"/>
      <sheetName val="Controls_data13"/>
      <sheetName val="Testing_Template_Guidance11"/>
      <sheetName val="Test_Programs11"/>
      <sheetName val="Dados_BLP11"/>
      <sheetName val="JOB_PROFILE_-_LAS11"/>
      <sheetName val="ARdistr_(2)11"/>
      <sheetName val="FJJX_Bud_IB10"/>
      <sheetName val="look-up_data10"/>
      <sheetName val="Prd_Hierarchy(产品层级)10"/>
      <sheetName val="Com_(2PK)10"/>
      <sheetName val="Project_Code10"/>
      <sheetName val="[손익기01_XL10"/>
      <sheetName val="요일_테이블11"/>
      <sheetName val="요일_테이블_(2)10"/>
      <sheetName val="Prd_Hierarchy(产品层次)10"/>
      <sheetName val="전사_PL12"/>
      <sheetName val="자금_제외_PL12"/>
      <sheetName val="자금_PL12"/>
      <sheetName val="전사_BS12"/>
      <sheetName val="자금_제외_BS12"/>
      <sheetName val="자금_BS12"/>
      <sheetName val="BS_계정_설명12"/>
      <sheetName val="_Cash_Flow(전사)12"/>
      <sheetName val="_Cash_Flow(자금제외)12"/>
      <sheetName val="_Cash_Flow(자금)12"/>
      <sheetName val="ROIC_12"/>
      <sheetName val="인건비_명세12"/>
      <sheetName val="판관비_명세12"/>
      <sheetName val="OH_Cost경비(내역)12"/>
      <sheetName val="OH_Cost경비(배부기준)12"/>
      <sheetName val="기타수지&amp;특별손익_명세12"/>
      <sheetName val="업무연락_(2)11"/>
      <sheetName val="제시_손익계산서11"/>
      <sheetName val="01_02월_성과급12"/>
      <sheetName val="M_7회차_담금_계획11"/>
      <sheetName val="팀별_실적11"/>
      <sheetName val="팀별_실적_(환산)11"/>
      <sheetName val="4__Inj_투자상세내역11"/>
      <sheetName val="3__Blow_투자_상세내역11"/>
      <sheetName val="Process_List11"/>
      <sheetName val="7_(2)11"/>
      <sheetName val="_손익기01_XL10"/>
      <sheetName val="drop_down_list10"/>
      <sheetName val="Income_Stmt10"/>
      <sheetName val="[손익기01_XL_x005f_x0000__x005f_x0000_DePara10"/>
      <sheetName val="Quarterly_LBO_Model10"/>
      <sheetName val="_손익기01_XL_x005f_x0000__x005f_x0000_DePara10"/>
      <sheetName val="15년_BL_사계10"/>
      <sheetName val="1_종합손익(도급)10"/>
      <sheetName val="1_종합손익(주택,개발)10"/>
      <sheetName val="2_실행예산10"/>
      <sheetName val="2_2과부족10"/>
      <sheetName val="2_3원가절감10"/>
      <sheetName val="8_외주비집행현황10"/>
      <sheetName val="9_자재비10"/>
      <sheetName val="10_현장집행10"/>
      <sheetName val="3_추가원가10"/>
      <sheetName val="3_추가원가_(2)10"/>
      <sheetName val="4_사전공사10"/>
      <sheetName val="5_추정공사비10"/>
      <sheetName val="6_금융비용10"/>
      <sheetName val="7_공사비집행현황(총괄)10"/>
      <sheetName val="11_1생산성10"/>
      <sheetName val="11_2인원산출10"/>
      <sheetName val="Figures_Report9"/>
      <sheetName val="Classification_分类9"/>
      <sheetName val="Set_Up10"/>
      <sheetName val="Fare_prices9"/>
      <sheetName val="Hotel_prices9"/>
      <sheetName val="tab_STATUS_DO_PROCESSO_9"/>
      <sheetName val="slide_24_cat_A9"/>
      <sheetName val="slide_82_cat_b9"/>
      <sheetName val="__한국_AMP_ASP-23_판매가격__9"/>
      <sheetName val="CC_Down_load_07169"/>
      <sheetName val="변경실행(2차)_9"/>
      <sheetName val="나_출고9"/>
      <sheetName val="나_입고9"/>
      <sheetName val="09년_인건비(속리산)9"/>
      <sheetName val="합산목표(감가+57_5)9"/>
      <sheetName val="제조원가_원단위_분석9"/>
      <sheetName val="종합표양식(품의_&amp;_입고)_29"/>
      <sheetName val="원가관리_(동월대비)9"/>
      <sheetName val="b_balju_(2)9"/>
      <sheetName val="2-2_매출분석9"/>
      <sheetName val="몰드시스템_리스트9"/>
      <sheetName val="11_외화채무증권(AFS,HTM)089"/>
      <sheetName val="13_감액TEST_089"/>
      <sheetName val="12년_CF(9월)9"/>
      <sheetName val="중기조종사_단위단가9"/>
      <sheetName val="6PILE__(돌출)9"/>
      <sheetName val="기성청구_공문9"/>
      <sheetName val="Sheet1_(2)9"/>
      <sheetName val="Perf__Plan__Diário19"/>
      <sheetName val="In_(2)9"/>
      <sheetName val="CLASIFICACION_DE_AI9"/>
      <sheetName val="Base_da_Datos9"/>
      <sheetName val="Dados_dos_Produtos9"/>
      <sheetName val="09~10년_매출계획9"/>
      <sheetName val="1_MDF1공장9"/>
      <sheetName val="Incident_유형구분표9"/>
      <sheetName val="3YP2016-Bottom_up8"/>
      <sheetName val="DD_list9"/>
      <sheetName val="Base_de_Datos8"/>
      <sheetName val="Clasif_8"/>
      <sheetName val="Supply_Cost_Centers8"/>
      <sheetName val="Cond__Inseguros8"/>
      <sheetName val="Comp__Inseguros8"/>
      <sheetName val="Lista_de_datos8"/>
      <sheetName val="MASTER_APP8"/>
      <sheetName val="2_카드채권(대출포함)8"/>
      <sheetName val="表21_净利润调节表8"/>
      <sheetName val="Lista_CI8"/>
      <sheetName val="Dashboard_Prevención_Riesgos_7"/>
      <sheetName val="TOP_KPIs_MTM7"/>
      <sheetName val="PLAN_DE_ACCION7"/>
      <sheetName val="Faro_de_Indicadores7"/>
      <sheetName val="Farol_Acciones8"/>
      <sheetName val="Lista_de_Entrenamientos8"/>
      <sheetName val="Unidades_SAC-REVENDA9"/>
      <sheetName val="FornecM_Check7"/>
      <sheetName val="Share_Price_20028"/>
      <sheetName val="_DD_List8"/>
      <sheetName val="BEP_加薪_KPI7"/>
      <sheetName val="_손익기01_XL_x005f_x005f_x005f_x0000__x005f_x005f_x7"/>
      <sheetName val="F08_-_Asia_Pac_Full_Year_Q38"/>
      <sheetName val="Top_Priorities8"/>
      <sheetName val="Listco_Stock8"/>
      <sheetName val="Intl_Purchase8"/>
      <sheetName val="FY_outlook8"/>
      <sheetName val="CY_outlook8"/>
      <sheetName val="Cash_metrics8"/>
      <sheetName val="P6_78"/>
      <sheetName val="DATOS_BASE7"/>
      <sheetName val="Estratificación_AI7"/>
      <sheetName val="condicion_inseguras7"/>
      <sheetName val="Actos_Inseguros7"/>
      <sheetName val="Control_de_incidentes7"/>
      <sheetName val="Plan_de_Acción7"/>
      <sheetName val="Hazards_Analysis-隐患分析7"/>
      <sheetName val="97_사업추정(WEKI)7"/>
      <sheetName val="Tong_hop7"/>
      <sheetName val="95_1_1이후취득자산(숨기기상태)7"/>
      <sheetName val="sum1_(2)7"/>
      <sheetName val="3_바닥판설계7"/>
      <sheetName val="6월_공정외주7"/>
      <sheetName val="2_대외공문7"/>
      <sheetName val="2_총괄표7"/>
      <sheetName val="입출재고현황_(2)7"/>
      <sheetName val="504전기실_동부하-L7"/>
      <sheetName val="OUTER_AREA(겹침없음)7"/>
      <sheetName val="EL_표면적7"/>
      <sheetName val="TRE_TABLE7"/>
      <sheetName val="입찰내역_발주처_양식7"/>
      <sheetName val="Issues_List_Payments7"/>
      <sheetName val="turnover_reason퇴직사유7"/>
      <sheetName val="Grafica_Actos7"/>
      <sheetName val="POC_LIST7"/>
      <sheetName val="Condiciones_SyE7"/>
      <sheetName val="DETALLE_MENSUAL7"/>
      <sheetName val="SKU_Basic_Data7"/>
      <sheetName val="do_not_delete7"/>
      <sheetName val="APAC_S7"/>
      <sheetName val="APAC_N7"/>
      <sheetName val="Slide_output7"/>
      <sheetName val="[손익기01_XL??DePara7"/>
      <sheetName val="Farol_Metas7"/>
      <sheetName val="Mod_Relac_7"/>
      <sheetName val="REALxMETA_-_CERVEJA9"/>
      <sheetName val="REALxMETA_-_REFRI9"/>
      <sheetName val="Directrices_de_Metas_20177"/>
      <sheetName val="Data_validation7"/>
      <sheetName val="Drop-down_List6"/>
      <sheetName val="by_DD6"/>
      <sheetName val="VALIDACION_DE_DATOS6"/>
      <sheetName val="Entity_Target7"/>
      <sheetName val="Jul-Sep_Actual_cost_(2)6"/>
      <sheetName val="Check_Qualidade5"/>
      <sheetName val="De_Para6"/>
      <sheetName val="Check_Aderencia5"/>
      <sheetName val="부재료_비교(11년_vs_10년)5"/>
      <sheetName val="_손익기01_XL_x005f_x0000__x05"/>
      <sheetName val="Base_Farol5"/>
      <sheetName val="Gerencial_IL5"/>
      <sheetName val="Ventas_Campo5"/>
      <sheetName val="ACTOS_POR_RIESGO5"/>
      <sheetName val="drop_lists5"/>
      <sheetName val="MRL_NON_SUPPLY_URU5"/>
      <sheetName val="AIIM_-_Empresas_Ext_20125"/>
      <sheetName val="KPIs_Hana5"/>
      <sheetName val="Catalago_de_refacciones_5"/>
      <sheetName val="Existencias_al_07-Nov-20125"/>
      <sheetName val="Check_GG5"/>
      <sheetName val="Sheet3_(2)5"/>
      <sheetName val="Nombre_de_SOP5"/>
      <sheetName val="Lao_&amp;_Cam5"/>
      <sheetName val="Hoegaarden_20195"/>
      <sheetName val="Lao_&amp;_Cam_20195"/>
      <sheetName val="Malaysia_20195"/>
      <sheetName val="Singapore_20195"/>
      <sheetName val="_mngt_Pillar5"/>
      <sheetName val="2__Indicadores5"/>
      <sheetName val="Ta_5"/>
      <sheetName val="요일_테이블_5"/>
      <sheetName val="Sheet2_(2)5"/>
      <sheetName val="Other_Listings5"/>
      <sheetName val="Lista_de_Entrenamientos_RSO5"/>
      <sheetName val="Tablero_SDG8"/>
      <sheetName val="Lista_Areas8"/>
      <sheetName val="One_Page8"/>
      <sheetName val="Sub-Productos_HN6"/>
      <sheetName val="Eficiencia_linea5"/>
      <sheetName val="Pauta_RPS_Distribuição4"/>
      <sheetName val="Estoque_(2)4"/>
      <sheetName val="Comp_Inseguros4"/>
      <sheetName val="BNR_2012_в_ящике4"/>
      <sheetName val="DATOS_DE_VALIDACIÓN4"/>
      <sheetName val="Datos_con4"/>
      <sheetName val="_Datos_Cond_4"/>
      <sheetName val="DO_NOT_MOVE4"/>
      <sheetName val="INGRESO_(2)4"/>
      <sheetName val="PG-K1610_(UEN_Areas)MNG4"/>
      <sheetName val="DATOS_GEN_4"/>
      <sheetName val="NUEVOS_CRITERIOS4"/>
      <sheetName val="Condiciones_Agua4"/>
      <sheetName val="Dropdown_list3"/>
      <sheetName val="Proced_3"/>
      <sheetName val="Drop_list3"/>
      <sheetName val="FX_Rates3"/>
      <sheetName val="Cut_Machine_Summary3"/>
      <sheetName val="__한국_AMP_ASP-23_판㧤가격__3"/>
      <sheetName val="11_䡸화채무줝ⴌ(AFS,HTM)083"/>
      <sheetName val="Control_de_Fallas3"/>
      <sheetName val="Setup_for_Templates3"/>
      <sheetName val="Datos_emp3"/>
      <sheetName val="Validation_lists3"/>
      <sheetName val="TIPO_DE_ACTO3"/>
      <sheetName val="CRITICIDAD_DE_CI3"/>
      <sheetName val="Catálogo_de_CI3"/>
      <sheetName val="%_CUMPLIMIENTO3"/>
      <sheetName val="%_cumplimiento_3"/>
      <sheetName val="CALIFICACIONES_20191"/>
      <sheetName val="Lev_4_360_deg_check_Crit_Task1"/>
      <sheetName val="Lev_4_Chk_IC_Stock_Crit_Task1"/>
      <sheetName val="Lev_4_WMS_Putaway_Crit_Task1"/>
      <sheetName val="Data_selection1"/>
      <sheetName val="1_1"/>
      <sheetName val="Customer_&amp;_SO1"/>
      <sheetName val="Session_Proposal1"/>
      <sheetName val="Vagas_x_Candidatos3"/>
      <sheetName val="Listas_y_equipos_a_evaluar3"/>
      <sheetName val="Data_Reporte3"/>
      <sheetName val="Read_me3"/>
      <sheetName val="Champions_List2"/>
      <sheetName val="NAZ_Strategy1"/>
      <sheetName val="Daily_Dashboard3"/>
      <sheetName val="Dropdown_Menu"/>
      <sheetName val="Análise_Tempos"/>
      <sheetName val="PDA_BOP"/>
      <sheetName val="Validação_de_Dados"/>
      <sheetName val="No_llenar_"/>
      <sheetName val="Incentivo_Automóvil"/>
      <sheetName val="유류대_현황"/>
      <sheetName val="mapping_(2)"/>
      <sheetName val="Ref_"/>
      <sheetName val="2_3_Projects_Status"/>
      <sheetName val="Lista_de_Motivos"/>
      <sheetName val="Ponto_Crítico_-_Resp__Plano"/>
      <sheetName val="Lista_Funcionários_(2)"/>
      <sheetName val="Project_List"/>
      <sheetName val="PROCESS_MD"/>
      <sheetName val="Выпадающие_списки"/>
      <sheetName val="1__템플릿"/>
      <sheetName val="2__작성_참고사항"/>
      <sheetName val="Listas_desplegables"/>
      <sheetName val="Resumen_General"/>
      <sheetName val="Cátalogo_de_CI"/>
      <sheetName val="Hoja2_(2)"/>
      <sheetName val="Technology_check_list"/>
      <sheetName val="Status_de_Usuario"/>
      <sheetName val="Actos_y_Condiciones_"/>
      <sheetName val="NO_BORRAR"/>
      <sheetName val="Formato_checklist_Lab"/>
      <sheetName val="Consolidated_Project_List"/>
      <sheetName val="Fixed_Cost"/>
      <sheetName val="Supporting"/>
      <sheetName val="입문 트랜드(종합분석)"/>
      <sheetName val="Maestras"/>
      <sheetName val="Master CE"/>
      <sheetName val="CE_Final "/>
      <sheetName val="CALENDAR"/>
      <sheetName val="OL LIST"/>
      <sheetName val="YTD GUEST LIST"/>
      <sheetName val="Session Full list"/>
      <sheetName val="FOOD PAYMENT update JAN"/>
      <sheetName val="Rate card F19 "/>
      <sheetName val="Master Plan  (update)"/>
      <sheetName val="The KPI "/>
      <sheetName val="Mentor Plan "/>
      <sheetName val="Master Plan "/>
      <sheetName val="Tier 1 GOV_PC Networking "/>
      <sheetName val="Tier 1 LBO "/>
      <sheetName val="工作表7"/>
      <sheetName val="自定义"/>
      <sheetName val="[손익기01_XL_x0000__x0000_DePara7"/>
      <sheetName val="_손익기01_XL_x0000__x0000_DePara7"/>
      <sheetName val="_손익기01_XL_x0000__x02"/>
      <sheetName val="[손익기01_XL_x0000__x0000_DePara8"/>
      <sheetName val="_손익기01_XL_x0000__x0000_DePara8"/>
      <sheetName val="_손익기01_XL_x0000__x03"/>
      <sheetName val="[손익기01_XL_x0000__x0000_DePara9"/>
      <sheetName val="_손익기01_XL_x0000__x0000_DePara9"/>
      <sheetName val="_손익기01_XL_x0000__x04"/>
      <sheetName val="_손익기01_XL_x005f_x0000__x4"/>
      <sheetName val="_손익기01_XL_x005f_x0000__x5"/>
      <sheetName val="_손익기01_XL_x005f_x0000__x6"/>
      <sheetName val="链接数据"/>
      <sheetName val="类型"/>
      <sheetName val="2020 MMR12"/>
      <sheetName val="不安全行为分析"/>
      <sheetName val="Razão Social"/>
      <sheetName val="MOTOSxCONDUTOR"/>
      <sheetName val="Plan4"/>
      <sheetName val="filtros"/>
      <sheetName val="Relatorio"/>
      <sheetName val="Codes"/>
      <sheetName val="PAINEL_RECOLHA_CRÉDITO"/>
      <sheetName val="Gráficos_-_CDD"/>
      <sheetName val="YTD_Summary19"/>
      <sheetName val="Month_Summary19"/>
      <sheetName val="Trial_Balance_MAY_200919"/>
      <sheetName val="TB_Pivot19"/>
      <sheetName val="total_per_LB_LB219"/>
      <sheetName val="Trial_Balance_Vlookup19"/>
      <sheetName val="Trial_Balance_APRIL_200919"/>
      <sheetName val="TO_Data_Base20"/>
      <sheetName val="Roll_Out_AQ19"/>
      <sheetName val="Evolução_mandamentos19"/>
      <sheetName val="Planilha_resultados18"/>
      <sheetName val="Historico_200318"/>
      <sheetName val="Sig_Cycles_Accts_&amp;_Processes18"/>
      <sheetName val="Fixed_ZBB12"/>
      <sheetName val="3_ISo_YTD12"/>
      <sheetName val="E_法规NC12"/>
      <sheetName val="Données_LMU12"/>
      <sheetName val="Brazil_Sovereign12"/>
      <sheetName val="Resumen_Costo12"/>
      <sheetName val="Extract_Loss12"/>
      <sheetName val="QA_跟踪记录表12"/>
      <sheetName val="5_112"/>
      <sheetName val="Como_Estamos12"/>
      <sheetName val="Base_de_Dados12"/>
      <sheetName val="RG_Depots12"/>
      <sheetName val="material_data12"/>
      <sheetName val="other_data12"/>
      <sheetName val="Database_(RUR)Mar_YTD12"/>
      <sheetName val="SKU_Mapping12"/>
      <sheetName val="Drop_Down12"/>
      <sheetName val="Raw_Data12"/>
      <sheetName val="EBM-2_GHQ12"/>
      <sheetName val="Base_PEF13"/>
      <sheetName val="Testing_Template_Guidance12"/>
      <sheetName val="Test_Programs12"/>
      <sheetName val="Controls_data14"/>
      <sheetName val="Dados_BLP12"/>
      <sheetName val="ARdistr_(2)12"/>
      <sheetName val="FJJX_Bud_IB11"/>
      <sheetName val="look-up_data11"/>
      <sheetName val="Prd_Hierarchy(产品层级)11"/>
      <sheetName val="Com_(2PK)11"/>
      <sheetName val="JOB_PROFILE_-_LAS12"/>
      <sheetName val="요일_테이블12"/>
      <sheetName val="요일_테이블_(2)11"/>
      <sheetName val="Prd_Hierarchy(产品层次)11"/>
      <sheetName val="Project_Code11"/>
      <sheetName val="전사_PL13"/>
      <sheetName val="자금_제외_PL13"/>
      <sheetName val="자금_PL13"/>
      <sheetName val="전사_BS13"/>
      <sheetName val="자금_제외_BS13"/>
      <sheetName val="자금_BS13"/>
      <sheetName val="BS_계정_설명13"/>
      <sheetName val="_Cash_Flow(전사)13"/>
      <sheetName val="_Cash_Flow(자금제외)13"/>
      <sheetName val="_Cash_Flow(자금)13"/>
      <sheetName val="ROIC_13"/>
      <sheetName val="인건비_명세13"/>
      <sheetName val="판관비_명세13"/>
      <sheetName val="OH_Cost경비(내역)13"/>
      <sheetName val="OH_Cost경비(배부기준)13"/>
      <sheetName val="기타수지&amp;특별손익_명세13"/>
      <sheetName val="업무연락_(2)12"/>
      <sheetName val="제시_손익계산서12"/>
      <sheetName val="01_02월_성과급13"/>
      <sheetName val="M_7회차_담금_계획12"/>
      <sheetName val="팀별_실적12"/>
      <sheetName val="팀별_실적_(환산)12"/>
      <sheetName val="4__Inj_투자상세내역12"/>
      <sheetName val="3__Blow_투자_상세내역12"/>
      <sheetName val="Process_List12"/>
      <sheetName val="7_(2)12"/>
      <sheetName val="_손익기01_XL11"/>
      <sheetName val="Income_Stmt11"/>
      <sheetName val="drop_down_list11"/>
      <sheetName val="Figures_Report10"/>
      <sheetName val="[손익기01_XL_x005f_x0000__x005f_x0000_DePara11"/>
      <sheetName val="Quarterly_LBO_Model11"/>
      <sheetName val="[손익기01_XL11"/>
      <sheetName val="_손익기01_XL_x005f_x0000__x005f_x0000_DePara11"/>
      <sheetName val="15년_BL_사계11"/>
      <sheetName val="1_종합손익(도급)11"/>
      <sheetName val="1_종합손익(주택,개발)11"/>
      <sheetName val="2_실행예산11"/>
      <sheetName val="2_2과부족11"/>
      <sheetName val="2_3원가절감11"/>
      <sheetName val="8_외주비집행현황11"/>
      <sheetName val="9_자재비11"/>
      <sheetName val="10_현장집행11"/>
      <sheetName val="3_추가원가11"/>
      <sheetName val="3_추가원가_(2)11"/>
      <sheetName val="4_사전공사11"/>
      <sheetName val="5_추정공사비11"/>
      <sheetName val="6_금융비용11"/>
      <sheetName val="7_공사비집행현황(총괄)11"/>
      <sheetName val="11_1생산성11"/>
      <sheetName val="11_2인원산출11"/>
      <sheetName val="Classification_分类10"/>
      <sheetName val="Set_Up11"/>
      <sheetName val="Fare_prices10"/>
      <sheetName val="Hotel_prices10"/>
      <sheetName val="tab_STATUS_DO_PROCESSO_10"/>
      <sheetName val="Perf__Plan__Diário110"/>
      <sheetName val="In_(2)10"/>
      <sheetName val="__한국_AMP_ASP-23_판매가격__10"/>
      <sheetName val="CC_Down_load_071610"/>
      <sheetName val="변경실행(2차)_10"/>
      <sheetName val="나_출고10"/>
      <sheetName val="나_입고10"/>
      <sheetName val="09년_인건비(속리산)10"/>
      <sheetName val="합산목표(감가+57_5)10"/>
      <sheetName val="제조원가_원단위_분석10"/>
      <sheetName val="종합표양식(품의_&amp;_입고)_210"/>
      <sheetName val="원가관리_(동월대비)10"/>
      <sheetName val="b_balju_(2)10"/>
      <sheetName val="2-2_매출분석10"/>
      <sheetName val="몰드시스템_리스트10"/>
      <sheetName val="11_외화채무증권(AFS,HTM)0810"/>
      <sheetName val="13_감액TEST_0810"/>
      <sheetName val="12년_CF(9월)10"/>
      <sheetName val="중기조종사_단위단가10"/>
      <sheetName val="6PILE__(돌출)10"/>
      <sheetName val="기성청구_공문10"/>
      <sheetName val="Sheet1_(2)10"/>
      <sheetName val="CLASIFICACION_DE_AI10"/>
      <sheetName val="Base_da_Datos10"/>
      <sheetName val="slide_24_cat_A10"/>
      <sheetName val="slide_82_cat_b10"/>
      <sheetName val="Dados_dos_Produtos10"/>
      <sheetName val="09~10년_매출계획10"/>
      <sheetName val="1_MDF1공장10"/>
      <sheetName val="Incident_유형구분표10"/>
      <sheetName val="3YP2016-Bottom_up9"/>
      <sheetName val="DD_list10"/>
      <sheetName val="Base_de_Datos9"/>
      <sheetName val="Supply_Cost_Centers9"/>
      <sheetName val="2_카드채권(대출포함)9"/>
      <sheetName val="表21_净利润调节表9"/>
      <sheetName val="Cond__Inseguros9"/>
      <sheetName val="Comp__Inseguros9"/>
      <sheetName val="Lista_de_datos9"/>
      <sheetName val="MASTER_APP9"/>
      <sheetName val="Clasif_9"/>
      <sheetName val="Farol_Acciones9"/>
      <sheetName val="Lista_de_Entrenamientos9"/>
      <sheetName val="Unidades_SAC-REVENDA10"/>
      <sheetName val="FornecM_Check8"/>
      <sheetName val="Lista_CI9"/>
      <sheetName val="Estratificación_AI8"/>
      <sheetName val="condicion_inseguras8"/>
      <sheetName val="Actos_Inseguros8"/>
      <sheetName val="Control_de_incidentes8"/>
      <sheetName val="Plan_de_Acción8"/>
      <sheetName val="_DD_List9"/>
      <sheetName val="Share_Price_20029"/>
      <sheetName val="Issues_List_Payments8"/>
      <sheetName val="BEP_加薪_KPI8"/>
      <sheetName val="Faro_de_Indicadores8"/>
      <sheetName val="TOP_KPIs_MTM8"/>
      <sheetName val="PLAN_DE_ACCION8"/>
      <sheetName val="Grafica_Actos8"/>
      <sheetName val="POC_LIST8"/>
      <sheetName val="Dashboard_Prevención_Riesgos_8"/>
      <sheetName val="APAC_S8"/>
      <sheetName val="APAC_N8"/>
      <sheetName val="Slide_output8"/>
      <sheetName val="do_not_delete8"/>
      <sheetName val="[손익기01_XL??DePara8"/>
      <sheetName val="Farol_Metas8"/>
      <sheetName val="Mod_Relac_8"/>
      <sheetName val="Condiciones_SyE8"/>
      <sheetName val="REALxMETA_-_CERVEJA10"/>
      <sheetName val="REALxMETA_-_REFRI10"/>
      <sheetName val="Directrices_de_Metas_20178"/>
      <sheetName val="F08_-_Asia_Pac_Full_Year_Q39"/>
      <sheetName val="Top_Priorities9"/>
      <sheetName val="Listco_Stock9"/>
      <sheetName val="Intl_Purchase9"/>
      <sheetName val="FY_outlook9"/>
      <sheetName val="CY_outlook9"/>
      <sheetName val="Cash_metrics9"/>
      <sheetName val="P6_79"/>
      <sheetName val="DATOS_BASE8"/>
      <sheetName val="DETALLE_MENSUAL8"/>
      <sheetName val="Entity_Target8"/>
      <sheetName val="VALIDACION_DE_DATOS7"/>
      <sheetName val="_손익기01_XL_x005f_x005f_x005f_x0000__x005f_x005f_x8"/>
      <sheetName val="Hazards_Analysis-隐患分析8"/>
      <sheetName val="97_사업추정(WEKI)8"/>
      <sheetName val="Tong_hop8"/>
      <sheetName val="95_1_1이후취득자산(숨기기상태)8"/>
      <sheetName val="sum1_(2)8"/>
      <sheetName val="3_바닥판설계8"/>
      <sheetName val="6월_공정외주8"/>
      <sheetName val="2_대외공문8"/>
      <sheetName val="2_총괄표8"/>
      <sheetName val="입출재고현황_(2)8"/>
      <sheetName val="504전기실_동부하-L8"/>
      <sheetName val="OUTER_AREA(겹침없음)8"/>
      <sheetName val="EL_표면적8"/>
      <sheetName val="TRE_TABLE8"/>
      <sheetName val="입찰내역_발주처_양식8"/>
      <sheetName val="Data_validation8"/>
      <sheetName val="turnover_reason퇴직사유8"/>
      <sheetName val="SKU_Basic_Data8"/>
      <sheetName val="Jul-Sep_Actual_cost_(2)7"/>
      <sheetName val="Drop-down_List7"/>
      <sheetName val="by_DD7"/>
      <sheetName val="Check_Qualidade6"/>
      <sheetName val="Check_Aderencia6"/>
      <sheetName val="De_Para7"/>
      <sheetName val="Base_Farol6"/>
      <sheetName val="Gerencial_IL6"/>
      <sheetName val="Ventas_Campo6"/>
      <sheetName val="ACTOS_POR_RIESGO6"/>
      <sheetName val="drop_lists6"/>
      <sheetName val="MRL_NON_SUPPLY_URU6"/>
      <sheetName val="AIIM_-_Empresas_Ext_20126"/>
      <sheetName val="KPIs_Hana6"/>
      <sheetName val="Catalago_de_refacciones_6"/>
      <sheetName val="Existencias_al_07-Nov-20126"/>
      <sheetName val="Check_GG6"/>
      <sheetName val="Nombre_de_SOP6"/>
      <sheetName val="Ta_6"/>
      <sheetName val="2__Indicadores6"/>
      <sheetName val="부재료_비교(11년_vs_10년)6"/>
      <sheetName val="_손익기01_XL_x005f_x0000__x06"/>
      <sheetName val="Lista_de_Entrenamientos_RSO6"/>
      <sheetName val="Tablero_SDG9"/>
      <sheetName val="Lista_Areas9"/>
      <sheetName val="One_Page9"/>
      <sheetName val="Sub-Productos_HN7"/>
      <sheetName val="Eficiencia_linea6"/>
      <sheetName val="_mngt_Pillar6"/>
      <sheetName val="Sheet3_(2)6"/>
      <sheetName val="요일_테이블_6"/>
      <sheetName val="Sheet2_(2)6"/>
      <sheetName val="Lao_&amp;_Cam6"/>
      <sheetName val="Hoegaarden_20196"/>
      <sheetName val="Lao_&amp;_Cam_20196"/>
      <sheetName val="Malaysia_20196"/>
      <sheetName val="Singapore_20196"/>
      <sheetName val="Other_Listings6"/>
      <sheetName val="Pauta_RPS_Distribuição5"/>
      <sheetName val="Estoque_(2)5"/>
      <sheetName val="Comp_Inseguros5"/>
      <sheetName val="BNR_2012_в_ящике5"/>
      <sheetName val="DATOS_DE_VALIDACIÓN5"/>
      <sheetName val="Datos_con5"/>
      <sheetName val="_Datos_Cond_5"/>
      <sheetName val="DO_NOT_MOVE5"/>
      <sheetName val="INGRESO_(2)5"/>
      <sheetName val="PG-K1610_(UEN_Areas)MNG5"/>
      <sheetName val="DATOS_GEN_5"/>
      <sheetName val="NUEVOS_CRITERIOS5"/>
      <sheetName val="Condiciones_Agua5"/>
      <sheetName val="Dropdown_list4"/>
      <sheetName val="FX_Rates4"/>
      <sheetName val="Vagas_x_Candidatos4"/>
      <sheetName val="__한국_AMP_ASP-23_판㧤가격__4"/>
      <sheetName val="11_䡸화채무줝ⴌ(AFS,HTM)084"/>
      <sheetName val="Drop_list4"/>
      <sheetName val="Proced_4"/>
      <sheetName val="Control_de_Fallas4"/>
      <sheetName val="Setup_for_Templates4"/>
      <sheetName val="Datos_emp4"/>
      <sheetName val="TIPO_DE_ACTO4"/>
      <sheetName val="%_cumplimiento_4"/>
      <sheetName val="%_CUMPLIMIENTO4"/>
      <sheetName val="Listas_y_equipos_a_evaluar4"/>
      <sheetName val="CRITICIDAD_DE_CI4"/>
      <sheetName val="Catálogo_de_CI4"/>
      <sheetName val="Data_Reporte4"/>
      <sheetName val="Read_me4"/>
      <sheetName val="Validation_lists4"/>
      <sheetName val="Cut_Machine_Summary4"/>
      <sheetName val="Daily_Dashboard4"/>
      <sheetName val="Champions_List3"/>
      <sheetName val="NAZ_Strategy2"/>
      <sheetName val="CALIFICACIONES_20192"/>
      <sheetName val="Lev_4_360_deg_check_Crit_Task2"/>
      <sheetName val="Lev_4_Chk_IC_Stock_Crit_Task2"/>
      <sheetName val="Lev_4_WMS_Putaway_Crit_Task2"/>
      <sheetName val="Brand_P&amp;L2"/>
      <sheetName val="Data_selection2"/>
      <sheetName val="1_2"/>
      <sheetName val="Customer_&amp;_SO2"/>
      <sheetName val="Session_Proposal2"/>
      <sheetName val="Análise_Tempos1"/>
      <sheetName val="Validação_de_Dados1"/>
      <sheetName val="No_llenar_1"/>
      <sheetName val="PDA_BOP1"/>
      <sheetName val="Incentivo_Automóvil1"/>
      <sheetName val="PROCESS_MD1"/>
      <sheetName val="Lista_de_Motivos1"/>
      <sheetName val="Ponto_Crítico_-_Resp__Plano1"/>
      <sheetName val="Lista_Funcionários_(2)1"/>
      <sheetName val="PAINEL_RECOLHA_CRÉDITO1"/>
      <sheetName val="Gráficos_-_CDD1"/>
      <sheetName val="데이터유효성목록"/>
      <sheetName val="control sheet"/>
      <sheetName val="대환취급"/>
      <sheetName val="SS20"/>
      <sheetName val="SS10"/>
      <sheetName val="건축갑지"/>
      <sheetName val="건축내역서"/>
      <sheetName val="견적보고서"/>
      <sheetName val="파일의이용"/>
      <sheetName val="_x005f_x0000_"/>
      <sheetName val="기타수지&amp;특별손익_ﹴÕ"/>
      <sheetName val="토공(우물통,기타) "/>
      <sheetName val="Macro3"/>
      <sheetName val="6F8"/>
      <sheetName val="생산"/>
      <sheetName val="단가조사표"/>
      <sheetName val="원가관리_(동월대-_x0000_Ԁ"/>
      <sheetName val="국내_x0000__x0000_"/>
      <sheetName val="STRAT_PLAN_WKSHT1"/>
      <sheetName val="Sales_Plan_&amp;_other1"/>
      <sheetName val="drop_downs"/>
      <sheetName val="Basic_Information"/>
      <sheetName val="산자사_운전용품"/>
      <sheetName val="업무_분류(Category)"/>
      <sheetName val="3_일반사상"/>
      <sheetName val="Exchange_rate"/>
      <sheetName val="#1_Basic"/>
      <sheetName val="지급제한자"/>
      <sheetName val="수량산출서 (2)"/>
      <sheetName val="Project Count"/>
      <sheetName val="Index1"/>
      <sheetName val="손익계산서"/>
      <sheetName val="대구은행"/>
      <sheetName val="원재료"/>
      <sheetName val="비품"/>
      <sheetName val="PF 현황(11년12월)"/>
      <sheetName val="Sensitivity and GC Value"/>
      <sheetName val="지급어음"/>
      <sheetName val="중속정보"/>
      <sheetName val="실행예산SHEET도장재검토"/>
      <sheetName val="0901"/>
      <sheetName val="식문화"/>
      <sheetName val="SRS 월별 BS"/>
      <sheetName val="SRS"/>
      <sheetName val="중기매출"/>
      <sheetName val="제조비(신청)"/>
      <sheetName val="경쟁사생산량추이"/>
      <sheetName val="12매출실적Copy"/>
      <sheetName val="매출액"/>
      <sheetName val="경영현황"/>
      <sheetName val="4월실적"/>
      <sheetName val="C"/>
      <sheetName val="평가&amp;선급.미지급"/>
      <sheetName val="지질조사"/>
      <sheetName val="07년10~12월"/>
      <sheetName val="EXC IND"/>
      <sheetName val="SRS_월별_BS"/>
      <sheetName val="평가&amp;선급_미지급"/>
      <sheetName val="COLOR별 인쇄"/>
      <sheetName val="일정표"/>
      <sheetName val="FED"/>
      <sheetName val="급여인상효과-연간부담분"/>
      <sheetName val="Mot So Thuat Ngu EN-VI"/>
      <sheetName val="Mot_So_Thuat_Ngu_EN-VI"/>
      <sheetName val="오스피셔스제사차"/>
      <sheetName val="공종별집계"/>
      <sheetName val="공기연장현황"/>
      <sheetName val="_x005f_x005f_x005f_x005f_x005f_x005f_x005f_x0018__x005f"/>
      <sheetName val="_x005f_x005f_x005f_x0018__"/>
      <sheetName val="무형자산 LS11"/>
      <sheetName val="Global"/>
      <sheetName val="3.공통공사대비"/>
      <sheetName val="2002년12월"/>
      <sheetName val="현장관리비 산출내역"/>
      <sheetName val="일일투입집계표"/>
      <sheetName val="평가데이터"/>
      <sheetName val="001"/>
      <sheetName val="노원열병합  건축공사기성내역서"/>
      <sheetName val="7_공사비집"/>
      <sheetName val="증감내역서"/>
      <sheetName val="FAB별"/>
      <sheetName val="__Dscljh_c_EXCEL________1_96__2"/>
      <sheetName val="tifico"/>
      <sheetName val="합산목표(감가+5_x0000__x0000_Ԁ_x0000_䀀"/>
      <sheetName val="_Cash_Flow(자_x0000__x0000_"/>
      <sheetName val="간접비"/>
      <sheetName val="6PILE__(Y_x0000__x0000_"/>
      <sheetName val="6PILE__(剙_x0010__x0000_"/>
      <sheetName val="입찰내역 _x0000__x0000__x0000__x0001_Ԁ_x0000_"/>
      <sheetName val="상반기손익차2총괄"/>
      <sheetName val="master(ZH)"/>
      <sheetName val="91"/>
      <sheetName val="생산1-2"/>
      <sheetName val="생산1-1"/>
      <sheetName val="매출계획"/>
      <sheetName val="품의서개정(갑)"/>
      <sheetName val="10.예산 및 원가 계획(02년)"/>
      <sheetName val="2_주요계수총괄3"/>
      <sheetName val="Project_Brief3"/>
      <sheetName val="P_M_별4"/>
      <sheetName val="단면_(2)3"/>
      <sheetName val="Facility_Information3"/>
      <sheetName val="1_본사계정별3"/>
      <sheetName val="전선_및_전선관2"/>
      <sheetName val="Utility_Usage_YTN_TOWER2"/>
      <sheetName val="118_세금과공과3"/>
      <sheetName val="Back_Data_13"/>
      <sheetName val="_견적서2"/>
      <sheetName val="해외_기술훈련비_(합계)3"/>
      <sheetName val="1월_예산2"/>
      <sheetName val="#1)_투자_구분2"/>
      <sheetName val="B-1_기본정보2"/>
      <sheetName val="설문_평가2"/>
      <sheetName val="대투_보관자료_변경2"/>
      <sheetName val="실행기성_갑지2"/>
      <sheetName val="Eq__Mobilization1"/>
      <sheetName val="날개수량1_51"/>
      <sheetName val="G_R300경비1"/>
      <sheetName val="AS포장복구_1"/>
      <sheetName val="설_계1"/>
      <sheetName val="준검_내역서1"/>
      <sheetName val="2013_2월_연결대상2"/>
      <sheetName val="조도계산서_(도서)1"/>
      <sheetName val="F_월별기성수금현황_1"/>
      <sheetName val="수량산출서_갑지1"/>
      <sheetName val="외주현황_wq12"/>
      <sheetName val="KEY_CODE2"/>
      <sheetName val="6월_공嚺㓶가1"/>
      <sheetName val="Rev__Recon_11"/>
      <sheetName val="1_고객불만건수1"/>
      <sheetName val="1_변경범위1"/>
      <sheetName val="2-1_강사료,교통비_지급명세2"/>
      <sheetName val="13_포장용역비표준2"/>
      <sheetName val="9_가공부자재표준2"/>
      <sheetName val="8_ROLL표준(TSW)2"/>
      <sheetName val="4_톤당조관량표준2"/>
      <sheetName val="5_조관부자재표준2"/>
      <sheetName val="1__작성방식1"/>
      <sheetName val="2-2_투자2"/>
      <sheetName val="Proj__Fin_2"/>
      <sheetName val="ITS_Assumptions1"/>
      <sheetName val="Master_Data1"/>
      <sheetName val="HQ_급여_1"/>
      <sheetName val="OF_급여1"/>
      <sheetName val="F_Ma급여1"/>
      <sheetName val="SMT_급여1"/>
      <sheetName val="QC_급여1"/>
      <sheetName val="Sam_sung_급여1"/>
      <sheetName val="Dlock_급여1"/>
      <sheetName val="_thôi_việc_급여1"/>
      <sheetName val="Công_smt1"/>
      <sheetName val="Công_smt_(2)1"/>
      <sheetName val="Detail_smt1"/>
      <sheetName val="Công_QC1"/>
      <sheetName val="Detail_QC_1"/>
      <sheetName val="Công_SS1"/>
      <sheetName val="Detail_SS1"/>
      <sheetName val="Công_FMa1"/>
      <sheetName val="Detail_FMa1"/>
      <sheetName val="Công_OF1"/>
      <sheetName val="Detail_OF1"/>
      <sheetName val="Công_Dlock1"/>
      <sheetName val="Detail_Dlock1"/>
      <sheetName val="Công_thôi_việc1"/>
      <sheetName val="Detail_thôi1"/>
      <sheetName val="7_Utility_Analysis1"/>
      <sheetName val="Operational_Activities1"/>
      <sheetName val="C1_3_11"/>
      <sheetName val="기초정보_코드1"/>
      <sheetName val="A(Rev_3)1"/>
      <sheetName val="표)CFT장_조직별_배분1"/>
      <sheetName val="20180214_P&amp;T1"/>
      <sheetName val="Ref__중점_추진_과제별_상세1"/>
      <sheetName val="2_6_三无_(2)1"/>
      <sheetName val="Worker_List1"/>
      <sheetName val="GB-IC_Villingen_GG1"/>
      <sheetName val="1~9_하중계산"/>
      <sheetName val="504전기실Ԁ"/>
      <sheetName val="BSD_(2)"/>
      <sheetName val="시스템_개요_유효값"/>
      <sheetName val="전기요금_산출내역"/>
      <sheetName val="TOWER_12TON"/>
      <sheetName val="TOWER_10TON"/>
      <sheetName val="JIB_CRANE,HOIST"/>
      <sheetName val="_x005f_x0000__㴐ኰ"/>
      <sheetName val="_x005f_x0000__움ᕕ"/>
      <sheetName val="2_실행ﶻ"/>
      <sheetName val="집계확_x0000_"/>
      <sheetName val="신당동집계표"/>
      <sheetName val="입찰내역 _x0000_⊍_x0000__x0000_∀的"/>
      <sheetName val="원가관리_(동월대-"/>
      <sheetName val="OUTER_A՜"/>
      <sheetName val="자금_제"/>
      <sheetName val="공통부대비"/>
      <sheetName val="체신주조서"/>
      <sheetName val="단면치수"/>
      <sheetName val="2.FM Fee_2차년도"/>
      <sheetName val="3.감가장비"/>
      <sheetName val="1711월"/>
      <sheetName val="OH _x000f__x0000__x000c__x0000__x0006__x0000__x0005__x0000__x000c__x0000_"/>
      <sheetName val="_x0000__x0004__x0000__x0002__x0000__x0002__x0000__x0005__x0000__x0008__x0000_"/>
      <sheetName val="ࠀ฀က฀Ԁ"/>
      <sheetName val="OH _x000f_"/>
      <sheetName val="____"/>
      <sheetName val="Ref. Spec Review 양식"/>
      <sheetName val="Ref. 시험항목 테이블"/>
      <sheetName val="Ref. Search Result 테이블"/>
      <sheetName val="견적서"/>
      <sheetName val="통က_x0000_"/>
      <sheetName val="이자"/>
      <sheetName val="1.설계기준"/>
      <sheetName val="첨부1-2. 증감사유내역서(을)"/>
      <sheetName val="총 원가계산"/>
      <sheetName val="유효성 목록"/>
      <sheetName val="드롭다운(수정금지)"/>
      <sheetName val="식재총괄"/>
      <sheetName val="공사"/>
      <sheetName val="제조원가_원단ၒ_x0000__x0000__x0000_"/>
      <sheetName val="제조원가_원단_x0010__x0000_༘֜"/>
      <sheetName val="제조원가_원단_x0000_ī_x0000_"/>
      <sheetName val="단가산출서"/>
      <sheetName val="조도"/>
      <sheetName val="설계내역양식"/>
      <sheetName val="물가대비표"/>
      <sheetName val="ALK_Chi tiết công nợ"/>
      <sheetName val="Parem"/>
      <sheetName val="CHITIET VL-NC-TT1p"/>
      <sheetName val="TONGKE3p"/>
      <sheetName val="골조"/>
      <sheetName val="4월25일실행"/>
      <sheetName val="경계석,골재외 (2)"/>
      <sheetName val="참고3.DATA"/>
      <sheetName val="공통비"/>
      <sheetName val="P-J"/>
      <sheetName val="本月预计"/>
      <sheetName val="1)추진현황"/>
      <sheetName val="매출회전"/>
      <sheetName val="TMPA"/>
      <sheetName val="소방사항"/>
      <sheetName val="방배2E"/>
      <sheetName val="_x005f_x0000__"/>
      <sheetName val="1.설계조건"/>
      <sheetName val="경상직원"/>
      <sheetName val="504전기실"/>
      <sheetName val="철거공사1"/>
      <sheetName val="Planilha_relts??eos7"/>
      <sheetName val="제조원가_원단_x0000_좏_x0000__x0000_"/>
      <sheetName val="제조원가_원단_x0000_泀_x0000__x0000_"/>
      <sheetName val="Menu_Link"/>
      <sheetName val="간접경상비"/>
      <sheetName val="23기-3분기결산PL"/>
      <sheetName val="경영비율 "/>
      <sheetName val="계정정보"/>
      <sheetName val="기준정보基准信息参考"/>
      <sheetName val="FORM4"/>
      <sheetName val="FORM1"/>
      <sheetName val="FORM2"/>
      <sheetName val="FORM3"/>
      <sheetName val="FORM5"/>
      <sheetName val="FORM10"/>
      <sheetName val="FORM15"/>
      <sheetName val="FORM16"/>
      <sheetName val="4월 매출"/>
      <sheetName val="2005조관부자재표준"/>
      <sheetName val="2005공정별직접노무비표준"/>
      <sheetName val="2005공정별전력비표준"/>
      <sheetName val="2005도금부자재표준"/>
      <sheetName val="2005톤당조관량표준"/>
      <sheetName val="2005인발표준"/>
      <sheetName val="Stop"/>
      <sheetName val="Accueil"/>
      <sheetName val="C61X-BOM"/>
      <sheetName val="Sheet16"/>
      <sheetName val="B05"/>
      <sheetName val="B07"/>
      <sheetName val="A02"/>
      <sheetName val="A04"/>
      <sheetName val="A13"/>
      <sheetName val="B08"/>
      <sheetName val="B10"/>
      <sheetName val="공사비지급"/>
      <sheetName val="SPT vs PHI"/>
      <sheetName val="main"/>
      <sheetName val="무역한도관리"/>
      <sheetName val="STRAT_PLAN_WKSHT2"/>
      <sheetName val="Sales_Plan_&amp;_other2"/>
      <sheetName val="drop_downs1"/>
      <sheetName val="구분_Table"/>
      <sheetName val="역T형옹벽(3_0)"/>
      <sheetName val="외상매출금현황-수정분_A2"/>
      <sheetName val="Project_Count"/>
      <sheetName val="control_sheet"/>
      <sheetName val="PF_현황(11년12월)"/>
      <sheetName val="Diesel_Price_"/>
      <sheetName val="진행_DATA_(2)"/>
      <sheetName val="견적_맵"/>
      <sheetName val="업무분장_"/>
      <sheetName val="7300-1000_111"/>
      <sheetName val="PJT_현황"/>
      <sheetName val="참고)_기준정보"/>
      <sheetName val="Long_Term_Prices"/>
      <sheetName val="문의내용_카테고리_분류(수정X)"/>
      <sheetName val="Sensitivity_and_GC_Value"/>
      <sheetName val="사업단위"/>
      <sheetName val="품목리스트"/>
      <sheetName val="Insight MTD QTD YTD DATA"/>
      <sheetName val="Working (PivotTable)"/>
      <sheetName val="Essbase (53 Weeks)"/>
      <sheetName val="Essbase (52 Weeks)"/>
      <sheetName val="Store Listing"/>
      <sheetName val="COMP Working"/>
      <sheetName val="Q1"/>
      <sheetName val="Q2"/>
      <sheetName val="Q3"/>
      <sheetName val="COMP LLY Working"/>
      <sheetName val="주주명부&lt;끝&gt;"/>
      <sheetName val="지역개발"/>
      <sheetName val="매입매출(입력)"/>
      <sheetName val="상표권"/>
      <sheetName val="기본사항"/>
      <sheetName val="20년 동일기간 소테마"/>
      <sheetName val="PH 5"/>
      <sheetName val="bar chart-rev"/>
      <sheetName val="연결조정사항(2019)"/>
      <sheetName val="TLoss"/>
      <sheetName val="0304"/>
      <sheetName val="예총"/>
      <sheetName val="Bank_code1"/>
      <sheetName val="Drop-down_RAW1"/>
      <sheetName val="Basic_Information1"/>
      <sheetName val="Exchange_rate1"/>
      <sheetName val="NG_Item"/>
      <sheetName val="Ref__Spec_Review_양식"/>
      <sheetName val="Ref__시험항목_테이블"/>
      <sheetName val="Ref__Search_Result_테이블"/>
      <sheetName val="07.01"/>
      <sheetName val="1__작성방식2"/>
      <sheetName val="표)CFT장_조직별_배분2"/>
      <sheetName val="20180214_P&amp;T2"/>
      <sheetName val="Ref__중점_추진_과제별_상세2"/>
      <sheetName val="Bank_code2"/>
      <sheetName val="Drop-down_RAW2"/>
      <sheetName val="Basic_Information2"/>
      <sheetName val="Exchange_rate2"/>
      <sheetName val="진행_DATA_(2)1"/>
      <sheetName val="Ref__Spec_Review_양식1"/>
      <sheetName val="Ref__시험항목_테이블1"/>
      <sheetName val="Ref__Search_Result_테이블1"/>
      <sheetName val="NG_Item1"/>
      <sheetName val="보고서_표1"/>
      <sheetName val="0__가정_및_결론1"/>
      <sheetName val="1__투자비1"/>
      <sheetName val="2__Rent-roll1"/>
      <sheetName val="3__Funding1"/>
      <sheetName val="4__운영수익1"/>
      <sheetName val="5__운영비용1"/>
      <sheetName val="6_1_N+1년차_NOI_산정1"/>
      <sheetName val="6__부동산매각1"/>
      <sheetName val="7__보유세1"/>
      <sheetName val="8__교통유발부담금1"/>
      <sheetName val="9__BS부속1"/>
      <sheetName val="10__CF(M)1"/>
      <sheetName val="11__IS(M)1"/>
      <sheetName val="12__BS(M)1"/>
      <sheetName val="14__IS(FY)1"/>
      <sheetName val="13__CF(FY)1"/>
      <sheetName val="15__BS(FY)1"/>
      <sheetName val="16__RE(FY)1"/>
      <sheetName val="4_1_월별_에너지_사용량1"/>
      <sheetName val="TOWER_12TON1"/>
      <sheetName val="TOWER_10TON1"/>
      <sheetName val="JIB_CRANE,HOIST1"/>
      <sheetName val="M&amp;Q_Lead1"/>
      <sheetName val="sum"/>
      <sheetName val="OH_"/>
      <sheetName val="경영비율_"/>
      <sheetName val="Dropbox_목록"/>
      <sheetName val="inter"/>
      <sheetName val="UPA(Part C,D,E,G,H)"/>
      <sheetName val="UPA(Part F)"/>
      <sheetName val="Materials"/>
      <sheetName val="일위대가 (Part C,D,E,G,H)"/>
      <sheetName val="Insulation_Utl_Off"/>
      <sheetName val="Note_Piping"/>
      <sheetName val="실행"/>
      <sheetName val="1_종합손익(주택,绘ÿ헾⽊"/>
      <sheetName val="sum "/>
      <sheetName val="암거날개벽"/>
      <sheetName val="Ⅴ-2.공종별내역"/>
      <sheetName val="카테고리 분류 (수정X)"/>
      <sheetName val="퇴직사유"/>
      <sheetName val="변동률산출"/>
      <sheetName val="완성차 미수금"/>
      <sheetName val="504전기실__x0000_Ԁ_x0000_"/>
      <sheetName val="504전기실__x0000_Ԁ_x0000_က"/>
      <sheetName val="합산목표(감가+5"/>
      <sheetName val="견적 (2)"/>
      <sheetName val="ITB COST"/>
      <sheetName val="类别"/>
      <sheetName val="(실사조정)총괄"/>
      <sheetName val="T13(P68~72,78)"/>
      <sheetName val="PAD_TR보호대기초3"/>
      <sheetName val="1__시공측량3"/>
      <sheetName val="근거_및_가정3"/>
      <sheetName val="설산1_나3"/>
      <sheetName val="1_차입금3"/>
      <sheetName val="수종별수량_(2)3"/>
      <sheetName val="납부내역총괄표_(수정)3"/>
      <sheetName val="부대시행1_(2)3"/>
      <sheetName val="3_6_2남양주택배3"/>
      <sheetName val="Weekly_Progress(계장)3"/>
      <sheetName val="입찰내역_Ĉ1"/>
      <sheetName val="1_수인터널1"/>
      <sheetName val="NCR_HEC_6_Opens"/>
      <sheetName val="NCR_HEC_4_Open_&amp;_Vendor_2_Opens"/>
      <sheetName val="JT3_0견적-구1"/>
      <sheetName val="방배동내역_(총괄)"/>
      <sheetName val="직종부호"/>
      <sheetName val="CERTIFICATE"/>
      <sheetName val="▶ 일일출역 집계_20210819143316"/>
      <sheetName val="기본값"/>
      <sheetName val="F4-F7"/>
      <sheetName val="Supplement2"/>
      <sheetName val="3.판관비명세서"/>
      <sheetName val="단기대여금"/>
      <sheetName val="장기대여금"/>
      <sheetName val="운영경비 세부작성근거"/>
      <sheetName val="목차 "/>
      <sheetName val="0. 물류비집계 rev1"/>
      <sheetName val="0. 물류비 집계"/>
      <sheetName val="(1-2) 국내 구간별 운송 견적 1"/>
      <sheetName val="(1-1) 국내 구간별 운송 실적  (2)"/>
      <sheetName val="(1) 국내 사이트 상세 주소 "/>
      <sheetName val="수입 건수 정리"/>
      <sheetName val="(2-1) 수출 해상 (LCL) "/>
      <sheetName val="(2-2) 수출 항공 "/>
      <sheetName val="(2-4) 수출 내륙 운송료"/>
      <sheetName val="(3-1) 수입 해상 (FCL)"/>
      <sheetName val="(3-2) 수입 해상 (LCL) "/>
      <sheetName val="(3-3) 수입 항공 "/>
      <sheetName val="(3-5) 수입 내륙 운송료"/>
      <sheetName val="물류비"/>
      <sheetName val="운송내역 "/>
      <sheetName val="⑤항목별2"/>
      <sheetName val="산출기준(파견전산실)"/>
      <sheetName val="보빈규격"/>
      <sheetName val="__한국_AMP_ASP-23_판매가격_롟"/>
      <sheetName val="기타코드"/>
      <sheetName val="2014"/>
      <sheetName val="2018"/>
      <sheetName val="유림콘도"/>
      <sheetName val="97노임단가"/>
      <sheetName val="입력란"/>
      <sheetName val="자료입력"/>
      <sheetName val="504전기실_Ç"/>
      <sheetName val="종합표양식(품의좲_xdd02_쒥⠀쮎_x001d__x0000__x0000_"/>
      <sheetName val="제조원가_원단_x0000_ǻ_x0000_"/>
      <sheetName val="입찰내역 "/>
      <sheetName val="통က"/>
      <sheetName val="제조원가_원단"/>
      <sheetName val="제조원가_원단_x0010_"/>
      <sheetName val="2)단가비교표"/>
      <sheetName val="SHEET"/>
      <sheetName val="Process Li"/>
      <sheetName val="토지조서(원본)"/>
      <sheetName val="경영혁신본부"/>
      <sheetName val="CD-실적"/>
      <sheetName val="MTP1"/>
      <sheetName val="토지평가조서(발송용)"/>
      <sheetName val="anaysis_sheet"/>
      <sheetName val="주관사업"/>
      <sheetName val="4Q주석"/>
      <sheetName val="BS준비"/>
      <sheetName val="7 _2_"/>
      <sheetName val="ALL"/>
      <sheetName val="LIDE"/>
      <sheetName val="7__2_"/>
      <sheetName val="부서실적"/>
      <sheetName val="xSeries255"/>
      <sheetName val="매출_비용"/>
      <sheetName val="조립지적"/>
      <sheetName val="1st"/>
      <sheetName val="krsec08"/>
      <sheetName val="Report Setup"/>
      <sheetName val="마력및원가표"/>
      <sheetName val="지성학원"/>
      <sheetName val="손익합산"/>
      <sheetName val="특정현금과예금"/>
      <sheetName val="현금과예금"/>
      <sheetName val="OWNER-1 (2)"/>
      <sheetName val="Sheet7"/>
      <sheetName val="유예기간"/>
      <sheetName val="07수주상세"/>
      <sheetName val="생산대일정"/>
      <sheetName val="pre-inv"/>
      <sheetName val="보조부문비배부"/>
      <sheetName val="1월말"/>
      <sheetName val="고객만족도 향상"/>
      <sheetName val="ScraRework"/>
      <sheetName val="생산계획"/>
      <sheetName val="판매계획"/>
      <sheetName val="IS_KGAAP"/>
      <sheetName val="통일"/>
      <sheetName val="3-3"/>
      <sheetName val="산출데이타(a)"/>
      <sheetName val="02"/>
      <sheetName val="3"/>
      <sheetName val="4"/>
      <sheetName val="08"/>
      <sheetName val="월확9601"/>
      <sheetName val="가격조사서"/>
      <sheetName val="108.수선비"/>
      <sheetName val="7__2_1"/>
      <sheetName val="Report_Setup"/>
      <sheetName val="OWNER-1_(2)"/>
      <sheetName val="MethodB"/>
      <sheetName val="제조부문배부"/>
      <sheetName val="자재코드"/>
      <sheetName val="DX220LC_M-BOM"/>
      <sheetName val="MethodC"/>
      <sheetName val="S225NLC-V"/>
      <sheetName val="S300V-MBOM"/>
      <sheetName val="WELDING"/>
      <sheetName val="프로젝트_LIST"/>
      <sheetName val="공정불량LIST"/>
      <sheetName val="입고단가기준"/>
      <sheetName val="7__2_2"/>
      <sheetName val="Report_Setup1"/>
      <sheetName val="#1_Basic1"/>
      <sheetName val="OWNER-1_(2)1"/>
      <sheetName val="BS준비.XLS"/>
      <sheetName val="BS%EC%A4%80%EB%B9%84.XLS"/>
      <sheetName val="ITEM-LIST"/>
      <sheetName val="출자한도"/>
      <sheetName val="기초데이타"/>
      <sheetName val="품의"/>
      <sheetName val="동해title"/>
      <sheetName val="3210이연법인세"/>
      <sheetName val="0212"/>
      <sheetName val="comm"/>
      <sheetName val="리드"/>
      <sheetName val="CashFlow(중간집계)"/>
      <sheetName val="현재"/>
      <sheetName val="퇴직금추계(04.9.30)"/>
      <sheetName val="세율등"/>
      <sheetName val="1.경제설계"/>
      <sheetName val="해외생산"/>
      <sheetName val="경수97.02"/>
      <sheetName val="업무분장(현행)"/>
      <sheetName val="현금명세"/>
      <sheetName val="1995년 섹터별 매출"/>
      <sheetName val="현금및현금등가물"/>
      <sheetName val="GA"/>
      <sheetName val="서울(안)"/>
      <sheetName val="Lead"/>
      <sheetName val="Links"/>
      <sheetName val="실적분석"/>
      <sheetName val="SALE&amp;COST"/>
      <sheetName val="44-2Q 주석.xlsx"/>
      <sheetName val="고상실행"/>
      <sheetName val="MCS"/>
      <sheetName val="종합표"/>
      <sheetName val="팀_업체별 월기성실적"/>
      <sheetName val="팀_업체별 시공의뢰"/>
      <sheetName val="Discipline별"/>
      <sheetName val="수정추가"/>
      <sheetName val="호선별"/>
      <sheetName val="업체별_기능별"/>
      <sheetName val="참고용(시공)"/>
      <sheetName val="참고용(실적)"/>
      <sheetName val="월별인력"/>
      <sheetName val="손익계산서(전사)"/>
      <sheetName val="xxxxxx"/>
      <sheetName val="A(1)"/>
      <sheetName val="A (3)"/>
      <sheetName val="2공구산출내역"/>
      <sheetName val="회사제시BS"/>
      <sheetName val="대차대조"/>
      <sheetName val="DL08 DF 모드"/>
      <sheetName val="CRITERIA1"/>
      <sheetName val="CRITERIA2"/>
      <sheetName val="CRITERIA3"/>
      <sheetName val="재료비_매출원가"/>
      <sheetName val="견적구분"/>
      <sheetName val="99금액"/>
      <sheetName val="원지 수급가"/>
      <sheetName val="현금경비중역"/>
      <sheetName val="2.상각보정명세"/>
      <sheetName val="현금흐름Ⅰ"/>
      <sheetName val="Table_K7"/>
      <sheetName val="부재료입고집계"/>
      <sheetName val="YOEMAGUM"/>
      <sheetName val="다목적갑"/>
      <sheetName val="Warranty"/>
      <sheetName val="4b Consolidated PL"/>
      <sheetName val="C200"/>
      <sheetName val="TT List"/>
      <sheetName val="실행내역서 "/>
      <sheetName val="KEBHANA(평균환율)"/>
      <sheetName val="SAP 검증(평균환율)"/>
      <sheetName val="KEBHANA(월말환율)"/>
      <sheetName val="SAP 검증(월말환율)"/>
      <sheetName val="환율"/>
      <sheetName val="작성방법"/>
      <sheetName val="전분기말 정산표(PQE)"/>
      <sheetName val="전년동기 정산표"/>
      <sheetName val="전기말 정산표(PYE)"/>
      <sheetName val="당기말 정산표(CPE)"/>
      <sheetName val="회사명"/>
      <sheetName val="목차(Contents)"/>
      <sheetName val="연결정산표"/>
      <sheetName val="범주별"/>
      <sheetName val="A01-1"/>
      <sheetName val="A01-2"/>
      <sheetName val="A01-3"/>
      <sheetName val="A01-3 조정내역"/>
      <sheetName val="A01-3 단순합산"/>
      <sheetName val="현금등"/>
      <sheetName val="A02-1"/>
      <sheetName val="A02-2"/>
      <sheetName val="CF_refer"/>
      <sheetName val="매출채권 및 금융자산"/>
      <sheetName val="A03-1"/>
      <sheetName val="A03-2"/>
      <sheetName val="A03-3"/>
      <sheetName val="A03-3 연결조정"/>
      <sheetName val="A04-1"/>
      <sheetName val="A04-2"/>
      <sheetName val="A04-3"/>
      <sheetName val="A04-4"/>
      <sheetName val="재고"/>
      <sheetName val="A05"/>
      <sheetName val="기타자산"/>
      <sheetName val="A06"/>
      <sheetName val="유형자산"/>
      <sheetName val="A07"/>
      <sheetName val="A07. 유형자산 차기이월, 미실현"/>
      <sheetName val="A07. 유형자산 감가상각"/>
      <sheetName val="A08"/>
      <sheetName val="A08. 연결 조정"/>
      <sheetName val="A09"/>
      <sheetName val="A09. 연결 조정"/>
      <sheetName val="A10"/>
      <sheetName val="A11"/>
      <sheetName val="차입금(완)"/>
      <sheetName val="B01-1"/>
      <sheetName val="B01-2"/>
      <sheetName val="B01-3"/>
      <sheetName val="B01-4"/>
      <sheetName val="B02"/>
      <sheetName val="B03"/>
      <sheetName val="B01 연결 조정"/>
      <sheetName val="순확정급여부채"/>
      <sheetName val="B04"/>
      <sheetName val="B04-1"/>
      <sheetName val="B04 연결 조정"/>
      <sheetName val="충당,계약부채"/>
      <sheetName val="B05 연결 조정"/>
      <sheetName val="B06"/>
      <sheetName val="납입자본(연결자본변동표 참조 작성)"/>
      <sheetName val="이익잉여금(연결자본변동표 참조 작성)"/>
      <sheetName val="기타포괄손익누계액(연결자본변동표 참조 작성)"/>
      <sheetName val="C01(신)"/>
      <sheetName val="C01(구)"/>
      <sheetName val="C02"/>
      <sheetName val="비용의성격"/>
      <sheetName val="D01-1"/>
      <sheetName val="D01-2"/>
      <sheetName val="D01 연결 조정"/>
      <sheetName val="판관비기타금융"/>
      <sheetName val="D02"/>
      <sheetName val="E01"/>
      <sheetName val="E02"/>
      <sheetName val="F01"/>
      <sheetName val="주당손익(개별파일 작성)"/>
      <sheetName val="우발약정"/>
      <sheetName val="G01"/>
      <sheetName val="G02"/>
      <sheetName val="G03"/>
      <sheetName val="G04"/>
      <sheetName val="특관자"/>
      <sheetName val="H01"/>
      <sheetName val="H02"/>
      <sheetName val="H03"/>
      <sheetName val="H04"/>
      <sheetName val="H05"/>
      <sheetName val="H06"/>
      <sheetName val="위험관리"/>
      <sheetName val="I01"/>
      <sheetName val="I02"/>
      <sheetName val="I03"/>
      <sheetName val="I04-1"/>
      <sheetName val="I04-2(내부거래)"/>
      <sheetName val="I04-3(내부거래)"/>
      <sheetName val="I04-4(내부거래)"/>
      <sheetName val="I04-5(장기리스)"/>
      <sheetName val="I05"/>
      <sheetName val="I06"/>
      <sheetName val="J01"/>
      <sheetName val="J01-1"/>
      <sheetName val="K01"/>
      <sheetName val="K02"/>
      <sheetName val="K03"/>
      <sheetName val="K03-1"/>
      <sheetName val="K04"/>
      <sheetName val=" Drop"/>
      <sheetName val="Quantity"/>
      <sheetName val="TTL"/>
      <sheetName val="L형옹벽"/>
      <sheetName val="물가정보"/>
      <sheetName val="정부노임"/>
      <sheetName val="입찰내역"/>
      <sheetName val="돈암사업"/>
      <sheetName val="_x005f_x005f_x005f_x0018_"/>
      <sheetName val="sum_x0008__x0000_ _x0000__x0006__x0000_"/>
      <sheetName val="슬래?"/>
      <sheetName val="_x005f_x0000__x005f"/>
      <sheetName val="[손익기01_XL_x0000__x0000_DePara10"/>
      <sheetName val="_손익기01_XL_x0000__x0000_DePara10"/>
      <sheetName val="_손익기01_XL_x0000__x05"/>
      <sheetName val="_손익기01_XL_x0000__x4"/>
      <sheetName val="_손익기01_XL_x0000__x5"/>
      <sheetName val="_손익기01_XL_x0000__x6"/>
      <sheetName val="[손익기01_XL_x0000__x0000_DePara11"/>
      <sheetName val="_손익기01_XL_x0000__x0000_DePara11"/>
      <sheetName val="_손익기01_XL_x0000__x06"/>
      <sheetName val="_x0000___x0000__x0000__x0005__x0000_㴐ኰ"/>
      <sheetName val="_x0000___x0000__x0000__x0005__x0000_움ᕕ"/>
      <sheetName val="_x005f_x005f_x005f_x0018__x005f"/>
      <sheetName val="단양 00 아파트-세부내역"/>
      <sheetName val="OH_Cost경비(배부呸2닑"/>
      <sheetName val="수량이동"/>
      <sheetName val="책임준비금"/>
      <sheetName val="CIP"/>
      <sheetName val="SAP_Role"/>
      <sheetName val="cctr"/>
      <sheetName val="계정_H100"/>
      <sheetName val="계정_1000"/>
      <sheetName val="계정_7000"/>
      <sheetName val="계정_8000"/>
      <sheetName val="AP_H100"/>
      <sheetName val="AP_1000"/>
      <sheetName val="AP_7000"/>
      <sheetName val="AP_8000"/>
      <sheetName val="Rate Analysis"/>
      <sheetName val="EE-PROP"/>
      <sheetName val="집계표(OPTION)"/>
      <sheetName val="일위"/>
      <sheetName val="96보완계획7.12"/>
      <sheetName val="시공비2"/>
      <sheetName val="DOOR"/>
      <sheetName val="STEEL"/>
      <sheetName val="비교표"/>
      <sheetName val="예산표 "/>
      <sheetName val="시공비"/>
      <sheetName val="M-UP"/>
      <sheetName val="상주비"/>
      <sheetName val="특수"/>
      <sheetName val="GLASS"/>
      <sheetName val="GRANITE"/>
      <sheetName val="PAINT (2)"/>
      <sheetName val="VOLUMN"/>
      <sheetName val="물량표 (2)"/>
      <sheetName val="MOCK-UP"/>
      <sheetName val="1) MALL"/>
      <sheetName val="DRUM"/>
      <sheetName val="장비명"/>
      <sheetName val="Ext. Stone-P"/>
      <sheetName val="원형1호맨홀토공수량"/>
      <sheetName val="본사공가현황"/>
      <sheetName val="영업보증금"/>
      <sheetName val="SS215065"/>
      <sheetName val="3_ReasonCode"/>
      <sheetName val="_손익기01.XL_x005f_x0000__x005f_x005f_x0"/>
      <sheetName val="pp"/>
      <sheetName val="YTD_Summary20"/>
      <sheetName val="Month_Summary20"/>
      <sheetName val="Trial_Balance_MAY_200920"/>
      <sheetName val="TB_Pivot20"/>
      <sheetName val="total_per_LB_LB220"/>
      <sheetName val="Trial_Balance_Vlookup20"/>
      <sheetName val="Trial_Balance_APRIL_200920"/>
      <sheetName val="TO_Data_Base21"/>
      <sheetName val="Roll_Out_AQ20"/>
      <sheetName val="Evolução_mandamentos20"/>
      <sheetName val="Planilha_resultados19"/>
      <sheetName val="Historico_200319"/>
      <sheetName val="Sig_Cycles_Accts_&amp;_Processes19"/>
      <sheetName val="Fixed_ZBB13"/>
      <sheetName val="3_ISo_YTD13"/>
      <sheetName val="E_法规NC13"/>
      <sheetName val="Données_LMU13"/>
      <sheetName val="Brazil_Sovereign13"/>
      <sheetName val="Resumen_Costo13"/>
      <sheetName val="Extract_Loss13"/>
      <sheetName val="QA_跟踪记录表13"/>
      <sheetName val="5_113"/>
      <sheetName val="Como_Estamos13"/>
      <sheetName val="Base_de_Dados13"/>
      <sheetName val="RG_Depots13"/>
      <sheetName val="material_data13"/>
      <sheetName val="other_data13"/>
      <sheetName val="Database_(RUR)Mar_YTD13"/>
      <sheetName val="SKU_Mapping13"/>
      <sheetName val="Drop_Down13"/>
      <sheetName val="Raw_Data13"/>
      <sheetName val="EBM-2_GHQ13"/>
      <sheetName val="Base_PEF14"/>
      <sheetName val="Testing_Template_Guidance13"/>
      <sheetName val="Test_Programs13"/>
      <sheetName val="Controls_data15"/>
      <sheetName val="Dados_BLP13"/>
      <sheetName val="ARdistr_(2)13"/>
      <sheetName val="FJJX_Bud_IB12"/>
      <sheetName val="look-up_data12"/>
      <sheetName val="Prd_Hierarchy(产品层级)12"/>
      <sheetName val="Com_(2PK)12"/>
      <sheetName val="JOB_PROFILE_-_LAS13"/>
      <sheetName val="요일_테이블13"/>
      <sheetName val="요일_테이블_(2)12"/>
      <sheetName val="Prd_Hierarchy(产品层次)12"/>
      <sheetName val="Project_Code12"/>
      <sheetName val="전사_PL14"/>
      <sheetName val="자금_제외_PL14"/>
      <sheetName val="자금_PL14"/>
      <sheetName val="전사_BS14"/>
      <sheetName val="자금_제외_BS14"/>
      <sheetName val="자금_BS14"/>
      <sheetName val="BS_계정_설명14"/>
      <sheetName val="_Cash_Flow(전사)14"/>
      <sheetName val="_Cash_Flow(자금제외)14"/>
      <sheetName val="_Cash_Flow(자금)14"/>
      <sheetName val="ROIC_14"/>
      <sheetName val="인건비_명세14"/>
      <sheetName val="판관비_명세14"/>
      <sheetName val="OH_Cost경비(내역)14"/>
      <sheetName val="OH_Cost경비(배부기준)14"/>
      <sheetName val="기타수지&amp;특별손익_명세14"/>
      <sheetName val="업무연락_(2)13"/>
      <sheetName val="제시_손익계산서13"/>
      <sheetName val="01_02월_성과급14"/>
      <sheetName val="M_7회차_담금_계획13"/>
      <sheetName val="팀별_실적13"/>
      <sheetName val="팀별_실적_(환산)13"/>
      <sheetName val="4__Inj_투자상세내역13"/>
      <sheetName val="3__Blow_투자_상세내역13"/>
      <sheetName val="Process_List13"/>
      <sheetName val="7_(2)13"/>
      <sheetName val="_손익기01_XL12"/>
      <sheetName val="Income_Stmt12"/>
      <sheetName val="drop_down_list12"/>
      <sheetName val="Figures_Report11"/>
      <sheetName val="[손익기01_XL_x005f_x0000__x005f_x0000_DePara12"/>
      <sheetName val="Quarterly_LBO_Model12"/>
      <sheetName val="[손익기01_XL12"/>
      <sheetName val="_손익기01_XL_x005f_x0000__x005f_x0000_DePara12"/>
      <sheetName val="15년_BL_사계12"/>
      <sheetName val="1_종합손익(도급)12"/>
      <sheetName val="1_종합손익(주택,개발)12"/>
      <sheetName val="2_실행예산12"/>
      <sheetName val="2_2과부족12"/>
      <sheetName val="2_3원가절감12"/>
      <sheetName val="8_외주비집행현황12"/>
      <sheetName val="9_자재비12"/>
      <sheetName val="10_현장집행12"/>
      <sheetName val="3_추가원가12"/>
      <sheetName val="3_추가원가_(2)12"/>
      <sheetName val="4_사전공사12"/>
      <sheetName val="5_추정공사비12"/>
      <sheetName val="6_금융비용12"/>
      <sheetName val="7_공사비집행현황(총괄)12"/>
      <sheetName val="11_1생산성12"/>
      <sheetName val="11_2인원산출12"/>
      <sheetName val="Classification_分类11"/>
      <sheetName val="Set_Up12"/>
      <sheetName val="Fare_prices11"/>
      <sheetName val="Hotel_prices11"/>
      <sheetName val="tab_STATUS_DO_PROCESSO_11"/>
      <sheetName val="Perf__Plan__Diário111"/>
      <sheetName val="In_(2)11"/>
      <sheetName val="__한국_AMP_ASP-23_판매가격__11"/>
      <sheetName val="CC_Down_load_071611"/>
      <sheetName val="변경실행(2차)_11"/>
      <sheetName val="나_출고11"/>
      <sheetName val="나_입고11"/>
      <sheetName val="09년_인건비(속리산)11"/>
      <sheetName val="합산목표(감가+57_5)11"/>
      <sheetName val="제조원가_원단위_분석11"/>
      <sheetName val="종합표양식(품의_&amp;_입고)_211"/>
      <sheetName val="원가관리_(동월대비)11"/>
      <sheetName val="b_balju_(2)11"/>
      <sheetName val="2-2_매출분석11"/>
      <sheetName val="몰드시스템_리스트11"/>
      <sheetName val="11_외화채무증권(AFS,HTM)0811"/>
      <sheetName val="13_감액TEST_0811"/>
      <sheetName val="12년_CF(9월)11"/>
      <sheetName val="중기조종사_단위단가11"/>
      <sheetName val="6PILE__(돌출)11"/>
      <sheetName val="기성청구_공문11"/>
      <sheetName val="Sheet1_(2)11"/>
      <sheetName val="CLASIFICACION_DE_AI11"/>
      <sheetName val="Base_da_Datos11"/>
      <sheetName val="slide_24_cat_A11"/>
      <sheetName val="slide_82_cat_b11"/>
      <sheetName val="Dados_dos_Produtos11"/>
      <sheetName val="09~10년_매출계획11"/>
      <sheetName val="1_MDF1공장11"/>
      <sheetName val="Incident_유형구분표11"/>
      <sheetName val="3YP2016-Bottom_up10"/>
      <sheetName val="DD_list11"/>
      <sheetName val="Base_de_Datos10"/>
      <sheetName val="2_카드채권(대출포함)10"/>
      <sheetName val="表21_净利润调节表10"/>
      <sheetName val="MASTER_APP10"/>
      <sheetName val="Cond__Inseguros10"/>
      <sheetName val="Comp__Inseguros10"/>
      <sheetName val="Lista_de_datos10"/>
      <sheetName val="Supply_Cost_Centers10"/>
      <sheetName val="Clasif_10"/>
      <sheetName val="Farol_Acciones10"/>
      <sheetName val="Lista_de_Entrenamientos10"/>
      <sheetName val="Unidades_SAC-REVENDA11"/>
      <sheetName val="FornecM_Check9"/>
      <sheetName val="Lista_CI10"/>
      <sheetName val="Estratificación_AI9"/>
      <sheetName val="condicion_inseguras9"/>
      <sheetName val="Actos_Inseguros9"/>
      <sheetName val="Control_de_incidentes9"/>
      <sheetName val="Plan_de_Acción9"/>
      <sheetName val="_DD_List10"/>
      <sheetName val="Share_Price_200210"/>
      <sheetName val="BEP_加薪_KPI9"/>
      <sheetName val="F08_-_Asia_Pac_Full_Year_Q310"/>
      <sheetName val="Top_Priorities10"/>
      <sheetName val="Listco_Stock10"/>
      <sheetName val="Intl_Purchase10"/>
      <sheetName val="FY_outlook10"/>
      <sheetName val="CY_outlook10"/>
      <sheetName val="Cash_metrics10"/>
      <sheetName val="P6_710"/>
      <sheetName val="DATOS_BASE9"/>
      <sheetName val="Issues_List_Payments9"/>
      <sheetName val="Faro_de_Indicadores9"/>
      <sheetName val="TOP_KPIs_MTM9"/>
      <sheetName val="PLAN_DE_ACCION9"/>
      <sheetName val="Grafica_Actos9"/>
      <sheetName val="POC_LIST9"/>
      <sheetName val="Dashboard_Prevención_Riesgos_9"/>
      <sheetName val="APAC_S9"/>
      <sheetName val="APAC_N9"/>
      <sheetName val="Slide_output9"/>
      <sheetName val="do_not_delete9"/>
      <sheetName val="[손익기01_XL??DePara9"/>
      <sheetName val="Farol_Metas9"/>
      <sheetName val="Mod_Relac_9"/>
      <sheetName val="Condiciones_SyE9"/>
      <sheetName val="REALxMETA_-_CERVEJA11"/>
      <sheetName val="REALxMETA_-_REFRI11"/>
      <sheetName val="Directrices_de_Metas_20179"/>
      <sheetName val="DETALLE_MENSUAL9"/>
      <sheetName val="Entity_Target9"/>
      <sheetName val="VALIDACION_DE_DATOS8"/>
      <sheetName val="_손익기01_XL_x005f_x005f_x005f_x0000__x005f_x005f_x9"/>
      <sheetName val="Hazards_Analysis-隐患分析9"/>
      <sheetName val="97_사업추정(WEKI)9"/>
      <sheetName val="Tong_hop9"/>
      <sheetName val="95_1_1이후취득자산(숨기기상태)9"/>
      <sheetName val="sum1_(2)9"/>
      <sheetName val="3_바닥판설계9"/>
      <sheetName val="6월_공정외주9"/>
      <sheetName val="2_대외공문9"/>
      <sheetName val="2_총괄표9"/>
      <sheetName val="입출재고현황_(2)9"/>
      <sheetName val="504전기실_동부하-L9"/>
      <sheetName val="OUTER_AREA(겹침없음)9"/>
      <sheetName val="EL_표면적9"/>
      <sheetName val="TRE_TABLE9"/>
      <sheetName val="입찰내역_발주처_양식9"/>
      <sheetName val="Data_validation9"/>
      <sheetName val="turnover_reason퇴직사유9"/>
      <sheetName val="SKU_Basic_Data9"/>
      <sheetName val="Jul-Sep_Actual_cost_(2)8"/>
      <sheetName val="Drop-down_List8"/>
      <sheetName val="by_DD8"/>
      <sheetName val="Check_Qualidade7"/>
      <sheetName val="Check_Aderencia7"/>
      <sheetName val="De_Para8"/>
      <sheetName val="Base_Farol7"/>
      <sheetName val="Gerencial_IL7"/>
      <sheetName val="Ventas_Campo7"/>
      <sheetName val="ACTOS_POR_RIESGO7"/>
      <sheetName val="drop_lists7"/>
      <sheetName val="MRL_NON_SUPPLY_URU7"/>
      <sheetName val="AIIM_-_Empresas_Ext_20127"/>
      <sheetName val="KPIs_Hana7"/>
      <sheetName val="Catalago_de_refacciones_7"/>
      <sheetName val="Existencias_al_07-Nov-20127"/>
      <sheetName val="Check_GG7"/>
      <sheetName val="Nombre_de_SOP7"/>
      <sheetName val="Ta_7"/>
      <sheetName val="2__Indicadores7"/>
      <sheetName val="부재료_비교(11년_vs_10년)7"/>
      <sheetName val="_손익기01_XL_x005f_x0000__x07"/>
      <sheetName val="_mngt_Pillar7"/>
      <sheetName val="Sheet3_(2)7"/>
      <sheetName val="Lista_de_Entrenamientos_RSO7"/>
      <sheetName val="Tablero_SDG10"/>
      <sheetName val="Lista_Areas10"/>
      <sheetName val="One_Page10"/>
      <sheetName val="Sub-Productos_HN8"/>
      <sheetName val="Eficiencia_linea7"/>
      <sheetName val="요일_테이블_7"/>
      <sheetName val="Sheet2_(2)7"/>
      <sheetName val="Lao_&amp;_Cam7"/>
      <sheetName val="Hoegaarden_20197"/>
      <sheetName val="Lao_&amp;_Cam_20197"/>
      <sheetName val="Malaysia_20197"/>
      <sheetName val="Singapore_20197"/>
      <sheetName val="Other_Listings7"/>
      <sheetName val="Pauta_RPS_Distribuição6"/>
      <sheetName val="Estoque_(2)6"/>
      <sheetName val="Comp_Inseguros6"/>
      <sheetName val="BNR_2012_в_ящике6"/>
      <sheetName val="DATOS_DE_VALIDACIÓN6"/>
      <sheetName val="Datos_con6"/>
      <sheetName val="_Datos_Cond_6"/>
      <sheetName val="DO_NOT_MOVE6"/>
      <sheetName val="INGRESO_(2)6"/>
      <sheetName val="PG-K1610_(UEN_Areas)MNG6"/>
      <sheetName val="DATOS_GEN_6"/>
      <sheetName val="NUEVOS_CRITERIOS6"/>
      <sheetName val="Condiciones_Agua6"/>
      <sheetName val="Dropdown_list5"/>
      <sheetName val="__한국_AMP_ASP-23_판㧤가격__5"/>
      <sheetName val="11_䡸화채무줝ⴌ(AFS,HTM)085"/>
      <sheetName val="Drop_list5"/>
      <sheetName val="FX_Rates5"/>
      <sheetName val="Vagas_x_Candidatos5"/>
      <sheetName val="Proced_5"/>
      <sheetName val="Cut_Machine_Summary5"/>
      <sheetName val="Control_de_Fallas5"/>
      <sheetName val="Setup_for_Templates5"/>
      <sheetName val="Datos_emp5"/>
      <sheetName val="Validation_lists5"/>
      <sheetName val="TIPO_DE_ACTO5"/>
      <sheetName val="CRITICIDAD_DE_CI5"/>
      <sheetName val="Catálogo_de_CI5"/>
      <sheetName val="%_CUMPLIMIENTO5"/>
      <sheetName val="%_cumplimiento_5"/>
      <sheetName val="CALIFICACIONES_20193"/>
      <sheetName val="Lev_4_360_deg_check_Crit_Task3"/>
      <sheetName val="Lev_4_Chk_IC_Stock_Crit_Task3"/>
      <sheetName val="Lev_4_WMS_Putaway_Crit_Task3"/>
      <sheetName val="Listas_y_equipos_a_evaluar5"/>
      <sheetName val="Data_Reporte5"/>
      <sheetName val="Read_me5"/>
      <sheetName val="NAZ_Strategy3"/>
      <sheetName val="Champions_List4"/>
      <sheetName val="Daily_Dashboard5"/>
      <sheetName val="Mapeo_SKUs5"/>
      <sheetName val="Vol_(Ds)5"/>
      <sheetName val="Vol_(Ka)5"/>
      <sheetName val="Vol_(Oth)5"/>
      <sheetName val="Vol_(Oth)_Cortesias5"/>
      <sheetName val="INPUT-Cust_Sugg_Margin(Ds)5"/>
      <sheetName val="On_Invoice5"/>
      <sheetName val="INPUT-Cust_Sugg_Margin(Ka)5"/>
      <sheetName val="INPUT_SKUs5"/>
      <sheetName val="Brand_P&amp;L3"/>
      <sheetName val="SUPERMONT_P3"/>
      <sheetName val="Data_selection3"/>
      <sheetName val="1_3"/>
      <sheetName val="Customer_&amp;_SO3"/>
      <sheetName val="Session_Proposal3"/>
      <sheetName val="Análise_Tempos2"/>
      <sheetName val="Validação_de_Dados2"/>
      <sheetName val="No_llenar_2"/>
      <sheetName val="PDA_BOP2"/>
      <sheetName val="Incentivo_Automóvil2"/>
      <sheetName val="PROCESS_MD2"/>
      <sheetName val="Lista_de_Motivos2"/>
      <sheetName val="Ponto_Crítico_-_Resp__Plano2"/>
      <sheetName val="Lista_Funcionários_(2)2"/>
      <sheetName val="PAINEL_RECOLHA_CRÉDITO2"/>
      <sheetName val="Gráficos_-_CDD2"/>
      <sheetName val="Dropdown_Menu1"/>
      <sheetName val="Project_List1"/>
      <sheetName val="Выпадающие_списки1"/>
      <sheetName val="SOP_Freshness"/>
      <sheetName val="Dimension_IN_Sheet1!D1912"/>
      <sheetName val="Dimension_IN_1912"/>
      <sheetName val="Admin"/>
      <sheetName val="Process Li 鸴"/>
      <sheetName val="ENE-CAL"/>
      <sheetName val="6PILE__(돌출_x0000_"/>
      <sheetName val="예산관리대장"/>
      <sheetName val="Xunit (단위환산)"/>
      <sheetName val="기준표"/>
      <sheetName val="G2설비도급"/>
      <sheetName val="제주환경순환센터"/>
      <sheetName val="CAL1"/>
      <sheetName val="Cash2"/>
      <sheetName val="Z"/>
      <sheetName val="@공통코드"/>
      <sheetName val="입찰내역 Ĉ_x005f_x0000__x005f_x0000_ᇆ"/>
      <sheetName val="입찰내역 Ĉ_x005f_x0000__x005f_x0000_ᇆ"/>
      <sheetName val="_x005f_x005f_x005f_x005f_x005f_x005f_x005f_x0000__x005f"/>
      <sheetName val="기준정보"/>
      <sheetName val="PH_5"/>
      <sheetName val="bar_chart-rev"/>
      <sheetName val="1_설계조건"/>
      <sheetName val="수량산출서_(2)"/>
      <sheetName val="노원열병합__건축공사기성내역서"/>
      <sheetName val="Investment_Category"/>
      <sheetName val="유류대_현황1"/>
      <sheetName val="1__템플릿1"/>
      <sheetName val="2__작성_참고사항1"/>
      <sheetName val="mapping_(2)1"/>
      <sheetName val="Ref_1"/>
      <sheetName val="2_3_Projects_Status1"/>
      <sheetName val="Consolidated_Project_List1"/>
      <sheetName val="Fixed_Cost1"/>
      <sheetName val="Listas_desplegables1"/>
      <sheetName val="Resumen_General1"/>
      <sheetName val="Cátalogo_de_CI1"/>
      <sheetName val="Hoja2_(2)1"/>
      <sheetName val="Technology_check_list1"/>
      <sheetName val="Status_de_Usuario1"/>
      <sheetName val="Actos_y_Condiciones_1"/>
      <sheetName val="NO_BORRAR1"/>
      <sheetName val="Formato_checklist_Lab1"/>
      <sheetName val="3__Training_&amp;_travel"/>
      <sheetName val="Manage_to_Sustain"/>
      <sheetName val="Meeting_List"/>
      <sheetName val="Packages_Info"/>
      <sheetName val="Preferred_Option"/>
      <sheetName val="입문_트랜드(종합분석)"/>
      <sheetName val="Master_CE"/>
      <sheetName val="CE_Final_"/>
      <sheetName val="OL_LIST"/>
      <sheetName val="YTD_GUEST_LIST"/>
      <sheetName val="Session_Full_list"/>
      <sheetName val="FOOD_PAYMENT_update_JAN"/>
      <sheetName val="Rate_card_F19_"/>
      <sheetName val="Master_Plan__(update)"/>
      <sheetName val="The_KPI_"/>
      <sheetName val="Mentor_Plan_"/>
      <sheetName val="Master_Plan_"/>
      <sheetName val="Tier_1_GOV_PC_Networking_"/>
      <sheetName val="Tier_1_LBO_"/>
      <sheetName val="2020_MMR12"/>
      <sheetName val="Razão_Social"/>
      <sheetName val="2_FM_Fee_2차년도"/>
      <sheetName val="3_감가장비"/>
      <sheetName val="B"/>
      <sheetName val="member design"/>
      <sheetName val="design criteria"/>
      <sheetName val="working load at the btm ft."/>
      <sheetName val="plan&amp;section of foundation"/>
      <sheetName val="SRS_월별_BS1"/>
      <sheetName val="평가&amp;선급_미지급1"/>
      <sheetName val="EXC_IND"/>
      <sheetName val="COLOR별_인쇄"/>
      <sheetName val="Mot_So_Thuat_Ngu_EN-VI1"/>
      <sheetName val="참고(3)고정비"/>
      <sheetName val="설비등록ၒ_x0000_"/>
      <sheetName val="Project_Brief4"/>
      <sheetName val="2_주요계수총괄4"/>
      <sheetName val="단면_(2)4"/>
      <sheetName val="P_M_별5"/>
      <sheetName val="1__시공측량4"/>
      <sheetName val="Facility_Information4"/>
      <sheetName val="1_본사계정별4"/>
      <sheetName val="PAD_TR보호대기초4"/>
      <sheetName val="근거_및_가정4"/>
      <sheetName val="118_세금과공과4"/>
      <sheetName val="수종별수량_(2)4"/>
      <sheetName val="납부내역총괄표_(수정)4"/>
      <sheetName val="Weekly_Progress(계장)4"/>
      <sheetName val="설산1_나4"/>
      <sheetName val="1_차입금4"/>
      <sheetName val="전선_및_전선관3"/>
      <sheetName val="해외_기술훈련비_(합계)4"/>
      <sheetName val="설문_평가3"/>
      <sheetName val="부대시행1_(2)4"/>
      <sheetName val="3_6_2남양주택배4"/>
      <sheetName val="Back_Data_14"/>
      <sheetName val="_견적서3"/>
      <sheetName val="1월_예산3"/>
      <sheetName val="#1)_투자_구분3"/>
      <sheetName val="실행기성_갑지3"/>
      <sheetName val="Eq__Mobilization2"/>
      <sheetName val="Utility_Usage_YTN_TOWER3"/>
      <sheetName val="수량산출서_갑지2"/>
      <sheetName val="B-1_기본정보3"/>
      <sheetName val="대투_보관자료_변경3"/>
      <sheetName val="KEY_CODE3"/>
      <sheetName val="준검_내역서2"/>
      <sheetName val="2013_2월_연결대상3"/>
      <sheetName val="G_R300경비2"/>
      <sheetName val="AS포장복구_2"/>
      <sheetName val="설_계2"/>
      <sheetName val="외주현황_wq13"/>
      <sheetName val="2-1_강사료,교통비_지급명세3"/>
      <sheetName val="13_포장용역비표준3"/>
      <sheetName val="9_가공부자재표준3"/>
      <sheetName val="8_ROLL표준(TSW)3"/>
      <sheetName val="4_톤당조관량표준3"/>
      <sheetName val="5_조관부자재표준3"/>
      <sheetName val="날개수량1_52"/>
      <sheetName val="Rev__Recon_12"/>
      <sheetName val="1_고객불만건수2"/>
      <sheetName val="1_변경범위2"/>
      <sheetName val="2-2_투자3"/>
      <sheetName val="Proj__Fin_3"/>
      <sheetName val="ITS_Assumptions2"/>
      <sheetName val="Master_Data2"/>
      <sheetName val="HQ_급여_2"/>
      <sheetName val="OF_급여2"/>
      <sheetName val="F_Ma급여2"/>
      <sheetName val="SMT_급여2"/>
      <sheetName val="QC_급여2"/>
      <sheetName val="Sam_sung_급여2"/>
      <sheetName val="Dlock_급여2"/>
      <sheetName val="_thôi_việc_급여2"/>
      <sheetName val="Công_smt2"/>
      <sheetName val="Công_smt_(2)2"/>
      <sheetName val="Detail_smt2"/>
      <sheetName val="Công_QC2"/>
      <sheetName val="Detail_QC_2"/>
      <sheetName val="Công_SS2"/>
      <sheetName val="Detail_SS2"/>
      <sheetName val="Công_FMa2"/>
      <sheetName val="Detail_FMa2"/>
      <sheetName val="Công_OF2"/>
      <sheetName val="Detail_OF2"/>
      <sheetName val="Công_Dlock2"/>
      <sheetName val="Detail_Dlock2"/>
      <sheetName val="Công_thôi_việc2"/>
      <sheetName val="Detail_thôi2"/>
      <sheetName val="F_월별기성수금현황_2"/>
      <sheetName val="조도계산서_(도서)2"/>
      <sheetName val="C1_3_12"/>
      <sheetName val="7_Utility_Analysis2"/>
      <sheetName val="Operational_Activities2"/>
      <sheetName val="6월_공嚺㓶가2"/>
      <sheetName val="기초정보_코드2"/>
      <sheetName val="1__작성방식3"/>
      <sheetName val="A(Rev_3)2"/>
      <sheetName val="BSD_(2)1"/>
      <sheetName val="표)CFT장_조직별_배분3"/>
      <sheetName val="20180214_P&amp;T3"/>
      <sheetName val="Ref__중점_추진_과제별_상세3"/>
      <sheetName val="2_6_三无_(2)2"/>
      <sheetName val="Worker_List2"/>
      <sheetName val="GB-IC_Villingen_GG2"/>
      <sheetName val="입찰내역_Ĉ2"/>
      <sheetName val="보고서_표2"/>
      <sheetName val="0__가정_및_결론2"/>
      <sheetName val="1__투자비2"/>
      <sheetName val="2__Rent-roll2"/>
      <sheetName val="3__Funding2"/>
      <sheetName val="4__운영수익2"/>
      <sheetName val="5__운영비용2"/>
      <sheetName val="6_1_N+1년차_NOI_산정2"/>
      <sheetName val="6__부동산매각2"/>
      <sheetName val="7__보유세2"/>
      <sheetName val="8__교통유발부담금2"/>
      <sheetName val="9__BS부속2"/>
      <sheetName val="10__CF(M)2"/>
      <sheetName val="11__IS(M)2"/>
      <sheetName val="12__BS(M)2"/>
      <sheetName val="14__IS(FY)2"/>
      <sheetName val="13__CF(FY)2"/>
      <sheetName val="15__BS(FY)2"/>
      <sheetName val="16__RE(FY)2"/>
      <sheetName val="M&amp;Q_Lead2"/>
      <sheetName val="Phieu_trinh_ky_cấu_tháp1"/>
      <sheetName val="Phieu_trinh_ky_VTP1"/>
      <sheetName val="KS-VL_rời1"/>
      <sheetName val="Tai_san1"/>
      <sheetName val="Check_dong_tien1"/>
      <sheetName val="Chi_phí_SDTS1"/>
      <sheetName val="Check_COST1"/>
      <sheetName val="DATA_HD1"/>
      <sheetName val="Tong_hop_1TM1"/>
      <sheetName val="NS_Lán_trại1"/>
      <sheetName val="Check_cong_no_NC1"/>
      <sheetName val="4_1_월별_에너지_사용량2"/>
      <sheetName val="1-2_설계변경요청서(갑지)1"/>
      <sheetName val="첨부1_(주차관제-_당공)1"/>
      <sheetName val="첨부1-1_설계변경내역서(CCTV)1"/>
      <sheetName val="첨부1-2_(주차관제-변공)1"/>
      <sheetName val="2-6_변공량(추가공사)1"/>
      <sheetName val="_2-1_관제(물량산출서집계표)1"/>
      <sheetName val="_2-2_유도(물량산출서집계표)1"/>
      <sheetName val="3-1_주차관제1"/>
      <sheetName val="3-2_주차-광케이블1"/>
      <sheetName val="3-3_층별LPR1"/>
      <sheetName val="4-1_유도-광케이블1"/>
      <sheetName val="4-2_주차키오스크1"/>
      <sheetName val="4-3_4면카메라1"/>
      <sheetName val="4-5_CCTV1"/>
      <sheetName val="4-6_블럭유도등1"/>
      <sheetName val="4-7_입구만차등1"/>
      <sheetName val="4-8_비상벨1"/>
      <sheetName val="1~9_하중계산1"/>
      <sheetName val="방배동내역_(총괄)1"/>
      <sheetName val="Bank_code3"/>
      <sheetName val="Drop-down_RAW3"/>
      <sheetName val="첨부#2_Cash_Flow(현장작성)1"/>
      <sheetName val="진행_DATA_(2)2"/>
      <sheetName val="견적_맵1"/>
      <sheetName val="JT3_0견적-구11"/>
      <sheetName val="Dropbox_목록1"/>
      <sheetName val="3_공통공사대비"/>
      <sheetName val="현장관리비_산출내역"/>
      <sheetName val="1_수인터널2"/>
      <sheetName val="#1_Basic2"/>
      <sheetName val="산자사_운전용품1"/>
      <sheetName val="Exchange_rate3"/>
      <sheetName val="업무_분류(Category)1"/>
      <sheetName val="3_일반사상1"/>
      <sheetName val="Basic_Information3"/>
      <sheetName val="NG_Item2"/>
      <sheetName val="시스템_개요_유효값1"/>
      <sheetName val="STRAT_PLAN_WKSHT3"/>
      <sheetName val="Sales_Plan_&amp;_other3"/>
      <sheetName val="drop_downs2"/>
      <sheetName val="NKC_(final)1"/>
      <sheetName val="토공(우물통,기타)_"/>
      <sheetName val="전기요금_산출내역1"/>
      <sheetName val="TOWER_12TON2"/>
      <sheetName val="TOWER_10TON2"/>
      <sheetName val="JIB_CRANE,HOIST2"/>
      <sheetName val="구분_Table1"/>
      <sheetName val="역T형옹벽(3_0)1"/>
      <sheetName val="외상매출금현황-수정분_A21"/>
      <sheetName val="문의내용_카테고리_분류(수정X)1"/>
      <sheetName val="Diesel_Price_1"/>
      <sheetName val="업무분장_1"/>
      <sheetName val="7300-1000_112"/>
      <sheetName val="PJT_현황1"/>
      <sheetName val="참고)_기준정보1"/>
      <sheetName val="Long_Term_Prices1"/>
      <sheetName val="control_sheet1"/>
      <sheetName val="NCR_HEC_6_Opens1"/>
      <sheetName val="NCR_HEC_4_Open_&amp;_Vendor_2_Open1"/>
      <sheetName val="첨부1-2__증감사유내역서(을)"/>
      <sheetName val="Ref__Spec_Review_양식2"/>
      <sheetName val="Ref__시험항목_테이블2"/>
      <sheetName val="Ref__Search_Result_테이블2"/>
      <sheetName val="10_예산_및_원가_계획(02년)"/>
      <sheetName val="입찰내역_Ԁ"/>
      <sheetName val="Project_Count1"/>
      <sheetName val="PF_현황(11년12월)1"/>
      <sheetName val="Sensitivity_and_GC_Value1"/>
      <sheetName val="무형자산_LS11"/>
      <sheetName val="ALK_Chi_tiết_công_nợ"/>
      <sheetName val="CHITIET_VL-NC-TT1p"/>
      <sheetName val="유효성_목록"/>
      <sheetName val="총_원가계산"/>
      <sheetName val="1_설계기준"/>
      <sheetName val="6PILE__(剙"/>
      <sheetName val="참고3_DATA"/>
      <sheetName val="입찰내역_⊍∀的"/>
      <sheetName val="Ⅴ-2_공종별내역"/>
      <sheetName val="경계석,골재외_(2)"/>
      <sheetName val="경영비율_1"/>
      <sheetName val="카테고리_분류_(수정X)"/>
      <sheetName val="SPT_vs_PHI"/>
      <sheetName val="07_01"/>
      <sheetName val="20년_동일기간_소테마"/>
      <sheetName val="3_판관비명세서"/>
      <sheetName val="제조원가_원단༘֜"/>
      <sheetName val="▶_일일출역_집계_20210819143316"/>
      <sheetName val="sum_"/>
      <sheetName val="UPA(Part_C,D,E,G,H)"/>
      <sheetName val="UPA(Part_F)"/>
      <sheetName val="일위대가_(Part_C,D,E,G,H)"/>
      <sheetName val="4월_매출"/>
      <sheetName val="Insight_MTD_QTD_YTD_DATA"/>
      <sheetName val="Working_(PivotTable)"/>
      <sheetName val="Essbase_(53_Weeks)"/>
      <sheetName val="Essbase_(52_Weeks)"/>
      <sheetName val="Store_Listing"/>
      <sheetName val="COMP_Working"/>
      <sheetName val="COMP_LLY_Working"/>
      <sheetName val="완성차_미수금"/>
      <sheetName val="견적_(2)"/>
      <sheetName val="ITB_COST"/>
      <sheetName val="입찰내역_"/>
      <sheetName val="종합표양식(품의좲쒥⠀쮎"/>
      <sheetName val="Process_Li"/>
      <sheetName val="_㴐ኰ"/>
      <sheetName val="_움ᕕ"/>
      <sheetName val="단양_00_아파트-세부내역"/>
      <sheetName val="목차_"/>
      <sheetName val="0__물류비집계_rev1"/>
      <sheetName val="0__물류비_집계"/>
      <sheetName val="(1-2)_국내_구간별_운송_견적_1"/>
      <sheetName val="(1-1)_국내_구간별_운송_실적__(2)"/>
      <sheetName val="(1)_국내_사이트_상세_주소_"/>
      <sheetName val="수입_건수_정리"/>
      <sheetName val="(2-1)_수출_해상_(LCL)_"/>
      <sheetName val="(2-2)_수출_항공_"/>
      <sheetName val="(2-4)_수출_내륙_운송료"/>
      <sheetName val="(3-1)_수입_해상_(FCL)"/>
      <sheetName val="(3-2)_수입_해상_(LCL)_"/>
      <sheetName val="(3-3)_수입_항공_"/>
      <sheetName val="(3-5)_수입_내륙_운송료"/>
      <sheetName val="운송내역_"/>
      <sheetName val="운영경비_세부작성근거"/>
      <sheetName val="7__2_3"/>
      <sheetName val="Report_Setup2"/>
      <sheetName val="OWNER-1_(2)2"/>
      <sheetName val="고객만족도_향상"/>
      <sheetName val="108_수선비"/>
      <sheetName val="BS준비_XLS"/>
      <sheetName val="BS%EC%A4%80%EB%B9%84_XLS"/>
      <sheetName val="퇴직금추계(04_9_30)"/>
      <sheetName val="1_경제설계"/>
      <sheetName val="경수97_02"/>
      <sheetName val="1995년_섹터별_매출"/>
      <sheetName val="44-2Q_주석_xlsx"/>
      <sheetName val="팀_업체별_월기성실적"/>
      <sheetName val="팀_업체별_시공의뢰"/>
      <sheetName val="A_(3)"/>
      <sheetName val="DL08_DF_모드"/>
      <sheetName val="원지_수급가"/>
      <sheetName val="2_상각보정명세"/>
      <sheetName val="4b_Consolidated_PL"/>
      <sheetName val="TT_List"/>
      <sheetName val="실행내역서_"/>
      <sheetName val="SAP_검증(평균환율)"/>
      <sheetName val="SAP_검증(월말환율)"/>
      <sheetName val="전분기말_정산표(PQE)"/>
      <sheetName val="전년동기_정산표"/>
      <sheetName val="전기말_정산표(PYE)"/>
      <sheetName val="당기말_정산표(CPE)"/>
      <sheetName val="A01-3_조정내역"/>
      <sheetName val="A01-3_단순합산"/>
      <sheetName val="매출채권_및_금융자산"/>
      <sheetName val="A03-3_연결조정"/>
      <sheetName val="A07__유형자산_차기이월,_미실현"/>
      <sheetName val="A07__유형자산_감가상각"/>
      <sheetName val="A08__연결_조정"/>
      <sheetName val="A09__연결_조정"/>
      <sheetName val="B01_연결_조정"/>
      <sheetName val="B04_연결_조정"/>
      <sheetName val="B05_연결_조정"/>
      <sheetName val="납입자본(연결자본변동표_참조_작성)"/>
      <sheetName val="이익잉여금(연결자본변동표_참조_작성)"/>
      <sheetName val="기타포괄손익누계액(연결자본변동표_참조_작성)"/>
      <sheetName val="D01_연결_조정"/>
      <sheetName val="주당손익(개별파일_작성)"/>
      <sheetName val="_Drop"/>
      <sheetName val="96보완계획7_12"/>
      <sheetName val="Salary(해외)"/>
      <sheetName val="database"/>
      <sheetName val="KPIs- TTP, PTP, People Turnover"/>
      <sheetName val="部门"/>
      <sheetName val="1월 목표"/>
      <sheetName val="FILIAL MINAS"/>
      <sheetName val="info for drop box"/>
      <sheetName val="_손익기01_XL_x005f_x0000__x7"/>
      <sheetName val="POCM 배송지"/>
      <sheetName val="IT_CHNG_01-K"/>
      <sheetName val="IPE"/>
      <sheetName val="GBP_BODS"/>
      <sheetName val="GFP_CFIN"/>
      <sheetName val="GDP_MDG"/>
      <sheetName val="GUP_SLT"/>
      <sheetName val="GAP_SOL"/>
      <sheetName val="GXP_PO"/>
      <sheetName val="%_Automation_Analysis_Business"/>
      <sheetName val="Curvas"/>
      <sheetName val="BD_Geral"/>
      <sheetName val="Produtos_e_Custos1"/>
      <sheetName val="EE"/>
      <sheetName val="BD_-_Realizado1"/>
      <sheetName val="Cadastro_de_Veículos1"/>
      <sheetName val="Sispec"/>
      <sheetName val="公式页面"/>
      <sheetName val="CC"/>
      <sheetName val="데이터 유효성 목록"/>
      <sheetName val="Mapping "/>
      <sheetName val="WS DB"/>
      <sheetName val="Region "/>
      <sheetName val="SKU DB"/>
      <sheetName val="SKU信息"/>
      <sheetName val="销售项费用项"/>
      <sheetName val="陈列描述"/>
      <sheetName val="大组压仓"/>
      <sheetName val="CPR用Rate&amp;Mix"/>
      <sheetName val="Pivot"/>
      <sheetName val="TO_Data_Base22"/>
      <sheetName val="YTD_Summary21"/>
      <sheetName val="Month_Summary21"/>
      <sheetName val="Trial_Balance_MAY_200921"/>
      <sheetName val="TB_Pivot21"/>
      <sheetName val="total_per_LB_LB221"/>
      <sheetName val="Trial_Balance_Vlookup21"/>
      <sheetName val="Trial_Balance_APRIL_200921"/>
      <sheetName val="Roll_Out_AQ21"/>
      <sheetName val="Evolução_mandamentos21"/>
      <sheetName val="Planilha_resultados20"/>
      <sheetName val="Historico_200320"/>
      <sheetName val="Sig_Cycles_Accts_&amp;_Processes20"/>
      <sheetName val="Fixed_ZBB14"/>
      <sheetName val="E_法规NC14"/>
      <sheetName val="3_ISo_YTD14"/>
      <sheetName val="Données_LMU14"/>
      <sheetName val="Brazil_Sovereign14"/>
      <sheetName val="Resumen_Costo14"/>
      <sheetName val="Extract_Loss14"/>
      <sheetName val="QA_跟踪记录表14"/>
      <sheetName val="5_114"/>
      <sheetName val="Base_de_Dados14"/>
      <sheetName val="Como_Estamos14"/>
      <sheetName val="Controls_data16"/>
      <sheetName val="RG_Depots14"/>
      <sheetName val="material_data14"/>
      <sheetName val="other_data14"/>
      <sheetName val="Database_(RUR)Mar_YTD14"/>
      <sheetName val="SKU_Mapping14"/>
      <sheetName val="Drop_Down14"/>
      <sheetName val="Raw_Data14"/>
      <sheetName val="EBM-2_GHQ14"/>
      <sheetName val="Base_PEF15"/>
      <sheetName val="Testing_Template_Guidance14"/>
      <sheetName val="Test_Programs14"/>
      <sheetName val="Dados_BLP14"/>
      <sheetName val="FJJX_Bud_IB13"/>
      <sheetName val="JOB_PROFILE_-_LAS14"/>
      <sheetName val="ARdistr_(2)14"/>
      <sheetName val="look-up_data13"/>
      <sheetName val="Prd_Hierarchy(产品层级)13"/>
      <sheetName val="Com_(2PK)13"/>
      <sheetName val="Project_Code13"/>
      <sheetName val="요일_테이블14"/>
      <sheetName val="요일_테이블_(2)13"/>
      <sheetName val="Prd_Hierarchy(产品层次)13"/>
      <sheetName val="전사_PL15"/>
      <sheetName val="자금_제외_PL15"/>
      <sheetName val="자금_PL15"/>
      <sheetName val="전사_BS15"/>
      <sheetName val="자금_제외_BS15"/>
      <sheetName val="자금_BS15"/>
      <sheetName val="BS_계정_설명15"/>
      <sheetName val="_Cash_Flow(전사)15"/>
      <sheetName val="_Cash_Flow(자금제외)15"/>
      <sheetName val="_Cash_Flow(자금)15"/>
      <sheetName val="ROIC_15"/>
      <sheetName val="인건비_명세15"/>
      <sheetName val="판관비_명세15"/>
      <sheetName val="OH_Cost경비(내역)15"/>
      <sheetName val="OH_Cost경비(배부기준)15"/>
      <sheetName val="기타수지&amp;특별손익_명세15"/>
      <sheetName val="업무연락_(2)14"/>
      <sheetName val="제시_손익계산서14"/>
      <sheetName val="01_02월_성과급15"/>
      <sheetName val="M_7회차_담금_계획14"/>
      <sheetName val="팀별_실적14"/>
      <sheetName val="팀별_실적_(환산)14"/>
      <sheetName val="4__Inj_투자상세내역14"/>
      <sheetName val="3__Blow_투자_상세내역14"/>
      <sheetName val="Process_List14"/>
      <sheetName val="7_(2)14"/>
      <sheetName val="_손익기01_XL13"/>
      <sheetName val="Income_Stmt13"/>
      <sheetName val="drop_down_list13"/>
      <sheetName val="[손익기01_XL_x005f_x0000__x005f_x0000_DePara13"/>
      <sheetName val="Quarterly_LBO_Model13"/>
      <sheetName val="Figures_Report12"/>
      <sheetName val="[손익기01_XL13"/>
      <sheetName val="_손익기01_XL_x005f_x0000__x005f_x0000_DePara13"/>
      <sheetName val="Fare_prices12"/>
      <sheetName val="Hotel_prices12"/>
      <sheetName val="Set_Up13"/>
      <sheetName val="15년_BL_사계13"/>
      <sheetName val="1_종합손익(도급)13"/>
      <sheetName val="1_종합손익(주택,개발)13"/>
      <sheetName val="2_실행예산13"/>
      <sheetName val="2_2과부족13"/>
      <sheetName val="2_3원가절감13"/>
      <sheetName val="8_외주비집행현황13"/>
      <sheetName val="9_자재비13"/>
      <sheetName val="10_현장집행13"/>
      <sheetName val="3_추가원가13"/>
      <sheetName val="3_추가원가_(2)13"/>
      <sheetName val="4_사전공사13"/>
      <sheetName val="5_추정공사비13"/>
      <sheetName val="6_금융비용13"/>
      <sheetName val="7_공사비집행현황(총괄)13"/>
      <sheetName val="11_1생산성13"/>
      <sheetName val="11_2인원산출13"/>
      <sheetName val="Classification_分类12"/>
      <sheetName val="tab_STATUS_DO_PROCESSO_12"/>
      <sheetName val="Perf__Plan__Diário112"/>
      <sheetName val="In_(2)12"/>
      <sheetName val="__한국_AMP_ASP-23_판매가격__12"/>
      <sheetName val="CC_Down_load_071612"/>
      <sheetName val="변경실행(2차)_12"/>
      <sheetName val="나_출고12"/>
      <sheetName val="나_입고12"/>
      <sheetName val="09년_인건비(속리산)12"/>
      <sheetName val="합산목표(감가+57_5)12"/>
      <sheetName val="제조원가_원단위_분석12"/>
      <sheetName val="종합표양식(품의_&amp;_입고)_212"/>
      <sheetName val="원가관리_(동월대비)12"/>
      <sheetName val="b_balju_(2)12"/>
      <sheetName val="2-2_매출분석12"/>
      <sheetName val="몰드시스템_리스트12"/>
      <sheetName val="11_외화채무증권(AFS,HTM)0812"/>
      <sheetName val="13_감액TEST_0812"/>
      <sheetName val="12년_CF(9월)12"/>
      <sheetName val="중기조종사_단위단가12"/>
      <sheetName val="6PILE__(돌출)12"/>
      <sheetName val="기성청구_공문12"/>
      <sheetName val="Sheet1_(2)12"/>
      <sheetName val="CLASIFICACION_DE_AI12"/>
      <sheetName val="Base_da_Datos12"/>
      <sheetName val="slide_24_cat_A12"/>
      <sheetName val="slide_82_cat_b12"/>
      <sheetName val="Dados_dos_Produtos12"/>
      <sheetName val="09~10년_매출계획12"/>
      <sheetName val="1_MDF1공장12"/>
      <sheetName val="Incident_유형구분표12"/>
      <sheetName val="3YP2016-Bottom_up11"/>
      <sheetName val="DD_list12"/>
      <sheetName val="Base_de_Datos11"/>
      <sheetName val="Clasif_11"/>
      <sheetName val="Supply_Cost_Centers11"/>
      <sheetName val="Cond__Inseguros11"/>
      <sheetName val="Comp__Inseguros11"/>
      <sheetName val="Lista_de_datos11"/>
      <sheetName val="MASTER_APP11"/>
      <sheetName val="2_카드채권(대출포함)11"/>
      <sheetName val="表21_净利润调节表11"/>
      <sheetName val="Lista_CI11"/>
      <sheetName val="Dashboard_Prevención_Riesgos_10"/>
      <sheetName val="TOP_KPIs_MTM10"/>
      <sheetName val="PLAN_DE_ACCION10"/>
      <sheetName val="Faro_de_Indicadores10"/>
      <sheetName val="Farol_Acciones11"/>
      <sheetName val="Lista_de_Entrenamientos11"/>
      <sheetName val="Unidades_SAC-REVENDA12"/>
      <sheetName val="FornecM_Check10"/>
      <sheetName val="Share_Price_200211"/>
      <sheetName val="_DD_List11"/>
      <sheetName val="BEP_加薪_KPI10"/>
      <sheetName val="Estratificación_AI10"/>
      <sheetName val="condicion_inseguras10"/>
      <sheetName val="Actos_Inseguros10"/>
      <sheetName val="Control_de_incidentes10"/>
      <sheetName val="Plan_de_Acción10"/>
      <sheetName val="Issues_List_Payments10"/>
      <sheetName val="do_not_delete10"/>
      <sheetName val="Grafica_Actos10"/>
      <sheetName val="APAC_S10"/>
      <sheetName val="APAC_N10"/>
      <sheetName val="Slide_output10"/>
      <sheetName val="[손익기01_XL??DePara10"/>
      <sheetName val="Farol_Metas10"/>
      <sheetName val="Mod_Relac_10"/>
      <sheetName val="Condiciones_SyE10"/>
      <sheetName val="REALxMETA_-_CERVEJA12"/>
      <sheetName val="REALxMETA_-_REFRI12"/>
      <sheetName val="Directrices_de_Metas_201710"/>
      <sheetName val="Data_validation10"/>
      <sheetName val="_손익기01_XL_x005f_x005f_x005f_x0000__x005f_x005f_10"/>
      <sheetName val="Hazards_Analysis-隐患分析10"/>
      <sheetName val="F08_-_Asia_Pac_Full_Year_Q311"/>
      <sheetName val="Top_Priorities11"/>
      <sheetName val="Listco_Stock11"/>
      <sheetName val="Intl_Purchase11"/>
      <sheetName val="FY_outlook11"/>
      <sheetName val="CY_outlook11"/>
      <sheetName val="Cash_metrics11"/>
      <sheetName val="P6_711"/>
      <sheetName val="DATOS_BASE10"/>
      <sheetName val="97_사업추정(WEKI)10"/>
      <sheetName val="Tong_hop10"/>
      <sheetName val="95_1_1이후취득자산(숨기기상태)10"/>
      <sheetName val="sum1_(2)10"/>
      <sheetName val="3_바닥판설계10"/>
      <sheetName val="6월_공정외주10"/>
      <sheetName val="2_대외공문10"/>
      <sheetName val="2_총괄표10"/>
      <sheetName val="입출재고현황_(2)10"/>
      <sheetName val="504전기실_동부하-L10"/>
      <sheetName val="OUTER_AREA(겹침없음)10"/>
      <sheetName val="EL_표면적10"/>
      <sheetName val="TRE_TABLE10"/>
      <sheetName val="입찰내역_발주처_양식10"/>
      <sheetName val="POC_LIST10"/>
      <sheetName val="turnover_reason퇴직사유10"/>
      <sheetName val="SKU_Basic_Data10"/>
      <sheetName val="Entity_Target10"/>
      <sheetName val="DETALLE_MENSUAL10"/>
      <sheetName val="Drop-down_List9"/>
      <sheetName val="by_DD9"/>
      <sheetName val="VALIDACION_DE_DATOS9"/>
      <sheetName val="Jul-Sep_Actual_cost_(2)9"/>
      <sheetName val="Check_Qualidade8"/>
      <sheetName val="De_Para9"/>
      <sheetName val="Check_Aderencia8"/>
      <sheetName val="_손익기01_XL_x005f_x0000__x08"/>
      <sheetName val="부재료_비교(11년_vs_10년)8"/>
      <sheetName val="Base_Farol8"/>
      <sheetName val="Gerencial_IL8"/>
      <sheetName val="Ventas_Campo8"/>
      <sheetName val="ACTOS_POR_RIESGO8"/>
      <sheetName val="drop_lists8"/>
      <sheetName val="MRL_NON_SUPPLY_URU8"/>
      <sheetName val="AIIM_-_Empresas_Ext_20128"/>
      <sheetName val="KPIs_Hana8"/>
      <sheetName val="Catalago_de_refacciones_8"/>
      <sheetName val="Existencias_al_07-Nov-20128"/>
      <sheetName val="Check_GG8"/>
      <sheetName val="Sheet3_(2)8"/>
      <sheetName val="Nombre_de_SOP8"/>
      <sheetName val="Lao_&amp;_Cam8"/>
      <sheetName val="Hoegaarden_20198"/>
      <sheetName val="Lao_&amp;_Cam_20198"/>
      <sheetName val="Malaysia_20198"/>
      <sheetName val="Singapore_20198"/>
      <sheetName val="Sheet2_(2)8"/>
      <sheetName val="요일_테이블_8"/>
      <sheetName val="Other_Listings8"/>
      <sheetName val="2__Indicadores8"/>
      <sheetName val="Ta_8"/>
      <sheetName val="Lista_de_Entrenamientos_RSO8"/>
      <sheetName val="Tablero_SDG11"/>
      <sheetName val="Lista_Areas11"/>
      <sheetName val="One_Page11"/>
      <sheetName val="Sub-Productos_HN9"/>
      <sheetName val="Eficiencia_linea8"/>
      <sheetName val="_mngt_Pillar8"/>
      <sheetName val="Pauta_RPS_Distribuição7"/>
      <sheetName val="Estoque_(2)7"/>
      <sheetName val="BNR_2012_в_ящике7"/>
      <sheetName val="Comp_Inseguros7"/>
      <sheetName val="DO_NOT_MOVE7"/>
      <sheetName val="DATOS_DE_VALIDACIÓN7"/>
      <sheetName val="Datos_con7"/>
      <sheetName val="_Datos_Cond_7"/>
      <sheetName val="INGRESO_(2)7"/>
      <sheetName val="PG-K1610_(UEN_Areas)MNG7"/>
      <sheetName val="DATOS_GEN_7"/>
      <sheetName val="NUEVOS_CRITERIOS7"/>
      <sheetName val="Condiciones_Agua7"/>
      <sheetName val="__한국_AMP_ASP-23_판㧤가격__6"/>
      <sheetName val="11_䡸화채무줝ⴌ(AFS,HTM)086"/>
      <sheetName val="Drop_list6"/>
      <sheetName val="FX_Rates6"/>
      <sheetName val="Dropdown_list6"/>
      <sheetName val="Vagas_x_Candidatos6"/>
      <sheetName val="Proced_6"/>
      <sheetName val="Cut_Machine_Summary6"/>
      <sheetName val="Control_de_Fallas6"/>
      <sheetName val="Setup_for_Templates6"/>
      <sheetName val="Datos_emp6"/>
      <sheetName val="Validation_lists6"/>
      <sheetName val="TIPO_DE_ACTO6"/>
      <sheetName val="CRITICIDAD_DE_CI6"/>
      <sheetName val="Catálogo_de_CI6"/>
      <sheetName val="%_CUMPLIMIENTO6"/>
      <sheetName val="%_cumplimiento_6"/>
      <sheetName val="CALIFICACIONES_20194"/>
      <sheetName val="Lev_4_360_deg_check_Crit_Task4"/>
      <sheetName val="Lev_4_Chk_IC_Stock_Crit_Task4"/>
      <sheetName val="Lev_4_WMS_Putaway_Crit_Task4"/>
      <sheetName val="Listas_y_equipos_a_evaluar6"/>
      <sheetName val="Data_Reporte6"/>
      <sheetName val="Read_me6"/>
      <sheetName val="NAZ_Strategy4"/>
      <sheetName val="Champions_List5"/>
      <sheetName val="Daily_Dashboard6"/>
      <sheetName val="Mapeo_SKUs6"/>
      <sheetName val="Vol_(Ds)6"/>
      <sheetName val="Vol_(Ka)6"/>
      <sheetName val="Vol_(Oth)6"/>
      <sheetName val="Vol_(Oth)_Cortesias6"/>
      <sheetName val="INPUT-Cust_Sugg_Margin(Ds)6"/>
      <sheetName val="On_Invoice6"/>
      <sheetName val="INPUT-Cust_Sugg_Margin(Ka)6"/>
      <sheetName val="INPUT_SKUs6"/>
      <sheetName val="Brand_P&amp;L4"/>
      <sheetName val="SUPERMONT_P4"/>
      <sheetName val="Data_selection4"/>
      <sheetName val="1_4"/>
      <sheetName val="Customer_&amp;_SO4"/>
      <sheetName val="Session_Proposal4"/>
      <sheetName val="Análise_Tempos3"/>
      <sheetName val="Incentivo_Automóvil3"/>
      <sheetName val="Dropdown_Menu2"/>
      <sheetName val="PDA_BOP3"/>
      <sheetName val="Validação_de_Dados3"/>
      <sheetName val="No_llenar_3"/>
      <sheetName val="PROCESS_MD3"/>
      <sheetName val="Lista_de_Motivos3"/>
      <sheetName val="Ponto_Crítico_-_Resp__Plano3"/>
      <sheetName val="Lista_Funcionários_(2)3"/>
      <sheetName val="PAINEL_RECOLHA_CRÉDITO3"/>
      <sheetName val="Gráficos_-_CDD3"/>
      <sheetName val="Project_List2"/>
      <sheetName val="Выпадающие_списки2"/>
      <sheetName val="SOP_Freshness1"/>
      <sheetName val="Dimension_IN_Sheet1!D19121"/>
      <sheetName val="Dimension_IN_19121"/>
      <sheetName val="辅助表格"/>
      <sheetName val="10 麦汁CIP清洗标准水量"/>
      <sheetName val="BU"/>
      <sheetName val="Tipo Viaje"/>
      <sheetName val="Flota y Personal"/>
      <sheetName val="_손익기01_XL_x0000__x7"/>
      <sheetName val="SAP info"/>
      <sheetName val="Target Book"/>
      <sheetName val="后台"/>
      <sheetName val="AL来源"/>
      <sheetName val="Name List"/>
      <sheetName val="Ref_New Contract Model"/>
      <sheetName val="Dec"/>
      <sheetName val="리스트용"/>
      <sheetName val="Mapeo_SKUs7"/>
      <sheetName val="Vol_(Ds)7"/>
      <sheetName val="Vol_(Ka)7"/>
      <sheetName val="Vol_(Oth)7"/>
      <sheetName val="Vol_(Oth)_Cortesias7"/>
      <sheetName val="INPUT-Cust_Sugg_Margin(Ds)7"/>
      <sheetName val="On_Invoice7"/>
      <sheetName val="INPUT-Cust_Sugg_Margin(Ka)7"/>
      <sheetName val="INPUT_SKUs7"/>
      <sheetName val="SUPERMONT_P5"/>
      <sheetName val="3__Training_&amp;_travel2"/>
      <sheetName val="3__Training_&amp;_travel1"/>
      <sheetName val="Mapeo_SKUs8"/>
      <sheetName val="Vol_(Ds)8"/>
      <sheetName val="Vol_(Ka)8"/>
      <sheetName val="Vol_(Oth)8"/>
      <sheetName val="Vol_(Oth)_Cortesias8"/>
      <sheetName val="INPUT-Cust_Sugg_Margin(Ds)8"/>
      <sheetName val="On_Invoice8"/>
      <sheetName val="INPUT-Cust_Sugg_Margin(Ka)8"/>
      <sheetName val="INPUT_SKUs8"/>
      <sheetName val="Brand_P&amp;L5"/>
      <sheetName val="SUPERMONT_P6"/>
      <sheetName val="3__Training_&amp;_travel3"/>
      <sheetName val="DIAGEO VENTURE"/>
      <sheetName val="Mapeo_SKUs9"/>
      <sheetName val="Vol_(Ds)9"/>
      <sheetName val="Vol_(Ka)9"/>
      <sheetName val="Vol_(Oth)9"/>
      <sheetName val="Vol_(Oth)_Cortesias9"/>
      <sheetName val="INPUT-Cust_Sugg_Margin(Ds)9"/>
      <sheetName val="On_Invoice9"/>
      <sheetName val="INPUT-Cust_Sugg_Margin(Ka)9"/>
      <sheetName val="INPUT_SKUs9"/>
      <sheetName val="Brand_P&amp;L6"/>
      <sheetName val="SUPERMONT_P7"/>
      <sheetName val="Data_selection5"/>
      <sheetName val="1_5"/>
      <sheetName val="3__Training_&amp;_travel4"/>
      <sheetName val="MAESTRO CODIGOS"/>
      <sheetName val="Por regional"/>
      <sheetName val="Por Proveedor"/>
      <sheetName val="X Categoria"/>
      <sheetName val="Por Vendedor"/>
      <sheetName val="Por Mayoristas"/>
      <sheetName val="Por Cliente"/>
      <sheetName val="Por producto"/>
      <sheetName val="Por producto cant."/>
      <sheetName val="Por producto cant. (2)"/>
      <sheetName val="Por Vendedor X Ciudad"/>
      <sheetName val="Act por cliente"/>
      <sheetName val="Act por Proveedor"/>
      <sheetName val="Act por producto"/>
      <sheetName val="DESBAST"/>
      <sheetName val="금액집계(리포트)"/>
      <sheetName val="HERO01"/>
      <sheetName val="인건비"/>
      <sheetName val="04_4월말_합병시_지분변동차액"/>
      <sheetName val="2007"/>
      <sheetName val="GL"/>
      <sheetName val="2003FX"/>
      <sheetName val="예산입력방법"/>
      <sheetName val="예산간사조직표"/>
      <sheetName val="특수,항공 부서코드표"/>
      <sheetName val="본부별예산편성총괄표"/>
      <sheetName val="집행부서별예산계획표"/>
      <sheetName val="집행부서별예산산출내역표"/>
      <sheetName val="본부별인원인건비총괄표"/>
      <sheetName val="부서별인원인건비계획"/>
      <sheetName val="용역인원인건비계획"/>
      <sheetName val="예산조정신청서 양식"/>
      <sheetName val="96예산신청을 위한 양식및 공문"/>
      <sheetName val="특수,항공_부서코드표"/>
      <sheetName val="예산조정신청서_양식"/>
      <sheetName val="96예산신청을_위한_양식및_공문"/>
      <sheetName val="세계수요종합OK"/>
      <sheetName val="사양조정"/>
      <sheetName val="투입분"/>
      <sheetName val="LASER"/>
      <sheetName val="PLASMA"/>
      <sheetName val="96예산신청을%20위한%20양식및%20공문.XLS"/>
      <sheetName val="96%EC%98%88%EC%82%B0%EC%8B%A0%E"/>
      <sheetName val="특수,항공_부서코드표1"/>
      <sheetName val="예산조정신청서_양식1"/>
      <sheetName val="96예산신청을_위한_양식및_공문1"/>
      <sheetName val="96예산신청을%20위한%20양식및%20공문_XLS"/>
      <sheetName val="특수,항공_부서코드표2"/>
      <sheetName val="예산조정신청서_양식2"/>
      <sheetName val="96예산신청을_위한_양식및_공문2"/>
      <sheetName val="제임스짐 예상매출 for 2023B"/>
      <sheetName val="제조원가_원단_x0000_궰_x0000__x0000_"/>
      <sheetName val="제조원가_원단_x0000_聏_x0000__x0000_"/>
      <sheetName val="가설전기별첨"/>
      <sheetName val="2.Consideration sheet"/>
      <sheetName val="3. Export"/>
      <sheetName val="목록구분"/>
      <sheetName val="건축개요_"/>
      <sheetName val="TEMP2"/>
      <sheetName val="매출내역"/>
      <sheetName val="Name"/>
      <sheetName val="Essbase"/>
      <sheetName val="종합표양식(품의_&amp;¾_x0000__x0000__x0000__x0000_漁ן"/>
      <sheetName val="_Cash_Flo_x0000__x0000__x0000__x0000__x0000_"/>
      <sheetName val="DHEQSUPT"/>
      <sheetName val="Requirement(Work Crew)"/>
      <sheetName val="연간점유"/>
      <sheetName val="업무계획1"/>
      <sheetName val="7_공사비집_x0000_跇˜_x0000__x0000__x0000_Ā_x0000_"/>
      <sheetName val="_x005f_x0000__x00_x0000__x0000__x0000_"/>
      <sheetName val="단독빌딩 총합계본"/>
      <sheetName val="1-11조직표"/>
      <sheetName val="총괄표_전체"/>
      <sheetName val="총괄표_기본"/>
      <sheetName val="총괄표_확장"/>
      <sheetName val="VS P-Q"/>
      <sheetName val="제조원가_원단샀_x000e__x0000__x0000_"/>
      <sheetName val="투입계획서(변경)"/>
      <sheetName val="기안"/>
      <sheetName val="지하시설물작성"/>
      <sheetName val="사다리"/>
      <sheetName val="CO"/>
      <sheetName val="표준공사비-조명제외x10%up"/>
      <sheetName val="#88"/>
      <sheetName val="#10"/>
      <sheetName val="#100"/>
      <sheetName val="#101"/>
      <sheetName val="#102"/>
      <sheetName val="#103"/>
      <sheetName val="#104"/>
      <sheetName val="#105"/>
      <sheetName val="#106"/>
      <sheetName val="#107"/>
      <sheetName val="#108"/>
      <sheetName val="#11"/>
      <sheetName val="#21"/>
      <sheetName val="#22"/>
      <sheetName val="#95"/>
      <sheetName val="#60"/>
      <sheetName val="#61"/>
      <sheetName val="#62"/>
      <sheetName val="#63"/>
      <sheetName val="#64"/>
      <sheetName val="#65"/>
      <sheetName val="#70"/>
      <sheetName val="#71"/>
      <sheetName val="#72"/>
      <sheetName val="#73"/>
      <sheetName val="#74"/>
      <sheetName val="#75"/>
      <sheetName val="#76"/>
      <sheetName val="#77"/>
      <sheetName val="#82"/>
      <sheetName val="#83"/>
      <sheetName val="#84"/>
      <sheetName val="#87"/>
      <sheetName val="#90"/>
      <sheetName val="#91"/>
      <sheetName val="#92"/>
      <sheetName val="#93"/>
      <sheetName val="#94"/>
      <sheetName val="#98"/>
      <sheetName val="Noncurrent assets"/>
      <sheetName val="2장(1사업부)ERP"/>
      <sheetName val="97 사업추정(W؀_x0001__x0000__x0000_"/>
      <sheetName val="표건"/>
      <sheetName val="表21_净利润釘×㜀࠷"/>
      <sheetName val="총괄집계 "/>
      <sheetName val="MAIN_TABLE"/>
      <sheetName val="공사직종별노임"/>
      <sheetName val="NON SLIP"/>
      <sheetName val="변경내역대비표(2)"/>
      <sheetName val="8호선 원가 투입내역"/>
      <sheetName val="나_출؀_x0001_"/>
      <sheetName val="선택옵션"/>
      <sheetName val="옵션"/>
      <sheetName val="CriteriaUpdate"/>
      <sheetName val="주간남10대순위1"/>
      <sheetName val="주간여30대순위1"/>
      <sheetName val="건강_미결"/>
      <sheetName val="추정99"/>
      <sheetName val="부가가치"/>
      <sheetName val="2021 KPI_SD (대표이사)"/>
      <sheetName val="8月水电燃使用表"/>
      <sheetName val="자산LIST"/>
      <sheetName val="해외출자현황(원본틀)"/>
      <sheetName val="ACTIVITY CODE &amp; AREA LIST"/>
      <sheetName val="계정code"/>
      <sheetName val="일위목차"/>
      <sheetName val="일위대가목록"/>
      <sheetName val="중기단가목록"/>
      <sheetName val="화기9901매출"/>
      <sheetName val="Act vs. budget"/>
      <sheetName val="PC%계산"/>
      <sheetName val="2_Consideration_sheet"/>
      <sheetName val="3__Export"/>
      <sheetName val="_손익기01.XL__DePara"/>
      <sheetName val="_손익기01_XL__DePara"/>
      <sheetName val="07~08 PL"/>
      <sheetName val="기성및원가"/>
      <sheetName val="북마크"/>
      <sheetName val="입찰내역서(통합)A3"/>
      <sheetName val="입찰내역서(기본)"/>
      <sheetName val="입찰내역서(확장)"/>
      <sheetName val="ASALTOTA"/>
      <sheetName val="국민연금"/>
      <sheetName val="504전기실_"/>
      <sheetName val="3BL공동구 수량"/>
      <sheetName val="말뚝지지력산정"/>
      <sheetName val="COVER-P"/>
      <sheetName val="제조원가_원단뿰朮_x0000__x0000_"/>
      <sheetName val="제조원가_원단뽰_x0000__x0000_"/>
      <sheetName val="제조원가_원단뽀ᚔ_x0000__x0000_"/>
      <sheetName val="argl(1)"/>
      <sheetName val="Spreadsheet Information"/>
      <sheetName val="종합"/>
      <sheetName val="플랜트 설치"/>
      <sheetName val="견적내역서(산출근거)"/>
      <sheetName val="0226"/>
      <sheetName val="운반거리(0.7km)"/>
      <sheetName val="2.하중산정"/>
      <sheetName val="Ⅱ.추정종합"/>
      <sheetName val="분류기준"/>
      <sheetName val="7_공사비집_x0000__x0000__x0000__x0000_⽐ʇ_x0000_"/>
      <sheetName val="TinhGiaNC"/>
      <sheetName val="Thiet Bi"/>
      <sheetName val="Arch"/>
      <sheetName val="주식"/>
      <sheetName val="Assumption List"/>
      <sheetName val="schbhn"/>
      <sheetName val="schalt"/>
      <sheetName val="schtng"/>
      <sheetName val="PSV2701F"/>
      <sheetName val="할증 "/>
      <sheetName val="다이꾸"/>
      <sheetName val="타견적(을)"/>
      <sheetName val="1_종합손익(주택,&quot;_x0000__x0000__x0000_"/>
      <sheetName val="_REF"/>
      <sheetName val="H.P견적(참조)"/>
      <sheetName val="공사예산하조서(O.K)"/>
      <sheetName val="12년_CF౮_x0002_저殑"/>
      <sheetName val="6PILE__(_xddf4_ㆥ堀"/>
      <sheetName val="6PILE__(౮_x0002_저"/>
      <sheetName val="C.S.A"/>
      <sheetName val="Rate"/>
      <sheetName val="Sch.6"/>
      <sheetName val="12년_CF(9월_x0000_"/>
      <sheetName val="2담당0113"/>
      <sheetName val="1담당0113"/>
      <sheetName val="리드14"/>
      <sheetName val="a.연결정리"/>
      <sheetName val="loading"/>
      <sheetName val="下拉框选项"/>
      <sheetName val="Criteria List"/>
      <sheetName val="应收帐款(외상매출금)"/>
      <sheetName val="0405比较_查询"/>
      <sheetName val="해외_기술훈련비_(합계)5"/>
      <sheetName val="P_M_별6"/>
      <sheetName val="Facility_Information5"/>
      <sheetName val="118_세금과공과5"/>
      <sheetName val="2_주요계수총괄5"/>
      <sheetName val="1_본사계정별5"/>
      <sheetName val="B-1_기본정보4"/>
      <sheetName val="Utility_Usage_YTN_TOWER4"/>
      <sheetName val="Project_Brief5"/>
      <sheetName val="단면_(2)5"/>
      <sheetName val="Back_Data_15"/>
      <sheetName val="1월_예산4"/>
      <sheetName val="전선_및_전선관4"/>
      <sheetName val="설문_평가4"/>
      <sheetName val="외주현황_wq14"/>
      <sheetName val="_견적서4"/>
      <sheetName val="대투_보관자료_변경4"/>
      <sheetName val="#1)_투자_구분4"/>
      <sheetName val="Rev__Recon_13"/>
      <sheetName val="1_고객불만건수3"/>
      <sheetName val="1_변경범위3"/>
      <sheetName val="2013_2월_연결대상4"/>
      <sheetName val="Proj__Fin_4"/>
      <sheetName val="2-2_투자4"/>
      <sheetName val="ITS_Assumptions3"/>
      <sheetName val="Master_Data3"/>
      <sheetName val="HQ_급여_3"/>
      <sheetName val="OF_급여3"/>
      <sheetName val="F_Ma급여3"/>
      <sheetName val="SMT_급여3"/>
      <sheetName val="QC_급여3"/>
      <sheetName val="Sam_sung_급여3"/>
      <sheetName val="Dlock_급여3"/>
      <sheetName val="_thôi_việc_급여3"/>
      <sheetName val="Công_smt3"/>
      <sheetName val="Công_smt_(2)3"/>
      <sheetName val="Detail_smt3"/>
      <sheetName val="Công_QC3"/>
      <sheetName val="Detail_QC_3"/>
      <sheetName val="Công_SS3"/>
      <sheetName val="Detail_SS3"/>
      <sheetName val="Công_FMa3"/>
      <sheetName val="Detail_FMa3"/>
      <sheetName val="Công_OF3"/>
      <sheetName val="Detail_OF3"/>
      <sheetName val="Công_Dlock3"/>
      <sheetName val="Detail_Dlock3"/>
      <sheetName val="Công_thôi_việc3"/>
      <sheetName val="Detail_thôi3"/>
      <sheetName val="2-1_강사료,교통비_지급명세4"/>
      <sheetName val="C1_3_13"/>
      <sheetName val="7_Utility_Analysis3"/>
      <sheetName val="Operational_Activities3"/>
      <sheetName val="13_포장용역비표준4"/>
      <sheetName val="9_가공부자재표준4"/>
      <sheetName val="8_ROLL표준(TSW)4"/>
      <sheetName val="4_톤당조관량표준4"/>
      <sheetName val="5_조관부자재표준4"/>
      <sheetName val="KEY_CODE4"/>
      <sheetName val="산자사_운전용품2"/>
      <sheetName val="1__작성방식4"/>
      <sheetName val="표)CFT장_조직별_배분4"/>
      <sheetName val="20180214_P&amp;T4"/>
      <sheetName val="Ref__중점_추진_과제별_상세4"/>
      <sheetName val="Bank_code4"/>
      <sheetName val="Drop-down_RAW4"/>
      <sheetName val="실행기성_갑지4"/>
      <sheetName val="Eq__Mobilization3"/>
      <sheetName val="날개수량1_53"/>
      <sheetName val="2_6_三无_(2)3"/>
      <sheetName val="수량산출서_갑지3"/>
      <sheetName val="G_R300경비3"/>
      <sheetName val="AS포장복구_3"/>
      <sheetName val="설_계3"/>
      <sheetName val="Worker_List3"/>
      <sheetName val="GB-IC_Villingen_GG3"/>
      <sheetName val="Exchange_rate4"/>
      <sheetName val="업무_분류(Category)2"/>
      <sheetName val="진행_DATA_(2)3"/>
      <sheetName val="기초정보_코드3"/>
      <sheetName val="보고서_표3"/>
      <sheetName val="0__가정_및_결론3"/>
      <sheetName val="1__투자비3"/>
      <sheetName val="2__Rent-roll3"/>
      <sheetName val="3__Funding3"/>
      <sheetName val="4__운영수익3"/>
      <sheetName val="5__운영비용3"/>
      <sheetName val="6_1_N+1년차_NOI_산정3"/>
      <sheetName val="6__부동산매각3"/>
      <sheetName val="7__보유세3"/>
      <sheetName val="8__교통유발부담금3"/>
      <sheetName val="9__BS부속3"/>
      <sheetName val="10__CF(M)3"/>
      <sheetName val="11__IS(M)3"/>
      <sheetName val="12__BS(M)3"/>
      <sheetName val="14__IS(FY)3"/>
      <sheetName val="13__CF(FY)3"/>
      <sheetName val="15__BS(FY)3"/>
      <sheetName val="16__RE(FY)3"/>
      <sheetName val="4_1_월별_에너지_사용량3"/>
      <sheetName val="M&amp;Q_Lead3"/>
      <sheetName val="Basic_Information4"/>
      <sheetName val="3_일반사상2"/>
      <sheetName val="준검_내역서3"/>
      <sheetName val="6월_공嚺㓶가3"/>
      <sheetName val="조도계산서_(도서)3"/>
      <sheetName val="F_월별기성수금현황_3"/>
      <sheetName val="첨부#2_Cash_Flow(현장작성)2"/>
      <sheetName val="TOWER_12TON3"/>
      <sheetName val="TOWER_10TON3"/>
      <sheetName val="JIB_CRANE,HOIST3"/>
      <sheetName val="Investment_Category1"/>
      <sheetName val="Mot_So_Thuat_Ngu_EN-VI2"/>
      <sheetName val="노원열병합__건축공사기성내역서1"/>
      <sheetName val="NG_Item3"/>
      <sheetName val="Ref__Spec_Review_양식3"/>
      <sheetName val="Ref__시험항목_테이블3"/>
      <sheetName val="Ref__Search_Result_테이블3"/>
      <sheetName val="SRS_월별_BS2"/>
      <sheetName val="평가&amp;선급_미지급2"/>
      <sheetName val="EXC_IND1"/>
      <sheetName val="COLOR별_인쇄1"/>
      <sheetName val="유류대_현황2"/>
      <sheetName val="1__템플릿2"/>
      <sheetName val="2__작성_참고사항2"/>
      <sheetName val="mapping_(2)2"/>
      <sheetName val="Ref_2"/>
      <sheetName val="2_3_Projects_Status2"/>
      <sheetName val="Consolidated_Project_List2"/>
      <sheetName val="Fixed_Cost2"/>
      <sheetName val="Listas_desplegables2"/>
      <sheetName val="Resumen_General2"/>
      <sheetName val="Cátalogo_de_CI2"/>
      <sheetName val="Hoja2_(2)2"/>
      <sheetName val="Technology_check_list2"/>
      <sheetName val="Status_de_Usuario2"/>
      <sheetName val="Actos_y_Condiciones_2"/>
      <sheetName val="NO_BORRAR2"/>
      <sheetName val="Formato_checklist_Lab2"/>
      <sheetName val="Manage_to_Sustain1"/>
      <sheetName val="Meeting_List1"/>
      <sheetName val="Packages_Info1"/>
      <sheetName val="Preferred_Option1"/>
      <sheetName val="입문_트랜드(종합분석)1"/>
      <sheetName val="Master_CE1"/>
      <sheetName val="CE_Final_1"/>
      <sheetName val="OL_LIST1"/>
      <sheetName val="YTD_GUEST_LIST1"/>
      <sheetName val="Session_Full_list1"/>
      <sheetName val="FOOD_PAYMENT_update_JAN1"/>
      <sheetName val="Rate_card_F19_1"/>
      <sheetName val="Master_Plan__(update)1"/>
      <sheetName val="The_KPI_1"/>
      <sheetName val="Mentor_Plan_1"/>
      <sheetName val="Master_Plan_1"/>
      <sheetName val="Tier_1_GOV_PC_Networking_1"/>
      <sheetName val="Tier_1_LBO_1"/>
      <sheetName val="2020_MMR121"/>
      <sheetName val="Razão_Social1"/>
      <sheetName val="운영경비_세부작성근거1"/>
      <sheetName val="20년_동일기간_소테마1"/>
      <sheetName val="Dropbox_목록2"/>
      <sheetName val="3_공통공사대비1"/>
      <sheetName val="현장관리비_산출내역1"/>
      <sheetName val="무형자산_LS111"/>
      <sheetName val="10_예산_및_원가_계획(02년)1"/>
      <sheetName val="경영비율_2"/>
      <sheetName val="07_011"/>
      <sheetName val="수량산출서_(2)1"/>
      <sheetName val="2_FM_Fee_2차년도1"/>
      <sheetName val="3_감가장비1"/>
      <sheetName val="backdata"/>
      <sheetName val="방법론선택및업로드"/>
      <sheetName val="major"/>
      <sheetName val="천마갑지"/>
      <sheetName val="DATA SHEET(절대삭제 금지)"/>
      <sheetName val="생산"/>
      <sheetName val="구매대행이행율(2)"/>
      <sheetName val="FB150’980123"/>
      <sheetName val="category대응"/>
      <sheetName val="대출 상환액 산출표"/>
      <sheetName val="사외외주 9월 현황"/>
      <sheetName val="GRACE"/>
      <sheetName val="Tr.C 당일자금판"/>
      <sheetName val="내역서(토목)"/>
      <sheetName val="중기사용료"/>
      <sheetName val="챤넬"/>
      <sheetName val="제작LIST"/>
      <sheetName val="NOZZLE제작단가"/>
      <sheetName val="Electrical Load List"/>
      <sheetName val="월별"/>
      <sheetName val="표지 (3)"/>
      <sheetName val="감가상각비(2002)"/>
      <sheetName val="Sheet376"/>
      <sheetName val="품목코드"/>
      <sheetName val="12월시산표"/>
      <sheetName val="손익계산서(출력)"/>
      <sheetName val="매출원가"/>
      <sheetName val="목공사품의서"/>
      <sheetName val="온라인 계수 기준표"/>
      <sheetName val="1.현금예금"/>
      <sheetName val="利润表"/>
      <sheetName val="정산표Y_E(10년-4Q)"/>
      <sheetName val="资产负债"/>
      <sheetName val="scoreY_E(10년-4Q)"/>
      <sheetName val="利润表FY10"/>
      <sheetName val="1차)기초데이터_인건비월별추정"/>
      <sheetName val="STROPEZ"/>
      <sheetName val="1_종합손익(도급)14"/>
      <sheetName val="1_종합손익(주택,개발)14"/>
      <sheetName val="2_실행예산14"/>
      <sheetName val="2_2과부족14"/>
      <sheetName val="2_3원가절감14"/>
      <sheetName val="8_외주비집행현황14"/>
      <sheetName val="9_자재비14"/>
      <sheetName val="10_현장집행14"/>
      <sheetName val="3_추가원가14"/>
      <sheetName val="3_추가원가_(2)14"/>
      <sheetName val="4_사전공사14"/>
      <sheetName val="5_추정공사비14"/>
      <sheetName val="6_금융비용14"/>
      <sheetName val="7_공사비집행현황(총괄)14"/>
      <sheetName val="11_1생산성14"/>
      <sheetName val="11_2인원산출14"/>
      <sheetName val="CC_Down_load_071613"/>
      <sheetName val="변경실행(2차)_13"/>
      <sheetName val="__한국_AMP_ASP-23_판매가격__13"/>
      <sheetName val="나_출고13"/>
      <sheetName val="나_입고13"/>
      <sheetName val="09년_인건비(속리산)13"/>
      <sheetName val="합산목표(감가+57_5)13"/>
      <sheetName val="b_balju_(2)13"/>
      <sheetName val="제조원가_원단위_분석13"/>
      <sheetName val="종합표양식(품의_&amp;_입고)_213"/>
      <sheetName val="원가관리_(동월대비)13"/>
      <sheetName val="중기조종사_단위단가13"/>
      <sheetName val="2-2_매출분석13"/>
      <sheetName val="6PILE__(돌출)13"/>
      <sheetName val="기성청구_공문13"/>
      <sheetName val="몰드시스템_리스트13"/>
      <sheetName val="11_외화채무증권(AFS,HTM)0813"/>
      <sheetName val="13_감액TEST_0813"/>
      <sheetName val="7_(2)15"/>
      <sheetName val="12년_CF(9월)13"/>
      <sheetName val="Sheet1_(2)13"/>
      <sheetName val="2_총괄표11"/>
      <sheetName val="sum1_(2)11"/>
      <sheetName val="504전기실_동부하-L11"/>
      <sheetName val="2_대외공문11"/>
      <sheetName val="表21_净利润调节表12"/>
      <sheetName val="입출재고현황_(2)11"/>
      <sheetName val="Facility_Information6"/>
      <sheetName val="2_주요계수총괄6"/>
      <sheetName val="3_바닥판설계11"/>
      <sheetName val="입찰내역_발주처_양식11"/>
      <sheetName val="P_M_별7"/>
      <sheetName val="TRE_TABLE11"/>
      <sheetName val="OUTER_AREA(겹침없음)11"/>
      <sheetName val="EL_표면적11"/>
      <sheetName val="Project_Brief6"/>
      <sheetName val="PAD_TR보호대기초5"/>
      <sheetName val="단면_(2)6"/>
      <sheetName val="근거_및_가정5"/>
      <sheetName val="09~10년_매출계획13"/>
      <sheetName val="2_카드채권(대출포함)12"/>
      <sheetName val="전사_PL16"/>
      <sheetName val="자금_제외_PL16"/>
      <sheetName val="자금_PL16"/>
      <sheetName val="전사_BS16"/>
      <sheetName val="자금_제외_BS16"/>
      <sheetName val="자금_BS16"/>
      <sheetName val="BS_계정_설명16"/>
      <sheetName val="_Cash_Flow(전사)16"/>
      <sheetName val="_Cash_Flow(자금제외)16"/>
      <sheetName val="_Cash_Flow(자금)16"/>
      <sheetName val="ROIC_16"/>
      <sheetName val="인건비_명세16"/>
      <sheetName val="판관비_명세16"/>
      <sheetName val="OH_Cost경비(내역)16"/>
      <sheetName val="OH_Cost경비(배부기준)16"/>
      <sheetName val="기타수지&amp;특별손익_명세16"/>
      <sheetName val="Process_List15"/>
      <sheetName val="제시_손익계산서15"/>
      <sheetName val="업무연락_(2)15"/>
      <sheetName val="M_7회차_담금_계획15"/>
      <sheetName val="01_02월_성과급16"/>
      <sheetName val="97_사업추정(WEKI)11"/>
      <sheetName val="팀별_실적15"/>
      <sheetName val="팀별_실적_(환산)15"/>
      <sheetName val="6월_공정외주11"/>
      <sheetName val="1_차입금5"/>
      <sheetName val="118_세금과공과6"/>
      <sheetName val="Tong_hop11"/>
      <sheetName val="95_1_1이후취득자산(숨기기상태)11"/>
      <sheetName val="1_MDF1공장13"/>
      <sheetName val="1__시공측량5"/>
      <sheetName val="1_본사계정별6"/>
      <sheetName val="부대시행1_(2)5"/>
      <sheetName val="3_6_2남양주택배5"/>
      <sheetName val="Back_Data_16"/>
      <sheetName val="해외_기술훈련비_(합계)6"/>
      <sheetName val="수종별수량_(2)5"/>
      <sheetName val="전선_및_전선관5"/>
      <sheetName val="1월_예산5"/>
      <sheetName val="_견적서5"/>
      <sheetName val="#1)_투자_구분5"/>
      <sheetName val="Weekly_Progress(계장)5"/>
      <sheetName val="설산1_나5"/>
      <sheetName val="납부내역총괄표_(수정)5"/>
      <sheetName val="설문_평가5"/>
      <sheetName val="Utility_Usage_YTN_TOWER5"/>
      <sheetName val="B-1_기본정보5"/>
      <sheetName val="대투_보관자료_변경5"/>
      <sheetName val="G_R300경비4"/>
      <sheetName val="AS포장복구_4"/>
      <sheetName val="설_계4"/>
      <sheetName val="2013_2월_연결대상5"/>
      <sheetName val="Rev__Recon_14"/>
      <sheetName val="1_고객불만건수4"/>
      <sheetName val="1_변경범위4"/>
      <sheetName val="외주현황_wq15"/>
      <sheetName val="수량산출서_갑지4"/>
      <sheetName val="실행기성_갑지5"/>
      <sheetName val="Eq__Mobilization4"/>
      <sheetName val="KEY_CODE5"/>
      <sheetName val="2-1_강사료,교통비_지급명세5"/>
      <sheetName val="13_포장용역비표준5"/>
      <sheetName val="9_가공부자재표준5"/>
      <sheetName val="8_ROLL표준(TSW)5"/>
      <sheetName val="4_톤당조관량표준5"/>
      <sheetName val="5_조관부자재표준5"/>
      <sheetName val="4__Inj_투자상세내역15"/>
      <sheetName val="3__Blow_투자_상세내역15"/>
      <sheetName val="Jul-Sep_Actual_cost_(2)10"/>
      <sheetName val="요일_테이블15"/>
      <sheetName val="요일_테이블_(2)14"/>
      <sheetName val="TO_Data_Base23"/>
      <sheetName val="YTD_Summary22"/>
      <sheetName val="Month_Summary22"/>
      <sheetName val="Trial_Balance_MAY_200922"/>
      <sheetName val="TB_Pivot22"/>
      <sheetName val="total_per_LB_LB222"/>
      <sheetName val="Trial_Balance_Vlookup22"/>
      <sheetName val="Trial_Balance_APRIL_200922"/>
      <sheetName val="Roll_Out_AQ22"/>
      <sheetName val="Evolução_mandamentos22"/>
      <sheetName val="Planilha_resultados21"/>
      <sheetName val="Historico_200321"/>
      <sheetName val="Sig_Cycles_Accts_&amp;_Processes21"/>
      <sheetName val="3_ISo_YTD15"/>
      <sheetName val="E_法规NC15"/>
      <sheetName val="Données_LMU15"/>
      <sheetName val="Brazil_Sovereign15"/>
      <sheetName val="Resumen_Costo15"/>
      <sheetName val="Fixed_ZBB15"/>
      <sheetName val="5_115"/>
      <sheetName val="Extract_Loss15"/>
      <sheetName val="QA_跟踪记录表15"/>
      <sheetName val="RG_Depots15"/>
      <sheetName val="material_data15"/>
      <sheetName val="other_data15"/>
      <sheetName val="Como_Estamos15"/>
      <sheetName val="Database_(RUR)Mar_YTD15"/>
      <sheetName val="SKU_Mapping15"/>
      <sheetName val="Drop_Down15"/>
      <sheetName val="Raw_Data15"/>
      <sheetName val="EBM-2_GHQ15"/>
      <sheetName val="Base_PEF16"/>
      <sheetName val="Base_de_Dados15"/>
      <sheetName val="Testing_Template_Guidance15"/>
      <sheetName val="Test_Programs15"/>
      <sheetName val="Dados_BLP15"/>
      <sheetName val="Controls_data17"/>
      <sheetName val="FJJX_Bud_IB14"/>
      <sheetName val="look-up_data14"/>
      <sheetName val="JOB_PROFILE_-_LAS15"/>
      <sheetName val="ARdistr_(2)15"/>
      <sheetName val="Prd_Hierarchy(产品层级)14"/>
      <sheetName val="Com_(2PK)14"/>
      <sheetName val="Prd_Hierarchy(产品层次)14"/>
      <sheetName val="Project_Code14"/>
      <sheetName val="15년_BL_사계14"/>
      <sheetName val="_손익기01_XL14"/>
      <sheetName val="drop_down_list14"/>
      <sheetName val="[손익기01_XL_x005f_x0000__x005f_x0000_DePara14"/>
      <sheetName val="[손익기01_XL14"/>
      <sheetName val="Income_Stmt14"/>
      <sheetName val="Quarterly_LBO_Model14"/>
      <sheetName val="_손익기01_XL_x005f_x0000__x005f_x0000_DePara14"/>
      <sheetName val="Classification_分类13"/>
      <sheetName val="Figures_Report13"/>
      <sheetName val="Set_Up14"/>
      <sheetName val="Fare_prices13"/>
      <sheetName val="Hotel_prices13"/>
      <sheetName val="tab_STATUS_DO_PROCESSO_13"/>
      <sheetName val="Perf__Plan__Diário113"/>
      <sheetName val="In_(2)13"/>
      <sheetName val="slide_24_cat_A13"/>
      <sheetName val="slide_82_cat_b13"/>
      <sheetName val="Incident_유형구분표13"/>
      <sheetName val="CLASIFICACION_DE_AI13"/>
      <sheetName val="Base_da_Datos13"/>
      <sheetName val="Dados_dos_Produtos13"/>
      <sheetName val="DD_list13"/>
      <sheetName val="3YP2016-Bottom_up12"/>
      <sheetName val="MASTER_APP12"/>
      <sheetName val="Cond__Inseguros12"/>
      <sheetName val="Comp__Inseguros12"/>
      <sheetName val="Lista_de_datos12"/>
      <sheetName val="Base_de_Datos12"/>
      <sheetName val="_DD_List12"/>
      <sheetName val="Share_Price_200212"/>
      <sheetName val="Clasif_12"/>
      <sheetName val="Lista_CI12"/>
      <sheetName val="Farol_Acciones12"/>
      <sheetName val="Lista_de_Entrenamientos12"/>
      <sheetName val="Supply_Cost_Centers12"/>
      <sheetName val="BEP_加薪_KPI11"/>
      <sheetName val="2-2_투자5"/>
      <sheetName val="Proj__Fin_5"/>
      <sheetName val="ITS_Assumptions4"/>
      <sheetName val="Master_Data4"/>
      <sheetName val="HQ_급여_4"/>
      <sheetName val="OF_급여4"/>
      <sheetName val="F_Ma급여4"/>
      <sheetName val="SMT_급여4"/>
      <sheetName val="QC_급여4"/>
      <sheetName val="Sam_sung_급여4"/>
      <sheetName val="Dlock_급여4"/>
      <sheetName val="_thôi_việc_급여4"/>
      <sheetName val="Công_smt4"/>
      <sheetName val="Công_smt_(2)4"/>
      <sheetName val="Detail_smt4"/>
      <sheetName val="Công_QC4"/>
      <sheetName val="Detail_QC_4"/>
      <sheetName val="Công_SS4"/>
      <sheetName val="Detail_SS4"/>
      <sheetName val="Công_FMa4"/>
      <sheetName val="Detail_FMa4"/>
      <sheetName val="Công_OF4"/>
      <sheetName val="Detail_OF4"/>
      <sheetName val="Công_Dlock4"/>
      <sheetName val="Detail_Dlock4"/>
      <sheetName val="Công_thôi_việc4"/>
      <sheetName val="Detail_thôi4"/>
      <sheetName val="7_Utility_Analysis4"/>
      <sheetName val="Operational_Activities4"/>
      <sheetName val="기초정보_코드4"/>
      <sheetName val="1__작성방식5"/>
      <sheetName val="조도계산서_(도서)4"/>
      <sheetName val="C1_3_14"/>
      <sheetName val="준검_내역서4"/>
      <sheetName val="F_월별기성수금현황_4"/>
      <sheetName val="A(Rev_3)3"/>
      <sheetName val="날개수량1_54"/>
      <sheetName val="표)CFT장_조직별_배분5"/>
      <sheetName val="20180214_P&amp;T5"/>
      <sheetName val="Ref__중점_추진_과제별_상세5"/>
      <sheetName val="2_6_三无_(2)4"/>
      <sheetName val="Worker_List4"/>
      <sheetName val="GB-IC_Villingen_GG4"/>
      <sheetName val="입찰내역_Ĉ3"/>
      <sheetName val="Phieu_trinh_ky_cấu_tháp2"/>
      <sheetName val="Phieu_trinh_ky_VTP2"/>
      <sheetName val="KS-VL_rời2"/>
      <sheetName val="Tai_san2"/>
      <sheetName val="Check_dong_tien2"/>
      <sheetName val="Chi_phí_SDTS2"/>
      <sheetName val="Check_COST2"/>
      <sheetName val="DATA_HD2"/>
      <sheetName val="Tong_hop_1TM2"/>
      <sheetName val="NS_Lán_trại2"/>
      <sheetName val="Check_cong_no_NC2"/>
      <sheetName val="6월_공嚺㓶가4"/>
      <sheetName val="보고서_표4"/>
      <sheetName val="0__가정_및_결론4"/>
      <sheetName val="1__투자비4"/>
      <sheetName val="2__Rent-roll4"/>
      <sheetName val="3__Funding4"/>
      <sheetName val="4__운영수익4"/>
      <sheetName val="5__운영비용4"/>
      <sheetName val="6_1_N+1년차_NOI_산정4"/>
      <sheetName val="6__부동산매각4"/>
      <sheetName val="7__보유세4"/>
      <sheetName val="8__교통유발부담금4"/>
      <sheetName val="9__BS부속4"/>
      <sheetName val="10__CF(M)4"/>
      <sheetName val="11__IS(M)4"/>
      <sheetName val="12__BS(M)4"/>
      <sheetName val="14__IS(FY)4"/>
      <sheetName val="13__CF(FY)4"/>
      <sheetName val="15__BS(FY)4"/>
      <sheetName val="16__RE(FY)4"/>
      <sheetName val="M&amp;Q_Lead4"/>
      <sheetName val="4_1_월별_에너지_사용량4"/>
      <sheetName val="STRAT_PLAN_WKSHT4"/>
      <sheetName val="Sales_Plan_&amp;_other4"/>
      <sheetName val="drop_downs3"/>
      <sheetName val="Bank_code5"/>
      <sheetName val="Drop-down_RAW5"/>
      <sheetName val="산자사_운전용품3"/>
      <sheetName val="업무_분류(Category)3"/>
      <sheetName val="전기요금_산출내역2"/>
      <sheetName val="3_일반사상3"/>
      <sheetName val="부재료_비교(11년_vs_10년)9"/>
      <sheetName val="Dashboard_Prevención_Riesgos_11"/>
      <sheetName val="TOP_KPIs_MTM11"/>
      <sheetName val="PLAN_DE_ACCION11"/>
      <sheetName val="Faro_de_Indicadores11"/>
      <sheetName val="Unidades_SAC-REVENDA13"/>
      <sheetName val="FornecM_Check11"/>
      <sheetName val="Hazards_Analysis-隐患分析11"/>
      <sheetName val="F08_-_Asia_Pac_Full_Year_Q312"/>
      <sheetName val="Top_Priorities12"/>
      <sheetName val="Listco_Stock12"/>
      <sheetName val="Intl_Purchase12"/>
      <sheetName val="FY_outlook12"/>
      <sheetName val="CY_outlook12"/>
      <sheetName val="Cash_metrics12"/>
      <sheetName val="P6_712"/>
      <sheetName val="DATOS_BASE11"/>
      <sheetName val="Estratificación_AI11"/>
      <sheetName val="condicion_inseguras11"/>
      <sheetName val="Actos_Inseguros11"/>
      <sheetName val="Control_de_incidentes11"/>
      <sheetName val="Plan_de_Acción11"/>
      <sheetName val="_손익기01_XL_x005f_x005f_x005f_x0000__x005f_x005f_11"/>
      <sheetName val="Issues_List_Payments11"/>
      <sheetName val="turnover_reason퇴직사유11"/>
      <sheetName val="Grafica_Actos11"/>
      <sheetName val="POC_LIST11"/>
      <sheetName val="Condiciones_SyE11"/>
      <sheetName val="DETALLE_MENSUAL11"/>
      <sheetName val="do_not_delete11"/>
      <sheetName val="APAC_S11"/>
      <sheetName val="APAC_N11"/>
      <sheetName val="Slide_output11"/>
      <sheetName val="[손익기01_XL??DePara11"/>
      <sheetName val="Farol_Metas11"/>
      <sheetName val="Mod_Relac_11"/>
      <sheetName val="REALxMETA_-_CERVEJA13"/>
      <sheetName val="REALxMETA_-_REFRI13"/>
      <sheetName val="Directrices_de_Metas_201711"/>
      <sheetName val="SKU_Basic_Data11"/>
      <sheetName val="Entity_Target11"/>
      <sheetName val="VALIDACION_DE_DATOS10"/>
      <sheetName val="Drop-down_List10"/>
      <sheetName val="by_DD10"/>
      <sheetName val="Check_Qualidade9"/>
      <sheetName val="De_Para10"/>
      <sheetName val="Check_Aderencia9"/>
      <sheetName val="Exchange_rate5"/>
      <sheetName val="TOWER_12TON4"/>
      <sheetName val="TOWER_10TON4"/>
      <sheetName val="JIB_CRANE,HOIST4"/>
      <sheetName val="1-2_설계변경요청서(갑지)2"/>
      <sheetName val="첨부1_(주차관제-_당공)2"/>
      <sheetName val="첨부1-1_설계변경내역서(CCTV)2"/>
      <sheetName val="첨부1-2_(주차관제-변공)2"/>
      <sheetName val="2-6_변공량(추가공사)2"/>
      <sheetName val="_2-1_관제(물량산출서집계표)2"/>
      <sheetName val="_2-2_유도(물량산출서집계표)2"/>
      <sheetName val="3-1_주차관제2"/>
      <sheetName val="3-2_주차-광케이블2"/>
      <sheetName val="3-3_층별LPR2"/>
      <sheetName val="4-1_유도-광케이블2"/>
      <sheetName val="4-2_주차키오스크2"/>
      <sheetName val="4-3_4면카메라2"/>
      <sheetName val="4-5_CCTV2"/>
      <sheetName val="4-6_블럭유도등2"/>
      <sheetName val="4-7_입구만차등2"/>
      <sheetName val="4-8_비상벨2"/>
      <sheetName val="구분_Table2"/>
      <sheetName val="역T형옹벽(3_0)2"/>
      <sheetName val="외상매출금현황-수정분_A22"/>
      <sheetName val="#1_Basic3"/>
      <sheetName val="첨부#2_Cash_Flow(현장작성)3"/>
      <sheetName val="문의내용_카테고리_분류(수정X)2"/>
      <sheetName val="1~9_하중계산2"/>
      <sheetName val="1_수인터널3"/>
      <sheetName val="시스템_개요_유효값2"/>
      <sheetName val="Basic_Information5"/>
      <sheetName val="JT3_0견적-구12"/>
      <sheetName val="진행_DATA_(2)4"/>
      <sheetName val="견적_맵2"/>
      <sheetName val="Dropbox_목록3"/>
      <sheetName val="Diesel_Price_2"/>
      <sheetName val="업무분장_2"/>
      <sheetName val="7300-1000_113"/>
      <sheetName val="PJT_현황2"/>
      <sheetName val="참고)_기준정보2"/>
      <sheetName val="Long_Term_Prices2"/>
      <sheetName val="Investment_Category2"/>
      <sheetName val="Base_Farol9"/>
      <sheetName val="Gerencial_IL9"/>
      <sheetName val="Ventas_Campo9"/>
      <sheetName val="ACTOS_POR_RIESGO9"/>
      <sheetName val="drop_lists9"/>
      <sheetName val="MRL_NON_SUPPLY_URU9"/>
      <sheetName val="AIIM_-_Empresas_Ext_20129"/>
      <sheetName val="KPIs_Hana9"/>
      <sheetName val="Catalago_de_refacciones_9"/>
      <sheetName val="Existencias_al_07-Nov-20129"/>
      <sheetName val="Check_GG9"/>
      <sheetName val="_손익기01_XL_x005f_x0000__x09"/>
      <sheetName val="요일_테이블_9"/>
      <sheetName val="Nombre_de_SOP9"/>
      <sheetName val="_mngt_Pillar9"/>
      <sheetName val="2__Indicadores9"/>
      <sheetName val="Ta_9"/>
      <sheetName val="Sheet3_(2)9"/>
      <sheetName val="Lao_&amp;_Cam9"/>
      <sheetName val="Hoegaarden_20199"/>
      <sheetName val="Lao_&amp;_Cam_20199"/>
      <sheetName val="Malaysia_20199"/>
      <sheetName val="Singapore_20199"/>
      <sheetName val="Sheet2_(2)9"/>
      <sheetName val="Other_Listings9"/>
      <sheetName val="Lista_de_Entrenamientos_RSO9"/>
      <sheetName val="Tablero_SDG12"/>
      <sheetName val="Lista_Areas12"/>
      <sheetName val="One_Page12"/>
      <sheetName val="Sub-Productos_HN10"/>
      <sheetName val="Eficiencia_linea9"/>
      <sheetName val="Pauta_RPS_Distribuição8"/>
      <sheetName val="Estoque_(2)8"/>
      <sheetName val="DATOS_DE_VALIDACIÓN8"/>
      <sheetName val="Datos_con8"/>
      <sheetName val="_Datos_Cond_8"/>
      <sheetName val="Comp_Inseguros8"/>
      <sheetName val="BNR_2012_в_ящике8"/>
      <sheetName val="INGRESO_(2)8"/>
      <sheetName val="PG-K1610_(UEN_Areas)MNG8"/>
      <sheetName val="DATOS_GEN_8"/>
      <sheetName val="NUEVOS_CRITERIOS8"/>
      <sheetName val="Condiciones_Agua8"/>
      <sheetName val="DO_NOT_MOVE8"/>
      <sheetName val="Dropdown_list7"/>
      <sheetName val="Control_de_Fallas7"/>
      <sheetName val="Setup_for_Templates7"/>
      <sheetName val="Datos_emp7"/>
      <sheetName val="Drop_list7"/>
      <sheetName val="FX_Rates7"/>
      <sheetName val="Proced_7"/>
      <sheetName val="Cut_Machine_Summary7"/>
      <sheetName val="Validation_lists7"/>
      <sheetName val="__한국_AMP_ASP-23_판㧤가격__7"/>
      <sheetName val="11_䡸화채무줝ⴌ(AFS,HTM)087"/>
      <sheetName val="TIPO_DE_ACTO7"/>
      <sheetName val="CRITICIDAD_DE_CI7"/>
      <sheetName val="Catálogo_de_CI7"/>
      <sheetName val="%_CUMPLIMIENTO7"/>
      <sheetName val="%_cumplimiento_7"/>
      <sheetName val="CALIFICACIONES_20195"/>
      <sheetName val="Lev_4_360_deg_check_Crit_Task5"/>
      <sheetName val="Lev_4_Chk_IC_Stock_Crit_Task5"/>
      <sheetName val="Lev_4_WMS_Putaway_Crit_Task5"/>
      <sheetName val="Vagas_x_Candidatos7"/>
      <sheetName val="Listas_y_equipos_a_evaluar7"/>
      <sheetName val="Data_Reporte7"/>
      <sheetName val="Read_me7"/>
      <sheetName val="Champions_List6"/>
      <sheetName val="NAZ_Strategy5"/>
      <sheetName val="Daily_Dashboard7"/>
      <sheetName val="Mapeo_SKUs10"/>
      <sheetName val="Vol_(Ds)10"/>
      <sheetName val="Vol_(Ka)10"/>
      <sheetName val="Vol_(Oth)10"/>
      <sheetName val="Vol_(Oth)_Cortesias10"/>
      <sheetName val="INPUT-Cust_Sugg_Margin(Ds)10"/>
      <sheetName val="On_Invoice10"/>
      <sheetName val="INPUT-Cust_Sugg_Margin(Ka)10"/>
      <sheetName val="INPUT_SKUs10"/>
      <sheetName val="Brand_P&amp;L7"/>
      <sheetName val="SUPERMONT_P8"/>
      <sheetName val="Data_selection6"/>
      <sheetName val="1_6"/>
      <sheetName val="Customer_&amp;_SO5"/>
      <sheetName val="Session_Proposal5"/>
      <sheetName val="Dropdown_Menu3"/>
      <sheetName val="Análise_Tempos4"/>
      <sheetName val="Incentivo_Automóvil4"/>
      <sheetName val="PDA_BOP4"/>
      <sheetName val="Validação_de_Dados4"/>
      <sheetName val="No_llenar_4"/>
      <sheetName val="유류대_현황3"/>
      <sheetName val="1__템플릿3"/>
      <sheetName val="2__작성_참고사항3"/>
      <sheetName val="mapping_(2)3"/>
      <sheetName val="Ref_3"/>
      <sheetName val="Lista_de_Motivos4"/>
      <sheetName val="Ponto_Crítico_-_Resp__Plano4"/>
      <sheetName val="Lista_Funcionários_(2)4"/>
      <sheetName val="2_3_Projects_Status3"/>
      <sheetName val="PROCESS_MD4"/>
      <sheetName val="Consolidated_Project_List3"/>
      <sheetName val="Fixed_Cost3"/>
      <sheetName val="Project_List3"/>
      <sheetName val="Выпадающие_списки3"/>
      <sheetName val="Listas_desplegables3"/>
      <sheetName val="Resumen_General3"/>
      <sheetName val="Cátalogo_de_CI3"/>
      <sheetName val="Hoja2_(2)3"/>
      <sheetName val="Technology_check_list3"/>
      <sheetName val="Status_de_Usuario3"/>
      <sheetName val="Actos_y_Condiciones_3"/>
      <sheetName val="NO_BORRAR3"/>
      <sheetName val="Formato_checklist_Lab3"/>
      <sheetName val="SOP_Freshness2"/>
      <sheetName val="PAINEL_RECOLHA_CRÉDITO4"/>
      <sheetName val="Gráficos_-_CDD4"/>
      <sheetName val="3__Training_&amp;_travel5"/>
      <sheetName val="Dimension_IN_Sheet1!D19122"/>
      <sheetName val="Dimension_IN_19122"/>
      <sheetName val="Manage_to_Sustain2"/>
      <sheetName val="Meeting_List2"/>
      <sheetName val="Packages_Info2"/>
      <sheetName val="Preferred_Option2"/>
      <sheetName val="입문_트랜드(종합분석)2"/>
      <sheetName val="Master_CE2"/>
      <sheetName val="CE_Final_2"/>
      <sheetName val="OL_LIST2"/>
      <sheetName val="YTD_GUEST_LIST2"/>
      <sheetName val="Session_Full_list2"/>
      <sheetName val="FOOD_PAYMENT_update_JAN2"/>
      <sheetName val="Rate_card_F19_2"/>
      <sheetName val="Master_Plan__(update)2"/>
      <sheetName val="The_KPI_2"/>
      <sheetName val="Mentor_Plan_2"/>
      <sheetName val="Master_Plan_2"/>
      <sheetName val="Tier_1_GOV_PC_Networking_2"/>
      <sheetName val="Tier_1_LBO_2"/>
      <sheetName val="2020_MMR122"/>
      <sheetName val="Razão_Social2"/>
      <sheetName val="control_sheet2"/>
      <sheetName val="방배동내역_(총괄)2"/>
      <sheetName val="BSD_(2)2"/>
      <sheetName val="Project_Count2"/>
      <sheetName val="PF_현황(11년12월)2"/>
      <sheetName val="Sensitivity_and_GC_Value2"/>
      <sheetName val="SRS_월별_BS3"/>
      <sheetName val="평가&amp;선급_미지급3"/>
      <sheetName val="EXC_IND2"/>
      <sheetName val="COLOR별_인쇄2"/>
      <sheetName val="Mot_So_Thuat_Ngu_EN-VI3"/>
      <sheetName val="노원열병합__건축공사기성내역서2"/>
      <sheetName val="3_공통공사대비2"/>
      <sheetName val="현장관리비_산출내역2"/>
      <sheetName val="무형자산_LS112"/>
      <sheetName val="NG_Item4"/>
      <sheetName val="NCR_HEC_6_Opens2"/>
      <sheetName val="NCR_HEC_4_Open_&amp;_Vendor_2_Open2"/>
      <sheetName val="NKC_(final)2"/>
      <sheetName val="수량산출서_(2)2"/>
      <sheetName val="토공(우물통,기타)_1"/>
      <sheetName val="첨부1-2__증감사유내역서(을)1"/>
      <sheetName val="참고3_DATA1"/>
      <sheetName val="경계석,골재외_(2)1"/>
      <sheetName val="Ref__Spec_Review_양식4"/>
      <sheetName val="Ref__시험항목_테이블4"/>
      <sheetName val="Ref__Search_Result_테이블4"/>
      <sheetName val="2_FM_Fee_2차년도2"/>
      <sheetName val="3_감가장비2"/>
      <sheetName val="10_예산_및_원가_계획(02년)2"/>
      <sheetName val="경영비율_3"/>
      <sheetName val="4월_매출1"/>
      <sheetName val="SPT_vs_PHI1"/>
      <sheetName val="Insight_MTD_QTD_YTD_DATA1"/>
      <sheetName val="Working_(PivotTable)1"/>
      <sheetName val="Essbase_(53_Weeks)1"/>
      <sheetName val="Essbase_(52_Weeks)1"/>
      <sheetName val="Store_Listing1"/>
      <sheetName val="COMP_Working1"/>
      <sheetName val="COMP_LLY_Working1"/>
      <sheetName val="ALK_Chi_tiết_công_nợ1"/>
      <sheetName val="CHITIET_VL-NC-TT1p1"/>
      <sheetName val="20년_동일기간_소테마2"/>
      <sheetName val="PH_51"/>
      <sheetName val="bar_chart-rev1"/>
      <sheetName val="07_012"/>
      <sheetName val="3_판관비명세서1"/>
      <sheetName val="유효성_목록1"/>
      <sheetName val="총_원가계산1"/>
      <sheetName val="1_설계조건1"/>
      <sheetName val="1_설계기준1"/>
      <sheetName val="UPA(Part_C,D,E,G,H)1"/>
      <sheetName val="UPA(Part_F)1"/>
      <sheetName val="일위대가_(Part_C,D,E,G,H)1"/>
      <sheetName val="목차_1"/>
      <sheetName val="0__물류비집계_rev11"/>
      <sheetName val="0__물류비_집계1"/>
      <sheetName val="(1-2)_국내_구간별_운송_견적_11"/>
      <sheetName val="(1-1)_국내_구간별_운송_실적__(2)1"/>
      <sheetName val="(1)_국내_사이트_상세_주소_1"/>
      <sheetName val="수입_건수_정리1"/>
      <sheetName val="(2-1)_수출_해상_(LCL)_1"/>
      <sheetName val="(2-2)_수출_항공_1"/>
      <sheetName val="(2-4)_수출_내륙_운송료1"/>
      <sheetName val="(3-1)_수입_해상_(FCL)1"/>
      <sheetName val="(3-2)_수입_해상_(LCL)_1"/>
      <sheetName val="(3-3)_수입_항공_1"/>
      <sheetName val="(3-5)_수입_내륙_운송료1"/>
      <sheetName val="운송내역_1"/>
      <sheetName val="완성차_미수금1"/>
      <sheetName val="Process_Li1"/>
      <sheetName val="sum_1"/>
      <sheetName val="운영경비_세부작성근거2"/>
      <sheetName val="카테고리_분류_(수정X)1"/>
      <sheetName val="_Drop1"/>
      <sheetName val="SAP_검증(평균환율)1"/>
      <sheetName val="SAP_검증(월말환율)1"/>
      <sheetName val="전분기말_정산표(PQE)1"/>
      <sheetName val="전년동기_정산표1"/>
      <sheetName val="전기말_정산표(PYE)1"/>
      <sheetName val="당기말_정산표(CPE)1"/>
      <sheetName val="A01-3_조정내역1"/>
      <sheetName val="A01-3_단순합산1"/>
      <sheetName val="매출채권_및_금융자산1"/>
      <sheetName val="A03-3_연결조정1"/>
      <sheetName val="A07__유형자산_차기이월,_미실현1"/>
      <sheetName val="A07__유형자산_감가상각1"/>
      <sheetName val="A08__연결_조정1"/>
      <sheetName val="A09__연결_조정1"/>
      <sheetName val="B01_연결_조정1"/>
      <sheetName val="B04_연결_조정1"/>
      <sheetName val="B05_연결_조정1"/>
      <sheetName val="납입자본(연결자본변동표_참조_작성)1"/>
      <sheetName val="이익잉여금(연결자본변동표_참조_작성)1"/>
      <sheetName val="기타포괄손익누계액(연결자본변동표_참조_작성)1"/>
      <sheetName val="D01_연결_조정1"/>
      <sheetName val="주당손익(개별파일_작성)1"/>
      <sheetName val="7__2_4"/>
      <sheetName val="Report_Setup3"/>
      <sheetName val="OWNER-1_(2)3"/>
      <sheetName val="고객만족도_향상1"/>
      <sheetName val="108_수선비1"/>
      <sheetName val="BS준비_XLS1"/>
      <sheetName val="BS%EC%A4%80%EB%B9%84_XLS1"/>
      <sheetName val="퇴직금추계(04_9_30)1"/>
      <sheetName val="1_경제설계1"/>
      <sheetName val="경수97_021"/>
      <sheetName val="1995년_섹터별_매출1"/>
      <sheetName val="44-2Q_주석_xlsx1"/>
      <sheetName val="팀_업체별_월기성실적1"/>
      <sheetName val="팀_업체별_시공의뢰1"/>
      <sheetName val="A_(3)1"/>
      <sheetName val="DL08_DF_모드1"/>
      <sheetName val="원지_수급가1"/>
      <sheetName val="2_상각보정명세1"/>
      <sheetName val="4b_Consolidated_PL1"/>
      <sheetName val="TT_List1"/>
      <sheetName val="▶_일일출역_집계_202108191433161"/>
      <sheetName val="Ⅴ-2_공종별내역1"/>
      <sheetName val="ITB_COST1"/>
      <sheetName val="입찰내역_1"/>
      <sheetName val="견적_(2)1"/>
      <sheetName val="실행내역서_1"/>
      <sheetName val="Ext__Stone-P"/>
      <sheetName val="Process_Li 鸴"/>
      <sheetName val="단양_00_아파트-세부내역1"/>
      <sheetName val="Rate_Analysis"/>
      <sheetName val="_손익기01_XL_x005f_x0000__x005f_x005f_x0"/>
      <sheetName val="Xunit_(단위환산)"/>
      <sheetName val="KPIs-_TTP,_PTP,_People_Turnover"/>
      <sheetName val="1월_목표"/>
      <sheetName val="FILIAL_MINAS"/>
      <sheetName val="info_for_drop_box"/>
      <sheetName val="POCM_배송지"/>
      <sheetName val="데이터_유효성_목록"/>
      <sheetName val="Mapping_"/>
      <sheetName val="WS_DB"/>
      <sheetName val="Region_"/>
      <sheetName val="SKU_DB"/>
      <sheetName val="10_麦汁CIP清洗标准水量"/>
      <sheetName val="Tipo_Viaje"/>
      <sheetName val="Flota_y_Personal"/>
      <sheetName val="SAP_info"/>
      <sheetName val="Target_Book"/>
      <sheetName val="Name_List"/>
      <sheetName val="Ref_New_Contract_Model"/>
      <sheetName val="DIAGEO_VENTURE"/>
      <sheetName val="MAESTRO_CODIGOS"/>
      <sheetName val="Por_regional"/>
      <sheetName val="Por_Proveedor"/>
      <sheetName val="X_Categoria"/>
      <sheetName val="Por_Vendedor"/>
      <sheetName val="Por_Mayoristas"/>
      <sheetName val="Por_Cliente"/>
      <sheetName val="Por_producto"/>
      <sheetName val="Por_producto_cant_"/>
      <sheetName val="Por_producto_cant__(2)"/>
      <sheetName val="Por_Vendedor_X_Ciudad"/>
      <sheetName val="Act_por_cliente"/>
      <sheetName val="Act_por_Proveedor"/>
      <sheetName val="Act_por_producto"/>
      <sheetName val="입찰내역_Ĉ_x005f_x0000__x005f_x0000_ᇆ"/>
      <sheetName val="입찰내역_Ĉ_x005f_x0000__x005f_x0000_ᇆ"/>
      <sheetName val="특수,항공_부서코드표3"/>
      <sheetName val="예산조정신청서_양식3"/>
      <sheetName val="96예산신청을_위한_양식및_공문3"/>
      <sheetName val="96예산신청을%20위한%20양식및%20공문_XLS1"/>
      <sheetName val="제임스짐_예상매출_for_2023B"/>
      <sheetName val="ACTIVITY_CODE_&amp;_AREA_LIST"/>
      <sheetName val="예산표_"/>
      <sheetName val="PAINT_(2)"/>
      <sheetName val="물량표_(2)"/>
      <sheetName val="Noncurrent_assets"/>
      <sheetName val="1)_MALL"/>
      <sheetName val="2_Consideration_sheet1"/>
      <sheetName val="3__Export1"/>
      <sheetName val="표지_(3)"/>
      <sheetName val="Act_vs__budget"/>
      <sheetName val="a_연결정리"/>
      <sheetName val="2021_KPI_SD_(대표이사)"/>
      <sheetName val="07~08_PL"/>
      <sheetName val="_손익기01_XL__DePara1"/>
      <sheetName val="Ⅱ_추정종합"/>
      <sheetName val="단독빌딩_총합계본"/>
      <sheetName val="96보완계획7_121"/>
      <sheetName val="member_design"/>
      <sheetName val="design_criteria"/>
      <sheetName val="working_load_at_the_btm_ft_"/>
      <sheetName val="plan&amp;section_of_foundation"/>
      <sheetName val="97_사업추정(W؀"/>
      <sheetName val="Requirement(Work_Crew)"/>
      <sheetName val="3BL공동구_수량"/>
      <sheetName val="NON_SLIP"/>
      <sheetName val="8호선_원가_투입내역"/>
      <sheetName val="Criteria_List"/>
      <sheetName val="DATA_SHEET(절대삭제_금지)"/>
      <sheetName val="Spreadsheet_Information"/>
      <sheetName val="VS_P-Q"/>
      <sheetName val="Electrical_Load_List"/>
      <sheetName val="_손익기01_XL_x005f_x0000__x8"/>
      <sheetName val="_x0000__x005f"/>
      <sheetName val="_x005f_x0018__x005f"/>
      <sheetName val="[손익기01_XL_x0000__x0000_DePara12"/>
      <sheetName val="_손익기01_XL_x0000__x0000_DePara12"/>
      <sheetName val="_손익기01_XL_x005f_x0000__x9"/>
      <sheetName val="_손익기01_XL_x0000__x07"/>
      <sheetName val="[손익기01_XL_x0000__x0000_DePara13"/>
      <sheetName val="_손익기01_XL_x0000__x0000_DePara13"/>
      <sheetName val="_손익기01_XL_x005f_x0000__10"/>
      <sheetName val="_손익기01_XL_x0000__x08"/>
      <sheetName val="종합표양식(품의좲?쒥⠀쮎_x001d__x0000__x0000_"/>
      <sheetName val="_x0000__x00_x0000__x0000__x0000_"/>
      <sheetName val="[손익기01_XL_x0000__x0000_DePara14"/>
      <sheetName val="_손익기01_XL_x0000__x0000_DePara14"/>
      <sheetName val="_손익기01_XL_x005f_x0000__11"/>
      <sheetName val="_손익기01_XL_x0000__x09"/>
      <sheetName val="6PILE__(?ㆥ堀"/>
      <sheetName val="자본금99(수)"/>
      <sheetName val="8월현금흐름표"/>
      <sheetName val="KENworth"/>
      <sheetName val="범한여행"/>
      <sheetName val="Template"/>
      <sheetName val="Attach 4-18"/>
      <sheetName val="_손익기01_XL__DePara2"/>
      <sheetName val="_손익기01_XL__DePara3"/>
      <sheetName val="_손익기01_XL__DePara4"/>
      <sheetName val="_손익기01_XL__DePara5"/>
      <sheetName val="_손익기01_XL__DePara6"/>
      <sheetName val="_손익기01_XL__DePara7"/>
      <sheetName val="_손익기01_XL__DePara8"/>
      <sheetName val="Planilha_relts__eos7"/>
      <sheetName val="_손익기01_XL__DePara9"/>
      <sheetName val="슬래_"/>
      <sheetName val="_손익기01_XL__DePara10"/>
      <sheetName val="※유형구분분류 (2)"/>
      <sheetName val="Ref1"/>
      <sheetName val="1-8"/>
      <sheetName val="HK1.83站合力改善 "/>
      <sheetName val="D"/>
      <sheetName val="act98"/>
      <sheetName val="건설중인"/>
      <sheetName val="대지급(한미)"/>
      <sheetName val="제조원가"/>
      <sheetName val="원료 CODE"/>
      <sheetName val="계열사현황종합"/>
      <sheetName val="Xunit_(단위환산)1"/>
      <sheetName val="특수,항공_부서코드표4"/>
      <sheetName val="예산조정신청서_양식4"/>
      <sheetName val="96예산신청을_위한_양식및_공문4"/>
      <sheetName val="96예산신청을%20위한%20양식및%20공문_XLS2"/>
      <sheetName val="Piping Design Data"/>
      <sheetName val="DANHPHAP"/>
      <sheetName val="CHITIET VL-NC-TT -1p"/>
      <sheetName val="CHITIET VL-NC-TT-3p"/>
      <sheetName val="TONG HOP VL-NC TT"/>
      <sheetName val="TDTKP1"/>
      <sheetName val="KPVC-BD "/>
      <sheetName val="_x005f_x0000__x00_x0000__x0000_Ԁ"/>
      <sheetName val="95년12월말"/>
      <sheetName val="1_종합손익탬됊혁酧_x0000__x0000_ꠀⅱ"/>
      <sheetName val="1_종합손익훬酧_x0000__x0000_怀ꇨ吖ᑌ"/>
      <sheetName val="1_종합손익훬酧_x0000__x0000_㠀ᥖ吨ᑌ"/>
      <sheetName val="1_종합손익(_x0000__x0000_ᥨᗊ"/>
      <sheetName val="1_종합손익(葔ǯૐŖ"/>
      <sheetName val="1_종합손익(_x0000__x0000__x0005__x0000_"/>
      <sheetName val="변경전"/>
      <sheetName val="동력"/>
      <sheetName val="변압기"/>
      <sheetName val="청산공사"/>
      <sheetName val="별제권_정리담보권"/>
      <sheetName val="일위대가D"/>
      <sheetName val="단"/>
      <sheetName val="로우프"/>
      <sheetName val="개산견적원본"/>
      <sheetName val="OUTER_AREA(_x0000__x0000_Ԁ_x0000_ "/>
      <sheetName val="OUTER_AREA(_x0000__x0000_Ԁ_x0000_퀀"/>
      <sheetName val="OUTER_AREA(_x0000__x0000_Ԁ_x0000_ꀀ"/>
      <sheetName val="OUTER_AREA(_x0000__x0000_Ԁ_x0000_䀀"/>
      <sheetName val="기성내역"/>
      <sheetName val="개요"/>
      <sheetName val="실토지와투자자12.6.30"/>
      <sheetName val="계획대비 실적_조정후"/>
      <sheetName val="투자비 상세(180117_김인태+2F 리모델링 추가)"/>
      <sheetName val="대비"/>
      <sheetName val="콘크리트타설집계표"/>
      <sheetName val="차도부연장현황"/>
      <sheetName val="C_d"/>
      <sheetName val="Sheet⤖_x0000_崒"/>
      <sheetName val="간접비 총괄표"/>
      <sheetName val="구의33고"/>
      <sheetName val="Notes"/>
      <sheetName val="D1300 자삽"/>
      <sheetName val="생계99ST"/>
      <sheetName val="SHAFT"/>
      <sheetName val="적용단가표 (2)"/>
      <sheetName val="시설이용권명세서"/>
      <sheetName val="NBCF"/>
      <sheetName val="INVDAYS"/>
      <sheetName val="Data추가sheet"/>
      <sheetName val="수리결과"/>
      <sheetName val="자재 집계표"/>
      <sheetName val="변동인Ã"/>
      <sheetName val="변동인´"/>
      <sheetName val="변동인Ý"/>
      <sheetName val="전체공정표"/>
      <sheetName val="업무연덽_(2)9"/>
      <sheetName val="일위_파일"/>
      <sheetName val="REQUEST"/>
      <sheetName val="VC"/>
      <sheetName val="재고선1"/>
      <sheetName val="연차일수"/>
      <sheetName val="XL4Poppy"/>
      <sheetName val="_x0000_ "/>
      <sheetName val="_x0000__x0009_"/>
      <sheetName val="실행간萹_x0014_旄"/>
      <sheetName val="실행간萹į㿔"/>
      <sheetName val="실행간萹⼴"/>
      <sheetName val="실행간萹%ㄤ"/>
      <sheetName val="실행간萹ç⽄"/>
      <sheetName val="실행간萹Ľ≌"/>
      <sheetName val="실행간萹Ăㇴ"/>
      <sheetName val="실행간萹à⌌"/>
      <sheetName val="실행간萹Ó㋄"/>
      <sheetName val="실행간萹Ĭ㈤"/>
      <sheetName val="실행간_x0000__x0000__x0005_"/>
      <sheetName val="Report"/>
      <sheetName val="손익(11)_수출포_x0000_"/>
      <sheetName val="영업.일1"/>
      <sheetName val="제조원가계산"/>
      <sheetName val="품목별매출"/>
      <sheetName val="A-41"/>
      <sheetName val="주요지표"/>
      <sheetName val=" PL"/>
      <sheetName val="매출액명세"/>
      <sheetName val="매출원가명세"/>
      <sheetName val="매출이익명세"/>
      <sheetName val="판관비-공통"/>
      <sheetName val="판관비-기타경비명세"/>
      <sheetName val="기타&amp;특별수지 명세"/>
      <sheetName val="매출채권산출"/>
      <sheetName val="재고자산산출"/>
      <sheetName val="수입계획"/>
      <sheetName val="매입채무산출"/>
      <sheetName val="이자비용"/>
      <sheetName val="BS계정"/>
      <sheetName val="ROIC"/>
      <sheetName val=" Cash Flow"/>
      <sheetName val="Sensible Indicator"/>
      <sheetName val="익산"/>
      <sheetName val="총제품수불"/>
      <sheetName val="을"/>
      <sheetName val="총괄갑 "/>
      <sheetName val="공통자료"/>
      <sheetName val="____01_XL_x005f_x005f_x005f_x0000__x005f_x005f__2"/>
      <sheetName val="____01_XL_x005f_x005f_x005f_x0000__x005f_x005f__3"/>
      <sheetName val="____01_XL_x005f_x005f_x005f_x0000__x005f_x005f__4"/>
      <sheetName val="____01_XL_x005f_x005f_x005f_x0000__x005f_x005f__5"/>
      <sheetName val="____01_XL_x005f_x005f_x005f_x0000__x005f_x005f__6"/>
      <sheetName val="____01_XL_x005f_x005f_x005f_x0000__x005f_x005f__7"/>
      <sheetName val="일위대가1"/>
      <sheetName val="U-TYPE(1)"/>
      <sheetName val="anti-termite"/>
      <sheetName val="Manpower costs + data"/>
      <sheetName val="10.Linkway"/>
      <sheetName val="Project Name"/>
      <sheetName val="Deliver Date"/>
      <sheetName val="Staff"/>
      <sheetName val="Prelim"/>
      <sheetName val="12"/>
      <sheetName val="은아수_05월 주간 및 요일별 평균매출"/>
      <sheetName val="공사설계서"/>
      <sheetName val="직노"/>
      <sheetName val="2001Org"/>
      <sheetName val="H_P견적(참조)"/>
      <sheetName val="공사예산하조서(O_K)"/>
      <sheetName val="인제내역"/>
      <sheetName val="기본자료"/>
      <sheetName val="개요DATA, 인건비 변경(화성비봉)"/>
      <sheetName val="단위세대 마감(용인역북)"/>
      <sheetName val="승강기 산출 data ( 화성비봉)"/>
      <sheetName val="특화 DATA(화성비봉"/>
      <sheetName val="경관심의 검토"/>
      <sheetName val="심의관련 추가"/>
      <sheetName val="광주용두-대비"/>
      <sheetName val="세대 (1단지)"/>
      <sheetName val="대비 (2)"/>
      <sheetName val="장비 (2)"/>
      <sheetName val="수량집계"/>
      <sheetName val="기성청구°_x0000__x0000__x0000_"/>
      <sheetName val="종현황"/>
      <sheetName val="단가비교표"/>
      <sheetName val="스테인리스 (일위대가)"/>
      <sheetName val="스테인리스 (일위대가) 요약"/>
      <sheetName val="0000"/>
      <sheetName val="_손익기01_XL_x005f_x0000__x005f_x005f_x1"/>
      <sheetName val="_손익기01_XL_x005f_x0000__x005f_x005f_x2"/>
      <sheetName val="_손익기01_XL_x005f_x0000__x005f_x005f_x3"/>
      <sheetName val="Planilha_relts?eos7"/>
      <sheetName val="_손익기01_XL_x005f_x0000__x005f_x005f_x4"/>
      <sheetName val="_손익기01_XL_x005f_x0000__x005f_x005f_x5"/>
      <sheetName val="_손익기01_XL_x005f_x0000__x005f_x005f_x6"/>
      <sheetName val="_손익기01_XL_x005f_x0000__x005f_x005f_x7"/>
      <sheetName val="_손익기01_XL_x005f_x0000__x005f_x005f_x8"/>
      <sheetName val="_손익기01_XL_x005f_x0000__x005f_x005f_x9"/>
      <sheetName val="_손익기01_XL_x005f_x0000__x005f_x005f_10"/>
      <sheetName val="Field"/>
      <sheetName val="TA10"/>
      <sheetName val="Ma CV"/>
      <sheetName val="C&amp;C유형"/>
      <sheetName val="원가계산"/>
      <sheetName val="계림(함평)"/>
      <sheetName val="계림(장성)"/>
      <sheetName val="투찰가"/>
      <sheetName val="인천제철"/>
      <sheetName val="신규공종"/>
      <sheetName val="공정-일반MG"/>
      <sheetName val="아파트진행률"/>
      <sheetName val="材料费"/>
      <sheetName val="재료집계"/>
      <sheetName val="K55수출"/>
      <sheetName val="表21_净利润_xdac0_㹛+"/>
      <sheetName val="1_종합손익탬됊혁酧"/>
      <sheetName val="1_종합손익훬酧"/>
      <sheetName val="1_종합손익("/>
      <sheetName val="종합표양식(품의_&amp;¾"/>
      <sheetName val="7_공사비집记ଯ_x0000_ᤅ೟翷_x0000_"/>
      <sheetName val="운행일지"/>
      <sheetName val="상품보조수불"/>
      <sheetName val="샤워실위생"/>
      <sheetName val="ARP"/>
      <sheetName val="Sheet420"/>
      <sheetName val="SUMMARY(S)"/>
      <sheetName val="96.12"/>
      <sheetName val="가압장(토목)"/>
      <sheetName val="Prime"/>
      <sheetName val="Subprime"/>
      <sheetName val="Auswahl"/>
      <sheetName val="C021(SEAT ASSY) "/>
      <sheetName val="PCS"/>
      <sheetName val="토목내역"/>
      <sheetName val="신규단가 #1"/>
      <sheetName val="외장판넬 내역서"/>
      <sheetName val="통합ﶻ%"/>
      <sheetName val="통합৘"/>
      <sheetName val="몰드시스_x0000__x0000_ɧ_x0000__x0000__x0000_"/>
      <sheetName val="내역서(재노경)"/>
      <sheetName val="부하"/>
      <sheetName val="주식배당"/>
      <sheetName val="FORM-0"/>
      <sheetName val="입찰내역 ︀폕ԯ_x0000_缀_x0000_"/>
      <sheetName val="1-1.교육 일정표(지점도약)"/>
      <sheetName val="전체"/>
      <sheetName val="소상 &quot;1&quot;"/>
      <sheetName val="design load"/>
      <sheetName val="stability check"/>
      <sheetName val="설계기준"/>
      <sheetName val="내역1"/>
      <sheetName val="이자율"/>
      <sheetName val="AN-01"/>
      <sheetName val="기준액"/>
      <sheetName val="옥외"/>
      <sheetName val="총괄BOQ"/>
      <sheetName val="※ 코드"/>
      <sheetName val="0201"/>
      <sheetName val="Ownership Interests"/>
      <sheetName val="Data Sheet"/>
      <sheetName val="5_추정_x0000__x0000__x0000__x0000_"/>
      <sheetName val="dongia (2)"/>
      <sheetName val="01.02월 _x0000__x0000_Ԁ"/>
      <sheetName val="3. GROUNDING SYSTEM"/>
      <sheetName val="단가입력창"/>
      <sheetName val="b_balju_(2_x0000_"/>
      <sheetName val="b_balju_(2_xdc80_"/>
      <sheetName val="Sheet⤖"/>
      <sheetName val="수량증감"/>
      <sheetName val="시설유형"/>
      <sheetName val="EL_표剱_x0010_"/>
      <sheetName val="1차 내역서"/>
      <sheetName val="전산품의"/>
      <sheetName val="H3500"/>
      <sheetName val="율표"/>
      <sheetName val="BASEINPUT"/>
      <sheetName val="10.31"/>
      <sheetName val="DUTY%"/>
      <sheetName val="Lista AI"/>
      <sheetName val="Temp"/>
      <sheetName val="."/>
      <sheetName val="Data_validation11"/>
      <sheetName val="KPIs-_TTP,_PTP,_People_Turnove1"/>
      <sheetName val="FILIAL_MINAS1"/>
      <sheetName val="_손익기01_XL_x005f_x0000__x005f_x005f_x01"/>
      <sheetName val="info_for_drop_box1"/>
      <sheetName val="1월_목표1"/>
      <sheetName val="POCM_배송지1"/>
      <sheetName val="Explicacion"/>
      <sheetName val="COE Scope - Strategic Projects"/>
      <sheetName val="PARTICIPACION"/>
      <sheetName val="SEGUIMIENTO SEMANAL"/>
      <sheetName val="Nomenclatura"/>
      <sheetName val="TO TTZ"/>
      <sheetName val="CATÁLOGO DE PELIGROS"/>
      <sheetName val="OPCIONES"/>
      <sheetName val="YOY"/>
      <sheetName val="2017"/>
      <sheetName val="2019"/>
      <sheetName val="Q4 2018"/>
      <sheetName val="Q4 2019"/>
      <sheetName val="Q4 Sum"/>
      <sheetName val="2020"/>
      <sheetName val="2020 KPI LE0"/>
      <sheetName val="列表"/>
      <sheetName val="match list"/>
      <sheetName val="Rate data"/>
      <sheetName val="_x0000__x0005__x0000__x0000__x0000__x0000__x0000_"/>
      <sheetName val="RyNV detectados "/>
      <sheetName val="Curva 2021"/>
      <sheetName val="Fechas"/>
      <sheetName val="Eficiencias"/>
      <sheetName val="KPI's"/>
      <sheetName val="Por PPR"/>
      <sheetName val="Hoja6"/>
      <sheetName val="Por_PPR"/>
      <sheetName val="Template HN"/>
      <sheetName val="BUD"/>
      <sheetName val="Itens"/>
      <sheetName val="Acessorios"/>
      <sheetName val="vlook"/>
      <sheetName val="ARGUS"/>
      <sheetName val="Resumen (hL env)"/>
      <sheetName val="KPI need to input"/>
      <sheetName val="安全事件分类"/>
      <sheetName val="강남 CRM_11월"/>
      <sheetName val="CRITERIOS DE AI"/>
      <sheetName val="Áreas"/>
      <sheetName val="Nigeria &amp; Ghana"/>
      <sheetName val="Manual Database"/>
      <sheetName val="TO_Data_Base24"/>
      <sheetName val="YTD_Summary23"/>
      <sheetName val="Month_Summary23"/>
      <sheetName val="Trial_Balance_MAY_200923"/>
      <sheetName val="TB_Pivot23"/>
      <sheetName val="total_per_LB_LB223"/>
      <sheetName val="Trial_Balance_Vlookup23"/>
      <sheetName val="Trial_Balance_APRIL_200923"/>
      <sheetName val="Roll_Out_AQ23"/>
      <sheetName val="Evolução_mandamentos23"/>
      <sheetName val="Planilha_resultados22"/>
      <sheetName val="Historico_200322"/>
      <sheetName val="Sig_Cycles_Accts_&amp;_Processes22"/>
      <sheetName val="Fixed_ZBB16"/>
      <sheetName val="E_法规NC16"/>
      <sheetName val="3_ISo_YTD16"/>
      <sheetName val="Données_LMU16"/>
      <sheetName val="Brazil_Sovereign16"/>
      <sheetName val="Resumen_Costo16"/>
      <sheetName val="Extract_Loss16"/>
      <sheetName val="QA_跟踪记录表16"/>
      <sheetName val="5_116"/>
      <sheetName val="Base_de_Dados16"/>
      <sheetName val="Como_Estamos16"/>
      <sheetName val="Controls_data18"/>
      <sheetName val="RG_Depots16"/>
      <sheetName val="material_data16"/>
      <sheetName val="other_data16"/>
      <sheetName val="Database_(RUR)Mar_YTD16"/>
      <sheetName val="SKU_Mapping16"/>
      <sheetName val="Drop_Down16"/>
      <sheetName val="Raw_Data16"/>
      <sheetName val="EBM-2_GHQ16"/>
      <sheetName val="Base_PEF17"/>
      <sheetName val="Testing_Template_Guidance16"/>
      <sheetName val="Test_Programs16"/>
      <sheetName val="Dados_BLP16"/>
      <sheetName val="FJJX_Bud_IB15"/>
      <sheetName val="JOB_PROFILE_-_LAS16"/>
      <sheetName val="ARdistr_(2)16"/>
      <sheetName val="look-up_data15"/>
      <sheetName val="Prd_Hierarchy(产品层级)15"/>
      <sheetName val="Com_(2PK)15"/>
      <sheetName val="Project_Code15"/>
      <sheetName val="요일_테이블16"/>
      <sheetName val="요일_테이블_(2)15"/>
      <sheetName val="Prd_Hierarchy(产品层次)15"/>
      <sheetName val="전사_PL17"/>
      <sheetName val="자금_제외_PL17"/>
      <sheetName val="자금_PL17"/>
      <sheetName val="전사_BS17"/>
      <sheetName val="자금_제외_BS17"/>
      <sheetName val="자금_BS17"/>
      <sheetName val="BS_계정_설명17"/>
      <sheetName val="_Cash_Flow(전사)17"/>
      <sheetName val="_Cash_Flow(자금제외)17"/>
      <sheetName val="_Cash_Flow(자금)17"/>
      <sheetName val="ROIC_17"/>
      <sheetName val="인건비_명세17"/>
      <sheetName val="판관비_명세17"/>
      <sheetName val="OH_Cost경비(내역)17"/>
      <sheetName val="OH_Cost경비(배부기준)17"/>
      <sheetName val="기타수지&amp;특별손익_명세17"/>
      <sheetName val="업무연락_(2)16"/>
      <sheetName val="제시_손익계산서16"/>
      <sheetName val="01_02월_성과급17"/>
      <sheetName val="M_7회차_담금_계획16"/>
      <sheetName val="팀별_실적16"/>
      <sheetName val="팀별_실적_(환산)16"/>
      <sheetName val="4__Inj_투자상세내역16"/>
      <sheetName val="3__Blow_투자_상세내역16"/>
      <sheetName val="Process_List16"/>
      <sheetName val="7_(2)16"/>
      <sheetName val="_손익기01_XL15"/>
      <sheetName val="Income_Stmt15"/>
      <sheetName val="drop_down_list15"/>
      <sheetName val="[손익기01_XL_x005f_x0000__x005f_x0000_DePara15"/>
      <sheetName val="Quarterly_LBO_Model15"/>
      <sheetName val="Figures_Report14"/>
      <sheetName val="[손익기01_XL15"/>
      <sheetName val="_손익기01_XL_x005f_x0000__x005f_x0000_DePara15"/>
      <sheetName val="Fare_prices14"/>
      <sheetName val="Hotel_prices14"/>
      <sheetName val="Set_Up15"/>
      <sheetName val="15년_BL_사계15"/>
      <sheetName val="1_종합손익(도급)15"/>
      <sheetName val="1_종합손익(주택,개발)15"/>
      <sheetName val="2_실행예산15"/>
      <sheetName val="2_2과부족15"/>
      <sheetName val="2_3원가절감15"/>
      <sheetName val="8_외주비집행현황15"/>
      <sheetName val="9_자재비15"/>
      <sheetName val="10_현장집행15"/>
      <sheetName val="3_추가원가15"/>
      <sheetName val="3_추가원가_(2)15"/>
      <sheetName val="4_사전공사15"/>
      <sheetName val="5_추정공사비15"/>
      <sheetName val="6_금융비용15"/>
      <sheetName val="7_공사비집행현황(총괄)15"/>
      <sheetName val="11_1생산성15"/>
      <sheetName val="11_2인원산출15"/>
      <sheetName val="Classification_分类14"/>
      <sheetName val="tab_STATUS_DO_PROCESSO_14"/>
      <sheetName val="Perf__Plan__Diário114"/>
      <sheetName val="In_(2)14"/>
      <sheetName val="__한국_AMP_ASP-23_판매가격__14"/>
      <sheetName val="CC_Down_load_071614"/>
      <sheetName val="변경실행(2차)_14"/>
      <sheetName val="나_출고14"/>
      <sheetName val="나_입고14"/>
      <sheetName val="09년_인건비(속리산)14"/>
      <sheetName val="합산목표(감가+57_5)14"/>
      <sheetName val="제조원가_원단위_분석14"/>
      <sheetName val="종합표양식(품의_&amp;_입고)_214"/>
      <sheetName val="원가관리_(동월대비)14"/>
      <sheetName val="b_balju_(2)14"/>
      <sheetName val="2-2_매출분석14"/>
      <sheetName val="몰드시스템_리스트14"/>
      <sheetName val="11_외화채무증권(AFS,HTM)0814"/>
      <sheetName val="13_감액TEST_0814"/>
      <sheetName val="12년_CF(9월)14"/>
      <sheetName val="중기조종사_단위단가14"/>
      <sheetName val="6PILE__(돌출)14"/>
      <sheetName val="기성청구_공문14"/>
      <sheetName val="Sheet1_(2)14"/>
      <sheetName val="CLASIFICACION_DE_AI14"/>
      <sheetName val="Base_da_Datos14"/>
      <sheetName val="slide_24_cat_A14"/>
      <sheetName val="slide_82_cat_b14"/>
      <sheetName val="Dados_dos_Produtos14"/>
      <sheetName val="09~10년_매출계획14"/>
      <sheetName val="1_MDF1공장14"/>
      <sheetName val="Incident_유형구분표14"/>
      <sheetName val="3YP2016-Bottom_up13"/>
      <sheetName val="DD_list14"/>
      <sheetName val="Base_de_Datos13"/>
      <sheetName val="Clasif_13"/>
      <sheetName val="Supply_Cost_Centers13"/>
      <sheetName val="Cond__Inseguros13"/>
      <sheetName val="Comp__Inseguros13"/>
      <sheetName val="Lista_de_datos13"/>
      <sheetName val="MASTER_APP13"/>
      <sheetName val="2_카드채권(대출포함)13"/>
      <sheetName val="表21_净利润调节表13"/>
      <sheetName val="Lista_CI13"/>
      <sheetName val="Dashboard_Prevención_Riesgos_12"/>
      <sheetName val="TOP_KPIs_MTM12"/>
      <sheetName val="PLAN_DE_ACCION12"/>
      <sheetName val="Faro_de_Indicadores12"/>
      <sheetName val="Farol_Acciones13"/>
      <sheetName val="Lista_de_Entrenamientos13"/>
      <sheetName val="Unidades_SAC-REVENDA14"/>
      <sheetName val="FornecM_Check12"/>
      <sheetName val="Share_Price_200213"/>
      <sheetName val="_DD_List13"/>
      <sheetName val="BEP_加薪_KPI12"/>
      <sheetName val="Estratificación_AI12"/>
      <sheetName val="condicion_inseguras12"/>
      <sheetName val="Actos_Inseguros12"/>
      <sheetName val="Control_de_incidentes12"/>
      <sheetName val="Plan_de_Acción12"/>
      <sheetName val="Issues_List_Payments12"/>
      <sheetName val="do_not_delete12"/>
      <sheetName val="Grafica_Actos12"/>
      <sheetName val="APAC_S12"/>
      <sheetName val="APAC_N12"/>
      <sheetName val="Slide_output12"/>
      <sheetName val="[손익기01_XL??DePara12"/>
      <sheetName val="Farol_Metas12"/>
      <sheetName val="Mod_Relac_12"/>
      <sheetName val="Condiciones_SyE12"/>
      <sheetName val="REALxMETA_-_CERVEJA14"/>
      <sheetName val="REALxMETA_-_REFRI14"/>
      <sheetName val="Directrices_de_Metas_201712"/>
      <sheetName val="Data_validation12"/>
      <sheetName val="_손익기01_XL_x005f_x005f_x005f_x0000__x005f_x005f_12"/>
      <sheetName val="Hazards_Analysis-隐患分析12"/>
      <sheetName val="F08_-_Asia_Pac_Full_Year_Q313"/>
      <sheetName val="Top_Priorities13"/>
      <sheetName val="Listco_Stock13"/>
      <sheetName val="Intl_Purchase13"/>
      <sheetName val="FY_outlook13"/>
      <sheetName val="CY_outlook13"/>
      <sheetName val="Cash_metrics13"/>
      <sheetName val="P6_713"/>
      <sheetName val="DATOS_BASE12"/>
      <sheetName val="97_사업추정(WEKI)12"/>
      <sheetName val="Tong_hop12"/>
      <sheetName val="95_1_1이후취득자산(숨기기상태)12"/>
      <sheetName val="sum1_(2)12"/>
      <sheetName val="3_바닥판설계12"/>
      <sheetName val="6월_공정외주12"/>
      <sheetName val="2_대외공문12"/>
      <sheetName val="2_총괄표12"/>
      <sheetName val="입출재고현황_(2)12"/>
      <sheetName val="504전기실_동부하-L12"/>
      <sheetName val="OUTER_AREA(겹침없음)12"/>
      <sheetName val="EL_표면적12"/>
      <sheetName val="TRE_TABLE12"/>
      <sheetName val="입찰내역_발주처_양식12"/>
      <sheetName val="POC_LIST12"/>
      <sheetName val="turnover_reason퇴직사유12"/>
      <sheetName val="SKU_Basic_Data12"/>
      <sheetName val="Entity_Target12"/>
      <sheetName val="DETALLE_MENSUAL12"/>
      <sheetName val="Drop-down_List11"/>
      <sheetName val="by_DD11"/>
      <sheetName val="VALIDACION_DE_DATOS11"/>
      <sheetName val="Jul-Sep_Actual_cost_(2)11"/>
      <sheetName val="Check_Qualidade10"/>
      <sheetName val="De_Para11"/>
      <sheetName val="Check_Aderencia10"/>
      <sheetName val="_손익기01_XL_x005f_x0000__x010"/>
      <sheetName val="부재료_비교(11년_vs_10년)10"/>
      <sheetName val="Base_Farol10"/>
      <sheetName val="Gerencial_IL10"/>
      <sheetName val="Ventas_Campo10"/>
      <sheetName val="ACTOS_POR_RIESGO10"/>
      <sheetName val="drop_lists10"/>
      <sheetName val="MRL_NON_SUPPLY_URU10"/>
      <sheetName val="AIIM_-_Empresas_Ext_201210"/>
      <sheetName val="KPIs_Hana10"/>
      <sheetName val="Catalago_de_refacciones_10"/>
      <sheetName val="Existencias_al_07-Nov-201210"/>
      <sheetName val="Check_GG10"/>
      <sheetName val="Sheet3_(2)10"/>
      <sheetName val="Nombre_de_SOP10"/>
      <sheetName val="Lao_&amp;_Cam10"/>
      <sheetName val="Hoegaarden_201910"/>
      <sheetName val="Lao_&amp;_Cam_201910"/>
      <sheetName val="Malaysia_201910"/>
      <sheetName val="Singapore_201910"/>
      <sheetName val="Sheet2_(2)10"/>
      <sheetName val="요일_테이블_10"/>
      <sheetName val="Other_Listings10"/>
      <sheetName val="2__Indicadores10"/>
      <sheetName val="Ta_10"/>
      <sheetName val="Lista_de_Entrenamientos_RSO10"/>
      <sheetName val="Tablero_SDG13"/>
      <sheetName val="Lista_Areas13"/>
      <sheetName val="One_Page13"/>
      <sheetName val="Sub-Productos_HN11"/>
      <sheetName val="Eficiencia_linea10"/>
      <sheetName val="_mngt_Pillar10"/>
      <sheetName val="Pauta_RPS_Distribuição9"/>
      <sheetName val="Estoque_(2)9"/>
      <sheetName val="BNR_2012_в_ящике9"/>
      <sheetName val="Comp_Inseguros9"/>
      <sheetName val="DO_NOT_MOVE9"/>
      <sheetName val="DATOS_DE_VALIDACIÓN9"/>
      <sheetName val="Datos_con9"/>
      <sheetName val="_Datos_Cond_9"/>
      <sheetName val="INGRESO_(2)9"/>
      <sheetName val="PG-K1610_(UEN_Areas)MNG9"/>
      <sheetName val="DATOS_GEN_9"/>
      <sheetName val="NUEVOS_CRITERIOS9"/>
      <sheetName val="Condiciones_Agua9"/>
      <sheetName val="__한국_AMP_ASP-23_판㧤가격__8"/>
      <sheetName val="11_䡸화채무줝ⴌ(AFS,HTM)088"/>
      <sheetName val="Drop_list8"/>
      <sheetName val="FX_Rates8"/>
      <sheetName val="Dropdown_list8"/>
      <sheetName val="Vagas_x_Candidatos8"/>
      <sheetName val="Proced_8"/>
      <sheetName val="Cut_Machine_Summary8"/>
      <sheetName val="Control_de_Fallas8"/>
      <sheetName val="Setup_for_Templates8"/>
      <sheetName val="Datos_emp8"/>
      <sheetName val="Validation_lists8"/>
      <sheetName val="TIPO_DE_ACTO8"/>
      <sheetName val="CRITICIDAD_DE_CI8"/>
      <sheetName val="Catálogo_de_CI8"/>
      <sheetName val="%_CUMPLIMIENTO8"/>
      <sheetName val="%_cumplimiento_8"/>
      <sheetName val="CALIFICACIONES_20196"/>
      <sheetName val="Lev_4_360_deg_check_Crit_Task6"/>
      <sheetName val="Lev_4_Chk_IC_Stock_Crit_Task6"/>
      <sheetName val="Lev_4_WMS_Putaway_Crit_Task6"/>
      <sheetName val="Listas_y_equipos_a_evaluar8"/>
      <sheetName val="Data_Reporte8"/>
      <sheetName val="Read_me8"/>
      <sheetName val="NAZ_Strategy6"/>
      <sheetName val="Champions_List7"/>
      <sheetName val="Daily_Dashboard8"/>
      <sheetName val="Customer_&amp;_SO6"/>
      <sheetName val="Session_Proposal6"/>
      <sheetName val="Análise_Tempos5"/>
      <sheetName val="PDA_BOP5"/>
      <sheetName val="Validação_de_Dados5"/>
      <sheetName val="No_llenar_5"/>
      <sheetName val="Incentivo_Automóvil5"/>
      <sheetName val="Project_List4"/>
      <sheetName val="Dropdown_Menu4"/>
      <sheetName val="SOP_Freshness3"/>
      <sheetName val="Lista_de_Motivos5"/>
      <sheetName val="Ponto_Crítico_-_Resp__Plano5"/>
      <sheetName val="Lista_Funcionários_(2)5"/>
      <sheetName val="Выпадающие_списки4"/>
      <sheetName val="PROCESS_MD5"/>
      <sheetName val="PAINEL_RECOLHA_CRÉDITO5"/>
      <sheetName val="Gráficos_-_CDD5"/>
      <sheetName val="Dimension_IN_Sheet1!D19123"/>
      <sheetName val="Dimension_IN_19123"/>
      <sheetName val="FILIAL_MINAS2"/>
      <sheetName val="_손익기01_XL_x005f_x0000__x005f_x005f_x02"/>
      <sheetName val="info_for_drop_box2"/>
      <sheetName val="KPIs-_TTP,_PTP,_People_Turnove2"/>
      <sheetName val="1월_목표2"/>
      <sheetName val="POCM_배송지2"/>
      <sheetName val="Lista_AI"/>
      <sheetName val="产品相关信息汇总表"/>
      <sheetName val="_손익기01.XL_x005f_x005f_x00"/>
      <sheetName val="_손익기01_XL_x005f_x005f_x00"/>
      <sheetName val="Planilha_relts_xdb75__xdb62_eos"/>
      <sheetName val="子品牌"/>
      <sheetName val="品牌"/>
      <sheetName val="压滤机线糖化计划"/>
      <sheetName val="Target"/>
      <sheetName val="Check"/>
      <sheetName val="강남_CRM_11월"/>
      <sheetName val="COE_Scope_-_Strategic_Projects"/>
      <sheetName val="SEGUIMIENTO_SEMANAL"/>
      <sheetName val="Q4_2018"/>
      <sheetName val="Q4_2019"/>
      <sheetName val="Q4_Sum"/>
      <sheetName val="2020_KPI_LE0"/>
      <sheetName val="TO_TTZ"/>
      <sheetName val="CATÁLOGO_DE_PELIGROS"/>
      <sheetName val="match_list"/>
      <sheetName val="Rate_data"/>
      <sheetName val="KPI_need_to_input"/>
      <sheetName val="Template_HN"/>
      <sheetName val="RyNV_detectados_"/>
      <sheetName val="Curva_2021"/>
      <sheetName val="Por_PPR1"/>
      <sheetName val="Nigeria_&amp;_Ghana"/>
      <sheetName val="Resumen_(hL_env)"/>
      <sheetName val="Projeto"/>
      <sheetName val="DEX (2)"/>
      <sheetName val="判定-不能删"/>
      <sheetName val="WS"/>
      <sheetName val="经销商信息"/>
      <sheetName val="产品信息"/>
      <sheetName val="填写规范"/>
      <sheetName val="TR  KHCode"/>
      <sheetName val="价格树"/>
      <sheetName val="NDD CPT"/>
      <sheetName val="MP"/>
      <sheetName val="_折扣项 PromotionPlan"/>
      <sheetName val="填写规则"/>
      <sheetName val="大组套餐名称"/>
      <sheetName val="费用概况"/>
      <sheetName val="对应表"/>
      <sheetName val="Desplegable"/>
      <sheetName val="SDCA"/>
      <sheetName val="TERMINOS"/>
      <sheetName val="Lista d"/>
      <sheetName val="Catalogo Cursos"/>
      <sheetName val="Catalogo Cursos_"/>
      <sheetName val="Guia"/>
      <sheetName val="Check People"/>
      <sheetName val="GRÁFICA"/>
      <sheetName val="AVANCE PROGRAMACION"/>
      <sheetName val="PAE"/>
      <sheetName val="PGMLOG"/>
      <sheetName val="PGMPROD"/>
      <sheetName val="Cumplimiento por Entrenamiento"/>
      <sheetName val="Cumplimiento del Plan por área"/>
      <sheetName val="BDD_Activos_BU"/>
      <sheetName val="CAPTURA ENE MAY"/>
      <sheetName val="tablas cuadrillas"/>
      <sheetName val="CATALOGOS"/>
      <sheetName val="Seguridad"/>
      <sheetName val="Base de Datos de Activos "/>
      <sheetName val="PIVOT ADHERENCIA"/>
      <sheetName val="Programacion"/>
      <sheetName val="Steps of Committe "/>
      <sheetName val="BDD_Activos_Caribe201910"/>
      <sheetName val="Leyenda"/>
      <sheetName val="IC's (2)"/>
      <sheetName val="Participación en entrenamie (2"/>
      <sheetName val="Detalle para correctivo excep  "/>
      <sheetName val="Bloques"/>
      <sheetName val="Puerto Rico"/>
      <sheetName val="Z30"/>
      <sheetName val="Z40"/>
      <sheetName val="AI OYS Acum"/>
      <sheetName val="Boletas Condiciones"/>
      <sheetName val="GraficosEarly"/>
      <sheetName val="1.1"/>
      <sheetName val="1.2"/>
      <sheetName val="2.1-Pareto"/>
      <sheetName val="Datos Mensuales"/>
      <sheetName val="Indicador EE Mensual"/>
      <sheetName val="Detalle_para_correctivo_excep__"/>
      <sheetName val="Lista_d"/>
      <sheetName val="CRITERIOS_DE_AI"/>
      <sheetName val="Plan de Acción MAZ"/>
      <sheetName val="Puerto_Rico"/>
      <sheetName val="AI_OYS_Acum"/>
      <sheetName val="Boletas_Condiciones"/>
      <sheetName val="1_11"/>
      <sheetName val="1_21"/>
      <sheetName val="2_1-Pareto"/>
      <sheetName val="Datos_Mensuales"/>
      <sheetName val="Indicador_EE_Mensual"/>
      <sheetName val="NewProjectStatus"/>
      <sheetName val="ProjectStatus"/>
      <sheetName val="Tabelle1"/>
      <sheetName val="synthgraph"/>
      <sheetName val="辅助页"/>
      <sheetName val="NIUs"/>
      <sheetName val="IH跟踪"/>
      <sheetName val="KPI"/>
      <sheetName val="WGS TOT KA Segmentation"/>
      <sheetName val="WGSK SEGMENTATION"/>
      <sheetName val="WGSK Venue Segment"/>
      <sheetName val="Segment"/>
      <sheetName val="Instr"/>
      <sheetName val="TM"/>
      <sheetName val="Plant assumptions"/>
      <sheetName val="Plant_assumptions"/>
      <sheetName val="Mapeo_SKUs11"/>
      <sheetName val="Vol_(Ds)11"/>
      <sheetName val="Vol_(Ka)11"/>
      <sheetName val="Vol_(Oth)11"/>
      <sheetName val="Vol_(Oth)_Cortesias11"/>
      <sheetName val="INPUT-Cust_Sugg_Margin(Ds)11"/>
      <sheetName val="On_Invoice11"/>
      <sheetName val="INPUT-Cust_Sugg_Margin(Ka)11"/>
      <sheetName val="INPUT_SKUs11"/>
      <sheetName val="Brand_P&amp;L8"/>
      <sheetName val="SUPERMONT_P9"/>
      <sheetName val="Data_selection7"/>
      <sheetName val="1_7"/>
      <sheetName val="3__Training_&amp;_travel6"/>
      <sheetName val="GH GM"/>
      <sheetName val="FES PM"/>
      <sheetName val="FES GM"/>
      <sheetName val="SATZ GM"/>
      <sheetName val="WGS_TOT_KA_Segmentation"/>
      <sheetName val="WGSK_SEGMENTATION"/>
      <sheetName val="WGSK_Venue_Segment"/>
      <sheetName val="JC_A5_原料＿実績"/>
      <sheetName val="滝グラフ"/>
      <sheetName val="TO_Data_Base25"/>
      <sheetName val="YTD_Summary24"/>
      <sheetName val="Month_Summary24"/>
      <sheetName val="Trial_Balance_MAY_200924"/>
      <sheetName val="TB_Pivot24"/>
      <sheetName val="total_per_LB_LB224"/>
      <sheetName val="Trial_Balance_Vlookup24"/>
      <sheetName val="Trial_Balance_APRIL_200924"/>
      <sheetName val="Roll_Out_AQ24"/>
      <sheetName val="Evolução_mandamentos24"/>
      <sheetName val="Planilha_resultados23"/>
      <sheetName val="Historico_200323"/>
      <sheetName val="Sig_Cycles_Accts_&amp;_Processes23"/>
      <sheetName val="Fixed_ZBB17"/>
      <sheetName val="E_法规NC17"/>
      <sheetName val="3_ISo_YTD17"/>
      <sheetName val="Données_LMU17"/>
      <sheetName val="Brazil_Sovereign17"/>
      <sheetName val="Base_de_Dados17"/>
      <sheetName val="Resumen_Costo17"/>
      <sheetName val="Extract_Loss17"/>
      <sheetName val="QA_跟踪记录表17"/>
      <sheetName val="5_117"/>
      <sheetName val="material_data17"/>
      <sheetName val="other_data17"/>
      <sheetName val="Dados_BLP17"/>
      <sheetName val="Como_Estamos17"/>
      <sheetName val="RG_Depots17"/>
      <sheetName val="Base_PEF18"/>
      <sheetName val="SKU_Mapping17"/>
      <sheetName val="Drop_Down17"/>
      <sheetName val="Controls_data19"/>
      <sheetName val="Testing_Template_Guidance17"/>
      <sheetName val="Test_Programs17"/>
      <sheetName val="Raw_Data17"/>
      <sheetName val="EBM-2_GHQ17"/>
      <sheetName val="JOB_PROFILE_-_LAS17"/>
      <sheetName val="ARdistr_(2)17"/>
      <sheetName val="Database_(RUR)Mar_YTD17"/>
      <sheetName val="look-up_data16"/>
      <sheetName val="FJJX_Bud_IB16"/>
      <sheetName val="Com_(2PK)16"/>
      <sheetName val="Prd_Hierarchy(产品层级)16"/>
      <sheetName val="Project_Code16"/>
      <sheetName val="요일_테이블17"/>
      <sheetName val="요일_테이블_(2)16"/>
      <sheetName val="전사_PL18"/>
      <sheetName val="자금_제외_PL18"/>
      <sheetName val="자금_PL18"/>
      <sheetName val="전사_BS18"/>
      <sheetName val="자금_제외_BS18"/>
      <sheetName val="자금_BS18"/>
      <sheetName val="BS_계정_설명18"/>
      <sheetName val="_Cash_Flow(전사)18"/>
      <sheetName val="_Cash_Flow(자금제외)18"/>
      <sheetName val="_Cash_Flow(자금)18"/>
      <sheetName val="ROIC_18"/>
      <sheetName val="인건비_명세18"/>
      <sheetName val="판관비_명세18"/>
      <sheetName val="OH_Cost경비(내역)18"/>
      <sheetName val="OH_Cost경비(배부기준)18"/>
      <sheetName val="기타수지&amp;특별손익_명세18"/>
      <sheetName val="업무연락_(2)17"/>
      <sheetName val="제시_손익계산서17"/>
      <sheetName val="01_02월_성과급18"/>
      <sheetName val="M_7회차_담금_계획17"/>
      <sheetName val="팀별_실적17"/>
      <sheetName val="팀별_실적_(환산)17"/>
      <sheetName val="4__Inj_투자상세내역17"/>
      <sheetName val="3__Blow_투자_상세내역17"/>
      <sheetName val="Process_List17"/>
      <sheetName val="7_(2)17"/>
      <sheetName val="Prd_Hierarchy(产品层次)16"/>
      <sheetName val="_손익기01_XL16"/>
      <sheetName val="Income_Stmt16"/>
      <sheetName val="drop_down_list16"/>
      <sheetName val="[손익기01_XL_x005f_x0000__x005f_x0000_DePara16"/>
      <sheetName val="Set_Up16"/>
      <sheetName val="[손익기01_XL16"/>
      <sheetName val="Quarterly_LBO_Model16"/>
      <sheetName val="tab_STATUS_DO_PROCESSO_15"/>
      <sheetName val="CLASIFICACION_DE_AI15"/>
      <sheetName val="Base_da_Datos15"/>
      <sheetName val="_손익기01_XL_x005f_x0000__x005f_x0000_DePara16"/>
      <sheetName val="Perf__Plan__Diário115"/>
      <sheetName val="In_(2)15"/>
      <sheetName val="Classification_分类15"/>
      <sheetName val="15년_BL_사계16"/>
      <sheetName val="1_종합손익(도급)16"/>
      <sheetName val="1_종합손익(주택,개발)16"/>
      <sheetName val="2_실행예산16"/>
      <sheetName val="2_2과부족16"/>
      <sheetName val="2_3원가절감16"/>
      <sheetName val="8_외주비집행현황16"/>
      <sheetName val="9_자재비16"/>
      <sheetName val="10_현장집행16"/>
      <sheetName val="3_추가원가16"/>
      <sheetName val="3_추가원가_(2)16"/>
      <sheetName val="4_사전공사16"/>
      <sheetName val="5_추정공사비16"/>
      <sheetName val="6_금융비용16"/>
      <sheetName val="7_공사비집행현황(총괄)16"/>
      <sheetName val="11_1생산성16"/>
      <sheetName val="11_2인원산출16"/>
      <sheetName val="Figures_Report15"/>
      <sheetName val="Dados_dos_Produtos15"/>
      <sheetName val="Fare_prices15"/>
      <sheetName val="Hotel_prices15"/>
      <sheetName val="MASTER_APP14"/>
      <sheetName val="Cond__Inseguros14"/>
      <sheetName val="Comp__Inseguros14"/>
      <sheetName val="__한국_AMP_ASP-23_판매가격__15"/>
      <sheetName val="CC_Down_load_071615"/>
      <sheetName val="변경실행(2차)_15"/>
      <sheetName val="나_출고15"/>
      <sheetName val="나_입고15"/>
      <sheetName val="09년_인건비(속리산)15"/>
      <sheetName val="합산목표(감가+57_5)15"/>
      <sheetName val="제조원가_원단위_분석15"/>
      <sheetName val="종합표양식(품의_&amp;_입고)_215"/>
      <sheetName val="원가관리_(동월대비)15"/>
      <sheetName val="b_balju_(2)15"/>
      <sheetName val="2-2_매출분석15"/>
      <sheetName val="몰드시스템_리스트15"/>
      <sheetName val="11_외화채무증권(AFS,HTM)0815"/>
      <sheetName val="13_감액TEST_0815"/>
      <sheetName val="12년_CF(9월)15"/>
      <sheetName val="중기조종사_단위단가15"/>
      <sheetName val="6PILE__(돌출)15"/>
      <sheetName val="기성청구_공문15"/>
      <sheetName val="Sheet1_(2)15"/>
      <sheetName val="slide_24_cat_A15"/>
      <sheetName val="slide_82_cat_b15"/>
      <sheetName val="09~10년_매출계획15"/>
      <sheetName val="1_MDF1공장15"/>
      <sheetName val="Incident_유형구분표15"/>
      <sheetName val="3YP2016-Bottom_up14"/>
      <sheetName val="DD_list15"/>
      <sheetName val="Lista_de_datos14"/>
      <sheetName val="Base_de_Datos14"/>
      <sheetName val="Farol_Acciones14"/>
      <sheetName val="Lista_de_Entrenamientos14"/>
      <sheetName val="Clasif_14"/>
      <sheetName val="Lista_CI14"/>
      <sheetName val="2_카드채권(대출포함)14"/>
      <sheetName val="表21_净利润调节表14"/>
      <sheetName val="Unidades_SAC-REVENDA15"/>
      <sheetName val="FornecM_Check13"/>
      <sheetName val="Supply_Cost_Centers14"/>
      <sheetName val="Faro_de_Indicadores13"/>
      <sheetName val="TOP_KPIs_MTM13"/>
      <sheetName val="PLAN_DE_ACCION13"/>
      <sheetName val="Grafica_Actos13"/>
      <sheetName val="Estratificación_AI13"/>
      <sheetName val="condicion_inseguras13"/>
      <sheetName val="Actos_Inseguros13"/>
      <sheetName val="Control_de_incidentes13"/>
      <sheetName val="Plan_de_Acción13"/>
      <sheetName val="REALxMETA_-_CERVEJA15"/>
      <sheetName val="REALxMETA_-_REFRI15"/>
      <sheetName val="Condiciones_SyE13"/>
      <sheetName val="Share_Price_200214"/>
      <sheetName val="_DD_List14"/>
      <sheetName val="BEP_加薪_KPI13"/>
      <sheetName val="[손익기01_XL??DePara13"/>
      <sheetName val="Farol_Metas13"/>
      <sheetName val="Dashboard_Prevención_Riesgos_13"/>
      <sheetName val="Mod_Relac_13"/>
      <sheetName val="Directrices_de_Metas_201713"/>
      <sheetName val="Issues_List_Payments13"/>
      <sheetName val="DETALLE_MENSUAL13"/>
      <sheetName val="POC_LIST13"/>
      <sheetName val="Entity_Target13"/>
      <sheetName val="Check_Qualidade11"/>
      <sheetName val="do_not_delete13"/>
      <sheetName val="APAC_S13"/>
      <sheetName val="APAC_N13"/>
      <sheetName val="Slide_output13"/>
      <sheetName val="_손익기01_XL_x005f_x005f_x005f_x0000__x005f_x005f_13"/>
      <sheetName val="F08_-_Asia_Pac_Full_Year_Q314"/>
      <sheetName val="Top_Priorities14"/>
      <sheetName val="Listco_Stock14"/>
      <sheetName val="Intl_Purchase14"/>
      <sheetName val="FY_outlook14"/>
      <sheetName val="CY_outlook14"/>
      <sheetName val="Cash_metrics14"/>
      <sheetName val="P6_714"/>
      <sheetName val="DATOS_BASE13"/>
      <sheetName val="Hazards_Analysis-隐患分析13"/>
      <sheetName val="97_사업추정(WEKI)13"/>
      <sheetName val="Tong_hop13"/>
      <sheetName val="95_1_1이후취득자산(숨기기상태)13"/>
      <sheetName val="sum1_(2)13"/>
      <sheetName val="3_바닥판설계13"/>
      <sheetName val="6월_공정외주13"/>
      <sheetName val="2_대외공문13"/>
      <sheetName val="2_총괄표13"/>
      <sheetName val="입출재고현황_(2)13"/>
      <sheetName val="504전기실_동부하-L13"/>
      <sheetName val="OUTER_AREA(겹침없음)13"/>
      <sheetName val="EL_표면적13"/>
      <sheetName val="TRE_TABLE13"/>
      <sheetName val="입찰내역_발주처_양식13"/>
      <sheetName val="turnover_reason퇴직사유13"/>
      <sheetName val="Data_validation13"/>
      <sheetName val="SKU_Basic_Data13"/>
      <sheetName val="Check_Aderencia11"/>
      <sheetName val="De_Para12"/>
      <sheetName val="Ventas_Campo11"/>
      <sheetName val="Base_Farol11"/>
      <sheetName val="Gerencial_IL11"/>
      <sheetName val="VALIDACION_DE_DATOS12"/>
      <sheetName val="KPIs_Hana11"/>
      <sheetName val="Catalago_de_refacciones_11"/>
      <sheetName val="Existencias_al_07-Nov-201211"/>
      <sheetName val="ACTOS_POR_RIESGO11"/>
      <sheetName val="drop_lists11"/>
      <sheetName val="Check_GG11"/>
      <sheetName val="AIIM_-_Empresas_Ext_201211"/>
      <sheetName val="Nombre_de_SOP11"/>
      <sheetName val="Ta_11"/>
      <sheetName val="2__Indicadores11"/>
      <sheetName val="Drop-down_List12"/>
      <sheetName val="by_DD12"/>
      <sheetName val="Jul-Sep_Actual_cost_(2)12"/>
      <sheetName val="MRL_NON_SUPPLY_URU11"/>
      <sheetName val="Lista_de_Entrenamientos_RSO11"/>
      <sheetName val="Tablero_SDG14"/>
      <sheetName val="Lista_Areas14"/>
      <sheetName val="One_Page14"/>
      <sheetName val="Sub-Productos_HN12"/>
      <sheetName val="Eficiencia_linea11"/>
      <sheetName val="_손익기01_XL_x005f_x0000__x011"/>
      <sheetName val="부재료_비교(11년_vs_10년)11"/>
      <sheetName val="_mngt_Pillar11"/>
      <sheetName val="Comp_Inseguros10"/>
      <sheetName val="Pauta_RPS_Distribuição10"/>
      <sheetName val="Estoque_(2)10"/>
      <sheetName val="Sheet3_(2)11"/>
      <sheetName val="Lao_&amp;_Cam11"/>
      <sheetName val="Hoegaarden_201911"/>
      <sheetName val="Lao_&amp;_Cam_201911"/>
      <sheetName val="Malaysia_201911"/>
      <sheetName val="Singapore_201911"/>
      <sheetName val="Sheet2_(2)11"/>
      <sheetName val="요일_테이블_11"/>
      <sheetName val="Other_Listings11"/>
      <sheetName val="BNR_2012_в_ящике10"/>
      <sheetName val="FX_Rates9"/>
      <sheetName val="__한국_AMP_ASP-23_판㧤가격__9"/>
      <sheetName val="11_䡸화채무줝ⴌ(AFS,HTM)089"/>
      <sheetName val="Drop_list9"/>
      <sheetName val="Vagas_x_Candidatos9"/>
      <sheetName val="DO_NOT_MOVE10"/>
      <sheetName val="DATOS_DE_VALIDACIÓN10"/>
      <sheetName val="Datos_con10"/>
      <sheetName val="_Datos_Cond_10"/>
      <sheetName val="INGRESO_(2)10"/>
      <sheetName val="PG-K1610_(UEN_Areas)MNG10"/>
      <sheetName val="DATOS_GEN_10"/>
      <sheetName val="NUEVOS_CRITERIOS10"/>
      <sheetName val="Condiciones_Agua10"/>
      <sheetName val="Análise_Tempos6"/>
      <sheetName val="Dropdown_list9"/>
      <sheetName val="Proced_9"/>
      <sheetName val="Cut_Machine_Summary9"/>
      <sheetName val="Control_de_Fallas9"/>
      <sheetName val="Setup_for_Templates9"/>
      <sheetName val="Datos_emp9"/>
      <sheetName val="Validation_lists9"/>
      <sheetName val="Validação_de_Dados6"/>
      <sheetName val="Lista_de_Motivos6"/>
      <sheetName val="Ponto_Crítico_-_Resp__Plano6"/>
      <sheetName val="Lista_Funcionários_(2)6"/>
      <sheetName val="No_llenar_6"/>
      <sheetName val="TIPO_DE_ACTO9"/>
      <sheetName val="CRITICIDAD_DE_CI9"/>
      <sheetName val="Catálogo_de_CI9"/>
      <sheetName val="%_CUMPLIMIENTO9"/>
      <sheetName val="%_cumplimiento_9"/>
      <sheetName val="CALIFICACIONES_20197"/>
      <sheetName val="Lev_4_360_deg_check_Crit_Task7"/>
      <sheetName val="Lev_4_Chk_IC_Stock_Crit_Task7"/>
      <sheetName val="Lev_4_WMS_Putaway_Crit_Task7"/>
      <sheetName val="PAINEL_RECOLHA_CRÉDITO6"/>
      <sheetName val="Gráficos_-_CDD6"/>
      <sheetName val="Listas_y_equipos_a_evaluar9"/>
      <sheetName val="Data_Reporte9"/>
      <sheetName val="Read_me9"/>
      <sheetName val="Champions_List8"/>
      <sheetName val="NAZ_Strategy7"/>
      <sheetName val="Razão_Social3"/>
      <sheetName val="Daily_Dashboard9"/>
      <sheetName val="Customer_&amp;_SO7"/>
      <sheetName val="Session_Proposal7"/>
      <sheetName val="PDA_BOP6"/>
      <sheetName val="Incentivo_Automóvil6"/>
      <sheetName val="Status_de_Usuario4"/>
      <sheetName val="Listas_desplegables4"/>
      <sheetName val="Resumen_General4"/>
      <sheetName val="Cátalogo_de_CI4"/>
      <sheetName val="Hoja2_(2)4"/>
      <sheetName val="Technology_check_list4"/>
      <sheetName val="Actos_y_Condiciones_4"/>
      <sheetName val="NO_BORRAR4"/>
      <sheetName val="PROCESS_MD6"/>
      <sheetName val="Dropdown_Menu5"/>
      <sheetName val="Project_List5"/>
      <sheetName val="Выпадающие_списки5"/>
      <sheetName val="유류대_현황4"/>
      <sheetName val="2_3_Projects_Status4"/>
      <sheetName val="mapping_(2)4"/>
      <sheetName val="Ref_4"/>
      <sheetName val="SOP_Freshness4"/>
      <sheetName val="Formato_checklist_Lab4"/>
      <sheetName val="1__템플릿4"/>
      <sheetName val="2__작성_참고사항4"/>
      <sheetName val="Consolidated_Project_List4"/>
      <sheetName val="Fixed_Cost4"/>
      <sheetName val="Dimension_IN_Sheet1!D19124"/>
      <sheetName val="Dimension_IN_19124"/>
      <sheetName val="Manage_to_Sustain3"/>
      <sheetName val="Packages_Info3"/>
      <sheetName val="Meeting_List3"/>
      <sheetName val="FILIAL_MINAS3"/>
      <sheetName val="2020_MMR123"/>
      <sheetName val="입문_트랜드(종합분석)3"/>
      <sheetName val="Master_CE3"/>
      <sheetName val="CE_Final_3"/>
      <sheetName val="OL_LIST3"/>
      <sheetName val="YTD_GUEST_LIST3"/>
      <sheetName val="Session_Full_list3"/>
      <sheetName val="FOOD_PAYMENT_update_JAN3"/>
      <sheetName val="Rate_card_F19_3"/>
      <sheetName val="Master_Plan__(update)3"/>
      <sheetName val="The_KPI_3"/>
      <sheetName val="Mentor_Plan_3"/>
      <sheetName val="Master_Plan_3"/>
      <sheetName val="Tier_1_GOV_PC_Networking_3"/>
      <sheetName val="Tier_1_LBO_3"/>
      <sheetName val="Preferred_Option3"/>
      <sheetName val="_손익기01_XL_x005f_x0000__x005f_x005f_x03"/>
      <sheetName val="info_for_drop_box3"/>
      <sheetName val="KPIs-_TTP,_PTP,_People_Turnove3"/>
      <sheetName val="1월_목표3"/>
      <sheetName val="POCM_배송지3"/>
      <sheetName val="Mapping_1"/>
      <sheetName val="WS_DB1"/>
      <sheetName val="Region_1"/>
      <sheetName val="SKU_DB1"/>
      <sheetName val="SAP_info1"/>
      <sheetName val="Target_Book1"/>
      <sheetName val="10_麦汁CIP清洗标准水量1"/>
      <sheetName val="Lista_AI1"/>
      <sheetName val="COE_Scope_-_Strategic_Projects1"/>
      <sheetName val="SEGUIMIENTO_SEMANAL1"/>
      <sheetName val="Tipo_Viaje1"/>
      <sheetName val="Flota_y_Personal1"/>
      <sheetName val="TO_TTZ1"/>
      <sheetName val="CATÁLOGO_DE_PELIGROS1"/>
      <sheetName val="데이터_유효성_목록1"/>
      <sheetName val="Ref_New_Contract_Model1"/>
      <sheetName val="RyNV_detectados_1"/>
      <sheetName val="Curva_20211"/>
      <sheetName val="Por_PPR2"/>
      <sheetName val="Name_List1"/>
      <sheetName val="_1"/>
      <sheetName val="Template_HN1"/>
      <sheetName val="Resumen_(hL_env)1"/>
      <sheetName val="match_list1"/>
      <sheetName val="Q4_20181"/>
      <sheetName val="Q4_20191"/>
      <sheetName val="Q4_Sum1"/>
      <sheetName val="2020_KPI_LE01"/>
      <sheetName val="Rate_data1"/>
      <sheetName val="KPI_need_to_input1"/>
      <sheetName val="강남_CRM_11월1"/>
      <sheetName val="CRITERIOS_DE_AI1"/>
      <sheetName val="Nigeria_&amp;_Ghana1"/>
      <sheetName val="Manual_Database"/>
      <sheetName val="_손익기01_XL_x005f_x005f_x001"/>
      <sheetName val="DEX_(2)"/>
      <sheetName val="TR__KHCode"/>
      <sheetName val="NDD_CPT"/>
      <sheetName val="_折扣项_PromotionPlan"/>
      <sheetName val="Lista_d1"/>
      <sheetName val="Catalogo_Cursos"/>
      <sheetName val="Catalogo_Cursos_"/>
      <sheetName val="Check_People"/>
      <sheetName val="AVANCE_PROGRAMACION"/>
      <sheetName val="Cumplimiento_por_Entrenamiento"/>
      <sheetName val="Cumplimiento_del_Plan_por_área"/>
      <sheetName val="CAPTURA_ENE_MAY"/>
      <sheetName val="tablas_cuadrillas"/>
      <sheetName val="Base_de_Datos_de_Activos_"/>
      <sheetName val="PIVOT_ADHERENCIA"/>
      <sheetName val="Steps_of_Committe_"/>
      <sheetName val="IC's_(2)"/>
      <sheetName val="Participación_en_entrenamie_(2"/>
      <sheetName val="Detalle_para_correctivo_excep_1"/>
      <sheetName val="Puerto_Rico1"/>
      <sheetName val="AI_OYS_Acum1"/>
      <sheetName val="Boletas_Condiciones1"/>
      <sheetName val="1_12"/>
      <sheetName val="1_22"/>
      <sheetName val="2_1-Pareto1"/>
      <sheetName val="Datos_Mensuales1"/>
      <sheetName val="Indicador_EE_Mensual1"/>
      <sheetName val="Plan_de_Acción_MAZ"/>
      <sheetName val="TO_Data_Base26"/>
      <sheetName val="YTD_Summary25"/>
      <sheetName val="Month_Summary25"/>
      <sheetName val="Trial_Balance_MAY_200925"/>
      <sheetName val="TB_Pivot25"/>
      <sheetName val="total_per_LB_LB225"/>
      <sheetName val="Trial_Balance_Vlookup25"/>
      <sheetName val="Trial_Balance_APRIL_200925"/>
      <sheetName val="Roll_Out_AQ25"/>
      <sheetName val="Evolução_mandamentos25"/>
      <sheetName val="Planilha_resultados24"/>
      <sheetName val="Historico_200324"/>
      <sheetName val="Sig_Cycles_Accts_&amp;_Processes24"/>
      <sheetName val="E_法规NC18"/>
      <sheetName val="3_ISo_YTD18"/>
      <sheetName val="Resumen_Costo18"/>
      <sheetName val="Extract_Loss18"/>
      <sheetName val="QA_跟踪记录表18"/>
      <sheetName val="Fixed_ZBB18"/>
      <sheetName val="Données_LMU18"/>
      <sheetName val="Brazil_Sovereign18"/>
      <sheetName val="5_118"/>
      <sheetName val="material_data18"/>
      <sheetName val="other_data18"/>
      <sheetName val="요일_테이블18"/>
      <sheetName val="요일_테이블_(2)17"/>
      <sheetName val="RG_Depots18"/>
      <sheetName val="Como_Estamos18"/>
      <sheetName val="Database_(RUR)Mar_YTD18"/>
      <sheetName val="SKU_Mapping18"/>
      <sheetName val="Drop_Down18"/>
      <sheetName val="Raw_Data18"/>
      <sheetName val="EBM-2_GHQ18"/>
      <sheetName val="Base_PEF19"/>
      <sheetName val="Base_de_Dados18"/>
      <sheetName val="Testing_Template_Guidance18"/>
      <sheetName val="Test_Programs18"/>
      <sheetName val="Dados_BLP18"/>
      <sheetName val="Controls_data20"/>
      <sheetName val="FJJX_Bud_IB17"/>
      <sheetName val="look-up_data17"/>
      <sheetName val="JOB_PROFILE_-_LAS18"/>
      <sheetName val="ARdistr_(2)18"/>
      <sheetName val="Prd_Hierarchy(产品层级)17"/>
      <sheetName val="Com_(2PK)17"/>
      <sheetName val="전사_PL19"/>
      <sheetName val="자금_제외_PL19"/>
      <sheetName val="자금_PL19"/>
      <sheetName val="전사_BS19"/>
      <sheetName val="자금_제외_BS19"/>
      <sheetName val="자금_BS19"/>
      <sheetName val="BS_계정_설명19"/>
      <sheetName val="_Cash_Flow(전사)19"/>
      <sheetName val="_Cash_Flow(자금제외)19"/>
      <sheetName val="_Cash_Flow(자금)19"/>
      <sheetName val="ROIC_19"/>
      <sheetName val="인건비_명세19"/>
      <sheetName val="판관비_명세19"/>
      <sheetName val="OH_Cost경비(내역)19"/>
      <sheetName val="OH_Cost경비(배부기준)19"/>
      <sheetName val="기타수지&amp;특별손익_명세19"/>
      <sheetName val="업무연락_(2)18"/>
      <sheetName val="제시_손익계산서18"/>
      <sheetName val="01_02월_성과급19"/>
      <sheetName val="M_7회차_담금_계획18"/>
      <sheetName val="팀별_실적18"/>
      <sheetName val="팀별_실적_(환산)18"/>
      <sheetName val="4__Inj_투자상세내역18"/>
      <sheetName val="3__Blow_투자_상세내역18"/>
      <sheetName val="Process_List18"/>
      <sheetName val="7_(2)18"/>
      <sheetName val="Prd_Hierarchy(产品层次)17"/>
      <sheetName val="Project_Code17"/>
      <sheetName val="_손익기01_XL17"/>
      <sheetName val="drop_down_list17"/>
      <sheetName val="[손익기01_XL_x005f_x0000__x005f_x0000_DePara17"/>
      <sheetName val="Income_Stmt17"/>
      <sheetName val="Quarterly_LBO_Model17"/>
      <sheetName val="[손익기01_XL17"/>
      <sheetName val="_손익기01_XL_x005f_x0000__x005f_x0000_DePara17"/>
      <sheetName val="15년_BL_사계17"/>
      <sheetName val="1_종합손익(도급)17"/>
      <sheetName val="1_종합손익(주택,개발)17"/>
      <sheetName val="2_실행예산17"/>
      <sheetName val="2_2과부족17"/>
      <sheetName val="2_3원가절감17"/>
      <sheetName val="8_외주비집행현황17"/>
      <sheetName val="9_자재비17"/>
      <sheetName val="10_현장집행17"/>
      <sheetName val="3_추가원가17"/>
      <sheetName val="3_추가원가_(2)17"/>
      <sheetName val="4_사전공사17"/>
      <sheetName val="5_추정공사비17"/>
      <sheetName val="6_금융비용17"/>
      <sheetName val="7_공사비집행현황(총괄)17"/>
      <sheetName val="11_1생산성17"/>
      <sheetName val="11_2인원산출17"/>
      <sheetName val="Classification_分类16"/>
      <sheetName val="Figures_Report16"/>
      <sheetName val="Set_Up17"/>
      <sheetName val="Fare_prices16"/>
      <sheetName val="Hotel_prices16"/>
      <sheetName val="__한국_AMP_ASP-23_판매가격__16"/>
      <sheetName val="CC_Down_load_071616"/>
      <sheetName val="변경실행(2차)_16"/>
      <sheetName val="나_출고16"/>
      <sheetName val="나_입고16"/>
      <sheetName val="09년_인건비(속리산)16"/>
      <sheetName val="합산목표(감가+57_5)16"/>
      <sheetName val="제조원가_원단위_분석16"/>
      <sheetName val="종합표양식(품의_&amp;_입고)_216"/>
      <sheetName val="원가관리_(동월대비)16"/>
      <sheetName val="b_balju_(2)16"/>
      <sheetName val="2-2_매출분석16"/>
      <sheetName val="몰드시스템_리스트16"/>
      <sheetName val="11_외화채무증권(AFS,HTM)0816"/>
      <sheetName val="13_감액TEST_0816"/>
      <sheetName val="12년_CF(9월)16"/>
      <sheetName val="중기조종사_단위단가16"/>
      <sheetName val="6PILE__(돌출)16"/>
      <sheetName val="기성청구_공문16"/>
      <sheetName val="Sheet1_(2)16"/>
      <sheetName val="09~10년_매출계획16"/>
      <sheetName val="1_MDF1공장16"/>
      <sheetName val="tab_STATUS_DO_PROCESSO_16"/>
      <sheetName val="Perf__Plan__Diário116"/>
      <sheetName val="In_(2)16"/>
      <sheetName val="slide_24_cat_A16"/>
      <sheetName val="slide_82_cat_b16"/>
      <sheetName val="Incident_유형구분표16"/>
      <sheetName val="CLASIFICACION_DE_AI16"/>
      <sheetName val="Base_da_Datos16"/>
      <sheetName val="Dados_dos_Produtos16"/>
      <sheetName val="DD_list16"/>
      <sheetName val="3YP2016-Bottom_up15"/>
      <sheetName val="2_카드채권(대출포함)15"/>
      <sheetName val="表21_净利润调节表15"/>
      <sheetName val="MASTER_APP15"/>
      <sheetName val="Cond__Inseguros15"/>
      <sheetName val="Comp__Inseguros15"/>
      <sheetName val="Lista_de_datos15"/>
      <sheetName val="Base_de_Datos15"/>
      <sheetName val="_DD_List15"/>
      <sheetName val="Share_Price_200215"/>
      <sheetName val="Clasif_15"/>
      <sheetName val="Lista_CI15"/>
      <sheetName val="Farol_Acciones15"/>
      <sheetName val="Lista_de_Entrenamientos15"/>
      <sheetName val="Supply_Cost_Centers15"/>
      <sheetName val="BEP_加薪_KPI14"/>
      <sheetName val="F08_-_Asia_Pac_Full_Year_Q315"/>
      <sheetName val="Top_Priorities15"/>
      <sheetName val="Listco_Stock15"/>
      <sheetName val="Intl_Purchase15"/>
      <sheetName val="FY_outlook15"/>
      <sheetName val="CY_outlook15"/>
      <sheetName val="Cash_metrics15"/>
      <sheetName val="P6_715"/>
      <sheetName val="DATOS_BASE14"/>
      <sheetName val="Unidades_SAC-REVENDA16"/>
      <sheetName val="FornecM_Check14"/>
      <sheetName val="Estratificación_AI14"/>
      <sheetName val="condicion_inseguras14"/>
      <sheetName val="Actos_Inseguros14"/>
      <sheetName val="Control_de_incidentes14"/>
      <sheetName val="Plan_de_Acción14"/>
      <sheetName val="Dashboard_Prevención_Riesgos_14"/>
      <sheetName val="TOP_KPIs_MTM14"/>
      <sheetName val="PLAN_DE_ACCION14"/>
      <sheetName val="Faro_de_Indicadores14"/>
      <sheetName val="Hazards_Analysis-隐患分析14"/>
      <sheetName val="_손익기01_XL_x005f_x005f_x005f_x0000__x005f_x005f_14"/>
      <sheetName val="97_사업추정(WEKI)14"/>
      <sheetName val="Tong_hop14"/>
      <sheetName val="95_1_1이후취득자산(숨기기상태)14"/>
      <sheetName val="sum1_(2)14"/>
      <sheetName val="3_바닥판설계14"/>
      <sheetName val="6월_공정외주14"/>
      <sheetName val="2_대외공문14"/>
      <sheetName val="2_총괄표14"/>
      <sheetName val="입출재고현황_(2)14"/>
      <sheetName val="504전기실_동부하-L14"/>
      <sheetName val="OUTER_AREA(겹침없음)14"/>
      <sheetName val="EL_표면적14"/>
      <sheetName val="TRE_TABLE14"/>
      <sheetName val="입찰내역_발주처_양식14"/>
      <sheetName val="Jul-Sep_Actual_cost_(2)13"/>
      <sheetName val="Issues_List_Payments14"/>
      <sheetName val="turnover_reason퇴직사유14"/>
      <sheetName val="Grafica_Actos14"/>
      <sheetName val="POC_LIST14"/>
      <sheetName val="부재료_비교(11년_vs_10년)12"/>
      <sheetName val="Condiciones_SyE14"/>
      <sheetName val="DETALLE_MENSUAL14"/>
      <sheetName val="do_not_delete14"/>
      <sheetName val="APAC_S14"/>
      <sheetName val="APAC_N14"/>
      <sheetName val="Slide_output14"/>
      <sheetName val="[손익기01_XL??DePara14"/>
      <sheetName val="Farol_Metas14"/>
      <sheetName val="Mod_Relac_14"/>
      <sheetName val="REALxMETA_-_CERVEJA16"/>
      <sheetName val="REALxMETA_-_REFRI16"/>
      <sheetName val="Directrices_de_Metas_201714"/>
      <sheetName val="Data_validation14"/>
      <sheetName val="SKU_Basic_Data14"/>
      <sheetName val="Entity_Target14"/>
      <sheetName val="VALIDACION_DE_DATOS13"/>
      <sheetName val="Drop-down_List13"/>
      <sheetName val="by_DD13"/>
      <sheetName val="Check_Qualidade12"/>
      <sheetName val="De_Para13"/>
      <sheetName val="Check_Aderencia12"/>
      <sheetName val="_손익기01_XL_x005f_x0000__x012"/>
      <sheetName val="Base_Farol12"/>
      <sheetName val="Gerencial_IL12"/>
      <sheetName val="Ventas_Campo12"/>
      <sheetName val="ACTOS_POR_RIESGO12"/>
      <sheetName val="drop_lists12"/>
      <sheetName val="MRL_NON_SUPPLY_URU12"/>
      <sheetName val="AIIM_-_Empresas_Ext_201212"/>
      <sheetName val="KPIs_Hana12"/>
      <sheetName val="Catalago_de_refacciones_12"/>
      <sheetName val="Existencias_al_07-Nov-201212"/>
      <sheetName val="Check_GG12"/>
      <sheetName val="Sheet3_(2)12"/>
      <sheetName val="요일_테이블_12"/>
      <sheetName val="Nombre_de_SOP12"/>
      <sheetName val="_mngt_Pillar12"/>
      <sheetName val="2__Indicadores12"/>
      <sheetName val="Ta_12"/>
      <sheetName val="Lao_&amp;_Cam12"/>
      <sheetName val="Hoegaarden_201912"/>
      <sheetName val="Lao_&amp;_Cam_201912"/>
      <sheetName val="Malaysia_201912"/>
      <sheetName val="Singapore_201912"/>
      <sheetName val="Sheet2_(2)12"/>
      <sheetName val="Other_Listings12"/>
      <sheetName val="Lista_de_Entrenamientos_RSO12"/>
      <sheetName val="Tablero_SDG15"/>
      <sheetName val="Lista_Areas15"/>
      <sheetName val="One_Page15"/>
      <sheetName val="Sub-Productos_HN13"/>
      <sheetName val="Eficiencia_linea12"/>
      <sheetName val="Pauta_RPS_Distribuição11"/>
      <sheetName val="Estoque_(2)11"/>
      <sheetName val="Comp_Inseguros11"/>
      <sheetName val="BNR_2012_в_ящике11"/>
      <sheetName val="DATOS_DE_VALIDACIÓN11"/>
      <sheetName val="Datos_con11"/>
      <sheetName val="_Datos_Cond_11"/>
      <sheetName val="DO_NOT_MOVE11"/>
      <sheetName val="INGRESO_(2)11"/>
      <sheetName val="PG-K1610_(UEN_Areas)MNG11"/>
      <sheetName val="DATOS_GEN_11"/>
      <sheetName val="NUEVOS_CRITERIOS11"/>
      <sheetName val="Condiciones_Agua11"/>
      <sheetName val="Dropdown_list10"/>
      <sheetName val="Drop_list10"/>
      <sheetName val="FX_Rates10"/>
      <sheetName val="Proced_10"/>
      <sheetName val="Cut_Machine_Summary10"/>
      <sheetName val="Control_de_Fallas10"/>
      <sheetName val="Setup_for_Templates10"/>
      <sheetName val="Datos_emp10"/>
      <sheetName val="Validation_lists10"/>
      <sheetName val="__한국_AMP_ASP-23_판㧤가격__10"/>
      <sheetName val="11_䡸화채무줝ⴌ(AFS,HTM)0810"/>
      <sheetName val="TIPO_DE_ACTO10"/>
      <sheetName val="CRITICIDAD_DE_CI10"/>
      <sheetName val="Catálogo_de_CI10"/>
      <sheetName val="%_CUMPLIMIENTO10"/>
      <sheetName val="%_cumplimiento_10"/>
      <sheetName val="CALIFICACIONES_20198"/>
      <sheetName val="Lev_4_360_deg_check_Crit_Task8"/>
      <sheetName val="Lev_4_Chk_IC_Stock_Crit_Task8"/>
      <sheetName val="Lev_4_WMS_Putaway_Crit_Task8"/>
      <sheetName val="Data_selection8"/>
      <sheetName val="1_8"/>
      <sheetName val="Customer_&amp;_SO8"/>
      <sheetName val="Session_Proposal8"/>
      <sheetName val="Vagas_x_Candidatos10"/>
      <sheetName val="Listas_y_equipos_a_evaluar10"/>
      <sheetName val="Data_Reporte10"/>
      <sheetName val="Read_me10"/>
      <sheetName val="Champions_List9"/>
      <sheetName val="NAZ_Strategy8"/>
      <sheetName val="Daily_Dashboard10"/>
      <sheetName val="Dropdown_Menu6"/>
      <sheetName val="Análise_Tempos7"/>
      <sheetName val="PDA_BOP7"/>
      <sheetName val="Validação_de_Dados7"/>
      <sheetName val="No_llenar_7"/>
      <sheetName val="유류대_현황5"/>
      <sheetName val="Incentivo_Automóvil7"/>
      <sheetName val="mapping_(2)5"/>
      <sheetName val="Ref_5"/>
      <sheetName val="Consolidated_Project_List5"/>
      <sheetName val="Fixed_Cost5"/>
      <sheetName val="1__템플릿5"/>
      <sheetName val="2__작성_참고사항5"/>
      <sheetName val="Lista_de_Motivos7"/>
      <sheetName val="Ponto_Crítico_-_Resp__Plano7"/>
      <sheetName val="Lista_Funcionários_(2)7"/>
      <sheetName val="2_3_Projects_Status5"/>
      <sheetName val="Project_List6"/>
      <sheetName val="PROCESS_MD7"/>
      <sheetName val="Выпадающие_списки6"/>
      <sheetName val="Listas_desplegables5"/>
      <sheetName val="Resumen_General5"/>
      <sheetName val="Cátalogo_de_CI5"/>
      <sheetName val="Hoja2_(2)5"/>
      <sheetName val="Technology_check_list5"/>
      <sheetName val="Status_de_Usuario5"/>
      <sheetName val="Actos_y_Condiciones_5"/>
      <sheetName val="NO_BORRAR5"/>
      <sheetName val="Formato_checklist_Lab5"/>
      <sheetName val="SOP_Freshness5"/>
      <sheetName val="Master_Data5"/>
      <sheetName val="PAINEL_RECOLHA_CRÉDITO7"/>
      <sheetName val="Gráficos_-_CDD7"/>
      <sheetName val="Dimension_IN_Sheet1!D19125"/>
      <sheetName val="Dimension_IN_19125"/>
      <sheetName val="Manage_to_Sustain4"/>
      <sheetName val="Packages_Info4"/>
      <sheetName val="Meeting_List4"/>
      <sheetName val="2020_MMR124"/>
      <sheetName val="입문_트랜드(종합분석)4"/>
      <sheetName val="Master_CE4"/>
      <sheetName val="CE_Final_4"/>
      <sheetName val="OL_LIST4"/>
      <sheetName val="YTD_GUEST_LIST4"/>
      <sheetName val="Session_Full_list4"/>
      <sheetName val="FOOD_PAYMENT_update_JAN4"/>
      <sheetName val="Rate_card_F19_4"/>
      <sheetName val="Master_Plan__(update)4"/>
      <sheetName val="The_KPI_4"/>
      <sheetName val="Mentor_Plan_4"/>
      <sheetName val="Master_Plan_4"/>
      <sheetName val="Tier_1_GOV_PC_Networking_4"/>
      <sheetName val="Tier_1_LBO_4"/>
      <sheetName val="Preferred_Option4"/>
      <sheetName val="Razão_Social4"/>
      <sheetName val="_손익기01_XL_x005f_x0000__x005f_x005f_x04"/>
      <sheetName val="1월_목표4"/>
      <sheetName val="FILIAL_MINAS4"/>
      <sheetName val="info_for_drop_box4"/>
      <sheetName val="KPIs-_TTP,_PTP,_People_Turnove4"/>
      <sheetName val="POCM_배송지4"/>
      <sheetName val="10_麦汁CIP清洗标准水量2"/>
      <sheetName val="Mapping_2"/>
      <sheetName val="WS_DB2"/>
      <sheetName val="Region_2"/>
      <sheetName val="SKU_DB2"/>
      <sheetName val="데이터_유효성_목록2"/>
      <sheetName val="SAP_info2"/>
      <sheetName val="Target_Book2"/>
      <sheetName val="Tipo_Viaje2"/>
      <sheetName val="Flota_y_Personal2"/>
      <sheetName val="Name_List2"/>
      <sheetName val="Ref_New_Contract_Model2"/>
      <sheetName val="_손익기01_XL__DePara11"/>
      <sheetName val="Q4_20182"/>
      <sheetName val="Q4_20192"/>
      <sheetName val="Q4_Sum2"/>
      <sheetName val="2020_KPI_LE02"/>
      <sheetName val="Lista_AI2"/>
      <sheetName val="_2"/>
      <sheetName val="COE_Scope_-_Strategic_Projects2"/>
      <sheetName val="SEGUIMIENTO_SEMANAL2"/>
      <sheetName val="TO_TTZ2"/>
      <sheetName val="CATÁLOGO_DE_PELIGROS2"/>
      <sheetName val="match_list2"/>
      <sheetName val="Rate_data2"/>
      <sheetName val="KPI_need_to_input2"/>
      <sheetName val="강남_CRM_11월2"/>
      <sheetName val="Template_HN2"/>
      <sheetName val="Resumen_(hL_env)2"/>
      <sheetName val="RyNV_detectados_2"/>
      <sheetName val="Curva_20212"/>
      <sheetName val="Por_PPR3"/>
      <sheetName val="Nigeria_&amp;_Ghana2"/>
      <sheetName val="_손익기01_XL_x005f_x005f_x002"/>
      <sheetName val="Manual_Database1"/>
      <sheetName val="CRITERIOS_DE_AI2"/>
      <sheetName val="TR__KHCode1"/>
      <sheetName val="NDD_CPT1"/>
      <sheetName val="_折扣项_PromotionPlan1"/>
      <sheetName val="DEX_(2)1"/>
      <sheetName val="Lista_d2"/>
      <sheetName val="Catalogo_Cursos1"/>
      <sheetName val="Catalogo_Cursos_1"/>
      <sheetName val="Check_People1"/>
      <sheetName val="AVANCE_PROGRAMACION1"/>
      <sheetName val="Cumplimiento_por_Entrenamiento1"/>
      <sheetName val="Cumplimiento_del_Plan_por_área1"/>
      <sheetName val="CAPTURA_ENE_MAY1"/>
      <sheetName val="tablas_cuadrillas1"/>
      <sheetName val="Base_de_Datos_de_Activos_1"/>
      <sheetName val="PIVOT_ADHERENCIA1"/>
      <sheetName val="Steps_of_Committe_1"/>
      <sheetName val="IC's_(2)1"/>
      <sheetName val="Participación_en_entrenamie_(21"/>
      <sheetName val="Detalle_para_correctivo_excep_2"/>
      <sheetName val="Puerto_Rico2"/>
      <sheetName val="AI_OYS_Acum2"/>
      <sheetName val="Boletas_Condiciones2"/>
      <sheetName val="1_13"/>
      <sheetName val="1_23"/>
      <sheetName val="2_1-Pareto2"/>
      <sheetName val="Datos_Mensuales2"/>
      <sheetName val="Indicador_EE_Mensual2"/>
      <sheetName val="Plan_de_Acción_MAZ1"/>
      <sheetName val="DIAGEO_VENTURE1"/>
      <sheetName val="MAESTRO_CODIGOS1"/>
      <sheetName val="Por_regional1"/>
      <sheetName val="Por_Proveedor1"/>
      <sheetName val="X_Categoria1"/>
      <sheetName val="Por_Vendedor1"/>
      <sheetName val="Por_Mayoristas1"/>
      <sheetName val="Por_Cliente1"/>
      <sheetName val="Por_producto1"/>
      <sheetName val="Por_producto_cant_1"/>
      <sheetName val="Por_producto_cant__(2)1"/>
      <sheetName val="Por_Vendedor_X_Ciudad1"/>
      <sheetName val="Act_por_cliente1"/>
      <sheetName val="Act_por_Proveedor1"/>
      <sheetName val="Act_por_producto1"/>
      <sheetName val="제조원가_원단샀"/>
      <sheetName val="할증_"/>
      <sheetName val="나_출؀"/>
      <sheetName val="Tr_C_당일자금판"/>
      <sheetName val="설계예산서"/>
      <sheetName val="공예을"/>
      <sheetName val="OUTER_AREA(겹침_x0000__x0000__x0005_"/>
      <sheetName val="OUTER_AREA(겹침ޘᱶ㒀"/>
      <sheetName val="아파트기별"/>
      <sheetName val="공리일"/>
      <sheetName val="합손"/>
      <sheetName val="Trans"/>
      <sheetName val="RD제품개발투자비(매가)"/>
      <sheetName val="3000P데이타"/>
      <sheetName val="상세 계산 내역"/>
      <sheetName val="계산 DATA 입력"/>
      <sheetName val="예산계획"/>
      <sheetName val="Master DB"/>
      <sheetName val="NRD PD_Detailed result of Index"/>
      <sheetName val="b_balju_x0000_ʼ웠Ɍ旼"/>
      <sheetName val="b_balju_x0003__x0000_羈̗㓡"/>
      <sheetName val="b_balju㓡s髸ጃ_x0000_"/>
      <sheetName val="b_balju밽¹Ⴠᣵ_x0000_"/>
      <sheetName val="b_balju_x0000_〸_x0000__x0000_Ā"/>
      <sheetName val="back data"/>
      <sheetName val="Tongke"/>
      <sheetName val="D2.8"/>
      <sheetName val="sum_x005f_x0008__x005f_x0000__x005f_x000d__x000_2"/>
      <sheetName val="설비등록_x005f_x0010__x005f_x0000_"/>
      <sheetName val="7______x005f_x0000__x005f_x0000___x005f_x0000___2"/>
      <sheetName val="_x005f_x005f_x005f_x005f_x005f_x005f_x005f_x0018__x00_2"/>
      <sheetName val="_x005f_x005f_x005f_x0018_?"/>
      <sheetName val="슬래_x005f_xd800_"/>
      <sheetName val="504전기실_Ç_x005f_x0000_Ԁ_x005f_x0000_瀀"/>
      <sheetName val="504전기실_Ç_x005f_x0000_Ԁ_x005f_x0000_退"/>
      <sheetName val="01_02월_성B_x005f_x0000_"/>
      <sheetName val="나_출_x005f_x0000__x005f_x0000_"/>
      <sheetName val="_x005f_x005f_x005f_x005f_x005f_x005f_x005f_x0000__x00_2"/>
      <sheetName val="____01_XL_x005f_x005f_x005f_x0000__x005f_x005f__8"/>
      <sheetName val="____01_XL_x005f_x005f_x005f_x0000__x005f_x005f__9"/>
      <sheetName val="____01_XL_x005f_x005f_x005f_x005f_x005f_x005f_x_2"/>
      <sheetName val="sum_x005f_x000a_"/>
      <sheetName val="OUTER_A__x005f_x0000___x005f_x0000__x005f_x0000_2"/>
      <sheetName val="2_실행ﶻĉ_x005f_x0000_"/>
      <sheetName val="2_실행ﶻ_x005f_x001e__x005f_x0000_"/>
      <sheetName val="자금_제_x005f_x0000__x005f_x0000_Ԁ_x005f_x0000_"/>
      <sheetName val="_x005f_x005f_x005f_x0000_"/>
      <sheetName val="_x005f_x005f_x005f_x0000___x005f_x0000__x005f_x0000___2"/>
      <sheetName val="_x005f_x005f_x005f_x0000___x005f_x0000__x005f_x0000___3"/>
      <sheetName val="공통비_x005f_x0000__x005f_x0000_ʯ"/>
      <sheetName val="공통비_x005f_x0000_í遘̩"/>
      <sheetName val="Ta_x005f_x0005_"/>
      <sheetName val="____01_XL_x005f_x005f_x005f_x0000__x005f_x005f_10"/>
      <sheetName val="____01_XL_x005f_x005f_x005f_x0000__x005f_x005f_11"/>
      <sheetName val="____01_XL_x005f_x005f_x005f_x005f_x005f_x005f_x_3"/>
      <sheetName val="____01_XL_x005f_x005f_x005f_x0000__x005f_x005f_12"/>
      <sheetName val="____01_XL_x005f_x005f_x005f_x0000__x005f_x005f_13"/>
      <sheetName val="____01_XL_x005f_x005f_x005f_x005f_x005f_x005f_x_4"/>
      <sheetName val="_손익기01.XL_x005f_x005f_x005f_x0000__x0"/>
      <sheetName val="_손익기01_XL_x005f_x005f_x005f_x0000__x0"/>
      <sheetName val="_손익기01_XL_x005f_x005f_x005f_x0000__x1"/>
      <sheetName val="____01_XL_x005f_x005f_x005f_x0000__x005f_x005f_14"/>
      <sheetName val="____01_XL_x005f_x005f_x005f_x0000__x005f_x005f_15"/>
      <sheetName val="____01_XL_x005f_x005f_x005f_x005f_x005f_x005f_x_5"/>
      <sheetName val="____01_XL_x005f_x005f_x005f_x0000__x005f_x005f_16"/>
      <sheetName val="____01_XL_x005f_x005f_x005f_x0000__x005f_x005f_17"/>
      <sheetName val="____01_XL_x005f_x005f_x005f_x005f_x005f_x005f_x_6"/>
      <sheetName val="_손익기01_XL_x005f_x005f_x005f_x0000__x01"/>
      <sheetName val="Planilha_relts_x005f_xdb75__x005f_xdb62_e_2"/>
      <sheetName val="_x005f_x0000__x005f_x0005__x005f_x0000__x005f_x0001___2"/>
      <sheetName val="_x005f_x0000__x005f_x0005__x005f_x0000___x005f_x000f__2"/>
      <sheetName val="____01_XL_x005f_x005f_x005f_x0000__x005f_x005f_18"/>
      <sheetName val="____01_XL_x005f_x005f_x005f_x0000__x005f_x005f_19"/>
      <sheetName val="____01_XL_x005f_x005f_x005f_x005f_x005f_x005f_x_7"/>
      <sheetName val="_손익기01_XL_x005f_x005f_x005f_x0000__x02"/>
      <sheetName val="____01_XL_x005f_x005f_x005f_x0000__x005f_x005f_20"/>
      <sheetName val="____01_XL_x005f_x005f_x005f_x0000__x005f_x005f_21"/>
      <sheetName val="____01_XL_x005f_x005f_x005f_x005f_x005f_x005f_x_8"/>
      <sheetName val="_손익기01_XL_x005f_x005f_x005f_x0000__x03"/>
      <sheetName val="_손익기01_XL_x005f_x005f_x005f_x0000__x2"/>
      <sheetName val="____01_XL_x005f_x005f_x005f_x0000__x005f_x005f_22"/>
      <sheetName val="____01_XL_x005f_x005f_x005f_x0000__x005f_x005f_23"/>
      <sheetName val="____01_XL_x005f_x005f_x005f_x005f_x005f_x005f_x_9"/>
      <sheetName val="_손익기01_XL_x005f_x005f_x005f_x0000__x04"/>
      <sheetName val="_손익기01_XL_x005f_x005f_x005f_x0000__x3"/>
      <sheetName val="____01_XL_x005f_x005f_x005f_x0000__x005f_x005f_24"/>
      <sheetName val="____01_XL_x005f_x005f_x005f_x0000__x005f_x005f_25"/>
      <sheetName val="____01_XL_x005f_x005f_x005f_x005f_x005f_x005f__10"/>
      <sheetName val="_손익기01_XL_x005f_x005f_x005f_x0000__x05"/>
      <sheetName val="_손익기01_XL_x005f_x005f_x005f_x0000__x4"/>
      <sheetName val="_손익기01_XL_x005f_x005f_x005f_x0000__x5"/>
      <sheetName val="_손익기01_XL_x005f_x005f_x005f_x0000__x6"/>
      <sheetName val="____01_XL_x005f_x005f_x005f_x0000__x005f_x005f_26"/>
      <sheetName val="____01_XL_x005f_x005f_x005f_x0000__x005f_x005f_27"/>
      <sheetName val="____01_XL_x005f_x005f_x005f_x005f_x005f_x005f__11"/>
      <sheetName val="_손익기01_XL_x005f_x005f_x005f_x0000__x06"/>
      <sheetName val="sum_x005f_x0008_"/>
      <sheetName val="국내_x005f_x0000__x005f_x0000_"/>
      <sheetName val="원가관리_(동월대-_x005f_x0000_Ԁ"/>
      <sheetName val="504_____x005f_x0000__x005f_x0000__x005f_x0001___2"/>
      <sheetName val="_x005f_x005f_x005f_x005f_x005f_x005f_x005f_x005f_x005_2"/>
      <sheetName val="_x005f_x005f_x005f_x005f_x005f_x005f_x005f_x0018__"/>
      <sheetName val="6PILE__(Y_x005f_x0000__x005f_x0000_"/>
      <sheetName val="________5_x005f_x0000__x005f_x0000___x000_2"/>
      <sheetName val="6PILE__(剙_x005f_x0010__x005f_x0000_"/>
      <sheetName val="_Cash_Flow(자_x005f_x0000__x005f_x0000_"/>
      <sheetName val="통က_x005f_x0000_"/>
      <sheetName val="______x005f_x0000__x005f_x0000__x005f_x0000__x0_2"/>
      <sheetName val="집계확_x005f_x0000_"/>
      <sheetName val="_x005f_x005f_x005f_x0000__"/>
      <sheetName val="OH__x005f_x000f__x005f_x0000__x005f_x000c__x000_2"/>
      <sheetName val="_x005f_x0000__x005f_x0004__x005f_x0000__x005f_x0002___2"/>
      <sheetName val="OH _x005f_x000f_"/>
      <sheetName val="입찰내역 _x005f_x0000_⊍_x005f_x0000__x005f_x0000_∀的"/>
      <sheetName val="제조원가_원단ၒ_x005f_x0000__x005f_x0000__x005f_x0000_"/>
      <sheetName val="제조원가_원단_x005f_x0000_좏_x005f_x0000__x005f_x0000_"/>
      <sheetName val="제조원가_원단_x005f_x0000_泀_x005f_x0000__x005f_x0000_"/>
      <sheetName val="제조원가_원단_x005f_x0010__x005f_x0000_༘֜"/>
      <sheetName val="제조원가_원단_x005f_x0000_ī_x005f_x0000_"/>
      <sheetName val="504전기실__x005f_x0000_Ԁ_x005f_x0000_"/>
      <sheetName val="504전기실__x005f_x0000_Ԁ_x005f_x0000_က"/>
      <sheetName val="0428"/>
      <sheetName val="Utilities"/>
      <sheetName val="안성 주기장 개발"/>
      <sheetName val="검토사항"/>
      <sheetName val="Selection"/>
      <sheetName val="DD30"/>
      <sheetName val="FF20"/>
      <sheetName val="전체실적"/>
      <sheetName val="견적집계표"/>
      <sheetName val="거래처별"/>
      <sheetName val="Statement_20.12"/>
      <sheetName val="Deposit"/>
      <sheetName val="동별"/>
      <sheetName val="21년_211109"/>
      <sheetName val="21년_220117"/>
      <sheetName val="받을어음명세(5월31일)"/>
      <sheetName val="Personnel-Wages"/>
      <sheetName val="Rev ORSO EXMPF"/>
      <sheetName val="ME EX_MPF"/>
      <sheetName val="ME MPF"/>
      <sheetName val="Rev 5%GF"/>
      <sheetName val="Rev Endowment-3P8"/>
      <sheetName val="Rev HNW"/>
      <sheetName val="Rev Others"/>
      <sheetName val="Rev Term"/>
      <sheetName val="Rev Traditional"/>
      <sheetName val="Rev Class C"/>
      <sheetName val="Rev Unit Linked"/>
      <sheetName val="Rev Single Premium"/>
      <sheetName val="Rev Variable Life"/>
      <sheetName val="Rev CGF"/>
      <sheetName val="Rev CPF"/>
      <sheetName val="Rev Class G"/>
      <sheetName val="Rev GPF"/>
      <sheetName val="Rev Class H"/>
      <sheetName val="Rev HSPF"/>
      <sheetName val="Rev Class I"/>
      <sheetName val="Rev MPF GF"/>
      <sheetName val="Rev Non_GF"/>
      <sheetName val="试算平衡表"/>
      <sheetName val="Set-up"/>
      <sheetName val="Sep 18 Summary"/>
      <sheetName val="合并2"/>
      <sheetName val="배송"/>
      <sheetName val="BU165801"/>
      <sheetName val="주문"/>
      <sheetName val="_손익기01_XL_x005f_x0000__x005f_x005f_11"/>
      <sheetName val="MOTOR"/>
      <sheetName val="5.전사투자계획종함안"/>
      <sheetName val="계약변경요청서"/>
      <sheetName val="Default"/>
      <sheetName val="_Cash_㐀腃　욵ఁꍠ_x0000__x0000_"/>
      <sheetName val="설비등록_x005f_x0000__x005f_x0000_"/>
      <sheetName val="_x005f_x005f_x005f_x0000__㴐ኰ"/>
      <sheetName val="_x005f_x005f_x005f_x0000__움ᕕ"/>
      <sheetName val="___________x005f_xdd02_____x005f_x001d__x_2"/>
      <sheetName val="제조원가_원단_x005f_x0000_ǻ_x005f_x0000_"/>
      <sheetName val="6PILE__(돌출_x005f_x0000_"/>
      <sheetName val="____01_XL_x005f_x005f_x005f_x0000__x005f_x005f_28"/>
      <sheetName val="____01_XL_x005f_x005f_x005f_x0000__x005f_x005f_29"/>
      <sheetName val="____01_XL_x005f_x005f_x005f_x0000__x005f_x005f_30"/>
      <sheetName val="____01_XL_x005f_x005f_x005f_x005f_x005f_x005f__12"/>
      <sheetName val="_손익기01_XL_x005f_x005f_x005f_x0000__x07"/>
      <sheetName val="제조원가_원단_x005f_x0010_"/>
      <sheetName val="_x005f_x005f_x005f_x005f_x005f_x005f_x005f_x0018_"/>
      <sheetName val="________x005f_x005f_x005f_x0000__x005f_x005f_x0_2"/>
      <sheetName val="________x005f_x005f_x005f_x0000__x005f_x005f_x0_3"/>
      <sheetName val="_x005f_x005f_x005f_x005f_x005f_x005f_x005f_x005f_x005_3"/>
      <sheetName val="제조원가_원단_x005f_x0000_궰_x005f_x0000__x005f_x0000_"/>
      <sheetName val="제조원가_원단_x005f_x0000_聏_x005f_x0000__x005f_x0000_"/>
      <sheetName val="제조원가_원단샀_x005f_x000e__x005f_x0000__x005f_x0000_"/>
      <sheetName val="sum_x005f_x0008__x005f_x0000___x005f_x0000__x00_2"/>
      <sheetName val="_x005f_x0000___x005f_x0000__x005f_x0000__x005f_x0005__2"/>
      <sheetName val="_x005f_x0000___x005f_x0000__x005f_x0000__x005f_x0005__3"/>
      <sheetName val="_Cash_Flo_x005f_x0000__x005f_x0000__x005f_x0000_2"/>
      <sheetName val="_손익기01_XL_x005f_x005f_x005f_x0000__x7"/>
      <sheetName val="____01_XL_x005f_x005f_x005f_x0000__x005f_x005f_31"/>
      <sheetName val="____01_XL_x005f_x005f_x005f_x0000__x005f_x005f_32"/>
      <sheetName val="____01_XL_x005f_x005f_x005f_x005f_x005f_x005f__13"/>
      <sheetName val="_손익기01_XL_x005f_x005f_x005f_x0000__x08"/>
      <sheetName val="97 사업추정(W؀_x005f_x0001__x005f_x0000__x005f_x0000_"/>
      <sheetName val="설비등록ၒ_x005f_x0000_"/>
      <sheetName val="7______x005f_x0000____x005f_x0000__x005f_x0000__2"/>
      <sheetName val="제조원가_원단뿰朮_x005f_x0000__x005f_x0000_"/>
      <sheetName val="제조원가_원단뽰_x005f_x0000__x005f_x0000_"/>
      <sheetName val="제조원가_원단뽀ᚔ_x005f_x0000__x005f_x0000_"/>
      <sheetName val="_x005f_x005f_x005f_x0000__x00_x005f_x0000__x000_2"/>
      <sheetName val="7______x005f_x0000__x005f_x0000__x005f_x0000__x_2"/>
      <sheetName val="나_출؀_x005f_x0001_"/>
      <sheetName val="1___________x005f_x0000__x005f_x0000__x00_2"/>
      <sheetName val="12년_CF(9월_x005f_x0000_"/>
      <sheetName val="12년_CF౮_x005f_x0002_저殑"/>
      <sheetName val="6PILE__(_x005f_xddf4_ㆥ堀"/>
      <sheetName val="6PILE__(౮_x005f_x0002_저"/>
      <sheetName val="____________x005f_x0000__x005f_x0000__x00_2"/>
      <sheetName val="1_종합손익탬됊혁酧_x005f_x0000__x005f_x0000_ꠀⅱ"/>
      <sheetName val="1_종합손익훬酧_x005f_x0000__x005f_x0000_怀ꇨ吖ᑌ"/>
      <sheetName val="1_종합손익훬酧_x005f_x0000__x005f_x0000_㠀ᥖ吨ᑌ"/>
      <sheetName val="1_종합손익(_x005f_x0000__x005f_x0000_ᥨᗊ"/>
      <sheetName val="1_______x005f_x0000__x005f_x0000__x005f_x0005___2"/>
      <sheetName val="_x005f_x005f_x005f_x0000__x00_x005f_x0000__x000_3"/>
      <sheetName val="Sheet⤖_x005f_x0000_崒"/>
      <sheetName val="____01_XL_x005f_x005f_x005f_x0000__x005f_x005f_33"/>
      <sheetName val="____01_XL_x005f_x005f_x005f_x0000__x005f_x005f_34"/>
      <sheetName val="____01_XL_x005f_x005f_x005f_x005f_x005f_x005f__14"/>
      <sheetName val="_손익기01_XL_x005f_x005f_x005f_x0000__x09"/>
      <sheetName val="____01_XL_x005f_x005f_x005f_x0000__x005f_x005f_35"/>
      <sheetName val="________x005f_x005f_x005f_x0000__x005f_x005f_x0_4"/>
      <sheetName val="________x005f_x005f_x005f_x0000__x005f_x005f_x0_5"/>
      <sheetName val="_손익기01_XL_x005f_x005f_x005f_x0000__x8"/>
      <sheetName val="_손익기01_XL_x005f_x005f_x005f_x0000__x9"/>
      <sheetName val="_손익기01_XL_x005f_x005f_x005f_x0000__10"/>
      <sheetName val="_______________x005f_x001d__x005f_x0000___2"/>
      <sheetName val="_x005f_x0000__x00_x005f_x0000__x005f_x0000__x00_2"/>
      <sheetName val="_손익기01_XL_x005f_x005f_x005f_x0000__11"/>
      <sheetName val="OUTER_AREA__x005f_x0000__x005f_x0000___x0_2"/>
      <sheetName val="OUTER_AREA__x005f_x0000__x005f_x0000___x0_3"/>
      <sheetName val="OUTER_AREA__x005f_x0000__x005f_x0000___x0_4"/>
      <sheetName val="OUTER_AREA__x005f_x0000__x005f_x0000___x0_5"/>
      <sheetName val="____01_XL_x005f_x005f_x005f_x0000__x005f_x005f_36"/>
      <sheetName val="____01_XL_x005f_x005f_x005f_x0000__x005f_x005f_37"/>
      <sheetName val="____01_XL_x005f_x005f_x005f_x0000__x005f_x005f_38"/>
      <sheetName val="____01_XL_x005f_x005f_x005f_x0000__x005f_x005f_39"/>
      <sheetName val="____01_XL_x005f_x005f_x005f_x0000__x005f_x005f_40"/>
      <sheetName val="____01_XL_x005f_x005f_x005f_x0000__x005f_x005f_41"/>
      <sheetName val="____01_XL_x005f_x005f_x005f_x0000__x005f_x005f_42"/>
      <sheetName val="____01_XL_x005f_x005f_x005f_x0000__x005f_x005f_43"/>
      <sheetName val="____01_XL_x005f_x005f_x005f_x0000__x005f_x005f_44"/>
      <sheetName val="____01_XL_x005f_x005f_x005f_x0000__x005f_x005f_45"/>
      <sheetName val="사업성"/>
      <sheetName val="제조원가_원단_x0000__x0000__x0005__x0000_"/>
      <sheetName val="STAND20"/>
      <sheetName val="자재"/>
      <sheetName val="전체내역 (2)"/>
      <sheetName val="CONCRETE"/>
      <sheetName val="남양시작동자105노65기1.3화1.2"/>
      <sheetName val="년도기부"/>
      <sheetName val="Comments"/>
      <sheetName val="PJT"/>
      <sheetName val="계수원본(99.2.28)"/>
      <sheetName val="C101"/>
      <sheetName val="Aging-ARSum"/>
      <sheetName val="Inventory"/>
      <sheetName val="GG&amp;P Yield"/>
      <sheetName val="GuiHist"/>
      <sheetName val="Collateral"/>
      <sheetName val="Disposition"/>
      <sheetName val="GM Analysis"/>
      <sheetName val="Base Model"/>
      <sheetName val="BS MAY"/>
      <sheetName val="Occupancy 2004"/>
      <sheetName val="Share Prices"/>
      <sheetName val="07"/>
      <sheetName val="10"/>
      <sheetName val="09"/>
      <sheetName val="G301(01)"/>
      <sheetName val="Prepmt"/>
      <sheetName val="上年合并TB"/>
      <sheetName val="TRAFFIC-bud"/>
      <sheetName val="完"/>
      <sheetName val="资产负债表及损益表"/>
      <sheetName val="企业表一"/>
      <sheetName val="M-5C"/>
      <sheetName val="M-5A"/>
      <sheetName val="Disclosure"/>
      <sheetName val="固产04 old"/>
      <sheetName val="Balance #1"/>
      <sheetName val="Contents"/>
      <sheetName val="Inv_days #5"/>
      <sheetName val="Adjust #14"/>
      <sheetName val="FA_Dep #7"/>
      <sheetName val="detail"/>
      <sheetName val="FA Addition"/>
      <sheetName val="5201.2004"/>
      <sheetName val="索引"/>
      <sheetName val="R_Standalone"/>
      <sheetName val="PV of Stock Price"/>
      <sheetName val="ocean voyage"/>
      <sheetName val="소방"/>
      <sheetName val="95년간접비"/>
      <sheetName val="LS"/>
      <sheetName val="2_대외공_x0000_"/>
      <sheetName val="신우"/>
      <sheetName val="지장물"/>
      <sheetName val="추가공정(내역서)"/>
      <sheetName val=""/>
      <sheetName val="입찰내역 ꀌ数0_x0000_㠀 "/>
      <sheetName val="Table 1"/>
      <sheetName val="갑 지 (비계미포함)"/>
      <sheetName val="Macro(차단기)"/>
      <sheetName val="청주점공사비비교"/>
      <sheetName val="종합표양식(품의_x0000__x0000__x0000__x0000_　ḧ淝_x0001__x0000_"/>
      <sheetName val="종합표양식(품의9_x0000__x0000__x0000_　ḧ淝_x0001__x0000_"/>
      <sheetName val="업무분장"/>
      <sheetName val="종합표양식(품의좲�쒥⠀쮎_x001d__x0000__x0000_"/>
      <sheetName val="_x0000__x00_x0000__x0000_Ԁ"/>
      <sheetName val="tabulation (comparison)"/>
      <sheetName val="TIE-INS"/>
      <sheetName val="MAT_N048"/>
      <sheetName val="HYDROTEST DIAGRAM"/>
      <sheetName val="GAE8'97"/>
      <sheetName val="Process Piping"/>
      <sheetName val="BREAKDOWN(철거설치)"/>
      <sheetName val="SITE DEV,T"/>
      <sheetName val="Equipt Rental"/>
      <sheetName val="GRAND SUM"/>
      <sheetName val="Rates"/>
      <sheetName val="BOQ"/>
      <sheetName val="FINANCIAL (FLR)"/>
      <sheetName val="Land Dev't. Ph-1"/>
      <sheetName val="4-Lane bridge"/>
      <sheetName val="Hac.Lots"/>
      <sheetName val="Res.Lots"/>
      <sheetName val="Spine Road"/>
      <sheetName val="Personnel"/>
      <sheetName val="자재단가조사표-수목"/>
      <sheetName val="チューブ仕様"/>
      <sheetName val="石炭性状"/>
      <sheetName val="Tabulation "/>
      <sheetName val="TOSHIBA-Structure"/>
      <sheetName val="PBS"/>
      <sheetName val="8.PILE  (돌출)"/>
      <sheetName val="기계내역서"/>
      <sheetName val="BM"/>
      <sheetName val="Code 07"/>
      <sheetName val="villa"/>
      <sheetName val="project management"/>
      <sheetName val="지수적용공사비내역서"/>
      <sheetName val="ORIGN"/>
      <sheetName val="Price Summary (2)"/>
      <sheetName val="B1"/>
      <sheetName val="LBR"/>
      <sheetName val="MTL"/>
      <sheetName val="EQT"/>
      <sheetName val="Wts"/>
      <sheetName val="BTRP-230kV.wts"/>
      <sheetName val="bill 2"/>
      <sheetName val="도기류"/>
      <sheetName val="prod-rates2"/>
      <sheetName val="corbeldatail"/>
      <sheetName val="TYPE-A"/>
      <sheetName val="INDIRECT"/>
      <sheetName val="03-13 Anticipated"/>
      <sheetName val="(COV)"/>
      <sheetName val="subcon sched"/>
      <sheetName val="5-Digit"/>
      <sheetName val="eqpmt"/>
      <sheetName val="mat'ls"/>
      <sheetName val="Schedule S-Curve Revision#3"/>
      <sheetName val="Bill No. 2 July 6"/>
      <sheetName val="pile Fabrication"/>
      <sheetName val="main report"/>
      <sheetName val="Derive"/>
      <sheetName val="DESBASTE"/>
      <sheetName val="Ext__Stone-P1"/>
      <sheetName val="Process_Li 鸴1"/>
      <sheetName val="Rate_Analysis1"/>
      <sheetName val="07~08_PL1"/>
      <sheetName val="대출_상환액_산출표"/>
      <sheetName val="사외외주_9월_현황"/>
      <sheetName val="플랜트_설치"/>
      <sheetName val="12년_CF౮저殑"/>
      <sheetName val="6PILE__(ㆥ堀"/>
      <sheetName val="6PILE__(౮저"/>
      <sheetName val="C_S_A"/>
      <sheetName val="Sch_6"/>
      <sheetName val="총괄집계_"/>
      <sheetName val="운반거리(0_7km)"/>
      <sheetName val="2_하중산정"/>
      <sheetName val="Thiet_Bi"/>
      <sheetName val="Assumption_List"/>
      <sheetName val="1_종합손익(도_x0000__x0000__x0000_"/>
      <sheetName val="계약내역서(한스설비)"/>
      <sheetName val="본선 토공 분배표"/>
      <sheetName val="gia vt,nc,may"/>
      <sheetName val="Gtable(19)"/>
      <sheetName val="149-2"/>
      <sheetName val="Input Time"/>
      <sheetName val="eq_data"/>
      <sheetName val="영업소실적"/>
      <sheetName val="Pricing Summary"/>
      <sheetName val="Scenarios"/>
    </sheetNames>
    <sheetDataSet>
      <sheetData sheetId="0"/>
      <sheetData sheetId="1"/>
      <sheetData sheetId="2"/>
      <sheetData sheetId="3"/>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sheetData sheetId="836" refreshError="1"/>
      <sheetData sheetId="837" refreshError="1"/>
      <sheetData sheetId="838" refreshError="1"/>
      <sheetData sheetId="839"/>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sheetData sheetId="1246"/>
      <sheetData sheetId="1247"/>
      <sheetData sheetId="1248"/>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sheetData sheetId="1446"/>
      <sheetData sheetId="1447"/>
      <sheetData sheetId="1448"/>
      <sheetData sheetId="1449" refreshError="1"/>
      <sheetData sheetId="1450" refreshError="1"/>
      <sheetData sheetId="1451" refreshError="1"/>
      <sheetData sheetId="1452" refreshError="1"/>
      <sheetData sheetId="1453" refreshError="1"/>
      <sheetData sheetId="1454" refreshError="1"/>
      <sheetData sheetId="1455" refreshError="1"/>
      <sheetData sheetId="1456"/>
      <sheetData sheetId="1457" refreshError="1"/>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sheetData sheetId="1715" refreshError="1"/>
      <sheetData sheetId="1716" refreshError="1"/>
      <sheetData sheetId="1717" refreshError="1"/>
      <sheetData sheetId="1718" refreshError="1"/>
      <sheetData sheetId="1719" refreshError="1"/>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sheetData sheetId="1753" refreshError="1"/>
      <sheetData sheetId="1754" refreshError="1"/>
      <sheetData sheetId="1755" refreshError="1"/>
      <sheetData sheetId="1756" refreshError="1"/>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sheetData sheetId="2057"/>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sheetData sheetId="2475"/>
      <sheetData sheetId="2476"/>
      <sheetData sheetId="2477"/>
      <sheetData sheetId="2478" refreshError="1"/>
      <sheetData sheetId="2479"/>
      <sheetData sheetId="2480"/>
      <sheetData sheetId="2481"/>
      <sheetData sheetId="2482"/>
      <sheetData sheetId="2483"/>
      <sheetData sheetId="2484"/>
      <sheetData sheetId="2485"/>
      <sheetData sheetId="2486"/>
      <sheetData sheetId="2487"/>
      <sheetData sheetId="2488"/>
      <sheetData sheetId="2489"/>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refreshError="1"/>
      <sheetData sheetId="2573" refreshError="1"/>
      <sheetData sheetId="2574"/>
      <sheetData sheetId="2575" refreshError="1"/>
      <sheetData sheetId="2576" refreshError="1"/>
      <sheetData sheetId="2577" refreshError="1"/>
      <sheetData sheetId="2578" refreshError="1"/>
      <sheetData sheetId="2579" refreshError="1"/>
      <sheetData sheetId="2580" refreshError="1"/>
      <sheetData sheetId="2581"/>
      <sheetData sheetId="2582"/>
      <sheetData sheetId="2583"/>
      <sheetData sheetId="2584"/>
      <sheetData sheetId="2585" refreshError="1"/>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sheetData sheetId="2718"/>
      <sheetData sheetId="2719"/>
      <sheetData sheetId="2720"/>
      <sheetData sheetId="2721" refreshError="1"/>
      <sheetData sheetId="2722"/>
      <sheetData sheetId="2723"/>
      <sheetData sheetId="2724"/>
      <sheetData sheetId="2725" refreshError="1"/>
      <sheetData sheetId="2726" refreshError="1"/>
      <sheetData sheetId="2727" refreshError="1"/>
      <sheetData sheetId="2728" refreshError="1"/>
      <sheetData sheetId="2729" refreshError="1"/>
      <sheetData sheetId="2730" refreshError="1"/>
      <sheetData sheetId="2731" refreshError="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sheetData sheetId="2780" refreshError="1"/>
      <sheetData sheetId="2781" refreshError="1"/>
      <sheetData sheetId="2782" refreshError="1"/>
      <sheetData sheetId="2783" refreshError="1"/>
      <sheetData sheetId="2784"/>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sheetData sheetId="2831"/>
      <sheetData sheetId="2832"/>
      <sheetData sheetId="2833" refreshError="1"/>
      <sheetData sheetId="2834" refreshError="1"/>
      <sheetData sheetId="2835" refreshError="1"/>
      <sheetData sheetId="2836" refreshError="1"/>
      <sheetData sheetId="2837"/>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refreshError="1"/>
      <sheetData sheetId="3108" refreshError="1"/>
      <sheetData sheetId="3109" refreshError="1"/>
      <sheetData sheetId="3110" refreshError="1"/>
      <sheetData sheetId="3111" refreshError="1"/>
      <sheetData sheetId="3112"/>
      <sheetData sheetId="3113"/>
      <sheetData sheetId="3114"/>
      <sheetData sheetId="3115"/>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sheetData sheetId="3126" refreshError="1"/>
      <sheetData sheetId="3127" refreshError="1"/>
      <sheetData sheetId="3128" refreshError="1"/>
      <sheetData sheetId="3129" refreshError="1"/>
      <sheetData sheetId="3130" refreshError="1"/>
      <sheetData sheetId="3131" refreshError="1"/>
      <sheetData sheetId="3132"/>
      <sheetData sheetId="3133" refreshError="1"/>
      <sheetData sheetId="3134" refreshError="1"/>
      <sheetData sheetId="3135" refreshError="1"/>
      <sheetData sheetId="3136" refreshError="1"/>
      <sheetData sheetId="3137"/>
      <sheetData sheetId="3138" refreshError="1"/>
      <sheetData sheetId="3139" refreshError="1"/>
      <sheetData sheetId="3140" refreshError="1"/>
      <sheetData sheetId="3141" refreshError="1"/>
      <sheetData sheetId="3142" refreshError="1"/>
      <sheetData sheetId="3143" refreshError="1"/>
      <sheetData sheetId="3144" refreshError="1"/>
      <sheetData sheetId="3145"/>
      <sheetData sheetId="3146"/>
      <sheetData sheetId="3147"/>
      <sheetData sheetId="3148"/>
      <sheetData sheetId="3149"/>
      <sheetData sheetId="3150"/>
      <sheetData sheetId="315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sheetData sheetId="3228"/>
      <sheetData sheetId="3229"/>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sheetData sheetId="3239" refreshError="1"/>
      <sheetData sheetId="3240" refreshError="1"/>
      <sheetData sheetId="3241" refreshError="1"/>
      <sheetData sheetId="3242" refreshError="1"/>
      <sheetData sheetId="3243"/>
      <sheetData sheetId="3244"/>
      <sheetData sheetId="3245" refreshError="1"/>
      <sheetData sheetId="3246" refreshError="1"/>
      <sheetData sheetId="3247" refreshError="1"/>
      <sheetData sheetId="3248" refreshError="1"/>
      <sheetData sheetId="3249"/>
      <sheetData sheetId="3250"/>
      <sheetData sheetId="3251"/>
      <sheetData sheetId="3252" refreshError="1"/>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refreshError="1"/>
      <sheetData sheetId="3415" refreshError="1"/>
      <sheetData sheetId="3416" refreshError="1"/>
      <sheetData sheetId="3417" refreshError="1"/>
      <sheetData sheetId="3418" refreshError="1"/>
      <sheetData sheetId="3419"/>
      <sheetData sheetId="3420"/>
      <sheetData sheetId="342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refreshError="1"/>
      <sheetData sheetId="3669" refreshError="1"/>
      <sheetData sheetId="3670" refreshError="1"/>
      <sheetData sheetId="3671" refreshError="1"/>
      <sheetData sheetId="3672" refreshError="1"/>
      <sheetData sheetId="3673"/>
      <sheetData sheetId="3674"/>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sheetData sheetId="3686"/>
      <sheetData sheetId="3687"/>
      <sheetData sheetId="3688"/>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sheetData sheetId="4348"/>
      <sheetData sheetId="4349"/>
      <sheetData sheetId="4350"/>
      <sheetData sheetId="4351"/>
      <sheetData sheetId="4352"/>
      <sheetData sheetId="4353"/>
      <sheetData sheetId="4354"/>
      <sheetData sheetId="4355"/>
      <sheetData sheetId="4356"/>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sheetData sheetId="4369"/>
      <sheetData sheetId="4370"/>
      <sheetData sheetId="4371" refreshError="1"/>
      <sheetData sheetId="4372" refreshError="1"/>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refreshError="1"/>
      <sheetData sheetId="4571" refreshError="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refreshError="1"/>
      <sheetData sheetId="4675" refreshError="1"/>
      <sheetData sheetId="4676" refreshError="1"/>
      <sheetData sheetId="4677" refreshError="1"/>
      <sheetData sheetId="4678"/>
      <sheetData sheetId="4679"/>
      <sheetData sheetId="4680"/>
      <sheetData sheetId="4681"/>
      <sheetData sheetId="4682"/>
      <sheetData sheetId="4683"/>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refreshError="1"/>
      <sheetData sheetId="4744" refreshError="1"/>
      <sheetData sheetId="4745" refreshError="1"/>
      <sheetData sheetId="4746" refreshError="1"/>
      <sheetData sheetId="4747" refreshError="1"/>
      <sheetData sheetId="4748"/>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refreshError="1"/>
      <sheetData sheetId="5087" refreshError="1"/>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sheetData sheetId="5425" refreshError="1"/>
      <sheetData sheetId="5426" refreshError="1"/>
      <sheetData sheetId="5427" refreshError="1"/>
      <sheetData sheetId="5428" refreshError="1"/>
      <sheetData sheetId="5429" refreshError="1"/>
      <sheetData sheetId="5430"/>
      <sheetData sheetId="5431"/>
      <sheetData sheetId="5432"/>
      <sheetData sheetId="5433"/>
      <sheetData sheetId="5434"/>
      <sheetData sheetId="5435"/>
      <sheetData sheetId="5436"/>
      <sheetData sheetId="5437"/>
      <sheetData sheetId="5438"/>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sheetData sheetId="5465"/>
      <sheetData sheetId="5466" refreshError="1"/>
      <sheetData sheetId="5467" refreshError="1"/>
      <sheetData sheetId="5468" refreshError="1"/>
      <sheetData sheetId="5469" refreshError="1"/>
      <sheetData sheetId="5470" refreshError="1"/>
      <sheetData sheetId="547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sheetData sheetId="5487"/>
      <sheetData sheetId="5488" refreshError="1"/>
      <sheetData sheetId="5489" refreshError="1"/>
      <sheetData sheetId="5490" refreshError="1"/>
      <sheetData sheetId="5491" refreshError="1"/>
      <sheetData sheetId="5492" refreshError="1"/>
      <sheetData sheetId="5493"/>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sheetData sheetId="5654" refreshError="1"/>
      <sheetData sheetId="5655" refreshError="1"/>
      <sheetData sheetId="5656" refreshError="1"/>
      <sheetData sheetId="5657"/>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refreshError="1"/>
      <sheetData sheetId="5856" refreshError="1"/>
      <sheetData sheetId="5857" refreshError="1"/>
      <sheetData sheetId="5858"/>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sheetData sheetId="5868" refreshError="1"/>
      <sheetData sheetId="5869"/>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sheetData sheetId="6147"/>
      <sheetData sheetId="6148"/>
      <sheetData sheetId="6149"/>
      <sheetData sheetId="6150"/>
      <sheetData sheetId="6151"/>
      <sheetData sheetId="6152"/>
      <sheetData sheetId="6153"/>
      <sheetData sheetId="6154"/>
      <sheetData sheetId="6155"/>
      <sheetData sheetId="6156" refreshError="1"/>
      <sheetData sheetId="6157" refreshError="1"/>
      <sheetData sheetId="6158" refreshError="1"/>
      <sheetData sheetId="6159" refreshError="1"/>
      <sheetData sheetId="6160" refreshError="1"/>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sheetData sheetId="6186" refreshError="1"/>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refreshError="1"/>
      <sheetData sheetId="6483" refreshError="1"/>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refreshError="1"/>
      <sheetData sheetId="6567" refreshError="1"/>
      <sheetData sheetId="6568" refreshError="1"/>
      <sheetData sheetId="6569" refreshError="1"/>
      <sheetData sheetId="6570" refreshError="1"/>
      <sheetData sheetId="6571"/>
      <sheetData sheetId="6572"/>
      <sheetData sheetId="6573"/>
      <sheetData sheetId="6574"/>
      <sheetData sheetId="6575"/>
      <sheetData sheetId="6576" refreshError="1"/>
      <sheetData sheetId="6577" refreshError="1"/>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sheetData sheetId="6880"/>
      <sheetData sheetId="6881"/>
      <sheetData sheetId="6882"/>
      <sheetData sheetId="6883"/>
      <sheetData sheetId="6884"/>
      <sheetData sheetId="6885"/>
      <sheetData sheetId="6886"/>
      <sheetData sheetId="6887"/>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refreshError="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sheetData sheetId="7239"/>
      <sheetData sheetId="7240"/>
      <sheetData sheetId="7241"/>
      <sheetData sheetId="7242"/>
      <sheetData sheetId="7243"/>
      <sheetData sheetId="7244"/>
      <sheetData sheetId="7245"/>
      <sheetData sheetId="7246"/>
      <sheetData sheetId="7247" refreshError="1"/>
      <sheetData sheetId="7248" refreshError="1"/>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refreshError="1"/>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sheetData sheetId="7321"/>
      <sheetData sheetId="7322"/>
      <sheetData sheetId="7323"/>
      <sheetData sheetId="7324"/>
      <sheetData sheetId="7325"/>
      <sheetData sheetId="7326"/>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sheetData sheetId="7431" refreshError="1"/>
      <sheetData sheetId="7432" refreshError="1"/>
      <sheetData sheetId="7433" refreshError="1"/>
      <sheetData sheetId="7434" refreshError="1"/>
      <sheetData sheetId="7435" refreshError="1"/>
      <sheetData sheetId="7436" refreshError="1"/>
      <sheetData sheetId="7437"/>
      <sheetData sheetId="7438"/>
      <sheetData sheetId="7439"/>
      <sheetData sheetId="7440"/>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sheetData sheetId="8473"/>
      <sheetData sheetId="8474"/>
      <sheetData sheetId="8475"/>
      <sheetData sheetId="8476"/>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sheetData sheetId="8542"/>
      <sheetData sheetId="8543"/>
      <sheetData sheetId="8544"/>
      <sheetData sheetId="8545"/>
      <sheetData sheetId="8546"/>
      <sheetData sheetId="8547"/>
      <sheetData sheetId="8548"/>
      <sheetData sheetId="8549"/>
      <sheetData sheetId="8550"/>
      <sheetData sheetId="8551"/>
      <sheetData sheetId="8552" refreshError="1"/>
      <sheetData sheetId="8553" refreshError="1"/>
      <sheetData sheetId="8554" refreshError="1"/>
      <sheetData sheetId="8555" refreshError="1"/>
      <sheetData sheetId="8556" refreshError="1"/>
      <sheetData sheetId="8557" refreshError="1"/>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sheetData sheetId="8622"/>
      <sheetData sheetId="8623"/>
      <sheetData sheetId="8624"/>
      <sheetData sheetId="8625"/>
      <sheetData sheetId="8626"/>
      <sheetData sheetId="8627"/>
      <sheetData sheetId="8628"/>
      <sheetData sheetId="8629"/>
      <sheetData sheetId="8630"/>
      <sheetData sheetId="863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sheetData sheetId="8690"/>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refreshError="1"/>
      <sheetData sheetId="10438" refreshError="1"/>
      <sheetData sheetId="10439" refreshError="1"/>
      <sheetData sheetId="10440"/>
      <sheetData sheetId="10441" refreshError="1"/>
      <sheetData sheetId="10442" refreshError="1"/>
      <sheetData sheetId="10443" refreshError="1"/>
      <sheetData sheetId="10444" refreshError="1"/>
      <sheetData sheetId="10445" refreshError="1"/>
      <sheetData sheetId="10446" refreshError="1"/>
      <sheetData sheetId="1044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금액내역서"/>
      <sheetName val="현금흐름"/>
    </sheetNames>
    <sheetDataSet>
      <sheetData sheetId="0">
        <row r="4">
          <cell r="D4" t="str">
            <v>대</v>
          </cell>
        </row>
        <row r="5">
          <cell r="D5" t="str">
            <v>대</v>
          </cell>
        </row>
        <row r="7">
          <cell r="D7" t="str">
            <v>대</v>
          </cell>
        </row>
        <row r="8">
          <cell r="D8" t="str">
            <v>대</v>
          </cell>
        </row>
      </sheetData>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문"/>
      <sheetName val="장비 (2)"/>
      <sheetName val="II손익관리"/>
      <sheetName val="입찰안"/>
      <sheetName val="982월원안"/>
      <sheetName val="업무분장"/>
      <sheetName val="조명율표"/>
      <sheetName val="101동"/>
      <sheetName val="선급비용"/>
      <sheetName val="가격조사서"/>
      <sheetName val="제안서"/>
      <sheetName val="행정표준(1)"/>
      <sheetName val="행정표준(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손익"/>
      <sheetName val="현금흐름"/>
      <sheetName val="호원두산"/>
      <sheetName val="공문"/>
      <sheetName val="BID"/>
      <sheetName val="품셈TABLE"/>
      <sheetName val="내역표지"/>
      <sheetName val="1유리"/>
      <sheetName val="장비 (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VVa"/>
      <sheetName val="표지"/>
      <sheetName val="목차"/>
      <sheetName val="개요"/>
      <sheetName val="연혁"/>
      <sheetName val="조직"/>
      <sheetName val="정직"/>
      <sheetName val="현채"/>
      <sheetName val="원가"/>
      <sheetName val="추가"/>
      <sheetName val="사전"/>
      <sheetName val="시재"/>
      <sheetName val="부채"/>
      <sheetName val="미금"/>
      <sheetName val="투입"/>
      <sheetName val="초과"/>
      <sheetName val="공정(1)"/>
      <sheetName val="공정(2)"/>
      <sheetName val="품질"/>
      <sheetName val="안전"/>
      <sheetName val="안전(2)"/>
      <sheetName val="환경"/>
      <sheetName val="인허"/>
      <sheetName val="수주"/>
      <sheetName val="미결"/>
      <sheetName val="자재"/>
      <sheetName val="가설"/>
      <sheetName val="개별"/>
      <sheetName val="집기"/>
      <sheetName val="장비 (2)"/>
      <sheetName val="OA"/>
      <sheetName val="무전"/>
      <sheetName val="발주"/>
      <sheetName val="미발"/>
      <sheetName val="기성"/>
      <sheetName val="직원"/>
      <sheetName val="연락"/>
      <sheetName val="거래"/>
      <sheetName val="문서"/>
      <sheetName val="VXXX"/>
      <sheetName val="VXXXXX"/>
      <sheetName val="II손익관리"/>
      <sheetName val="1.종합손익(도급)"/>
      <sheetName val="1.종합손익(주택,개발)"/>
      <sheetName val="2.실행예산"/>
      <sheetName val="2.2과부족"/>
      <sheetName val="2.3원가절감"/>
      <sheetName val="8.외주비집행현황"/>
      <sheetName val="9.자재비"/>
      <sheetName val="10.현장집행"/>
      <sheetName val="3.추가원가"/>
      <sheetName val="3.추가원가 (2)"/>
      <sheetName val="4.사전공사"/>
      <sheetName val="5.추정공사비"/>
      <sheetName val="6.금융비용"/>
      <sheetName val="7.공사비집행현황(총괄)"/>
      <sheetName val="11.1생산성"/>
      <sheetName val="인력대비(정직)"/>
      <sheetName val="11.2인원산출"/>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방수"/>
      <sheetName val="왕용 (2)"/>
      <sheetName val="양도각서"/>
      <sheetName val="철근 (RUNSUM)"/>
      <sheetName val="철근 (3)"/>
      <sheetName val="동극"/>
      <sheetName val="동극 (2)"/>
      <sheetName val="동극 (공임만)"/>
      <sheetName val="상진"/>
      <sheetName val="여흥"/>
      <sheetName val="왕용"/>
      <sheetName val="갑지동극"/>
      <sheetName val="갑지상진"/>
      <sheetName val="갑지여흥"/>
      <sheetName val="갑지왕용"/>
      <sheetName val="동극산출"/>
      <sheetName val="상진산출"/>
      <sheetName val="여흥산출"/>
      <sheetName val="왕용산출"/>
      <sheetName val="Sheet1 (2)"/>
      <sheetName val="조건"/>
    </sheetNames>
    <sheetDataSet>
      <sheetData sheetId="0"/>
      <sheetData sheetId="1"/>
      <sheetData sheetId="2"/>
      <sheetData sheetId="3"/>
      <sheetData sheetId="4"/>
      <sheetData sheetId="5"/>
      <sheetData sheetId="6"/>
      <sheetData sheetId="7"/>
      <sheetData sheetId="8"/>
      <sheetData sheetId="9">
        <row r="5">
          <cell r="A5" t="str">
            <v xml:space="preserve"> 1. 철근콘크리트공사(3공구)면세</v>
          </cell>
        </row>
        <row r="6">
          <cell r="A6" t="str">
            <v>먹및규준틀</v>
          </cell>
          <cell r="B6"/>
          <cell r="C6" t="str">
            <v>M2</v>
          </cell>
          <cell r="D6">
            <v>34731</v>
          </cell>
          <cell r="E6">
            <v>500</v>
          </cell>
          <cell r="F6">
            <v>17365500</v>
          </cell>
          <cell r="G6">
            <v>1831</v>
          </cell>
          <cell r="H6">
            <v>915500</v>
          </cell>
          <cell r="I6">
            <v>2870</v>
          </cell>
          <cell r="J6">
            <v>1435000</v>
          </cell>
          <cell r="K6">
            <v>4701</v>
          </cell>
          <cell r="L6">
            <v>2350500</v>
          </cell>
        </row>
        <row r="7">
          <cell r="A7" t="str">
            <v>외부쌍줄비계</v>
          </cell>
          <cell r="B7"/>
          <cell r="C7" t="str">
            <v>M2</v>
          </cell>
          <cell r="D7">
            <v>31638</v>
          </cell>
          <cell r="E7">
            <v>4400</v>
          </cell>
          <cell r="F7">
            <v>139207200</v>
          </cell>
          <cell r="G7"/>
          <cell r="H7">
            <v>0</v>
          </cell>
          <cell r="I7"/>
          <cell r="J7">
            <v>0</v>
          </cell>
          <cell r="K7">
            <v>0</v>
          </cell>
          <cell r="L7">
            <v>0</v>
          </cell>
        </row>
        <row r="8">
          <cell r="A8" t="str">
            <v>비계다리</v>
          </cell>
          <cell r="B8"/>
          <cell r="C8" t="str">
            <v>EA</v>
          </cell>
          <cell r="D8">
            <v>12</v>
          </cell>
          <cell r="E8">
            <v>220000</v>
          </cell>
          <cell r="F8">
            <v>2640000</v>
          </cell>
          <cell r="G8"/>
          <cell r="H8">
            <v>0</v>
          </cell>
          <cell r="J8">
            <v>0</v>
          </cell>
          <cell r="K8">
            <v>0</v>
          </cell>
          <cell r="L8">
            <v>0</v>
          </cell>
        </row>
        <row r="9">
          <cell r="A9" t="str">
            <v>내부수평비계</v>
          </cell>
          <cell r="B9" t="str">
            <v>H=4M이상</v>
          </cell>
          <cell r="C9" t="str">
            <v>M2</v>
          </cell>
          <cell r="D9">
            <v>1364</v>
          </cell>
          <cell r="E9">
            <v>6500</v>
          </cell>
          <cell r="F9">
            <v>8866000</v>
          </cell>
          <cell r="G9"/>
          <cell r="H9">
            <v>0</v>
          </cell>
          <cell r="J9">
            <v>0</v>
          </cell>
          <cell r="K9">
            <v>0</v>
          </cell>
          <cell r="L9">
            <v>0</v>
          </cell>
        </row>
        <row r="10">
          <cell r="A10" t="str">
            <v>E.VSHAFT내부수평비계16층</v>
          </cell>
          <cell r="C10" t="str">
            <v>개소</v>
          </cell>
          <cell r="D10">
            <v>5</v>
          </cell>
          <cell r="E10">
            <v>1700000</v>
          </cell>
          <cell r="F10">
            <v>8500000</v>
          </cell>
          <cell r="G10"/>
          <cell r="H10">
            <v>0</v>
          </cell>
          <cell r="J10">
            <v>0</v>
          </cell>
          <cell r="K10">
            <v>0</v>
          </cell>
          <cell r="L10">
            <v>0</v>
          </cell>
        </row>
        <row r="11">
          <cell r="A11" t="str">
            <v>레미콘타설(철근)</v>
          </cell>
          <cell r="B11" t="str">
            <v>부속동</v>
          </cell>
          <cell r="C11" t="str">
            <v>M3</v>
          </cell>
          <cell r="D11">
            <v>16867</v>
          </cell>
          <cell r="E11">
            <v>7200</v>
          </cell>
          <cell r="F11">
            <v>121442400</v>
          </cell>
          <cell r="G11">
            <v>1952</v>
          </cell>
          <cell r="H11">
            <v>14054400</v>
          </cell>
          <cell r="I11">
            <v>5895</v>
          </cell>
          <cell r="J11">
            <v>42444000</v>
          </cell>
          <cell r="K11">
            <v>7847</v>
          </cell>
          <cell r="L11">
            <v>56498400</v>
          </cell>
        </row>
        <row r="12">
          <cell r="A12" t="str">
            <v>레미콘타설(철근)</v>
          </cell>
          <cell r="B12" t="str">
            <v>APT15층</v>
          </cell>
          <cell r="C12" t="str">
            <v>M3</v>
          </cell>
          <cell r="D12">
            <v>8739</v>
          </cell>
          <cell r="E12">
            <v>7400</v>
          </cell>
          <cell r="F12">
            <v>64668600</v>
          </cell>
          <cell r="G12">
            <v>911</v>
          </cell>
          <cell r="H12">
            <v>6741400</v>
          </cell>
          <cell r="I12">
            <v>0</v>
          </cell>
          <cell r="J12">
            <v>0</v>
          </cell>
          <cell r="K12">
            <v>911</v>
          </cell>
          <cell r="L12">
            <v>6741400</v>
          </cell>
        </row>
        <row r="13">
          <cell r="A13" t="str">
            <v>레미콘타설(철근)</v>
          </cell>
          <cell r="B13" t="str">
            <v>APT16층</v>
          </cell>
          <cell r="C13" t="str">
            <v>M3</v>
          </cell>
          <cell r="D13">
            <v>2992</v>
          </cell>
          <cell r="E13">
            <v>7700</v>
          </cell>
          <cell r="F13">
            <v>23038400</v>
          </cell>
          <cell r="G13"/>
          <cell r="H13">
            <v>0</v>
          </cell>
          <cell r="J13">
            <v>0</v>
          </cell>
          <cell r="K13">
            <v>0</v>
          </cell>
          <cell r="L13">
            <v>0</v>
          </cell>
        </row>
        <row r="14">
          <cell r="A14" t="str">
            <v>레미콘타설(무근)</v>
          </cell>
          <cell r="B14"/>
          <cell r="C14" t="str">
            <v>M3</v>
          </cell>
          <cell r="D14">
            <v>2497</v>
          </cell>
          <cell r="E14">
            <v>7000</v>
          </cell>
          <cell r="F14">
            <v>17479000</v>
          </cell>
          <cell r="G14">
            <v>111</v>
          </cell>
          <cell r="H14">
            <v>777000</v>
          </cell>
          <cell r="I14">
            <v>75</v>
          </cell>
          <cell r="J14">
            <v>525000</v>
          </cell>
          <cell r="K14">
            <v>186</v>
          </cell>
          <cell r="L14">
            <v>1302000</v>
          </cell>
        </row>
        <row r="15">
          <cell r="A15" t="str">
            <v>거푸집(3회15층)</v>
          </cell>
          <cell r="B15" t="str">
            <v>APT손료</v>
          </cell>
          <cell r="C15" t="str">
            <v>M2</v>
          </cell>
          <cell r="D15">
            <v>35061</v>
          </cell>
          <cell r="E15">
            <v>5100</v>
          </cell>
          <cell r="F15">
            <v>178811100</v>
          </cell>
          <cell r="G15"/>
          <cell r="H15">
            <v>0</v>
          </cell>
          <cell r="I15">
            <v>905</v>
          </cell>
          <cell r="J15">
            <v>4615500</v>
          </cell>
          <cell r="K15">
            <v>905</v>
          </cell>
          <cell r="L15">
            <v>4615500</v>
          </cell>
        </row>
        <row r="16">
          <cell r="A16" t="str">
            <v>거푸집(3회15층)</v>
          </cell>
          <cell r="B16" t="str">
            <v>APT공임</v>
          </cell>
          <cell r="C16" t="str">
            <v>M2</v>
          </cell>
          <cell r="D16">
            <v>35061</v>
          </cell>
          <cell r="E16">
            <v>6100</v>
          </cell>
          <cell r="F16">
            <v>213872100</v>
          </cell>
          <cell r="G16"/>
          <cell r="H16">
            <v>0</v>
          </cell>
          <cell r="I16">
            <v>905</v>
          </cell>
          <cell r="J16">
            <v>5520500</v>
          </cell>
          <cell r="K16">
            <v>905</v>
          </cell>
          <cell r="L16">
            <v>5520500</v>
          </cell>
        </row>
        <row r="17">
          <cell r="A17" t="str">
            <v>거푸집(3회16층)</v>
          </cell>
          <cell r="B17" t="str">
            <v>APT손료</v>
          </cell>
          <cell r="C17" t="str">
            <v>M2</v>
          </cell>
          <cell r="D17">
            <v>15584</v>
          </cell>
          <cell r="E17">
            <v>5300</v>
          </cell>
          <cell r="F17">
            <v>82595200</v>
          </cell>
          <cell r="G17"/>
          <cell r="H17">
            <v>0</v>
          </cell>
          <cell r="J17">
            <v>0</v>
          </cell>
          <cell r="K17">
            <v>0</v>
          </cell>
          <cell r="L17">
            <v>0</v>
          </cell>
        </row>
        <row r="18">
          <cell r="A18" t="str">
            <v>거푸집(3회16층)</v>
          </cell>
          <cell r="B18" t="str">
            <v>APT공임</v>
          </cell>
          <cell r="C18" t="str">
            <v>M2</v>
          </cell>
          <cell r="D18">
            <v>15584</v>
          </cell>
          <cell r="E18">
            <v>6300</v>
          </cell>
          <cell r="F18">
            <v>98179200</v>
          </cell>
          <cell r="G18"/>
          <cell r="H18">
            <v>0</v>
          </cell>
          <cell r="I18"/>
          <cell r="J18">
            <v>0</v>
          </cell>
          <cell r="K18">
            <v>0</v>
          </cell>
          <cell r="L18">
            <v>0</v>
          </cell>
        </row>
        <row r="19">
          <cell r="A19" t="str">
            <v>거푸집(4회15층)</v>
          </cell>
          <cell r="B19" t="str">
            <v>APT손료</v>
          </cell>
          <cell r="C19" t="str">
            <v>M2</v>
          </cell>
          <cell r="D19">
            <v>1135</v>
          </cell>
          <cell r="E19">
            <v>4600</v>
          </cell>
          <cell r="F19">
            <v>5221000</v>
          </cell>
          <cell r="G19">
            <v>158</v>
          </cell>
          <cell r="H19">
            <v>726800</v>
          </cell>
          <cell r="I19">
            <v>449</v>
          </cell>
          <cell r="J19">
            <v>2065400</v>
          </cell>
          <cell r="K19">
            <v>607</v>
          </cell>
          <cell r="L19">
            <v>2792200</v>
          </cell>
        </row>
        <row r="20">
          <cell r="A20" t="str">
            <v>거푸집(4회15층)</v>
          </cell>
          <cell r="B20" t="str">
            <v>APT공임</v>
          </cell>
          <cell r="C20" t="str">
            <v>M2</v>
          </cell>
          <cell r="D20">
            <v>1135</v>
          </cell>
          <cell r="E20">
            <v>5800</v>
          </cell>
          <cell r="F20">
            <v>6583000</v>
          </cell>
          <cell r="G20">
            <v>158</v>
          </cell>
          <cell r="H20">
            <v>916400</v>
          </cell>
          <cell r="I20">
            <v>449</v>
          </cell>
          <cell r="J20">
            <v>2604200</v>
          </cell>
          <cell r="K20">
            <v>607</v>
          </cell>
          <cell r="L20">
            <v>3520600</v>
          </cell>
        </row>
        <row r="21">
          <cell r="A21" t="str">
            <v>거푸집(곡면15층)</v>
          </cell>
          <cell r="B21" t="str">
            <v>APT손료</v>
          </cell>
          <cell r="C21" t="str">
            <v>M2</v>
          </cell>
          <cell r="D21">
            <v>29</v>
          </cell>
          <cell r="E21">
            <v>5500</v>
          </cell>
          <cell r="F21">
            <v>159500</v>
          </cell>
          <cell r="G21"/>
          <cell r="H21">
            <v>0</v>
          </cell>
          <cell r="I21">
            <v>0</v>
          </cell>
          <cell r="J21">
            <v>0</v>
          </cell>
          <cell r="K21">
            <v>0</v>
          </cell>
          <cell r="L21">
            <v>0</v>
          </cell>
        </row>
        <row r="22">
          <cell r="A22" t="str">
            <v>거푸집(곡면15층)</v>
          </cell>
          <cell r="B22" t="str">
            <v>APT공임</v>
          </cell>
          <cell r="C22" t="str">
            <v>M2</v>
          </cell>
          <cell r="D22">
            <v>29</v>
          </cell>
          <cell r="E22">
            <v>8500</v>
          </cell>
          <cell r="F22">
            <v>246500</v>
          </cell>
          <cell r="G22"/>
          <cell r="H22">
            <v>0</v>
          </cell>
          <cell r="I22">
            <v>0</v>
          </cell>
          <cell r="J22">
            <v>0</v>
          </cell>
          <cell r="K22">
            <v>0</v>
          </cell>
          <cell r="L22">
            <v>0</v>
          </cell>
        </row>
        <row r="23">
          <cell r="A23" t="str">
            <v>거푸집(EURO15층)</v>
          </cell>
          <cell r="B23" t="str">
            <v>손료</v>
          </cell>
          <cell r="C23" t="str">
            <v>M2</v>
          </cell>
          <cell r="D23">
            <v>32863</v>
          </cell>
          <cell r="E23">
            <v>3800</v>
          </cell>
          <cell r="F23">
            <v>124879400</v>
          </cell>
          <cell r="G23"/>
          <cell r="H23">
            <v>0</v>
          </cell>
          <cell r="I23">
            <v>2432</v>
          </cell>
          <cell r="J23">
            <v>9241600</v>
          </cell>
          <cell r="K23">
            <v>2432</v>
          </cell>
          <cell r="L23">
            <v>9241600</v>
          </cell>
        </row>
        <row r="24">
          <cell r="A24" t="str">
            <v>거푸집(EURO15층)</v>
          </cell>
          <cell r="B24" t="str">
            <v>공임</v>
          </cell>
          <cell r="C24" t="str">
            <v>M2</v>
          </cell>
          <cell r="D24">
            <v>32863</v>
          </cell>
          <cell r="E24">
            <v>5500</v>
          </cell>
          <cell r="F24">
            <v>180746500</v>
          </cell>
          <cell r="G24"/>
          <cell r="H24">
            <v>0</v>
          </cell>
          <cell r="I24">
            <v>2432</v>
          </cell>
          <cell r="J24">
            <v>13376000</v>
          </cell>
          <cell r="K24">
            <v>2432</v>
          </cell>
          <cell r="L24">
            <v>13376000</v>
          </cell>
        </row>
        <row r="25">
          <cell r="A25" t="str">
            <v>거푸집(EURO16층)</v>
          </cell>
          <cell r="B25" t="str">
            <v>손료</v>
          </cell>
          <cell r="C25" t="str">
            <v>M2</v>
          </cell>
          <cell r="D25">
            <v>10545</v>
          </cell>
          <cell r="E25">
            <v>3900</v>
          </cell>
          <cell r="F25">
            <v>41125500</v>
          </cell>
          <cell r="G25"/>
          <cell r="H25">
            <v>0</v>
          </cell>
          <cell r="J25">
            <v>0</v>
          </cell>
          <cell r="K25">
            <v>0</v>
          </cell>
          <cell r="L25">
            <v>0</v>
          </cell>
        </row>
        <row r="26">
          <cell r="A26" t="str">
            <v>거푸집(EURO16층)</v>
          </cell>
          <cell r="B26" t="str">
            <v>공임</v>
          </cell>
          <cell r="C26" t="str">
            <v>M2</v>
          </cell>
          <cell r="D26">
            <v>10545</v>
          </cell>
          <cell r="E26">
            <v>5800</v>
          </cell>
          <cell r="F26">
            <v>61161000</v>
          </cell>
          <cell r="G26"/>
          <cell r="H26">
            <v>0</v>
          </cell>
          <cell r="J26">
            <v>0</v>
          </cell>
          <cell r="K26">
            <v>0</v>
          </cell>
          <cell r="L26">
            <v>0</v>
          </cell>
        </row>
        <row r="27">
          <cell r="A27" t="str">
            <v>거푸집(RIB15층)</v>
          </cell>
          <cell r="B27" t="str">
            <v>손료</v>
          </cell>
          <cell r="C27" t="str">
            <v>M2</v>
          </cell>
          <cell r="D27">
            <v>5532</v>
          </cell>
          <cell r="E27">
            <v>4500</v>
          </cell>
          <cell r="F27">
            <v>24894000</v>
          </cell>
          <cell r="G27"/>
          <cell r="H27">
            <v>0</v>
          </cell>
          <cell r="I27">
            <v>0</v>
          </cell>
          <cell r="J27">
            <v>0</v>
          </cell>
          <cell r="K27">
            <v>0</v>
          </cell>
          <cell r="L27">
            <v>0</v>
          </cell>
        </row>
        <row r="28">
          <cell r="A28" t="str">
            <v>거푸집(RIB15층)</v>
          </cell>
          <cell r="B28" t="str">
            <v>공임</v>
          </cell>
          <cell r="C28" t="str">
            <v>M2</v>
          </cell>
          <cell r="D28">
            <v>5532</v>
          </cell>
          <cell r="E28">
            <v>6000</v>
          </cell>
          <cell r="F28">
            <v>33192000</v>
          </cell>
          <cell r="G28"/>
          <cell r="H28">
            <v>0</v>
          </cell>
          <cell r="I28">
            <v>0</v>
          </cell>
          <cell r="J28">
            <v>0</v>
          </cell>
          <cell r="K28">
            <v>0</v>
          </cell>
          <cell r="L28">
            <v>0</v>
          </cell>
        </row>
        <row r="29">
          <cell r="A29" t="str">
            <v>거푸집(RIB16층)</v>
          </cell>
          <cell r="B29" t="str">
            <v>손료</v>
          </cell>
          <cell r="C29" t="str">
            <v>M2</v>
          </cell>
          <cell r="D29">
            <v>2485</v>
          </cell>
          <cell r="E29">
            <v>4600</v>
          </cell>
          <cell r="F29">
            <v>11431000</v>
          </cell>
          <cell r="G29"/>
          <cell r="H29">
            <v>0</v>
          </cell>
          <cell r="J29">
            <v>0</v>
          </cell>
          <cell r="K29">
            <v>0</v>
          </cell>
          <cell r="L29">
            <v>0</v>
          </cell>
        </row>
        <row r="30">
          <cell r="A30" t="str">
            <v>거푸집(RIB16층)</v>
          </cell>
          <cell r="B30" t="str">
            <v>공임</v>
          </cell>
          <cell r="C30" t="str">
            <v>M2</v>
          </cell>
          <cell r="D30">
            <v>2485</v>
          </cell>
          <cell r="E30">
            <v>6000</v>
          </cell>
          <cell r="F30">
            <v>14910000</v>
          </cell>
          <cell r="G30"/>
          <cell r="H30">
            <v>0</v>
          </cell>
          <cell r="I30"/>
          <cell r="J30">
            <v>0</v>
          </cell>
          <cell r="K30">
            <v>0</v>
          </cell>
          <cell r="L30">
            <v>0</v>
          </cell>
        </row>
        <row r="31">
          <cell r="A31" t="str">
            <v>거푸집(경사15층)</v>
          </cell>
          <cell r="B31" t="str">
            <v>APT손료</v>
          </cell>
          <cell r="C31" t="str">
            <v>M2</v>
          </cell>
          <cell r="D31">
            <v>1837</v>
          </cell>
          <cell r="E31">
            <v>5500</v>
          </cell>
          <cell r="F31">
            <v>10103500</v>
          </cell>
          <cell r="G31"/>
          <cell r="H31">
            <v>0</v>
          </cell>
          <cell r="I31">
            <v>49</v>
          </cell>
          <cell r="J31">
            <v>269500</v>
          </cell>
          <cell r="K31">
            <v>49</v>
          </cell>
          <cell r="L31">
            <v>269500</v>
          </cell>
        </row>
        <row r="32">
          <cell r="A32" t="str">
            <v>거푸집(경사15층)</v>
          </cell>
          <cell r="B32" t="str">
            <v>APT공임</v>
          </cell>
          <cell r="C32" t="str">
            <v>M2</v>
          </cell>
          <cell r="D32">
            <v>1837</v>
          </cell>
          <cell r="E32">
            <v>8000</v>
          </cell>
          <cell r="F32">
            <v>14696000</v>
          </cell>
          <cell r="G32"/>
          <cell r="H32">
            <v>0</v>
          </cell>
          <cell r="I32">
            <v>49</v>
          </cell>
          <cell r="J32">
            <v>392000</v>
          </cell>
          <cell r="K32">
            <v>49</v>
          </cell>
          <cell r="L32">
            <v>392000</v>
          </cell>
        </row>
        <row r="33">
          <cell r="A33" t="str">
            <v>거푸집(경사16층)</v>
          </cell>
          <cell r="B33" t="str">
            <v>APT손료</v>
          </cell>
          <cell r="C33" t="str">
            <v>M2</v>
          </cell>
          <cell r="D33">
            <v>1664</v>
          </cell>
          <cell r="E33">
            <v>5600</v>
          </cell>
          <cell r="F33">
            <v>9318400</v>
          </cell>
          <cell r="G33"/>
          <cell r="H33">
            <v>0</v>
          </cell>
          <cell r="J33">
            <v>0</v>
          </cell>
          <cell r="K33">
            <v>0</v>
          </cell>
          <cell r="L33">
            <v>0</v>
          </cell>
        </row>
        <row r="34">
          <cell r="A34" t="str">
            <v>거푸집(경사16층)</v>
          </cell>
          <cell r="B34" t="str">
            <v>APT공임</v>
          </cell>
          <cell r="C34" t="str">
            <v>M2</v>
          </cell>
          <cell r="D34">
            <v>1664</v>
          </cell>
          <cell r="E34">
            <v>8200</v>
          </cell>
          <cell r="F34">
            <v>13644800</v>
          </cell>
          <cell r="G34"/>
          <cell r="H34">
            <v>0</v>
          </cell>
          <cell r="J34">
            <v>0</v>
          </cell>
          <cell r="K34">
            <v>0</v>
          </cell>
          <cell r="L34">
            <v>0</v>
          </cell>
        </row>
        <row r="35">
          <cell r="A35" t="str">
            <v>거푸집(3회부속동</v>
          </cell>
          <cell r="B35" t="str">
            <v>손료</v>
          </cell>
          <cell r="C35" t="str">
            <v>M2</v>
          </cell>
          <cell r="D35">
            <v>37710</v>
          </cell>
          <cell r="E35">
            <v>6400</v>
          </cell>
          <cell r="F35">
            <v>241344000</v>
          </cell>
          <cell r="G35">
            <v>4411</v>
          </cell>
          <cell r="H35">
            <v>28230400</v>
          </cell>
          <cell r="I35">
            <v>10523</v>
          </cell>
          <cell r="J35">
            <v>67347200</v>
          </cell>
          <cell r="K35">
            <v>14934</v>
          </cell>
          <cell r="L35">
            <v>95577600</v>
          </cell>
        </row>
        <row r="36">
          <cell r="A36" t="str">
            <v>거푸집(3회부속동</v>
          </cell>
          <cell r="B36" t="str">
            <v>공임</v>
          </cell>
          <cell r="C36" t="str">
            <v>M2</v>
          </cell>
          <cell r="D36">
            <v>37710</v>
          </cell>
          <cell r="E36">
            <v>8600</v>
          </cell>
          <cell r="F36">
            <v>324306000</v>
          </cell>
          <cell r="G36">
            <v>4411</v>
          </cell>
          <cell r="H36">
            <v>37934600</v>
          </cell>
          <cell r="I36">
            <v>10523</v>
          </cell>
          <cell r="J36">
            <v>90497800</v>
          </cell>
          <cell r="K36">
            <v>14934</v>
          </cell>
          <cell r="L36">
            <v>128432400</v>
          </cell>
        </row>
        <row r="37">
          <cell r="A37" t="str">
            <v>거푸집(4회부속동</v>
          </cell>
          <cell r="B37" t="str">
            <v>손료</v>
          </cell>
          <cell r="C37" t="str">
            <v>M2</v>
          </cell>
          <cell r="D37">
            <v>7731</v>
          </cell>
          <cell r="E37">
            <v>6000</v>
          </cell>
          <cell r="F37">
            <v>46386000</v>
          </cell>
          <cell r="G37">
            <v>1713</v>
          </cell>
          <cell r="H37">
            <v>10278000</v>
          </cell>
          <cell r="I37">
            <v>1171</v>
          </cell>
          <cell r="J37">
            <v>7026000</v>
          </cell>
          <cell r="K37">
            <v>2884</v>
          </cell>
          <cell r="L37">
            <v>17304000</v>
          </cell>
        </row>
        <row r="38">
          <cell r="A38" t="str">
            <v>거푸집(4회부속동)</v>
          </cell>
          <cell r="B38" t="str">
            <v>공임</v>
          </cell>
          <cell r="C38" t="str">
            <v>M2</v>
          </cell>
          <cell r="D38">
            <v>7731</v>
          </cell>
          <cell r="E38">
            <v>8300</v>
          </cell>
          <cell r="F38">
            <v>64167300</v>
          </cell>
          <cell r="G38">
            <v>1713</v>
          </cell>
          <cell r="H38">
            <v>14217900</v>
          </cell>
          <cell r="I38">
            <v>1171</v>
          </cell>
          <cell r="J38">
            <v>9719300</v>
          </cell>
          <cell r="K38">
            <v>2884</v>
          </cell>
          <cell r="L38">
            <v>23937200</v>
          </cell>
        </row>
        <row r="39">
          <cell r="A39" t="str">
            <v>거푸집(경사부속동</v>
          </cell>
          <cell r="B39" t="str">
            <v>손료</v>
          </cell>
          <cell r="C39" t="str">
            <v>M2</v>
          </cell>
          <cell r="D39">
            <v>1786</v>
          </cell>
          <cell r="E39">
            <v>6600</v>
          </cell>
          <cell r="F39">
            <v>11787600</v>
          </cell>
          <cell r="G39">
            <v>100</v>
          </cell>
          <cell r="H39">
            <v>660000</v>
          </cell>
          <cell r="I39">
            <v>627</v>
          </cell>
          <cell r="J39">
            <v>4138200</v>
          </cell>
          <cell r="K39">
            <v>727</v>
          </cell>
          <cell r="L39">
            <v>4798200</v>
          </cell>
        </row>
        <row r="40">
          <cell r="A40" t="str">
            <v>거푸집(경사부속동</v>
          </cell>
          <cell r="B40" t="str">
            <v>공임</v>
          </cell>
          <cell r="C40" t="str">
            <v>M2</v>
          </cell>
          <cell r="D40">
            <v>1786</v>
          </cell>
          <cell r="E40">
            <v>9000</v>
          </cell>
          <cell r="F40">
            <v>16074000</v>
          </cell>
          <cell r="G40">
            <v>100</v>
          </cell>
          <cell r="H40">
            <v>900000</v>
          </cell>
          <cell r="I40">
            <v>627</v>
          </cell>
          <cell r="J40">
            <v>5643000</v>
          </cell>
          <cell r="K40">
            <v>727</v>
          </cell>
          <cell r="L40">
            <v>6543000</v>
          </cell>
          <cell r="M40"/>
        </row>
        <row r="41">
          <cell r="A41" t="str">
            <v>거푸집(곡면부속동</v>
          </cell>
          <cell r="B41" t="str">
            <v>손료</v>
          </cell>
          <cell r="C41" t="str">
            <v>M2</v>
          </cell>
          <cell r="D41">
            <v>3412</v>
          </cell>
          <cell r="E41">
            <v>6600</v>
          </cell>
          <cell r="F41">
            <v>22519200</v>
          </cell>
          <cell r="H41">
            <v>0</v>
          </cell>
          <cell r="I41">
            <v>733</v>
          </cell>
          <cell r="J41">
            <v>4837800</v>
          </cell>
          <cell r="K41">
            <v>733</v>
          </cell>
          <cell r="L41">
            <v>4837800</v>
          </cell>
        </row>
        <row r="42">
          <cell r="A42" t="str">
            <v>거푸집(곡면부속동</v>
          </cell>
          <cell r="B42" t="str">
            <v>공임</v>
          </cell>
          <cell r="C42" t="str">
            <v>M2</v>
          </cell>
          <cell r="D42">
            <v>3412</v>
          </cell>
          <cell r="E42">
            <v>9500</v>
          </cell>
          <cell r="F42">
            <v>32414000</v>
          </cell>
          <cell r="G42"/>
          <cell r="H42">
            <v>0</v>
          </cell>
          <cell r="I42">
            <v>733</v>
          </cell>
          <cell r="J42">
            <v>6963500</v>
          </cell>
          <cell r="K42">
            <v>733</v>
          </cell>
          <cell r="L42">
            <v>6963500</v>
          </cell>
        </row>
        <row r="43">
          <cell r="A43" t="str">
            <v>거푸집(문양부속동</v>
          </cell>
          <cell r="B43" t="str">
            <v>손료</v>
          </cell>
          <cell r="C43" t="str">
            <v>M2</v>
          </cell>
          <cell r="D43">
            <v>1155</v>
          </cell>
          <cell r="E43">
            <v>7000</v>
          </cell>
          <cell r="F43">
            <v>8085000</v>
          </cell>
          <cell r="G43"/>
          <cell r="H43">
            <v>0</v>
          </cell>
          <cell r="J43">
            <v>0</v>
          </cell>
          <cell r="K43">
            <v>0</v>
          </cell>
          <cell r="L43">
            <v>0</v>
          </cell>
        </row>
        <row r="44">
          <cell r="A44" t="str">
            <v>거푸집(문양부속동</v>
          </cell>
          <cell r="B44" t="str">
            <v>공임</v>
          </cell>
          <cell r="C44" t="str">
            <v>M2</v>
          </cell>
          <cell r="D44">
            <v>1155</v>
          </cell>
          <cell r="E44">
            <v>15000</v>
          </cell>
          <cell r="F44">
            <v>17325000</v>
          </cell>
          <cell r="G44"/>
          <cell r="H44">
            <v>0</v>
          </cell>
          <cell r="J44">
            <v>0</v>
          </cell>
          <cell r="K44">
            <v>0</v>
          </cell>
          <cell r="L44">
            <v>0</v>
          </cell>
        </row>
        <row r="45">
          <cell r="A45" t="str">
            <v>거푸집(곡선문양)</v>
          </cell>
          <cell r="B45" t="str">
            <v>부속손료</v>
          </cell>
          <cell r="C45" t="str">
            <v>M2</v>
          </cell>
          <cell r="D45">
            <v>336</v>
          </cell>
          <cell r="E45">
            <v>8000</v>
          </cell>
          <cell r="F45">
            <v>2688000</v>
          </cell>
          <cell r="G45"/>
          <cell r="H45">
            <v>0</v>
          </cell>
          <cell r="I45"/>
          <cell r="J45">
            <v>0</v>
          </cell>
          <cell r="K45">
            <v>0</v>
          </cell>
          <cell r="L45">
            <v>0</v>
          </cell>
        </row>
        <row r="46">
          <cell r="A46" t="str">
            <v>거푸집(곡선문양)</v>
          </cell>
          <cell r="B46" t="str">
            <v>부속공임</v>
          </cell>
          <cell r="C46" t="str">
            <v>M2</v>
          </cell>
          <cell r="D46">
            <v>336</v>
          </cell>
          <cell r="E46">
            <v>15000</v>
          </cell>
          <cell r="F46">
            <v>5040000</v>
          </cell>
          <cell r="G46"/>
          <cell r="H46">
            <v>0</v>
          </cell>
          <cell r="I46"/>
          <cell r="J46">
            <v>0</v>
          </cell>
          <cell r="K46">
            <v>0</v>
          </cell>
          <cell r="L46">
            <v>0</v>
          </cell>
        </row>
        <row r="47">
          <cell r="A47" t="str">
            <v>거푸집(합벽부속동</v>
          </cell>
          <cell r="B47" t="str">
            <v>손료</v>
          </cell>
          <cell r="C47" t="str">
            <v>M2</v>
          </cell>
          <cell r="D47">
            <v>778</v>
          </cell>
          <cell r="E47">
            <v>13500</v>
          </cell>
          <cell r="F47">
            <v>10503000</v>
          </cell>
          <cell r="G47"/>
          <cell r="H47">
            <v>0</v>
          </cell>
          <cell r="J47">
            <v>0</v>
          </cell>
          <cell r="K47">
            <v>0</v>
          </cell>
          <cell r="L47">
            <v>0</v>
          </cell>
        </row>
        <row r="48">
          <cell r="A48" t="str">
            <v>거푸집(합벽부속동</v>
          </cell>
          <cell r="B48" t="str">
            <v>공임</v>
          </cell>
          <cell r="C48" t="str">
            <v>M2</v>
          </cell>
          <cell r="D48">
            <v>778</v>
          </cell>
          <cell r="E48">
            <v>17000</v>
          </cell>
          <cell r="F48">
            <v>13226000</v>
          </cell>
          <cell r="G48"/>
          <cell r="H48">
            <v>0</v>
          </cell>
          <cell r="J48">
            <v>0</v>
          </cell>
          <cell r="K48">
            <v>0</v>
          </cell>
          <cell r="L48">
            <v>0</v>
          </cell>
        </row>
        <row r="49">
          <cell r="A49" t="str">
            <v>동바리H&lt;4.5</v>
          </cell>
          <cell r="B49" t="str">
            <v>APT손료</v>
          </cell>
          <cell r="C49" t="str">
            <v>공M3</v>
          </cell>
          <cell r="D49">
            <v>55624</v>
          </cell>
          <cell r="E49">
            <v>400</v>
          </cell>
          <cell r="F49">
            <v>22249600</v>
          </cell>
          <cell r="G49"/>
          <cell r="H49">
            <v>0</v>
          </cell>
          <cell r="I49">
            <v>866</v>
          </cell>
          <cell r="J49">
            <v>346400</v>
          </cell>
          <cell r="K49">
            <v>866</v>
          </cell>
          <cell r="L49">
            <v>346400</v>
          </cell>
        </row>
        <row r="50">
          <cell r="A50" t="str">
            <v>동바리H&lt;4.5</v>
          </cell>
          <cell r="B50" t="str">
            <v>APT공임</v>
          </cell>
          <cell r="C50" t="str">
            <v>공M3</v>
          </cell>
          <cell r="D50">
            <v>55624</v>
          </cell>
          <cell r="E50">
            <v>400</v>
          </cell>
          <cell r="F50">
            <v>22249600</v>
          </cell>
          <cell r="G50"/>
          <cell r="H50">
            <v>0</v>
          </cell>
          <cell r="I50">
            <v>866</v>
          </cell>
          <cell r="J50">
            <v>346400</v>
          </cell>
          <cell r="K50">
            <v>866</v>
          </cell>
          <cell r="L50">
            <v>346400</v>
          </cell>
        </row>
        <row r="51">
          <cell r="A51" t="str">
            <v>동바리H&lt;4.5</v>
          </cell>
          <cell r="B51" t="str">
            <v>부속손료</v>
          </cell>
          <cell r="C51" t="str">
            <v>공M3</v>
          </cell>
          <cell r="D51">
            <v>10437</v>
          </cell>
          <cell r="E51">
            <v>600</v>
          </cell>
          <cell r="F51">
            <v>6262200</v>
          </cell>
          <cell r="G51"/>
          <cell r="H51">
            <v>0</v>
          </cell>
          <cell r="I51">
            <v>4305</v>
          </cell>
          <cell r="J51">
            <v>2583000</v>
          </cell>
          <cell r="K51">
            <v>4305</v>
          </cell>
          <cell r="L51">
            <v>2583000</v>
          </cell>
        </row>
        <row r="52">
          <cell r="A52" t="str">
            <v>동바리H&lt;4.5</v>
          </cell>
          <cell r="B52" t="str">
            <v>부속공임</v>
          </cell>
          <cell r="C52" t="str">
            <v>공M3</v>
          </cell>
          <cell r="D52">
            <v>10437</v>
          </cell>
          <cell r="E52">
            <v>400</v>
          </cell>
          <cell r="F52">
            <v>4174800</v>
          </cell>
          <cell r="G52"/>
          <cell r="H52">
            <v>0</v>
          </cell>
          <cell r="I52">
            <v>4305</v>
          </cell>
          <cell r="J52">
            <v>1722000</v>
          </cell>
          <cell r="K52">
            <v>4305</v>
          </cell>
          <cell r="L52">
            <v>1722000</v>
          </cell>
        </row>
        <row r="53">
          <cell r="A53" t="str">
            <v>동바리H&gt;4.5</v>
          </cell>
          <cell r="B53" t="str">
            <v>부속손료</v>
          </cell>
          <cell r="C53" t="str">
            <v>공M3</v>
          </cell>
          <cell r="D53">
            <v>43891</v>
          </cell>
          <cell r="E53">
            <v>600</v>
          </cell>
          <cell r="F53">
            <v>26334600</v>
          </cell>
          <cell r="G53">
            <v>6400</v>
          </cell>
          <cell r="H53">
            <v>3840000</v>
          </cell>
          <cell r="I53">
            <v>8112</v>
          </cell>
          <cell r="J53">
            <v>4867200</v>
          </cell>
          <cell r="K53">
            <v>14512</v>
          </cell>
          <cell r="L53">
            <v>8707200</v>
          </cell>
        </row>
        <row r="54">
          <cell r="A54" t="str">
            <v>동바리H&gt;4.5</v>
          </cell>
          <cell r="B54" t="str">
            <v>부속공임</v>
          </cell>
          <cell r="C54" t="str">
            <v>공M3</v>
          </cell>
          <cell r="D54">
            <v>43891</v>
          </cell>
          <cell r="E54">
            <v>600</v>
          </cell>
          <cell r="F54">
            <v>26334600</v>
          </cell>
          <cell r="G54">
            <v>6400</v>
          </cell>
          <cell r="H54">
            <v>3840000</v>
          </cell>
          <cell r="I54">
            <v>8112</v>
          </cell>
          <cell r="J54">
            <v>4867200</v>
          </cell>
          <cell r="K54">
            <v>14512</v>
          </cell>
          <cell r="L54">
            <v>8707200</v>
          </cell>
        </row>
        <row r="55">
          <cell r="A55" t="str">
            <v>철근가공조립</v>
          </cell>
          <cell r="B55" t="str">
            <v>부속동</v>
          </cell>
          <cell r="C55" t="str">
            <v>TON</v>
          </cell>
          <cell r="D55">
            <v>1836</v>
          </cell>
          <cell r="E55">
            <v>172000</v>
          </cell>
          <cell r="F55">
            <v>315792000</v>
          </cell>
          <cell r="G55">
            <v>173</v>
          </cell>
          <cell r="H55">
            <v>29756000</v>
          </cell>
          <cell r="I55">
            <v>553</v>
          </cell>
          <cell r="J55">
            <v>95116000</v>
          </cell>
          <cell r="K55">
            <v>726</v>
          </cell>
          <cell r="L55">
            <v>124872000</v>
          </cell>
        </row>
        <row r="56">
          <cell r="A56" t="str">
            <v>철근가공조립</v>
          </cell>
          <cell r="B56" t="str">
            <v>APT15층</v>
          </cell>
          <cell r="C56" t="str">
            <v>TON</v>
          </cell>
          <cell r="D56">
            <v>920</v>
          </cell>
          <cell r="E56">
            <v>175000</v>
          </cell>
          <cell r="F56">
            <v>161000000</v>
          </cell>
          <cell r="G56">
            <v>50</v>
          </cell>
          <cell r="H56">
            <v>8750000</v>
          </cell>
          <cell r="I56">
            <v>29</v>
          </cell>
          <cell r="J56">
            <v>5075000</v>
          </cell>
          <cell r="K56">
            <v>79</v>
          </cell>
          <cell r="L56">
            <v>13825000</v>
          </cell>
        </row>
        <row r="57">
          <cell r="A57" t="str">
            <v>철근가공조립</v>
          </cell>
          <cell r="B57" t="str">
            <v>APT16층</v>
          </cell>
          <cell r="C57" t="str">
            <v>TON</v>
          </cell>
          <cell r="D57">
            <v>295</v>
          </cell>
          <cell r="E57">
            <v>175000</v>
          </cell>
          <cell r="F57">
            <v>51625000</v>
          </cell>
          <cell r="G57"/>
          <cell r="H57">
            <v>0</v>
          </cell>
          <cell r="I57"/>
          <cell r="J57">
            <v>0</v>
          </cell>
          <cell r="K57">
            <v>0</v>
          </cell>
          <cell r="L57">
            <v>0</v>
          </cell>
        </row>
        <row r="58">
          <cell r="A58" t="str">
            <v>면목</v>
          </cell>
          <cell r="B58" t="str">
            <v>15*15</v>
          </cell>
          <cell r="C58" t="str">
            <v>M</v>
          </cell>
          <cell r="D58">
            <v>19106</v>
          </cell>
          <cell r="E58">
            <v>220</v>
          </cell>
          <cell r="F58">
            <v>4203320</v>
          </cell>
          <cell r="G58">
            <v>4343</v>
          </cell>
          <cell r="H58">
            <v>955460</v>
          </cell>
          <cell r="I58"/>
          <cell r="J58">
            <v>0</v>
          </cell>
          <cell r="K58">
            <v>4343</v>
          </cell>
          <cell r="L58">
            <v>955460</v>
          </cell>
        </row>
        <row r="59">
          <cell r="A59" t="str">
            <v>면목</v>
          </cell>
          <cell r="B59" t="str">
            <v>20*20</v>
          </cell>
          <cell r="C59" t="str">
            <v>M</v>
          </cell>
          <cell r="D59">
            <v>3024</v>
          </cell>
          <cell r="E59">
            <v>320</v>
          </cell>
          <cell r="F59">
            <v>967680</v>
          </cell>
          <cell r="G59"/>
          <cell r="H59">
            <v>0</v>
          </cell>
          <cell r="I59"/>
          <cell r="J59">
            <v>0</v>
          </cell>
          <cell r="K59">
            <v>0</v>
          </cell>
          <cell r="L59">
            <v>0</v>
          </cell>
        </row>
        <row r="60">
          <cell r="A60" t="str">
            <v>콤비(물끊기홈)</v>
          </cell>
          <cell r="B60" t="str">
            <v>면목</v>
          </cell>
          <cell r="C60" t="str">
            <v>M</v>
          </cell>
          <cell r="D60">
            <v>2886</v>
          </cell>
          <cell r="E60">
            <v>840</v>
          </cell>
          <cell r="F60">
            <v>2424240</v>
          </cell>
          <cell r="G60"/>
          <cell r="H60">
            <v>0</v>
          </cell>
          <cell r="I60"/>
          <cell r="J60">
            <v>0</v>
          </cell>
          <cell r="K60">
            <v>0</v>
          </cell>
          <cell r="L60">
            <v>0</v>
          </cell>
        </row>
        <row r="61">
          <cell r="A61" t="str">
            <v>지수판</v>
          </cell>
          <cell r="B61"/>
          <cell r="C61" t="str">
            <v>M</v>
          </cell>
          <cell r="D61">
            <v>2647</v>
          </cell>
          <cell r="E61">
            <v>6000</v>
          </cell>
          <cell r="F61">
            <v>15882000</v>
          </cell>
          <cell r="G61">
            <v>306</v>
          </cell>
          <cell r="H61">
            <v>1836000</v>
          </cell>
          <cell r="I61"/>
          <cell r="J61">
            <v>0</v>
          </cell>
          <cell r="K61">
            <v>306</v>
          </cell>
          <cell r="L61">
            <v>1836000</v>
          </cell>
        </row>
        <row r="62">
          <cell r="A62" t="str">
            <v>단열재(0.03)</v>
          </cell>
          <cell r="B62" t="str">
            <v>T=80MM</v>
          </cell>
          <cell r="C62" t="str">
            <v>M2</v>
          </cell>
          <cell r="D62">
            <v>1836</v>
          </cell>
          <cell r="E62">
            <v>4500</v>
          </cell>
          <cell r="F62">
            <v>8262000</v>
          </cell>
          <cell r="G62"/>
          <cell r="H62">
            <v>0</v>
          </cell>
          <cell r="I62"/>
          <cell r="J62">
            <v>0</v>
          </cell>
          <cell r="K62">
            <v>0</v>
          </cell>
          <cell r="L62">
            <v>0</v>
          </cell>
        </row>
        <row r="63">
          <cell r="A63" t="str">
            <v>단열재붙이기</v>
          </cell>
          <cell r="B63" t="str">
            <v>T=80MM</v>
          </cell>
          <cell r="C63" t="str">
            <v>M2</v>
          </cell>
          <cell r="D63">
            <v>1836</v>
          </cell>
          <cell r="E63">
            <v>400</v>
          </cell>
          <cell r="F63">
            <v>734400</v>
          </cell>
          <cell r="G63"/>
          <cell r="H63">
            <v>0</v>
          </cell>
          <cell r="J63">
            <v>0</v>
          </cell>
          <cell r="K63">
            <v>0</v>
          </cell>
          <cell r="L63">
            <v>0</v>
          </cell>
        </row>
        <row r="64">
          <cell r="A64" t="str">
            <v>압축스치로폴</v>
          </cell>
          <cell r="B64" t="str">
            <v>T=10</v>
          </cell>
          <cell r="C64" t="str">
            <v>M2</v>
          </cell>
          <cell r="D64">
            <v>2146</v>
          </cell>
          <cell r="E64">
            <v>1400</v>
          </cell>
          <cell r="F64">
            <v>3004400</v>
          </cell>
          <cell r="G64"/>
          <cell r="H64">
            <v>0</v>
          </cell>
          <cell r="J64">
            <v>0</v>
          </cell>
          <cell r="K64">
            <v>0</v>
          </cell>
          <cell r="L64">
            <v>0</v>
          </cell>
        </row>
        <row r="65">
          <cell r="A65" t="str">
            <v>압축스치로폴붙이기(T=10)</v>
          </cell>
          <cell r="C65" t="str">
            <v>M2</v>
          </cell>
          <cell r="D65">
            <v>2146</v>
          </cell>
          <cell r="E65">
            <v>400</v>
          </cell>
          <cell r="F65">
            <v>858400</v>
          </cell>
          <cell r="G65"/>
          <cell r="H65">
            <v>0</v>
          </cell>
          <cell r="I65"/>
          <cell r="J65">
            <v>0</v>
          </cell>
          <cell r="K65">
            <v>0</v>
          </cell>
          <cell r="L65">
            <v>0</v>
          </cell>
        </row>
        <row r="66">
          <cell r="A66" t="str">
            <v>압축스치로폴</v>
          </cell>
          <cell r="B66" t="str">
            <v>T=10</v>
          </cell>
          <cell r="C66" t="str">
            <v>M2</v>
          </cell>
          <cell r="D66">
            <v>873</v>
          </cell>
          <cell r="E66">
            <v>1400</v>
          </cell>
          <cell r="F66">
            <v>1222200</v>
          </cell>
          <cell r="G66"/>
          <cell r="H66">
            <v>0</v>
          </cell>
          <cell r="I66"/>
          <cell r="J66">
            <v>0</v>
          </cell>
          <cell r="K66">
            <v>0</v>
          </cell>
          <cell r="L66">
            <v>0</v>
          </cell>
        </row>
        <row r="67">
          <cell r="A67" t="str">
            <v>압축스치로폴붙이기</v>
          </cell>
          <cell r="C67" t="str">
            <v>M2</v>
          </cell>
          <cell r="D67">
            <v>873</v>
          </cell>
          <cell r="E67">
            <v>400</v>
          </cell>
          <cell r="F67">
            <v>349200</v>
          </cell>
          <cell r="G67"/>
          <cell r="H67">
            <v>0</v>
          </cell>
          <cell r="J67">
            <v>0</v>
          </cell>
          <cell r="K67">
            <v>0</v>
          </cell>
          <cell r="L67">
            <v>0</v>
          </cell>
        </row>
        <row r="68">
          <cell r="A68" t="str">
            <v>콘크리트면처리</v>
          </cell>
          <cell r="B68" t="str">
            <v>리브면</v>
          </cell>
          <cell r="C68" t="str">
            <v>M2</v>
          </cell>
          <cell r="D68">
            <v>7751</v>
          </cell>
          <cell r="E68">
            <v>2100</v>
          </cell>
          <cell r="F68">
            <v>16277100</v>
          </cell>
          <cell r="G68"/>
          <cell r="H68">
            <v>0</v>
          </cell>
          <cell r="J68">
            <v>0</v>
          </cell>
          <cell r="K68">
            <v>0</v>
          </cell>
          <cell r="L68">
            <v>0</v>
          </cell>
        </row>
        <row r="69">
          <cell r="A69" t="str">
            <v>콘크리트면처리</v>
          </cell>
          <cell r="B69" t="str">
            <v>일반외부</v>
          </cell>
          <cell r="C69" t="str">
            <v>M2</v>
          </cell>
          <cell r="D69">
            <v>8602</v>
          </cell>
          <cell r="E69">
            <v>2000</v>
          </cell>
          <cell r="F69">
            <v>17204000</v>
          </cell>
          <cell r="G69"/>
          <cell r="H69">
            <v>0</v>
          </cell>
          <cell r="J69">
            <v>0</v>
          </cell>
          <cell r="K69">
            <v>0</v>
          </cell>
          <cell r="L69">
            <v>0</v>
          </cell>
        </row>
        <row r="70">
          <cell r="A70" t="str">
            <v>콘크리트면처리</v>
          </cell>
          <cell r="B70" t="str">
            <v>일반내부</v>
          </cell>
          <cell r="C70" t="str">
            <v>M2</v>
          </cell>
          <cell r="D70">
            <v>53735</v>
          </cell>
          <cell r="E70">
            <v>2000</v>
          </cell>
          <cell r="F70">
            <v>107470000</v>
          </cell>
          <cell r="G70"/>
          <cell r="H70">
            <v>0</v>
          </cell>
          <cell r="J70">
            <v>0</v>
          </cell>
          <cell r="K70">
            <v>0</v>
          </cell>
          <cell r="L70">
            <v>0</v>
          </cell>
        </row>
      </sheetData>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업무분장"/>
      <sheetName val="조직도 (6)"/>
      <sheetName val="요약"/>
      <sheetName val="항목별"/>
      <sheetName val="판촉예산"/>
      <sheetName val="경상예산"/>
      <sheetName val="항목별명세표1월"/>
      <sheetName val="경비통장 잔액1월"/>
      <sheetName val="환전표 1월"/>
      <sheetName val="경리보고서 1월"/>
      <sheetName val="일반경비 1월"/>
      <sheetName val="투자예산 1월"/>
      <sheetName val="임차보증금 1월"/>
      <sheetName val="항목별명세표2월"/>
      <sheetName val="경비통장 잔액2월"/>
      <sheetName val="환전표 2월"/>
      <sheetName val="경리보고서  2월"/>
      <sheetName val="일반경비 2월"/>
      <sheetName val="투자예산 2월"/>
      <sheetName val="임차보증금 2월"/>
      <sheetName val="항목별명세표3월"/>
      <sheetName val="경비통장 잔액3월"/>
      <sheetName val="환전표 3월"/>
      <sheetName val="경리보고서  3월"/>
      <sheetName val="일반경비 3월"/>
      <sheetName val="투자예산 3월"/>
      <sheetName val="임차보증금 3월"/>
      <sheetName val="항목별명세표4월"/>
      <sheetName val="경비통장 잔액4월"/>
      <sheetName val="환전표 4월"/>
      <sheetName val="경리보고서 4월"/>
      <sheetName val="일반경비 4월"/>
      <sheetName val="투자예산 4월"/>
      <sheetName val="임차보증금 4월"/>
      <sheetName val="항목별명세표5월"/>
      <sheetName val="환전표 5월"/>
      <sheetName val="경비통장 잔액5월"/>
      <sheetName val="경리보고서  5월"/>
      <sheetName val="일반경비 5월"/>
      <sheetName val="투자예산 5월"/>
      <sheetName val="임차보증금 5월"/>
      <sheetName val="항목별명세표6월"/>
      <sheetName val="경비통장 잔액6월"/>
      <sheetName val="환전표 6월"/>
      <sheetName val="경리보고서  6월"/>
      <sheetName val="일반경비 6월"/>
      <sheetName val="투자예산 6월"/>
      <sheetName val="임차보증금 6월"/>
      <sheetName val="경비통장 잔액7월"/>
      <sheetName val="환전표 7월"/>
      <sheetName val="경리보고서  7월"/>
      <sheetName val="항목별명세표7월"/>
      <sheetName val="일반경비 7월"/>
      <sheetName val="투자예산 7월"/>
      <sheetName val="임차보증금 7월"/>
      <sheetName val="환전표 8월"/>
      <sheetName val="경비통장 잔액8월"/>
      <sheetName val="경리보고서  8월"/>
      <sheetName val="항목별명세표8월"/>
      <sheetName val="일반경비 8월"/>
      <sheetName val="투자예산 8월"/>
      <sheetName val="임차보증금 8월"/>
      <sheetName val="환전표 9월"/>
      <sheetName val="잔액9월"/>
      <sheetName val="경리보고서  9월"/>
      <sheetName val="항목별명세표9월"/>
      <sheetName val="일반경비 9월"/>
      <sheetName val="투자예산 9월"/>
      <sheetName val="임차보증금 9월"/>
      <sheetName val="환전표 10월"/>
      <sheetName val="잔액10월"/>
      <sheetName val="경리보고서 10월"/>
      <sheetName val="항목별명세표10월"/>
      <sheetName val="일반경비 10월"/>
      <sheetName val="투자예산 10월"/>
      <sheetName val="임차보증금 10월"/>
      <sheetName val="본사송금내역서11월"/>
      <sheetName val="환전표 11월"/>
      <sheetName val="잔액11월"/>
      <sheetName val="경리보고서 11월"/>
      <sheetName val="항목별명세표11월"/>
      <sheetName val="일반경비 11월"/>
      <sheetName val="투자예산 11월"/>
      <sheetName val="임차보증금 11월"/>
      <sheetName val="경리보고서 11월-2"/>
      <sheetName val="특별비용잔액"/>
      <sheetName val="환전표 12월"/>
      <sheetName val="본사송금내역12월"/>
      <sheetName val="잔액"/>
      <sheetName val="경리보고서 12월"/>
      <sheetName val="항목별명세표12월"/>
      <sheetName val="일반경비 12월"/>
      <sheetName val="투자예산 12월"/>
      <sheetName val="임차보증금 12월"/>
      <sheetName val="경리보고서 12월-2"/>
      <sheetName val="특별비용잔액보고용"/>
      <sheetName val="환전표 12월 (2)"/>
      <sheetName val="본사송금내역12월 (2)"/>
      <sheetName val="잔액 (2)"/>
      <sheetName val="경리보고서 12월 (2)"/>
      <sheetName val="항목별명세표12월 (2)"/>
      <sheetName val="Sheet1"/>
      <sheetName val="#REF"/>
      <sheetName val="COVER-P"/>
      <sheetName val="변경내용"/>
      <sheetName val="접대비"/>
      <sheetName val="회의비등"/>
      <sheetName val="교통비"/>
      <sheetName val="핸드폰"/>
      <sheetName val="당숙직"/>
      <sheetName val="영수증1"/>
      <sheetName val="영수증2"/>
      <sheetName val="정산서"/>
      <sheetName val="전표철"/>
      <sheetName val="Sheet2"/>
      <sheetName val="Sheet3"/>
      <sheetName val="수리결과"/>
      <sheetName val="95MAKER"/>
      <sheetName val="계정"/>
      <sheetName val="p2-1"/>
      <sheetName val="INPUT"/>
      <sheetName val="견적990322"/>
      <sheetName val="갑지"/>
      <sheetName val="입찰안"/>
      <sheetName val="OUT"/>
      <sheetName val="일위(PN)"/>
      <sheetName val="공사명입력"/>
      <sheetName val="근로자자료입력"/>
      <sheetName val="참고자료"/>
      <sheetName val="갑지1"/>
      <sheetName val="01"/>
      <sheetName val="외주현황.wq1"/>
      <sheetName val="조직도_(6)"/>
      <sheetName val="경비통장_잔액1월"/>
      <sheetName val="환전표_1월"/>
      <sheetName val="경리보고서_1월"/>
      <sheetName val="일반경비_1월"/>
      <sheetName val="투자예산_1월"/>
      <sheetName val="임차보증금_1월"/>
      <sheetName val="경비통장_잔액2월"/>
      <sheetName val="환전표_2월"/>
      <sheetName val="경리보고서__2월"/>
      <sheetName val="일반경비_2월"/>
      <sheetName val="투자예산_2월"/>
      <sheetName val="임차보증금_2월"/>
      <sheetName val="경비통장_잔액3월"/>
      <sheetName val="환전표_3월"/>
      <sheetName val="경리보고서__3월"/>
      <sheetName val="일반경비_3월"/>
      <sheetName val="투자예산_3월"/>
      <sheetName val="임차보증금_3월"/>
      <sheetName val="경비통장_잔액4월"/>
      <sheetName val="환전표_4월"/>
      <sheetName val="경리보고서_4월"/>
      <sheetName val="일반경비_4월"/>
      <sheetName val="투자예산_4월"/>
      <sheetName val="임차보증금_4월"/>
      <sheetName val="환전표_5월"/>
      <sheetName val="경비통장_잔액5월"/>
      <sheetName val="경리보고서__5월"/>
      <sheetName val="일반경비_5월"/>
      <sheetName val="투자예산_5월"/>
      <sheetName val="임차보증금_5월"/>
      <sheetName val="경비통장_잔액6월"/>
      <sheetName val="환전표_6월"/>
      <sheetName val="경리보고서__6월"/>
      <sheetName val="일반경비_6월"/>
      <sheetName val="투자예산_6월"/>
      <sheetName val="임차보증금_6월"/>
      <sheetName val="경비통장_잔액7월"/>
      <sheetName val="환전표_7월"/>
      <sheetName val="경리보고서__7월"/>
      <sheetName val="일반경비_7월"/>
      <sheetName val="투자예산_7월"/>
      <sheetName val="임차보증금_7월"/>
      <sheetName val="환전표_8월"/>
      <sheetName val="경비통장_잔액8월"/>
      <sheetName val="경리보고서__8월"/>
      <sheetName val="일반경비_8월"/>
      <sheetName val="투자예산_8월"/>
      <sheetName val="임차보증금_8월"/>
      <sheetName val="환전표_9월"/>
      <sheetName val="경리보고서__9월"/>
      <sheetName val="일반경비_9월"/>
      <sheetName val="투자예산_9월"/>
      <sheetName val="임차보증금_9월"/>
      <sheetName val="환전표_10월"/>
      <sheetName val="경리보고서_10월"/>
      <sheetName val="일반경비_10월"/>
      <sheetName val="투자예산_10월"/>
      <sheetName val="임차보증금_10월"/>
      <sheetName val="환전표_11월"/>
      <sheetName val="경리보고서_11월"/>
      <sheetName val="일반경비_11월"/>
      <sheetName val="투자예산_11월"/>
      <sheetName val="임차보증금_11월"/>
      <sheetName val="경리보고서_11월-2"/>
      <sheetName val="환전표_12월"/>
      <sheetName val="경리보고서_12월"/>
      <sheetName val="일반경비_12월"/>
      <sheetName val="투자예산_12월"/>
      <sheetName val="임차보증금_12월"/>
      <sheetName val="경리보고서_12월-2"/>
      <sheetName val="환전표_12월_(2)"/>
      <sheetName val="본사송금내역12월_(2)"/>
      <sheetName val="잔액_(2)"/>
      <sheetName val="경리보고서_12월_(2)"/>
      <sheetName val="항목별명세표12월_(2)"/>
      <sheetName val="영업.일1"/>
      <sheetName val="업무"/>
      <sheetName val="SG"/>
      <sheetName val="FORM-0"/>
      <sheetName val="2.대외공문"/>
      <sheetName val="날개벽수량표"/>
      <sheetName val="5.WIRE적용LIST"/>
      <sheetName val="항목(1)"/>
      <sheetName val="THEME CODE"/>
      <sheetName val="CR CODE"/>
      <sheetName val="부서CODE"/>
      <sheetName val="물가시세"/>
      <sheetName val="단면 (2)"/>
      <sheetName val="갑지(추정)"/>
      <sheetName val="수입"/>
      <sheetName val="분납 2"/>
      <sheetName val="SAM (2)"/>
      <sheetName val="관람석제출"/>
      <sheetName val="소개"/>
      <sheetName val="소상 &quot;1&quot;"/>
      <sheetName val="조직도_(6)1"/>
      <sheetName val="경비통장_잔액1월1"/>
      <sheetName val="환전표_1월1"/>
      <sheetName val="경리보고서_1월1"/>
      <sheetName val="일반경비_1월1"/>
      <sheetName val="투자예산_1월1"/>
      <sheetName val="임차보증금_1월1"/>
      <sheetName val="경비통장_잔액2월1"/>
      <sheetName val="환전표_2월1"/>
      <sheetName val="경리보고서__2월1"/>
      <sheetName val="일반경비_2월1"/>
      <sheetName val="투자예산_2월1"/>
      <sheetName val="임차보증금_2월1"/>
      <sheetName val="경비통장_잔액3월1"/>
      <sheetName val="환전표_3월1"/>
      <sheetName val="경리보고서__3월1"/>
      <sheetName val="일반경비_3월1"/>
      <sheetName val="투자예산_3월1"/>
      <sheetName val="임차보증금_3월1"/>
      <sheetName val="경비통장_잔액4월1"/>
      <sheetName val="환전표_4월1"/>
      <sheetName val="경리보고서_4월1"/>
      <sheetName val="일반경비_4월1"/>
      <sheetName val="투자예산_4월1"/>
      <sheetName val="임차보증금_4월1"/>
      <sheetName val="환전표_5월1"/>
      <sheetName val="경비통장_잔액5월1"/>
      <sheetName val="경리보고서__5월1"/>
      <sheetName val="일반경비_5월1"/>
      <sheetName val="투자예산_5월1"/>
      <sheetName val="임차보증금_5월1"/>
      <sheetName val="경비통장_잔액6월1"/>
      <sheetName val="환전표_6월1"/>
      <sheetName val="경리보고서__6월1"/>
      <sheetName val="일반경비_6월1"/>
      <sheetName val="투자예산_6월1"/>
      <sheetName val="임차보증금_6월1"/>
      <sheetName val="경비통장_잔액7월1"/>
      <sheetName val="환전표_7월1"/>
      <sheetName val="경리보고서__7월1"/>
      <sheetName val="일반경비_7월1"/>
      <sheetName val="투자예산_7월1"/>
      <sheetName val="임차보증금_7월1"/>
      <sheetName val="환전표_8월1"/>
      <sheetName val="경비통장_잔액8월1"/>
      <sheetName val="경리보고서__8월1"/>
      <sheetName val="일반경비_8월1"/>
      <sheetName val="투자예산_8월1"/>
      <sheetName val="임차보증금_8월1"/>
      <sheetName val="환전표_9월1"/>
      <sheetName val="경리보고서__9월1"/>
      <sheetName val="일반경비_9월1"/>
      <sheetName val="투자예산_9월1"/>
      <sheetName val="임차보증금_9월1"/>
      <sheetName val="환전표_10월1"/>
      <sheetName val="경리보고서_10월1"/>
      <sheetName val="일반경비_10월1"/>
      <sheetName val="투자예산_10월1"/>
      <sheetName val="임차보증금_10월1"/>
      <sheetName val="환전표_11월1"/>
      <sheetName val="경리보고서_11월1"/>
      <sheetName val="일반경비_11월1"/>
      <sheetName val="투자예산_11월1"/>
      <sheetName val="임차보증금_11월1"/>
      <sheetName val="경리보고서_11월-21"/>
      <sheetName val="환전표_12월1"/>
      <sheetName val="경리보고서_12월1"/>
      <sheetName val="일반경비_12월1"/>
      <sheetName val="투자예산_12월1"/>
      <sheetName val="임차보증금_12월1"/>
      <sheetName val="경리보고서_12월-21"/>
      <sheetName val="환전표_12월_(2)1"/>
      <sheetName val="본사송금내역12월_(2)1"/>
      <sheetName val="잔액_(2)1"/>
      <sheetName val="경리보고서_12월_(2)1"/>
      <sheetName val="항목별명세표12월_(2)1"/>
      <sheetName val="외주현황_wq1"/>
      <sheetName val="영업_일1"/>
      <sheetName val="keyword"/>
      <sheetName val="조직도_(6)2"/>
      <sheetName val="경비통장_잔액1월2"/>
      <sheetName val="환전표_1월2"/>
      <sheetName val="경리보고서_1월2"/>
      <sheetName val="일반경비_1월2"/>
      <sheetName val="투자예산_1월2"/>
      <sheetName val="임차보증금_1월2"/>
      <sheetName val="경비통장_잔액2월2"/>
      <sheetName val="환전표_2월2"/>
      <sheetName val="경리보고서__2월2"/>
      <sheetName val="일반경비_2월2"/>
      <sheetName val="투자예산_2월2"/>
      <sheetName val="임차보증금_2월2"/>
      <sheetName val="경비통장_잔액3월2"/>
      <sheetName val="환전표_3월2"/>
      <sheetName val="경리보고서__3월2"/>
      <sheetName val="일반경비_3월2"/>
      <sheetName val="투자예산_3월2"/>
      <sheetName val="임차보증금_3월2"/>
      <sheetName val="경비통장_잔액4월2"/>
      <sheetName val="환전표_4월2"/>
      <sheetName val="경리보고서_4월2"/>
      <sheetName val="일반경비_4월2"/>
      <sheetName val="투자예산_4월2"/>
      <sheetName val="임차보증금_4월2"/>
      <sheetName val="환전표_5월2"/>
      <sheetName val="경비통장_잔액5월2"/>
      <sheetName val="경리보고서__5월2"/>
      <sheetName val="일반경비_5월2"/>
      <sheetName val="투자예산_5월2"/>
      <sheetName val="임차보증금_5월2"/>
      <sheetName val="경비통장_잔액6월2"/>
      <sheetName val="환전표_6월2"/>
      <sheetName val="경리보고서__6월2"/>
      <sheetName val="일반경비_6월2"/>
      <sheetName val="투자예산_6월2"/>
      <sheetName val="임차보증금_6월2"/>
      <sheetName val="경비통장_잔액7월2"/>
      <sheetName val="환전표_7월2"/>
      <sheetName val="경리보고서__7월2"/>
      <sheetName val="일반경비_7월2"/>
      <sheetName val="투자예산_7월2"/>
      <sheetName val="임차보증금_7월2"/>
      <sheetName val="환전표_8월2"/>
      <sheetName val="경비통장_잔액8월2"/>
      <sheetName val="경리보고서__8월2"/>
      <sheetName val="일반경비_8월2"/>
      <sheetName val="투자예산_8월2"/>
      <sheetName val="임차보증금_8월2"/>
      <sheetName val="환전표_9월2"/>
      <sheetName val="경리보고서__9월2"/>
      <sheetName val="일반경비_9월2"/>
      <sheetName val="투자예산_9월2"/>
      <sheetName val="임차보증금_9월2"/>
      <sheetName val="환전표_10월2"/>
      <sheetName val="경리보고서_10월2"/>
      <sheetName val="일반경비_10월2"/>
      <sheetName val="투자예산_10월2"/>
      <sheetName val="임차보증금_10월2"/>
      <sheetName val="환전표_11월2"/>
      <sheetName val="경리보고서_11월2"/>
      <sheetName val="일반경비_11월2"/>
      <sheetName val="투자예산_11월2"/>
      <sheetName val="임차보증금_11월2"/>
      <sheetName val="경리보고서_11월-22"/>
      <sheetName val="환전표_12월2"/>
      <sheetName val="경리보고서_12월2"/>
      <sheetName val="일반경비_12월2"/>
      <sheetName val="투자예산_12월2"/>
      <sheetName val="임차보증금_12월2"/>
      <sheetName val="경리보고서_12월-22"/>
      <sheetName val="환전표_12월_(2)2"/>
      <sheetName val="본사송금내역12월_(2)2"/>
      <sheetName val="잔액_(2)2"/>
      <sheetName val="경리보고서_12월_(2)2"/>
      <sheetName val="항목별명세표12월_(2)2"/>
      <sheetName val="외주현황_wq11"/>
      <sheetName val="영업_일11"/>
      <sheetName val="임_x0002__x0000_蘠t_x0000__x0000__x0001_"/>
      <sheetName val="CONCRETE"/>
      <sheetName val="조건 (A)"/>
      <sheetName val="DATE"/>
      <sheetName val="일괄인쇄"/>
      <sheetName val="임_x005f_x0002__x005f_x0000_蘠t_x005f_x0000__x005f_x0000_"/>
      <sheetName val="시험장S자로가로등공사"/>
      <sheetName val="대비표"/>
      <sheetName val="총괄표"/>
      <sheetName val="을"/>
      <sheetName val="임_x005f_x005f_x005f_x0002__x005f_x005f_x005f_x0000_蘠t_x"/>
      <sheetName val="월별수입"/>
      <sheetName val="일위대가"/>
      <sheetName val="전체내역 (2)"/>
      <sheetName val="업무계획1"/>
      <sheetName val="차수"/>
      <sheetName val="세목별"/>
      <sheetName val="임_x0002_"/>
      <sheetName val="일위대가표"/>
      <sheetName val="차종별"/>
      <sheetName val="임_x005f_x005f_x005f_x005f_x005f_x005f_x005f_x0002__x005"/>
      <sheetName val="임_x005f_x0002_"/>
      <sheetName val="98지급계획"/>
      <sheetName val="DRUM"/>
      <sheetName val="예산대비"/>
      <sheetName val="임_x0002_?蘠t??_x0001_"/>
      <sheetName val="소화실적"/>
      <sheetName val="부하(성남)"/>
      <sheetName val="남양시작동010313100%"/>
      <sheetName val="[업무.XLS塅䕃⹌塅E9월"/>
      <sheetName val="9"/>
      <sheetName val="10상"/>
      <sheetName val="SKETCH"/>
      <sheetName val="12월 기타"/>
      <sheetName val="Ring"/>
      <sheetName val="매립"/>
      <sheetName val="금액내역서"/>
      <sheetName val="배수공"/>
      <sheetName val="간지"/>
      <sheetName val="3분기"/>
      <sheetName val="CAUDIT"/>
      <sheetName val="제안서"/>
      <sheetName val="행정표준(1)"/>
      <sheetName val="행정표준(2)"/>
      <sheetName val="금융비용"/>
      <sheetName val="石油類"/>
      <sheetName val="_REF"/>
      <sheetName val="96수출"/>
      <sheetName val="5.단면설계"/>
      <sheetName val="임_x005f_x005f_x005f_x005f_x005f_x005f_x005f_x005f_x005f"/>
      <sheetName val="임_x005f_x005f_x005f_x0002_"/>
      <sheetName val="임_x005f_x0002__蘠t___x005f_x0001_"/>
      <sheetName val="_업무.XLS塅䕃⹌塅E9월"/>
      <sheetName val="날개벽(시점좌측)"/>
      <sheetName val="설계조건"/>
      <sheetName val="도"/>
      <sheetName val="시행내역서(1공구-참조)"/>
      <sheetName val="2014년 표준단가"/>
      <sheetName val="1공구"/>
      <sheetName val="2공구"/>
      <sheetName val="임_x0002__蘠t___x0001_"/>
      <sheetName val="부속동"/>
      <sheetName val="개시전표"/>
      <sheetName val="공사집계"/>
      <sheetName val="약품공급2"/>
      <sheetName val="2000년1차"/>
      <sheetName val="단가일람"/>
      <sheetName val="조경일람"/>
      <sheetName val="조명율표"/>
      <sheetName val="Variables"/>
      <sheetName val="교각계산"/>
      <sheetName val="토목주소"/>
      <sheetName val="프랜트면허"/>
      <sheetName val="임_x0002__x0000_蘠t_x0000__x0000_"/>
      <sheetName val="임_x005f_x0002__x005f_x0000_蘠t_x"/>
      <sheetName val="임_x005f_x005f_x005f_x0002__x005"/>
      <sheetName val="임_x005f_x005f_x005f_x005f_x005f"/>
      <sheetName val="임_x005f_x0002__蘠t___x0001"/>
      <sheetName val="ARP2"/>
      <sheetName val="CHA REV"/>
      <sheetName val="GAMMA 1"/>
      <sheetName val="FJK 0"/>
      <sheetName val="工완성공사율"/>
      <sheetName val="간이연락"/>
      <sheetName val="DESIGN"/>
      <sheetName val="STAND20"/>
      <sheetName val="집계표"/>
      <sheetName val="PE"/>
      <sheetName val="참고"/>
      <sheetName val="PE-KR"/>
      <sheetName val="유림골조"/>
      <sheetName val="간접비"/>
      <sheetName val="대비"/>
      <sheetName val="내역서"/>
      <sheetName val="출입구총집계"/>
      <sheetName val="임_x005f_x0002_?蘠t??_x005f_x0001_"/>
      <sheetName val="HISYEARSALE"/>
      <sheetName val="김창균"/>
      <sheetName val="임_x0002__x0000_蘠t_x"/>
      <sheetName val="임_x005f_x0002__x005"/>
      <sheetName val="카렌스센터계량기설치공사"/>
      <sheetName val="캐완일정표 "/>
      <sheetName val="major"/>
      <sheetName val="방음벽기초"/>
      <sheetName val="임_x005f_x005f_x005f_x005f_x005f_x005f_x005f_x0002_"/>
      <sheetName val="임_x005f_x005f_x005f_x0002__蘠t___x005f_x005f_x0001"/>
      <sheetName val="II손익관리"/>
      <sheetName val="laroux"/>
      <sheetName val="98년1월건축감리일지"/>
      <sheetName val="98년2월기계전기감리일지"/>
      <sheetName val="98년2월건축감리일지"/>
      <sheetName val="98년3월기계전기감리일지"/>
      <sheetName val="98년3월건축감리일지"/>
      <sheetName val="98년2월종합감리업무일지 "/>
      <sheetName val="98년3월종합감리업무일지"/>
      <sheetName val="98년3월공사일지"/>
      <sheetName val="98년2월공사일지 "/>
      <sheetName val="98년1월기계전기감리일지"/>
      <sheetName val="98년1월종합감리업무일지 "/>
      <sheetName val="98년1월공사일지 "/>
      <sheetName val="Sheet15"/>
      <sheetName val="Sheet16"/>
      <sheetName val="신청서"/>
      <sheetName val="TEST1"/>
      <sheetName val="무전표"/>
      <sheetName val="임_x005f_x0002_?蘠t??_x0栀ṋ㠀"/>
      <sheetName val="임_x005f_x0002_?蘠t??_x0栀ṋ렀̣"/>
      <sheetName val="day"/>
      <sheetName val="FAB별"/>
      <sheetName val="신우"/>
      <sheetName val="Macro1"/>
      <sheetName val="(드롭다운)"/>
      <sheetName val="매크로"/>
      <sheetName val="기성집계"/>
      <sheetName val="구조물철거타공정이월"/>
      <sheetName val="부하계산서"/>
      <sheetName val="입출재고현황 (2)"/>
      <sheetName val="내역대비표(코크스)"/>
      <sheetName val="변경내역(코크스)"/>
      <sheetName val="location"/>
      <sheetName val="임_x005f_x0002_?蘠t??_x0럷⩦0_x0000_"/>
      <sheetName val="2"/>
      <sheetName val="RD제품개발투자비(매가)"/>
      <sheetName val="1.설계조건"/>
      <sheetName val="환율"/>
      <sheetName val="외자배분"/>
      <sheetName val="외자내역"/>
      <sheetName val="9GNG운반"/>
      <sheetName val="포장절단"/>
      <sheetName val="__"/>
      <sheetName val="조직도_(6)3"/>
      <sheetName val="경비통장_잔액1월3"/>
      <sheetName val="환전표_1월3"/>
      <sheetName val="경리보고서_1월3"/>
      <sheetName val="일반경비_1월3"/>
      <sheetName val="투자예산_1월3"/>
      <sheetName val="임차보증금_1월3"/>
      <sheetName val="경비통장_잔액2월3"/>
      <sheetName val="환전표_2월3"/>
      <sheetName val="경리보고서__2월3"/>
      <sheetName val="일반경비_2월3"/>
      <sheetName val="투자예산_2월3"/>
      <sheetName val="임차보증금_2월3"/>
      <sheetName val="경비통장_잔액3월3"/>
      <sheetName val="환전표_3월3"/>
      <sheetName val="경리보고서__3월3"/>
      <sheetName val="일반경비_3월3"/>
      <sheetName val="투자예산_3월3"/>
      <sheetName val="임차보증금_3월3"/>
      <sheetName val="경비통장_잔액4월3"/>
      <sheetName val="환전표_4월3"/>
      <sheetName val="경리보고서_4월3"/>
      <sheetName val="일반경비_4월3"/>
      <sheetName val="투자예산_4월3"/>
      <sheetName val="임차보증금_4월3"/>
      <sheetName val="환전표_5월3"/>
      <sheetName val="경비통장_잔액5월3"/>
      <sheetName val="경리보고서__5월3"/>
      <sheetName val="일반경비_5월3"/>
      <sheetName val="투자예산_5월3"/>
      <sheetName val="임차보증금_5월3"/>
      <sheetName val="경비통장_잔액6월3"/>
      <sheetName val="환전표_6월3"/>
      <sheetName val="경리보고서__6월3"/>
      <sheetName val="일반경비_6월3"/>
      <sheetName val="투자예산_6월3"/>
      <sheetName val="임차보증금_6월3"/>
      <sheetName val="경비통장_잔액7월3"/>
      <sheetName val="환전표_7월3"/>
      <sheetName val="경리보고서__7월3"/>
      <sheetName val="일반경비_7월3"/>
      <sheetName val="투자예산_7월3"/>
      <sheetName val="임차보증금_7월3"/>
      <sheetName val="환전표_8월3"/>
      <sheetName val="경비통장_잔액8월3"/>
      <sheetName val="경리보고서__8월3"/>
      <sheetName val="일반경비_8월3"/>
      <sheetName val="투자예산_8월3"/>
      <sheetName val="임차보증금_8월3"/>
      <sheetName val="환전표_9월3"/>
      <sheetName val="경리보고서__9월3"/>
      <sheetName val="일반경비_9월3"/>
      <sheetName val="투자예산_9월3"/>
      <sheetName val="임차보증금_9월3"/>
      <sheetName val="환전표_10월3"/>
      <sheetName val="경리보고서_10월3"/>
      <sheetName val="일반경비_10월3"/>
      <sheetName val="투자예산_10월3"/>
      <sheetName val="임차보증금_10월3"/>
      <sheetName val="환전표_11월3"/>
      <sheetName val="경리보고서_11월3"/>
      <sheetName val="일반경비_11월3"/>
      <sheetName val="투자예산_11월3"/>
      <sheetName val="임차보증금_11월3"/>
      <sheetName val="경리보고서_11월-23"/>
      <sheetName val="환전표_12월3"/>
      <sheetName val="경리보고서_12월3"/>
      <sheetName val="일반경비_12월3"/>
      <sheetName val="투자예산_12월3"/>
      <sheetName val="임차보증금_12월3"/>
      <sheetName val="경리보고서_12월-23"/>
      <sheetName val="환전표_12월_(2)3"/>
      <sheetName val="본사송금내역12월_(2)3"/>
      <sheetName val="잔액_(2)3"/>
      <sheetName val="경리보고서_12월_(2)3"/>
      <sheetName val="항목별명세표12월_(2)3"/>
      <sheetName val="외주현황_wq12"/>
      <sheetName val="임蘠t"/>
      <sheetName val="5_WIRE적용LIST"/>
      <sheetName val="영업_일12"/>
      <sheetName val="분납_2"/>
      <sheetName val="SAM_(2)"/>
      <sheetName val="2_대외공문"/>
      <sheetName val="THEME_CODE"/>
      <sheetName val="CR_CODE"/>
      <sheetName val="[업무_XLS塅䕃⹌塅E9월"/>
      <sheetName val="단면_(2)"/>
      <sheetName val="소상_&quot;1&quot;"/>
      <sheetName val="조건_(A)"/>
      <sheetName val="전체내역_(2)"/>
      <sheetName val="임"/>
      <sheetName val="임?蘠t??"/>
      <sheetName val="12월_기타"/>
      <sheetName val="5_단면설계"/>
      <sheetName val="_업무_XLS塅䕃⹌塅E9월"/>
      <sheetName val="임_蘠t__"/>
      <sheetName val="2014년_표준단가"/>
      <sheetName val="원가계산서"/>
      <sheetName val="대공종"/>
      <sheetName val="1.설계기준"/>
      <sheetName val="인사자료총집계"/>
      <sheetName val="_R_x0000__x0000_"/>
      <sheetName val="출퇴근"/>
      <sheetName val="설계내역서"/>
      <sheetName val="_업무.XLS塅y_x0000_Ԁ_x0000_䀀᚝"/>
      <sheetName val="_업무.XLS塅y_x0000_က묓렂鸗"/>
      <sheetName val="_업무.XLS塅y_x0000_ကἓ렃ȗ"/>
      <sheetName val="IRPJ"/>
      <sheetName val="CSLL"/>
      <sheetName val="DRE"/>
      <sheetName val="Variação cambial-USD"/>
      <sheetName val="IRRF CDB"/>
      <sheetName val="Despesas Indedutiveis"/>
      <sheetName val="Lalur 1.0007 -Derivativos"/>
      <sheetName val="Thin Capital-Juros"/>
      <sheetName val="Development"/>
      <sheetName val="인자"/>
      <sheetName val="요약표"/>
      <sheetName val="2. 사업장명 및 TO입력"/>
      <sheetName val="106C0300"/>
      <sheetName val="_업무.XLS塅䕃⹌塅_x0000__x0000_愘"/>
      <sheetName val="_업무.XLS塅䕃⹌塅_x0000__x0000_墈"/>
      <sheetName val="임_x005f_x005f_x005f_x005f_x005f_x005f_x줄彥0_x0000_栀b_x0000__x0000_栀䜈"/>
      <sheetName val="Drop-Down"/>
      <sheetName val="Location code"/>
      <sheetName val="lists"/>
      <sheetName val="Notes"/>
      <sheetName val="980710"/>
      <sheetName val="KEY"/>
      <sheetName val="임_x005f_x0002__蘠t___x00_x0000__x0000__x0005_"/>
    </sheetNames>
    <sheetDataSet>
      <sheetData sheetId="0" refreshError="1">
        <row r="1">
          <cell r="A1" t="str">
            <v>고객써비스팀 업무분장(1996.11.15일 현재)</v>
          </cell>
        </row>
        <row r="5">
          <cell r="A5" t="str">
            <v>고객써비스팀 업무분장(1996.11.15일 현재)</v>
          </cell>
        </row>
        <row r="6">
          <cell r="A6" t="str">
            <v>본 사</v>
          </cell>
        </row>
        <row r="7">
          <cell r="A7" t="str">
            <v>지원업무</v>
          </cell>
          <cell r="C7" t="str">
            <v>보증업무</v>
          </cell>
          <cell r="E7" t="str">
            <v>고객불만업무</v>
          </cell>
          <cell r="G7" t="str">
            <v>긴급출동봉사반</v>
          </cell>
          <cell r="I7" t="str">
            <v>지역정비주재(장)</v>
          </cell>
        </row>
        <row r="8">
          <cell r="A8" t="str">
            <v>윤준태</v>
          </cell>
          <cell r="B8" t="str">
            <v>사업계획 수립</v>
          </cell>
          <cell r="C8" t="str">
            <v>정지석</v>
          </cell>
          <cell r="D8" t="str">
            <v>각종회의록 작성</v>
          </cell>
          <cell r="E8" t="str">
            <v>박권춘</v>
          </cell>
          <cell r="F8" t="str">
            <v>고객불만 처리</v>
          </cell>
          <cell r="G8" t="str">
            <v>이선근</v>
          </cell>
          <cell r="H8" t="str">
            <v>알라딘써비스 업무 총괄</v>
          </cell>
          <cell r="I8" t="str">
            <v>주재(장)</v>
          </cell>
          <cell r="J8" t="str">
            <v>주재업무총괄</v>
          </cell>
        </row>
        <row r="9">
          <cell r="A9" t="str">
            <v>과장</v>
          </cell>
          <cell r="B9" t="str">
            <v>사무자동화 추진</v>
          </cell>
          <cell r="C9" t="str">
            <v>과장</v>
          </cell>
          <cell r="D9" t="str">
            <v>PDI,TAXI 정비주재원 회의 주관</v>
          </cell>
          <cell r="E9" t="str">
            <v>과장</v>
          </cell>
          <cell r="F9" t="str">
            <v>사고차,화재차 조사 및 현황분석 보고</v>
          </cell>
          <cell r="G9" t="str">
            <v>차장</v>
          </cell>
          <cell r="J9" t="str">
            <v>사후승인 업무</v>
          </cell>
        </row>
        <row r="10">
          <cell r="B10" t="str">
            <v>전담공장 관리</v>
          </cell>
          <cell r="D10" t="str">
            <v>경쟁사 제품문제 분석</v>
          </cell>
          <cell r="F10" t="str">
            <v>대외단체 관련 업무</v>
          </cell>
        </row>
        <row r="11">
          <cell r="B11" t="str">
            <v>C.S 방안 수립</v>
          </cell>
          <cell r="C11" t="str">
            <v>최인호</v>
          </cell>
          <cell r="D11" t="str">
            <v>순회정비교육</v>
          </cell>
          <cell r="F11" t="str">
            <v>고객불만에 따른 각종 현황 집계 및 분석 대책수립</v>
          </cell>
          <cell r="G11" t="str">
            <v>윤용진</v>
          </cell>
          <cell r="H11" t="str">
            <v>신입사원 OJT</v>
          </cell>
          <cell r="I11" t="str">
            <v>주재원</v>
          </cell>
          <cell r="J11" t="str">
            <v>고객불만처리</v>
          </cell>
        </row>
        <row r="12">
          <cell r="B12" t="str">
            <v>관리일반</v>
          </cell>
          <cell r="C12" t="str">
            <v>대리</v>
          </cell>
          <cell r="F12" t="str">
            <v>소송건 관련 업무</v>
          </cell>
          <cell r="G12" t="str">
            <v>대리</v>
          </cell>
          <cell r="H12" t="str">
            <v>긴급처리 전산관리</v>
          </cell>
          <cell r="J12" t="str">
            <v>보증수리 관련업무</v>
          </cell>
        </row>
        <row r="13">
          <cell r="B13" t="str">
            <v>팀원 관리</v>
          </cell>
          <cell r="C13" t="str">
            <v>김한성</v>
          </cell>
          <cell r="D13" t="str">
            <v>SLC,GRD 사전승인 사항 처리</v>
          </cell>
          <cell r="E13" t="str">
            <v>최희열</v>
          </cell>
          <cell r="F13" t="str">
            <v>GRD,STR,SLC</v>
          </cell>
          <cell r="H13" t="str">
            <v>주.월간 업무보고</v>
          </cell>
          <cell r="J13" t="str">
            <v>지정정비공장관리</v>
          </cell>
        </row>
        <row r="14">
          <cell r="A14" t="str">
            <v>정창수</v>
          </cell>
          <cell r="B14" t="str">
            <v>특별순회정비</v>
          </cell>
          <cell r="C14" t="str">
            <v>대리</v>
          </cell>
          <cell r="D14" t="str">
            <v>SLC,GRD 자재 이관 사항 처리</v>
          </cell>
          <cell r="E14" t="str">
            <v>대리</v>
          </cell>
          <cell r="F14" t="str">
            <v xml:space="preserve"> 등록차량 교체(환불) 처리 업무</v>
          </cell>
          <cell r="H14" t="str">
            <v>업무분석 및 계획수립</v>
          </cell>
          <cell r="J14" t="str">
            <v>품질문제조사</v>
          </cell>
        </row>
        <row r="15">
          <cell r="A15" t="str">
            <v>대리</v>
          </cell>
          <cell r="B15" t="str">
            <v>DIY코너 관련업무</v>
          </cell>
          <cell r="D15" t="str">
            <v>SLC,GRD 제품문제 관련 사항</v>
          </cell>
          <cell r="F15" t="str">
            <v xml:space="preserve"> 고객불만 접수.처리(대내)</v>
          </cell>
          <cell r="H15" t="str">
            <v>특별순회써비스 계획실시</v>
          </cell>
          <cell r="J15" t="str">
            <v>CAMP'N 실시</v>
          </cell>
        </row>
        <row r="16">
          <cell r="B16" t="str">
            <v>CS관련 정비 CAMP'N</v>
          </cell>
          <cell r="D16" t="str">
            <v>GRD 고객관리 관련 사항 처리</v>
          </cell>
          <cell r="F16" t="str">
            <v xml:space="preserve"> 차대각자(원동기, 형식승인번호)상이</v>
          </cell>
          <cell r="H16" t="str">
            <v>상황실 관리 및 통제</v>
          </cell>
          <cell r="J16" t="str">
            <v>신차 방문</v>
          </cell>
        </row>
        <row r="17">
          <cell r="B17" t="str">
            <v>사업계획 관련</v>
          </cell>
          <cell r="D17" t="str">
            <v>임시번호 차량교체 분석</v>
          </cell>
          <cell r="F17" t="str">
            <v xml:space="preserve"> 화재 및 사고차량</v>
          </cell>
          <cell r="H17" t="str">
            <v xml:space="preserve">무전기 관련 대외업무 </v>
          </cell>
          <cell r="J17" t="str">
            <v>DIY코너 관련업무</v>
          </cell>
        </row>
        <row r="18">
          <cell r="B18" t="str">
            <v>일반 관리업무</v>
          </cell>
          <cell r="C18" t="str">
            <v>황중근</v>
          </cell>
          <cell r="D18" t="str">
            <v>PDI 업체 관리</v>
          </cell>
          <cell r="F18" t="str">
            <v xml:space="preserve"> 고객불만 관련 공통업무</v>
          </cell>
          <cell r="G18" t="str">
            <v>허준석</v>
          </cell>
          <cell r="H18" t="str">
            <v>긴급봉사반 차량관리</v>
          </cell>
          <cell r="J18" t="str">
            <v>HOME SERVICE 실시</v>
          </cell>
        </row>
        <row r="19">
          <cell r="B19" t="str">
            <v>홈써비스 업무</v>
          </cell>
          <cell r="C19" t="str">
            <v>대리</v>
          </cell>
          <cell r="D19" t="str">
            <v>PDI 장비 관리</v>
          </cell>
          <cell r="F19" t="str">
            <v xml:space="preserve"> 월간 종합 업무 보고서 작성</v>
          </cell>
          <cell r="G19" t="str">
            <v>사원</v>
          </cell>
          <cell r="H19" t="str">
            <v>지급장비 및 유지보수</v>
          </cell>
        </row>
        <row r="20">
          <cell r="A20" t="str">
            <v>김이배</v>
          </cell>
          <cell r="B20" t="str">
            <v>HD 고품폐기 관련업무</v>
          </cell>
          <cell r="D20" t="str">
            <v>PDI발생 제품문제 분석</v>
          </cell>
          <cell r="F20" t="str">
            <v xml:space="preserve"> 소송 관련 업무</v>
          </cell>
          <cell r="H20" t="str">
            <v>소모품 및 저장품 관리</v>
          </cell>
        </row>
        <row r="21">
          <cell r="A21" t="str">
            <v>사원</v>
          </cell>
          <cell r="B21" t="str">
            <v>물교자재 관련업무</v>
          </cell>
          <cell r="D21" t="str">
            <v>PDI 주재원 관리</v>
          </cell>
          <cell r="E21" t="str">
            <v>김명호</v>
          </cell>
          <cell r="F21" t="str">
            <v>SNT,MRC</v>
          </cell>
          <cell r="H21" t="str">
            <v>당직근무 편성</v>
          </cell>
        </row>
        <row r="22">
          <cell r="B22" t="str">
            <v>집기비품 관련업무</v>
          </cell>
          <cell r="C22" t="str">
            <v>이수선</v>
          </cell>
          <cell r="D22" t="str">
            <v>TAXI 순회정비 관련 사항 처리</v>
          </cell>
          <cell r="E22" t="str">
            <v>대리</v>
          </cell>
          <cell r="F22" t="str">
            <v xml:space="preserve"> 등록차량 교체(환불) 처리 업무</v>
          </cell>
          <cell r="H22" t="str">
            <v>피복관리 및 보수</v>
          </cell>
        </row>
        <row r="23">
          <cell r="B23" t="str">
            <v>T/A 저장품 관련업무</v>
          </cell>
          <cell r="C23" t="str">
            <v>사원</v>
          </cell>
          <cell r="D23" t="str">
            <v>TAXI 사전승인 사항 처리</v>
          </cell>
          <cell r="F23" t="str">
            <v xml:space="preserve"> 고객불만 접수.처리(대내)</v>
          </cell>
          <cell r="H23" t="str">
            <v>고객 정비상담</v>
          </cell>
        </row>
        <row r="24">
          <cell r="B24" t="str">
            <v>ISO 관련업무</v>
          </cell>
          <cell r="D24" t="str">
            <v>TAXI 자재 이관 사항 처리</v>
          </cell>
          <cell r="F24" t="str">
            <v xml:space="preserve"> 차대각자(원동기, 형식승인번호)상이</v>
          </cell>
          <cell r="H24" t="str">
            <v>주.월간 업무보고</v>
          </cell>
        </row>
        <row r="25">
          <cell r="B25" t="str">
            <v>울공 T/A RWK 관련업무</v>
          </cell>
          <cell r="D25" t="str">
            <v>TAXI 제품문제 관련 사항 처리</v>
          </cell>
          <cell r="F25" t="str">
            <v xml:space="preserve"> 화재 및 사고차량</v>
          </cell>
          <cell r="H25" t="str">
            <v>제안관련업무</v>
          </cell>
        </row>
        <row r="26">
          <cell r="B26" t="str">
            <v>시정조치 관련업무</v>
          </cell>
          <cell r="C26" t="str">
            <v>김동준</v>
          </cell>
          <cell r="D26" t="str">
            <v>SNT,MRC 사전승인 사항 처리</v>
          </cell>
          <cell r="F26" t="str">
            <v xml:space="preserve"> 고객불만 관련 공통업무</v>
          </cell>
          <cell r="H26" t="str">
            <v>품질정보보고서 관련업무</v>
          </cell>
        </row>
        <row r="27">
          <cell r="B27" t="str">
            <v>분리수거 관련업무</v>
          </cell>
          <cell r="C27" t="str">
            <v>사원</v>
          </cell>
          <cell r="D27" t="str">
            <v>SNT,MRC 자재 이관 사항 처리</v>
          </cell>
          <cell r="F27" t="str">
            <v xml:space="preserve"> 고객 의전차량 관리 업무</v>
          </cell>
          <cell r="H27" t="str">
            <v>긴급처리 전산관련업무</v>
          </cell>
        </row>
        <row r="28">
          <cell r="B28" t="str">
            <v>환경 프로그램 관련업무</v>
          </cell>
          <cell r="D28" t="str">
            <v>SNT,MRC 제품문제 관련 사항 처리</v>
          </cell>
          <cell r="E28" t="str">
            <v>권영곤</v>
          </cell>
          <cell r="F28" t="str">
            <v>ELT,ACT,EXL,AVT</v>
          </cell>
          <cell r="H28" t="str">
            <v>고객 정비상담</v>
          </cell>
        </row>
        <row r="29">
          <cell r="B29" t="str">
            <v>비상사태 관련업무</v>
          </cell>
          <cell r="D29" t="str">
            <v>임시번호 차량교체 탁송비용</v>
          </cell>
          <cell r="E29" t="str">
            <v>사원</v>
          </cell>
          <cell r="F29" t="str">
            <v xml:space="preserve"> 등록차량 교체(환불) 처리 업무</v>
          </cell>
          <cell r="G29" t="str">
            <v>이종성</v>
          </cell>
          <cell r="H29" t="str">
            <v>주말정비교실 업무</v>
          </cell>
        </row>
        <row r="30">
          <cell r="B30" t="str">
            <v>정보모니터 관련업무</v>
          </cell>
          <cell r="D30" t="str">
            <v xml:space="preserve"> 울공발생비용 처리</v>
          </cell>
          <cell r="F30" t="str">
            <v xml:space="preserve"> 고객불만 접수.처리(대내)</v>
          </cell>
          <cell r="G30" t="str">
            <v>사원</v>
          </cell>
          <cell r="H30" t="str">
            <v>정비통신문 관리</v>
          </cell>
        </row>
        <row r="31">
          <cell r="B31" t="str">
            <v>사업소주재원 회의 업무</v>
          </cell>
          <cell r="C31" t="str">
            <v>이승용</v>
          </cell>
          <cell r="D31" t="str">
            <v>ACT,AVT 사전승인 사항 처리</v>
          </cell>
          <cell r="F31" t="str">
            <v xml:space="preserve"> 차대각자(원동기, 형식승인번호)상이</v>
          </cell>
          <cell r="H31" t="str">
            <v>문서관리</v>
          </cell>
        </row>
        <row r="32">
          <cell r="A32" t="str">
            <v>강필식</v>
          </cell>
          <cell r="B32" t="str">
            <v>순회정비 업무</v>
          </cell>
          <cell r="C32" t="str">
            <v>사원</v>
          </cell>
          <cell r="D32" t="str">
            <v>ACT,AVT 자재 이관 사항 처리</v>
          </cell>
          <cell r="F32" t="str">
            <v xml:space="preserve"> 화재 및 사고차량</v>
          </cell>
          <cell r="H32" t="str">
            <v>전산관리</v>
          </cell>
        </row>
        <row r="33">
          <cell r="A33" t="str">
            <v>사원</v>
          </cell>
          <cell r="B33" t="str">
            <v>업무용차량 관련업무</v>
          </cell>
          <cell r="D33" t="str">
            <v>ACT,AVT 제품문제 관련 사항 처리</v>
          </cell>
          <cell r="F33" t="str">
            <v xml:space="preserve"> 고객불만 관련 공통업무</v>
          </cell>
          <cell r="G33" t="str">
            <v>김정희</v>
          </cell>
          <cell r="H33" t="str">
            <v>긴급처리 전산입력</v>
          </cell>
        </row>
        <row r="34">
          <cell r="B34" t="str">
            <v>장비관리 업무</v>
          </cell>
          <cell r="D34" t="str">
            <v>임시번호 교체 후 반납 이동 사항</v>
          </cell>
          <cell r="E34" t="str">
            <v>신상선</v>
          </cell>
          <cell r="F34" t="str">
            <v>대외 고객불만 (승/상용제품,판매) 처리</v>
          </cell>
          <cell r="G34" t="str">
            <v>사원</v>
          </cell>
          <cell r="H34" t="str">
            <v>당.숙직비용 처리</v>
          </cell>
        </row>
        <row r="35">
          <cell r="B35" t="str">
            <v>직원 사고관련업무</v>
          </cell>
          <cell r="D35" t="str">
            <v xml:space="preserve"> 손실비현황 집계</v>
          </cell>
          <cell r="E35" t="str">
            <v>대리</v>
          </cell>
          <cell r="F35" t="str">
            <v>소보원 조정위원회 개최시 참석 결과 추심보고</v>
          </cell>
          <cell r="H35" t="str">
            <v>근태관련업무</v>
          </cell>
        </row>
        <row r="36">
          <cell r="B36" t="str">
            <v>피복관리 업무</v>
          </cell>
          <cell r="D36" t="str">
            <v>타부서 차량수리 협조 사항 비용집계</v>
          </cell>
          <cell r="F36" t="str">
            <v>대외단체 주기적인 방문 및 동향파악</v>
          </cell>
          <cell r="H36" t="str">
            <v>문서 수발</v>
          </cell>
        </row>
        <row r="37">
          <cell r="B37" t="str">
            <v>회의자료 정리 업무</v>
          </cell>
          <cell r="C37" t="str">
            <v>박명호</v>
          </cell>
          <cell r="D37" t="str">
            <v xml:space="preserve">승용특판 군부대,업체 순회정비 </v>
          </cell>
          <cell r="F37" t="str">
            <v>대외관련단체(공업협회,OCAP,민원실..)유대강화</v>
          </cell>
          <cell r="H37" t="str">
            <v>도서관리</v>
          </cell>
        </row>
        <row r="38">
          <cell r="B38" t="str">
            <v>정비관련 FIELD통보</v>
          </cell>
          <cell r="C38" t="str">
            <v>사원</v>
          </cell>
          <cell r="D38" t="str">
            <v>LEASE 업체 순회정비</v>
          </cell>
          <cell r="F38" t="str">
            <v>대외기관(보호원,연맹,건교부,상공부,정부합동민원실</v>
          </cell>
          <cell r="G38" t="str">
            <v>봉사반</v>
          </cell>
          <cell r="H38" t="str">
            <v>긴급출동 처리업무</v>
          </cell>
        </row>
        <row r="39">
          <cell r="B39" t="str">
            <v>전담정비공장 관련업무</v>
          </cell>
          <cell r="D39" t="str">
            <v>금융단업체 순회정비</v>
          </cell>
          <cell r="F39" t="str">
            <v xml:space="preserve"> OCAP)유대강화</v>
          </cell>
          <cell r="H39" t="str">
            <v>품질문제조사 관련업무</v>
          </cell>
        </row>
        <row r="40">
          <cell r="B40" t="str">
            <v>고객카드 관련업무</v>
          </cell>
          <cell r="C40" t="str">
            <v>김상수</v>
          </cell>
          <cell r="D40" t="str">
            <v>승용특판 관공서,업체 순회정비</v>
          </cell>
          <cell r="F40" t="str">
            <v>대외단체 CAM'P 실시 및 결과보고</v>
          </cell>
        </row>
        <row r="41">
          <cell r="A41" t="str">
            <v>이준섭</v>
          </cell>
          <cell r="B41" t="str">
            <v>전산 관련업무</v>
          </cell>
          <cell r="C41" t="str">
            <v>사원</v>
          </cell>
          <cell r="F41" t="str">
            <v>화재 및 사고차량(대외 고발건)</v>
          </cell>
        </row>
        <row r="42">
          <cell r="A42" t="str">
            <v>사원</v>
          </cell>
          <cell r="C42" t="str">
            <v>나선근</v>
          </cell>
          <cell r="D42" t="str">
            <v>승용특판 관공서,업체 순회정비</v>
          </cell>
          <cell r="E42" t="str">
            <v>이원근</v>
          </cell>
          <cell r="F42" t="str">
            <v>대외 고객불만 추심 및 결과보고</v>
          </cell>
        </row>
        <row r="43">
          <cell r="A43" t="str">
            <v>김경희</v>
          </cell>
          <cell r="B43" t="str">
            <v>인사·교육 관련업무</v>
          </cell>
          <cell r="C43" t="str">
            <v>사원</v>
          </cell>
          <cell r="E43" t="str">
            <v>사원</v>
          </cell>
          <cell r="F43" t="str">
            <v>대외단체 주기적인 방문 및 동향파악</v>
          </cell>
        </row>
        <row r="44">
          <cell r="A44" t="str">
            <v>사원</v>
          </cell>
          <cell r="B44" t="str">
            <v>문서 수·발 업무</v>
          </cell>
          <cell r="F44" t="str">
            <v xml:space="preserve">관련단체(공업협회,OCAP,민원실..)유대강화 및 </v>
          </cell>
        </row>
        <row r="45">
          <cell r="B45" t="str">
            <v>서무업무</v>
          </cell>
          <cell r="F45" t="str">
            <v xml:space="preserve"> 경쟁사 동향파악</v>
          </cell>
        </row>
        <row r="46">
          <cell r="A46" t="str">
            <v>배경순</v>
          </cell>
          <cell r="B46" t="str">
            <v xml:space="preserve">CAMP'N비용 처리    </v>
          </cell>
          <cell r="F46" t="str">
            <v>대외기관(보호원,연맹,건교부,상공부,정부합동민원실</v>
          </cell>
        </row>
        <row r="47">
          <cell r="A47" t="str">
            <v>사원</v>
          </cell>
          <cell r="B47" t="str">
            <v xml:space="preserve">보증수리비용 처리  </v>
          </cell>
          <cell r="F47" t="str">
            <v xml:space="preserve"> OCAP) 관련업무</v>
          </cell>
        </row>
        <row r="48">
          <cell r="B48" t="str">
            <v xml:space="preserve">부서예산 관리     </v>
          </cell>
          <cell r="F48" t="str">
            <v>등록번호 차량교체 및 환불</v>
          </cell>
        </row>
        <row r="49">
          <cell r="B49" t="str">
            <v>HD 고품폐기  회계처리</v>
          </cell>
          <cell r="F49" t="str">
            <v>대외단체 CAM'P 실시 및 결과보고</v>
          </cell>
          <cell r="J49" t="str">
            <v>직급별 총인원</v>
          </cell>
        </row>
        <row r="50">
          <cell r="B50" t="str">
            <v xml:space="preserve">공조금,장학금,운반비 </v>
          </cell>
          <cell r="F50" t="str">
            <v xml:space="preserve">화재 및 사고차량 관련업무(대외 고발건) </v>
          </cell>
        </row>
        <row r="51">
          <cell r="B51" t="str">
            <v xml:space="preserve"> 화환대,경조금,수당 신청</v>
          </cell>
          <cell r="E51" t="str">
            <v>최종혁</v>
          </cell>
          <cell r="F51" t="str">
            <v>대외 고객불만 (승/상용제품,판매) 접수 처리</v>
          </cell>
        </row>
        <row r="52">
          <cell r="B52" t="str">
            <v xml:space="preserve">구매청구        </v>
          </cell>
          <cell r="E52" t="str">
            <v>사원</v>
          </cell>
          <cell r="F52" t="str">
            <v>대외관련단체(공업협회,OCAP,민원실..)유대강화</v>
          </cell>
          <cell r="I52" t="str">
            <v>직급</v>
          </cell>
          <cell r="J52" t="str">
            <v>인원</v>
          </cell>
        </row>
        <row r="53">
          <cell r="B53" t="str">
            <v>용역수수료 처리</v>
          </cell>
          <cell r="F53" t="str">
            <v>대외기관(보호원,연맹,건교부,상공부,정부합동민원실</v>
          </cell>
          <cell r="I53" t="str">
            <v>부장</v>
          </cell>
          <cell r="J53">
            <v>1</v>
          </cell>
          <cell r="K53" t="str">
            <v>담</v>
          </cell>
          <cell r="L53" t="str">
            <v>김이배</v>
          </cell>
          <cell r="M53" t="str">
            <v>팀</v>
          </cell>
          <cell r="N53" t="str">
            <v>최정근</v>
          </cell>
        </row>
        <row r="54">
          <cell r="B54" t="str">
            <v>울공전표 처리</v>
          </cell>
          <cell r="F54" t="str">
            <v xml:space="preserve"> OCAP)유대강화</v>
          </cell>
          <cell r="I54" t="str">
            <v>차장</v>
          </cell>
          <cell r="J54">
            <v>11</v>
          </cell>
          <cell r="L54" t="str">
            <v>SIGNED</v>
          </cell>
          <cell r="N54" t="str">
            <v>SIGNED</v>
          </cell>
        </row>
        <row r="55">
          <cell r="F55" t="str">
            <v>대외단체 CAM'P 실시 및 결과보고</v>
          </cell>
          <cell r="I55" t="str">
            <v>과장</v>
          </cell>
          <cell r="J55">
            <v>23</v>
          </cell>
          <cell r="K55" t="str">
            <v>당</v>
          </cell>
          <cell r="L55" t="str">
            <v>96/11/15</v>
          </cell>
          <cell r="M55" t="str">
            <v>장</v>
          </cell>
          <cell r="N55" t="str">
            <v>96/11/16</v>
          </cell>
        </row>
        <row r="56">
          <cell r="F56" t="str">
            <v>화재 및 사고차량</v>
          </cell>
          <cell r="I56" t="str">
            <v>대리</v>
          </cell>
          <cell r="J56">
            <v>54</v>
          </cell>
        </row>
        <row r="57">
          <cell r="E57" t="str">
            <v>이화연</v>
          </cell>
          <cell r="F57" t="str">
            <v>상담센타 접수 및 처리</v>
          </cell>
          <cell r="I57" t="str">
            <v>남사원</v>
          </cell>
          <cell r="J57">
            <v>369</v>
          </cell>
        </row>
        <row r="58">
          <cell r="E58" t="str">
            <v>사원</v>
          </cell>
          <cell r="F58" t="str">
            <v>고객상담 중요사항 처리</v>
          </cell>
          <cell r="I58" t="str">
            <v>여사원</v>
          </cell>
          <cell r="J58">
            <v>6</v>
          </cell>
          <cell r="L58" t="str">
            <v>김이배</v>
          </cell>
          <cell r="M58" t="str">
            <v>팀</v>
          </cell>
          <cell r="N58" t="str">
            <v>최정근</v>
          </cell>
        </row>
        <row r="59">
          <cell r="F59" t="str">
            <v>주간,월간,년간보고</v>
          </cell>
          <cell r="L59" t="str">
            <v>SIGNED</v>
          </cell>
          <cell r="N59" t="str">
            <v>SIGNED</v>
          </cell>
        </row>
        <row r="60">
          <cell r="F60" t="str">
            <v>고객불만 엽서접수</v>
          </cell>
          <cell r="I60" t="str">
            <v>계</v>
          </cell>
          <cell r="J60">
            <v>464</v>
          </cell>
          <cell r="L60" t="str">
            <v>96/11/15</v>
          </cell>
          <cell r="M60" t="str">
            <v>장</v>
          </cell>
          <cell r="N60" t="str">
            <v>96/11/16</v>
          </cell>
        </row>
      </sheetData>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sheetData sheetId="427" refreshError="1"/>
      <sheetData sheetId="428" refreshError="1"/>
      <sheetData sheetId="429" refreshError="1"/>
      <sheetData sheetId="430" refreshError="1"/>
      <sheetData sheetId="431" refreshError="1"/>
      <sheetData sheetId="432"/>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refreshError="1"/>
      <sheetData sheetId="633" refreshError="1"/>
      <sheetData sheetId="634" refreshError="1"/>
      <sheetData sheetId="635" refreshError="1"/>
      <sheetData sheetId="636"/>
      <sheetData sheetId="637" refreshError="1"/>
      <sheetData sheetId="638" refreshError="1"/>
      <sheetData sheetId="639" refreshError="1"/>
      <sheetData sheetId="640" refreshError="1"/>
      <sheetData sheetId="641" refreshError="1"/>
      <sheetData sheetId="642">
        <row r="1">
          <cell r="A1" t="str">
            <v>▣ Exchange Rate Control</v>
          </cell>
        </row>
      </sheetData>
      <sheetData sheetId="643">
        <row r="1">
          <cell r="A1" t="str">
            <v>▣ Exchange Rate Control</v>
          </cell>
        </row>
      </sheetData>
      <sheetData sheetId="644">
        <row r="1">
          <cell r="A1" t="str">
            <v>▣ Exchange Rate Control</v>
          </cell>
        </row>
      </sheetData>
      <sheetData sheetId="645">
        <row r="1">
          <cell r="A1" t="str">
            <v>▣ Exchange Rate Control</v>
          </cell>
        </row>
      </sheetData>
      <sheetData sheetId="646">
        <row r="1">
          <cell r="A1" t="str">
            <v>▣ Exchange Rate Control</v>
          </cell>
        </row>
      </sheetData>
      <sheetData sheetId="647"/>
      <sheetData sheetId="648">
        <row r="1">
          <cell r="A1" t="str">
            <v>▣ Exchange Rate Control</v>
          </cell>
        </row>
      </sheetData>
      <sheetData sheetId="649"/>
      <sheetData sheetId="650" refreshError="1"/>
      <sheetData sheetId="651" refreshError="1"/>
      <sheetData sheetId="652" refreshError="1"/>
      <sheetData sheetId="653" refreshError="1"/>
      <sheetData sheetId="654" refreshError="1"/>
      <sheetData sheetId="655"/>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ow r="1">
          <cell r="A1" t="str">
            <v>▣ Exchange Rate Control</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1"/>
      <sheetName val="02"/>
      <sheetName val="03"/>
      <sheetName val="04"/>
      <sheetName val="05"/>
      <sheetName val="S01"/>
      <sheetName val="S02"/>
      <sheetName val="S03"/>
      <sheetName val="S04"/>
      <sheetName val="S05"/>
      <sheetName val="SS1"/>
      <sheetName val="SS2"/>
      <sheetName val="SS3"/>
      <sheetName val="SS4"/>
      <sheetName val="SS5"/>
      <sheetName val="T3"/>
      <sheetName val="T4"/>
      <sheetName val="합"/>
      <sheetName val="Sheet1"/>
      <sheetName val="Sheet2"/>
      <sheetName val="Sheet3"/>
      <sheetName val="업무분장"/>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보고서"/>
      <sheetName val="색상전망"/>
      <sheetName val="982월원안"/>
      <sheetName val="981실행"/>
      <sheetName val="생산요청일수"/>
      <sheetName val="분석2"/>
      <sheetName val="목표수율"/>
      <sheetName val="98사업계획"/>
      <sheetName val="97사업계획"/>
      <sheetName val="TITLE"/>
      <sheetName val="목차"/>
      <sheetName val="전략_신증설"/>
      <sheetName val="전략_신증설(2)"/>
      <sheetName val="전략_원가"/>
      <sheetName val="전략_원가(2)"/>
      <sheetName val="전략_품질"/>
      <sheetName val="전략_품질(2)"/>
      <sheetName val="전략_기술"/>
      <sheetName val="전략_기술(2)"/>
      <sheetName val="Sheet1"/>
      <sheetName val="생산량"/>
      <sheetName val="수율"/>
      <sheetName val="생판재"/>
      <sheetName val="특기사항"/>
      <sheetName val="설비투자"/>
      <sheetName val="구매계획"/>
      <sheetName val="공장,항목별"/>
      <sheetName val="생지"/>
      <sheetName val="단가_유리"/>
      <sheetName val="단가_제관"/>
      <sheetName val="단가_왕관"/>
      <sheetName val="6PILE  (돌출)"/>
      <sheetName val="1유리"/>
      <sheetName val="Cover"/>
      <sheetName val="주요지표"/>
      <sheetName val=" PL"/>
      <sheetName val="ROIC"/>
      <sheetName val=" Cash Flow"/>
      <sheetName val="인력계획"/>
      <sheetName val="인건비"/>
      <sheetName val="판관비-공통"/>
      <sheetName val="판관비-기타경비명세"/>
      <sheetName val="기타&amp;특별수지 명세"/>
      <sheetName val="투자계획"/>
      <sheetName val="BS"/>
      <sheetName val="01"/>
      <sheetName val="추가예산"/>
      <sheetName val="공통가설"/>
      <sheetName val="1-1"/>
      <sheetName val="갑지1"/>
      <sheetName val="일반경비"/>
      <sheetName val="'94자산"/>
      <sheetName val="일반관리비"/>
      <sheetName val="업무분장"/>
      <sheetName val="8월차잔"/>
      <sheetName val="을"/>
      <sheetName val="투자자산명세서"/>
      <sheetName val="_PL"/>
      <sheetName val="_Cash_Flow"/>
      <sheetName val="기타&amp;특별수지_명세"/>
      <sheetName val="982원안"/>
      <sheetName val="손익현황"/>
      <sheetName val="현황CODE"/>
      <sheetName val="7 (2)"/>
      <sheetName val="#1 Basic"/>
      <sheetName val="2.대외공문"/>
      <sheetName val="요약비교"/>
      <sheetName val="협조전"/>
      <sheetName val="울산"/>
      <sheetName val="정보"/>
      <sheetName val="99구축"/>
      <sheetName val="호프"/>
      <sheetName val="외화"/>
      <sheetName val="자금동향"/>
      <sheetName val="ELECTRIC"/>
      <sheetName val="GA"/>
      <sheetName val="개요"/>
      <sheetName val="Funding_M"/>
      <sheetName val="내역서"/>
      <sheetName val="수지"/>
      <sheetName val="국내조달(통합-1)"/>
      <sheetName val="일위대가"/>
      <sheetName val="손익"/>
      <sheetName val="현금흐름"/>
      <sheetName val="9GNG운반"/>
      <sheetName val="M_10회차 담금_계획"/>
      <sheetName val="단자차입일별"/>
      <sheetName val="목표"/>
      <sheetName val="임원,관리,별도"/>
      <sheetName val="PET판매"/>
      <sheetName val="05월 공정외주"/>
      <sheetName val="지역별맟춤행사"/>
      <sheetName val="_PL1"/>
      <sheetName val="_Cash_Flow1"/>
      <sheetName val="기타&amp;특별수지_명세1"/>
      <sheetName val="M_10회차_담금_계획"/>
      <sheetName val="05월_공정외주"/>
      <sheetName val="C"/>
      <sheetName val="5사남"/>
      <sheetName val="명단"/>
      <sheetName val="월별손익"/>
      <sheetName val="본사인상전"/>
      <sheetName val="Sheet5"/>
      <sheetName val="한화금융비"/>
      <sheetName val="월간"/>
      <sheetName val="해외 기술훈련비 (합계)"/>
      <sheetName val="98USANCE"/>
      <sheetName val="예적금"/>
      <sheetName val="공문"/>
      <sheetName val="수입"/>
      <sheetName val="SUM"/>
      <sheetName val="SUM(D)"/>
      <sheetName val="수정시산표"/>
      <sheetName val="Assumptions"/>
      <sheetName val="여흥"/>
      <sheetName val="유림총괄"/>
      <sheetName val="직접비"/>
      <sheetName val="_94자산"/>
      <sheetName val="제시용"/>
      <sheetName val="신대방33(적용)"/>
      <sheetName val="Budget"/>
      <sheetName val="1.설계조건"/>
      <sheetName val="손익차9월2"/>
      <sheetName val="Macro1"/>
      <sheetName val="품의서"/>
      <sheetName val="소화실적"/>
      <sheetName val="#REF"/>
      <sheetName val="안산기계장치"/>
      <sheetName val="재고증감내역"/>
      <sheetName val="부채"/>
      <sheetName val="명세"/>
      <sheetName val="구의33고"/>
      <sheetName val="CTEMCOST"/>
      <sheetName val="인원계획-미화"/>
      <sheetName val="가공MH"/>
      <sheetName val="합의경상"/>
      <sheetName val="금융비용"/>
      <sheetName val="부대공Ⅱ"/>
      <sheetName val="모래기초"/>
      <sheetName val="142-보행자전용도로-1"/>
      <sheetName val="시산표"/>
      <sheetName val="손익차총괄2"/>
      <sheetName val="고창방향"/>
      <sheetName val="건축"/>
      <sheetName val="교각계산"/>
      <sheetName val="명단원자료(이전)"/>
      <sheetName val="3.공통공사대비"/>
      <sheetName val="7_(2)"/>
      <sheetName val="#1_Basic"/>
      <sheetName val="해외_기술훈련비_(합계)"/>
      <sheetName val="6PILE__(돌출)"/>
      <sheetName val="_PL2"/>
      <sheetName val="_Cash_Flow2"/>
      <sheetName val="기타&amp;특별수지_명세2"/>
      <sheetName val="7_(2)1"/>
      <sheetName val="#1_Basic1"/>
      <sheetName val="M_10회차_담금_계획1"/>
      <sheetName val="05월_공정외주1"/>
      <sheetName val="해외_기술훈련비_(합계)1"/>
      <sheetName val="6PILE__(돌출)1"/>
      <sheetName val="음료실행"/>
      <sheetName val="dongia (2)"/>
      <sheetName val="97 사업추정(WEKI)"/>
      <sheetName val="상반기손익차2총괄"/>
      <sheetName val="Category"/>
      <sheetName val="PLW"/>
      <sheetName val="BDK."/>
      <sheetName val="유림골조"/>
      <sheetName val="2_대외공문"/>
      <sheetName val="1_설계조건"/>
      <sheetName val="마산월령동골조물량변경"/>
      <sheetName val="갑지(추정)"/>
      <sheetName val="Total"/>
      <sheetName val="수량산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refreshError="1"/>
      <sheetData sheetId="171" refreshError="1"/>
      <sheetData sheetId="172"/>
      <sheetData sheetId="17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VT산정"/>
      <sheetName val="96수출"/>
      <sheetName val="982월원안"/>
      <sheetName val="주철주조98"/>
      <sheetName val="01"/>
      <sheetName val="Sheet1"/>
      <sheetName val="Sheet2"/>
      <sheetName val="업무분장"/>
      <sheetName val="정공공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주요계수총괄"/>
      <sheetName val="유형자산"/>
      <sheetName val="2.주요계수총괄 (2)"/>
      <sheetName val="2.1fcf분석"/>
      <sheetName val="차이요인"/>
      <sheetName val="손익계산서"/>
      <sheetName val="6.1영업이익"/>
      <sheetName val="6.298년대비99년"/>
      <sheetName val="6.3영업이익분석"/>
      <sheetName val="6.4매출액구성"/>
      <sheetName val="요인"/>
      <sheetName val="6.5매출원가구성"/>
      <sheetName val="6.6판매관리비 구성"/>
      <sheetName val="7요약cf"/>
      <sheetName val="7.1WORKING CAPITAL"/>
      <sheetName val="7.2설비투자내역"/>
      <sheetName val="자산매각"/>
      <sheetName val="7.3차입금"/>
      <sheetName val="8대차대조표"/>
      <sheetName val="Module1"/>
      <sheetName val="VXXXXX"/>
      <sheetName val="갑지"/>
      <sheetName val="추가공사"/>
      <sheetName val="중기계획5"/>
      <sheetName val="Cover"/>
      <sheetName val="주요지표"/>
      <sheetName val=" PL"/>
      <sheetName val="ROIC"/>
      <sheetName val=" Cash Flow"/>
      <sheetName val="BS"/>
      <sheetName val="기타&amp;특별수지 명세"/>
      <sheetName val="목차"/>
      <sheetName val="기본원칙"/>
      <sheetName val="매출액명세"/>
      <sheetName val="매출원가명세"/>
      <sheetName val="매출이익명세"/>
      <sheetName val="인력계획"/>
      <sheetName val="인건비"/>
      <sheetName val="판관비-공통"/>
      <sheetName val="판관비-기타경비명세"/>
      <sheetName val="매출채권산출"/>
      <sheetName val="재고자산산출"/>
      <sheetName val="수입계획"/>
      <sheetName val="매입채무산출"/>
      <sheetName val="투자계획"/>
      <sheetName val="이자비용"/>
      <sheetName val="BS계정"/>
      <sheetName val="Sensible Indicator"/>
      <sheetName val="현금흐름"/>
      <sheetName val="교각1"/>
      <sheetName val="간선계산"/>
      <sheetName val="입찰안"/>
      <sheetName val="목표세부명세"/>
      <sheetName val="전차선로 물량표"/>
      <sheetName val="설계내역서"/>
      <sheetName val="ABUT수량-A1"/>
      <sheetName val="SUMMARY"/>
      <sheetName val="PAINT"/>
      <sheetName val="포장복구집계"/>
      <sheetName val="SFAM_Summary"/>
      <sheetName val="송전기본"/>
      <sheetName val="단면 (2)"/>
      <sheetName val="갑지1"/>
      <sheetName val="노임이"/>
      <sheetName val="입력장표"/>
      <sheetName val="Regenerator  Concrete Structure"/>
      <sheetName val="작성기준"/>
      <sheetName val="시멘트"/>
      <sheetName val="2000.05"/>
      <sheetName val="인사자료총집계"/>
      <sheetName val="자금청구"/>
      <sheetName val="공사비예산서(토목분)"/>
      <sheetName val="TOT"/>
      <sheetName val="간지"/>
      <sheetName val="대비"/>
      <sheetName val="2006년 제조경비 추정"/>
      <sheetName val="제조경비 계획"/>
      <sheetName val="2006년 일반관리비 추정"/>
      <sheetName val="일반관리비계획"/>
      <sheetName val="지급수수료"/>
      <sheetName val="제작비"/>
      <sheetName val="잡급 (일반)"/>
      <sheetName val="복리후생비 (일반)"/>
      <sheetName val="여비교통비 (일반)"/>
      <sheetName val="통신비 (일반)"/>
      <sheetName val="세금과공과 (일반)"/>
      <sheetName val="지급임차료 (일반)"/>
      <sheetName val="감가상각비 (일반)"/>
      <sheetName val="수선비 (일반)"/>
      <sheetName val="보험료 (일반)"/>
      <sheetName val="접대비 (일반)"/>
      <sheetName val="광고선전비(일반)"/>
      <sheetName val="지급수수료 (일반)"/>
      <sheetName val="교육훈련비 (일반)"/>
      <sheetName val="도서인쇄비 (일반)"/>
      <sheetName val="사무비 (일반)"/>
      <sheetName val="소모품비 (일반)"/>
      <sheetName val="운반비 (일반)"/>
      <sheetName val="지급용역비 (일반)"/>
      <sheetName val="차수"/>
      <sheetName val="적용환율"/>
      <sheetName val="3) 클레임 반영시"/>
      <sheetName val="exchange"/>
      <sheetName val="버스운행안내"/>
      <sheetName val="예방접종계획"/>
      <sheetName val="근태계획서"/>
      <sheetName val="건설가"/>
      <sheetName val="Assumptions"/>
      <sheetName val="2_주요계수총괄"/>
      <sheetName val="2_주요계수총괄_(2)"/>
      <sheetName val="2_1fcf분석"/>
      <sheetName val="6_1영업이익"/>
      <sheetName val="6_298년대비99년"/>
      <sheetName val="6_3영업이익분석"/>
      <sheetName val="6_4매출액구성"/>
      <sheetName val="6_5매출원가구성"/>
      <sheetName val="6_6판매관리비_구성"/>
      <sheetName val="7_1WORKING_CAPITAL"/>
      <sheetName val="7_2설비투자내역"/>
      <sheetName val="7_3차입금"/>
      <sheetName val="_PL"/>
      <sheetName val="_Cash_Flow"/>
      <sheetName val="기타&amp;특별수지_명세"/>
      <sheetName val="Sensible_Indicator"/>
      <sheetName val="전차선로_물량표"/>
      <sheetName val="2006년_제조경비_추정"/>
      <sheetName val="제조경비_계획"/>
      <sheetName val="2006년_일반관리비_추정"/>
      <sheetName val="잡급_(일반)"/>
      <sheetName val="복리후생비_(일반)"/>
      <sheetName val="여비교통비_(일반)"/>
      <sheetName val="통신비_(일반)"/>
      <sheetName val="세금과공과_(일반)"/>
      <sheetName val="지급임차료_(일반)"/>
      <sheetName val="감가상각비_(일반)"/>
      <sheetName val="수선비_(일반)"/>
      <sheetName val="보험료_(일반)"/>
      <sheetName val="접대비_(일반)"/>
      <sheetName val="지급수수료_(일반)"/>
      <sheetName val="교육훈련비_(일반)"/>
      <sheetName val="도서인쇄비_(일반)"/>
      <sheetName val="사무비_(일반)"/>
      <sheetName val="소모품비_(일반)"/>
      <sheetName val="운반비_(일반)"/>
      <sheetName val="지급용역비_(일반)"/>
      <sheetName val="총괄"/>
      <sheetName val="손익분석"/>
      <sheetName val="투입분"/>
      <sheetName val="SCH"/>
      <sheetName val="표지"/>
      <sheetName val="선수금"/>
      <sheetName val="Asso02"/>
      <sheetName val="Lead"/>
      <sheetName val="신흥교"/>
      <sheetName val="출자한도"/>
      <sheetName val="부하계산서"/>
      <sheetName val="wall"/>
      <sheetName val="Front"/>
      <sheetName val="장비가동"/>
      <sheetName val="일위대가"/>
      <sheetName val="토목주소"/>
      <sheetName val="프랜트면허"/>
      <sheetName val="6호기"/>
      <sheetName val="STARTSHEET"/>
      <sheetName val="Parameters"/>
      <sheetName val="양식(직판용)"/>
      <sheetName val="역T형"/>
      <sheetName val="금액내역서"/>
      <sheetName val="982월원안"/>
      <sheetName val="예금현황"/>
      <sheetName val="Report Setup"/>
      <sheetName val="건축2"/>
      <sheetName val="수로교총재료집계"/>
      <sheetName val="Sheet3"/>
      <sheetName val="일위대가(계측기설치)"/>
      <sheetName val="관급"/>
      <sheetName val="공사수행방안"/>
      <sheetName val="pivot"/>
      <sheetName val="bs세부"/>
      <sheetName val="별제권_정리담보권"/>
      <sheetName val="선수금,기성"/>
      <sheetName val="품셈TABLE"/>
      <sheetName val="직노"/>
      <sheetName val="결손금"/>
      <sheetName val="매출"/>
      <sheetName val="CLM-MP"/>
      <sheetName val="1유리"/>
      <sheetName val="남양시작동자105노65기1.3화1.2"/>
      <sheetName val="총괄-1"/>
      <sheetName val=""/>
      <sheetName val="소일위대가코드표"/>
      <sheetName val="Asset9809CAK"/>
      <sheetName val="충주"/>
      <sheetName val="base"/>
      <sheetName val="IMPEADENCE MAP 취수장"/>
      <sheetName val="최종"/>
      <sheetName val="choose"/>
      <sheetName val="Factor"/>
      <sheetName val="노임"/>
      <sheetName val="BAN9905"/>
      <sheetName val="ITEMLIST9911"/>
      <sheetName val="94B"/>
      <sheetName val="수입"/>
      <sheetName val="cash_flow"/>
      <sheetName val="Analysis"/>
      <sheetName val="Excess Calc"/>
      <sheetName val="graph"/>
      <sheetName val="공통가설"/>
      <sheetName val="AS복구"/>
      <sheetName val="중기터파기"/>
      <sheetName val="변수값"/>
      <sheetName val="중기상차"/>
      <sheetName val="총괄표"/>
      <sheetName val="창호매출연계"/>
      <sheetName val="점수계산1-2"/>
      <sheetName val="노무비"/>
      <sheetName val="Main"/>
      <sheetName val="Cash Flow"/>
      <sheetName val="Source"/>
      <sheetName val="토공사"/>
      <sheetName val="2.대외공문"/>
      <sheetName val="완성차 미수금"/>
      <sheetName val="Ctrl"/>
      <sheetName val="支払手形"/>
      <sheetName val="雑収"/>
      <sheetName val="잉여금"/>
      <sheetName val="Parm"/>
      <sheetName val="합계잔액시산표"/>
      <sheetName val="97년추정손익계산서"/>
      <sheetName val="금액"/>
      <sheetName val="6_5매⧁⠀㄀　㄀"/>
      <sheetName val="산출기준(파견전산실)"/>
      <sheetName val="BATCH"/>
      <sheetName val="월별수입"/>
      <sheetName val="화의-현금흐름"/>
      <sheetName val="담보"/>
      <sheetName val="호프"/>
      <sheetName val="추가예산"/>
      <sheetName val="개발팀"/>
      <sheetName val="월별"/>
      <sheetName val="SUM(D)"/>
      <sheetName val="자바라1"/>
      <sheetName val="예적금"/>
      <sheetName val="월별손익"/>
      <sheetName val="국내총괄"/>
      <sheetName val="특판제외"/>
      <sheetName val="건축공사실행"/>
      <sheetName val="건축원가"/>
      <sheetName val="5사남"/>
      <sheetName val="노임단가"/>
      <sheetName val="경비_원본"/>
      <sheetName val="ETC"/>
      <sheetName val="수주실적0709"/>
      <sheetName val="부채"/>
      <sheetName val="명세"/>
      <sheetName val="マスタ"/>
      <sheetName val="DATA"/>
      <sheetName val="Area"/>
      <sheetName val="2. Summary-cash"/>
      <sheetName val="약품공급2"/>
      <sheetName val="공문"/>
      <sheetName val="I一般比"/>
      <sheetName val="단가조사"/>
      <sheetName val="물량표"/>
      <sheetName val="감충변동"/>
      <sheetName val="CVT산정"/>
      <sheetName val="정부노임단가"/>
      <sheetName val="교통대책내역"/>
      <sheetName val="GAEYO"/>
      <sheetName val="은행"/>
      <sheetName val="회사99"/>
      <sheetName val="TRIM-Y3"/>
      <sheetName val="물량산출근거"/>
      <sheetName val="MixBed"/>
      <sheetName val="FAX"/>
      <sheetName val="95하"/>
      <sheetName val="Calc"/>
      <sheetName val="Tenancy Sch"/>
      <sheetName val="Input"/>
      <sheetName val="Outgoings"/>
      <sheetName val="MIJIBI"/>
      <sheetName val="원본"/>
      <sheetName val="ITEM-LIST"/>
      <sheetName val="스낵물량"/>
      <sheetName val="Sheet12"/>
      <sheetName val="탄산"/>
      <sheetName val="98매출현"/>
      <sheetName val="2_주요계수총괄1"/>
      <sheetName val="2_주요계수총괄_(2)1"/>
      <sheetName val="2_1fcf분석1"/>
      <sheetName val="6_1영업이익1"/>
      <sheetName val="6_298년대비99년1"/>
      <sheetName val="6_3영업이익분석1"/>
      <sheetName val="6_4매출액구성1"/>
      <sheetName val="6_5매출원가구성1"/>
      <sheetName val="6_6판매관리비_구성1"/>
      <sheetName val="7_1WORKING_CAPITAL1"/>
      <sheetName val="7_2설비투자내역1"/>
      <sheetName val="7_3차입금1"/>
      <sheetName val="_PL1"/>
      <sheetName val="_Cash_Flow1"/>
      <sheetName val="기타&amp;특별수지_명세1"/>
      <sheetName val="Sensible_Indicator1"/>
      <sheetName val="전차선로_물량표1"/>
      <sheetName val="2006년_제조경비_추정1"/>
      <sheetName val="제조경비_계획1"/>
      <sheetName val="2006년_일반관리비_추정1"/>
      <sheetName val="잡급_(일반)1"/>
      <sheetName val="복리후생비_(일반)1"/>
      <sheetName val="여비교통비_(일반)1"/>
      <sheetName val="통신비_(일반)1"/>
      <sheetName val="세금과공과_(일반)1"/>
      <sheetName val="지급임차료_(일반)1"/>
      <sheetName val="감가상각비_(일반)1"/>
      <sheetName val="수선비_(일반)1"/>
      <sheetName val="보험료_(일반)1"/>
      <sheetName val="접대비_(일반)1"/>
      <sheetName val="지급수수료_(일반)1"/>
      <sheetName val="교육훈련비_(일반)1"/>
      <sheetName val="도서인쇄비_(일반)1"/>
      <sheetName val="사무비_(일반)1"/>
      <sheetName val="소모품비_(일반)1"/>
      <sheetName val="운반비_(일반)1"/>
      <sheetName val="지급용역비_(일반)1"/>
      <sheetName val="BQ"/>
      <sheetName val="#REF"/>
      <sheetName val="4"/>
      <sheetName val="내역"/>
      <sheetName val="TOP HEAVY PAYMENT graph"/>
      <sheetName val="B767"/>
      <sheetName val="유일형"/>
      <sheetName val="96빙그레"/>
      <sheetName val="96해태"/>
      <sheetName val="96롯데"/>
      <sheetName val="Table"/>
      <sheetName val="중기계획5.xls"/>
      <sheetName val="%EC%A4%91%EA%B8%B0%EA%B3%84%ED%"/>
      <sheetName val="\\Dsmadmin\c\DATA\경영계획\99년도\제출자"/>
      <sheetName val="Sheet6"/>
      <sheetName val="개발계획수립"/>
      <sheetName val="환율입력"/>
      <sheetName val="신규DEP"/>
      <sheetName val="10매출"/>
      <sheetName val="시험연구비상각"/>
      <sheetName val="TOTAL"/>
      <sheetName val="업무담당"/>
      <sheetName val="지우지말것"/>
      <sheetName val="실행"/>
      <sheetName val="__Dsmadmin_c_DATA______99_____2"/>
      <sheetName val="__Dsmadmin_c_DATA______99_____3"/>
      <sheetName val="1.설계조건"/>
      <sheetName val="골조시행"/>
      <sheetName val="CODE"/>
      <sheetName val="영업외손"/>
      <sheetName val="일반관리"/>
      <sheetName val="특별손익"/>
      <sheetName val="data비교_raw"/>
      <sheetName val="수율생산"/>
      <sheetName val="Rates"/>
      <sheetName val="OIL SYST DATA SHTS"/>
      <sheetName val="조작코드"/>
      <sheetName val="변형자료"/>
      <sheetName val="날짜별"/>
      <sheetName val="수납장"/>
      <sheetName val="업체별"/>
      <sheetName val="result"/>
      <sheetName val="Index"/>
      <sheetName val="IMCI-Assumptions (Mgt.)"/>
      <sheetName val="Balance sheet"/>
      <sheetName val="200004"/>
      <sheetName val="200008"/>
      <sheetName val="200002"/>
      <sheetName val="200001"/>
      <sheetName val="200007"/>
      <sheetName val="200006"/>
      <sheetName val="200003"/>
      <sheetName val="200005"/>
      <sheetName val="200011"/>
      <sheetName val="200010"/>
      <sheetName val="200009"/>
      <sheetName val="main_map"/>
      <sheetName val="7 (2)"/>
      <sheetName val="공정가치"/>
      <sheetName val="요약PL"/>
      <sheetName val="부서현황"/>
      <sheetName val="__Dsmadmin_c_DATA_경영계획_99년도_제출자"/>
      <sheetName val="2_주요계수총괄2"/>
      <sheetName val="2_주요계수총괄_(2)2"/>
      <sheetName val="2_1fcf분석2"/>
      <sheetName val="6_1영업이익2"/>
      <sheetName val="6_298년대비99년2"/>
      <sheetName val="6_3영업이익분석2"/>
      <sheetName val="6_4매출액구성2"/>
      <sheetName val="6_5매출원가구성2"/>
      <sheetName val="6_6판매관리비_구성2"/>
      <sheetName val="7_1WORKING_CAPITAL2"/>
      <sheetName val="7_2설비투자내역2"/>
      <sheetName val="7_3차입금2"/>
      <sheetName val="_PL2"/>
      <sheetName val="_Cash_Flow2"/>
      <sheetName val="기타&amp;특별수지_명세2"/>
      <sheetName val="Sensible_Indicator2"/>
      <sheetName val="전차선로_물량표2"/>
      <sheetName val="2006년_제조경비_추정2"/>
      <sheetName val="제조경비_계획2"/>
      <sheetName val="2006년_일반관리비_추정2"/>
      <sheetName val="잡급_(일반)2"/>
      <sheetName val="복리후생비_(일반)2"/>
      <sheetName val="여비교통비_(일반)2"/>
      <sheetName val="통신비_(일반)2"/>
      <sheetName val="세금과공과_(일반)2"/>
      <sheetName val="지급임차료_(일반)2"/>
      <sheetName val="감가상각비_(일반)2"/>
      <sheetName val="수선비_(일반)2"/>
      <sheetName val="보험료_(일반)2"/>
      <sheetName val="접대비_(일반)2"/>
      <sheetName val="지급수수료_(일반)2"/>
      <sheetName val="교육훈련비_(일반)2"/>
      <sheetName val="도서인쇄비_(일반)2"/>
      <sheetName val="사무비_(일반)2"/>
      <sheetName val="소모품비_(일반)2"/>
      <sheetName val="운반비_(일반)2"/>
      <sheetName val="지급용역비_(일반)2"/>
      <sheetName val="언양"/>
      <sheetName val="Sheet5"/>
      <sheetName val="기초단가"/>
      <sheetName val="대차대조"/>
      <sheetName val="ABAD"/>
      <sheetName val="A1기성"/>
      <sheetName val="BGT"/>
      <sheetName val="CHAVOSH"/>
      <sheetName val="ZAR SAZ"/>
      <sheetName val="장비명"/>
      <sheetName val="3)_클레임_반영시"/>
      <sheetName val="단면_(2)"/>
      <sheetName val="Report_Setup"/>
      <sheetName val="45,46"/>
      <sheetName val="SIL98"/>
      <sheetName val="영동(D)"/>
      <sheetName val="8.PILE  (돌출)"/>
      <sheetName val="잡비"/>
      <sheetName val="6PILE  (돌출)"/>
      <sheetName val="연결임시"/>
      <sheetName val="WIS"/>
      <sheetName val="Sheet1"/>
      <sheetName val="경비"/>
      <sheetName val="__Dsmadmin_c_DATA______99_____4"/>
      <sheetName val="__Dsmadmin_c_DATA______99_____5"/>
      <sheetName val="기본자료"/>
      <sheetName val="X-3 ENG"/>
      <sheetName val="Summary of plant values-I"/>
      <sheetName val="Forecloser"/>
      <sheetName val="Price Level"/>
      <sheetName val="Location"/>
      <sheetName val="Comment"/>
      <sheetName val="Physical"/>
      <sheetName val="Links"/>
      <sheetName val="__Dsmadmin_c_DATA______99_____6"/>
      <sheetName val="__Dsmadmin_c_DATA______99_____7"/>
      <sheetName val="상가지급현황"/>
      <sheetName val="동호확인"/>
      <sheetName val="조직"/>
      <sheetName val="SP-B1"/>
      <sheetName val="자재단가비교표"/>
      <sheetName val="전기일위대가"/>
      <sheetName val="APT"/>
      <sheetName val="부속동"/>
      <sheetName val="BID"/>
      <sheetName val="현장"/>
      <sheetName val="J01"/>
      <sheetName val="시가지우회도로공내역서"/>
      <sheetName val="DSIA Book-Tax Rec"/>
      <sheetName val="[중기계획5.xls]\\Dsmadmin\c\DATA\경영"/>
      <sheetName val="[중기계획5.xls][중기계획5.xls][중기계획5.xl"/>
      <sheetName val="2_주요계수총괄3"/>
      <sheetName val="2_주요계수총괄_(2)3"/>
      <sheetName val="2_1fcf분석3"/>
      <sheetName val="6_1영업이익3"/>
      <sheetName val="6_298년대비99년3"/>
      <sheetName val="6_3영업이익분석3"/>
      <sheetName val="6_4매출액구성3"/>
      <sheetName val="6_5매출원가구성3"/>
      <sheetName val="6_6판매관리비_구성3"/>
      <sheetName val="7_1WORKING_CAPITAL3"/>
      <sheetName val="7_2설비투자내역3"/>
      <sheetName val="7_3차입금3"/>
      <sheetName val="_PL3"/>
      <sheetName val="_Cash_Flow3"/>
      <sheetName val="기타&amp;특별수지_명세3"/>
      <sheetName val="Sensible_Indicator3"/>
      <sheetName val="전차선로_물량표3"/>
      <sheetName val="2006년_제조경비_추정3"/>
      <sheetName val="제조경비_계획3"/>
      <sheetName val="2006년_일반관리비_추정3"/>
      <sheetName val="잡급_(일반)3"/>
      <sheetName val="복리후생비_(일반)3"/>
      <sheetName val="여비교통비_(일반)3"/>
      <sheetName val="통신비_(일반)3"/>
      <sheetName val="세금과공과_(일반)3"/>
      <sheetName val="지급임차료_(일반)3"/>
      <sheetName val="감가상각비_(일반)3"/>
      <sheetName val="수선비_(일반)3"/>
      <sheetName val="보험료_(일반)3"/>
      <sheetName val="접대비_(일반)3"/>
      <sheetName val="지급수수료_(일반)3"/>
      <sheetName val="교육훈련비_(일반)3"/>
      <sheetName val="도서인쇄비_(일반)3"/>
      <sheetName val="사무비_(일반)3"/>
      <sheetName val="기본DATA"/>
      <sheetName val="매립"/>
      <sheetName val="대운산출"/>
      <sheetName val="4)유동표"/>
      <sheetName val="단가조사서"/>
      <sheetName val="노무비(DB)_이후 출력XXXXXX"/>
      <sheetName val="COMMON"/>
      <sheetName val="P.M 별"/>
      <sheetName val="소모품비_(일반)3"/>
      <sheetName val="운반비_(일반)3"/>
      <sheetName val="지급용역비_(일반)3"/>
      <sheetName val="loading"/>
      <sheetName val="BASEINPUT"/>
      <sheetName val="DATE"/>
      <sheetName val="2_주요계수총괄4"/>
      <sheetName val="2_주요계수총괄_(2)4"/>
      <sheetName val="2_1fcf분석4"/>
      <sheetName val="6_1영업이익4"/>
      <sheetName val="6_298년대비99년4"/>
      <sheetName val="6_3영업이익분석4"/>
      <sheetName val="6_4매출액구성4"/>
      <sheetName val="6_5매출원가구성4"/>
      <sheetName val="6_6판매관리비_구성4"/>
      <sheetName val="7_1WORKING_CAPITAL4"/>
      <sheetName val="7_2설비투자내역4"/>
      <sheetName val="7_3차입금4"/>
      <sheetName val="_PL4"/>
      <sheetName val="_Cash_Flow4"/>
      <sheetName val="기타&amp;특별수지_명세4"/>
      <sheetName val="Sensible_Indicator4"/>
      <sheetName val="전차선로_물량표4"/>
      <sheetName val="2006년_제조경비_추정4"/>
      <sheetName val="제조경비_계획4"/>
      <sheetName val="2006년_일반관리비_추정4"/>
      <sheetName val="잡급_(일반)4"/>
      <sheetName val="복리후생비_(일반)4"/>
      <sheetName val="여비교통비_(일반)4"/>
      <sheetName val="통신비_(일반)4"/>
      <sheetName val="세금과공과_(일반)4"/>
      <sheetName val="지급임차료_(일반)4"/>
      <sheetName val="감가상각비_(일반)4"/>
      <sheetName val="수선비_(일반)4"/>
      <sheetName val="보험료_(일반)4"/>
      <sheetName val="접대비_(일반)4"/>
      <sheetName val="지급수수료_(일반)4"/>
      <sheetName val="교육훈련비_(일반)4"/>
      <sheetName val="도서인쇄비_(일반)4"/>
      <sheetName val="사무비_(일반)4"/>
      <sheetName val="소모품비_(일반)4"/>
      <sheetName val="운반비_(일반)4"/>
      <sheetName val="지급용역비_(일반)4"/>
      <sheetName val="Report_Setup1"/>
      <sheetName val="Cash_Flow1"/>
      <sheetName val="Sound9월"/>
      <sheetName val="2-1거래처별실적"/>
      <sheetName val="2000_05"/>
      <sheetName val="Excess_Calc"/>
      <sheetName val="2_대외공문"/>
      <sheetName val="완성차_미수금"/>
      <sheetName val="Regenerator__Concrete_Structure"/>
      <sheetName val="IMPEADENCE_MAP_취수장"/>
      <sheetName val="2__Summary-cash"/>
      <sheetName val="Tenancy_Sch"/>
      <sheetName val="TOP_HEAVY_PAYMENT_graph"/>
      <sheetName val="남양시작동자105노65기1_3화1_2"/>
      <sheetName val="중기계획5_xls"/>
      <sheetName val="OIL_SYST_DATA_SHTS"/>
      <sheetName val="IMCI-Assumptions_(Mgt_)"/>
      <sheetName val="Balance_sheet"/>
      <sheetName val="7_(2)"/>
      <sheetName val="1_설계조건"/>
      <sheetName val="ZAR_SAZ"/>
      <sheetName val="Apr YTD mgt"/>
      <sheetName val="Data Aug CM value"/>
      <sheetName val="JUL YTD mgt"/>
      <sheetName val="May YTD mgt"/>
      <sheetName val="Lookup Data"/>
      <sheetName val="P&amp;L mapping table"/>
    </sheetNames>
    <definedNames>
      <definedName name="Barley_Quota" refersTo="#REF!"/>
      <definedName name="Premium_Beer" refersTo="#REF!"/>
      <definedName name="Soju_Effect" refersTo="#REF!"/>
      <definedName name="Tax_Reduction" refersTo="#REF!"/>
      <definedName name="Youngnam_Market" refersTo="#REF!" sheetId="0"/>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sheetData sheetId="447"/>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sheetData sheetId="458"/>
      <sheetData sheetId="459" refreshError="1"/>
      <sheetData sheetId="460" refreshError="1"/>
      <sheetData sheetId="461"/>
      <sheetData sheetId="462"/>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refreshError="1"/>
      <sheetData sheetId="562" refreshError="1"/>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단가"/>
      <sheetName val="단위표 (2)"/>
      <sheetName val="1-1"/>
      <sheetName val="1-2"/>
      <sheetName val="Sheet1"/>
      <sheetName val="비교표"/>
      <sheetName val="S1-1"/>
      <sheetName val="S1-2"/>
      <sheetName val="S2-1"/>
      <sheetName val="S2-2"/>
      <sheetName val="S3"/>
      <sheetName val="S4"/>
      <sheetName val="S5"/>
      <sheetName val="집계"/>
      <sheetName val="FED노임단가"/>
      <sheetName val="자재"/>
      <sheetName val="Personnaliser votre facture"/>
      <sheetName val="업무분장"/>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종집계"/>
      <sheetName val="건축집계"/>
      <sheetName val="실행예산 (2)"/>
      <sheetName val="실행예산"/>
      <sheetName val="현장관리비"/>
      <sheetName val="원미내역"/>
      <sheetName val="현장추가분"/>
      <sheetName val="공통가설"/>
      <sheetName val="작성개요"/>
      <sheetName val="공사비"/>
      <sheetName val="공사비비교"/>
      <sheetName val="견적조건"/>
      <sheetName val="공기"/>
      <sheetName val="사내공문"/>
      <sheetName val="PILE"/>
      <sheetName val="SILICATE"/>
      <sheetName val="b_gs"/>
      <sheetName val="1-1"/>
      <sheetName val="일용노임단가"/>
      <sheetName val="참조자료"/>
      <sheetName val="식재"/>
      <sheetName val="시설물"/>
      <sheetName val="식재출력용"/>
      <sheetName val="유지관리"/>
      <sheetName val="단가"/>
      <sheetName val="Sheet5"/>
      <sheetName val="Project Brief"/>
      <sheetName val="bid"/>
      <sheetName val="자재"/>
      <sheetName val="구의33고"/>
      <sheetName val="45,46"/>
      <sheetName val="b_gunmul"/>
      <sheetName val="b_balju (2)"/>
      <sheetName val="간접"/>
      <sheetName val="COPING"/>
      <sheetName val="집계표"/>
      <sheetName val="코드표"/>
      <sheetName val="대전노은1차_조적_집계표"/>
      <sheetName val="실행단가"/>
      <sheetName val="기초코드"/>
      <sheetName val="#REF"/>
      <sheetName val="콤보박스와 리스트박스의 연결"/>
      <sheetName val="목표세부명세"/>
      <sheetName val="0.1 KEY ASSUMPTIONS"/>
      <sheetName val="0.2 SCENARIO"/>
      <sheetName val="0. CONTROL"/>
      <sheetName val="시멘트"/>
      <sheetName val="하수급견적대비"/>
      <sheetName val="실행예산_(2)"/>
      <sheetName val="Project_Brief"/>
      <sheetName val="b_balju_(2)"/>
      <sheetName val="SG"/>
      <sheetName val="노임"/>
      <sheetName val="코드"/>
      <sheetName val="을지"/>
      <sheetName val="직공비"/>
      <sheetName val="실행단가철(ems코드적용)"/>
      <sheetName val="APT"/>
      <sheetName val="SLAB&quot;1&quot;"/>
      <sheetName val="일위대가(가설)"/>
      <sheetName val="산출근거(본선외)"/>
      <sheetName val="input(본선외)"/>
      <sheetName val="점수계산1-2"/>
      <sheetName val="1.설계조건"/>
      <sheetName val="BSD (2)"/>
      <sheetName val="CAT_5"/>
      <sheetName val="입찰"/>
      <sheetName val="현경"/>
      <sheetName val="정부노임단가"/>
      <sheetName val="일위_파일"/>
      <sheetName val="Define finishing"/>
      <sheetName val="시추주상도"/>
      <sheetName val="은행"/>
      <sheetName val="월별수입"/>
      <sheetName val="Schedule 2 and 3"/>
      <sheetName val="시장성초안camera"/>
      <sheetName val="공사경비"/>
      <sheetName val="PBS"/>
      <sheetName val="WONMI"/>
      <sheetName val="2.주요계수총괄"/>
      <sheetName val="COA-17"/>
      <sheetName val="C-18"/>
      <sheetName val="포장복구집계"/>
      <sheetName val="노임이"/>
      <sheetName val="건축공사실행"/>
      <sheetName val="ELECTRIC"/>
      <sheetName val="삭제금지단가"/>
      <sheetName val="전체"/>
      <sheetName val="DATA"/>
      <sheetName val="현장관리비 산출내역"/>
      <sheetName val="5사남"/>
      <sheetName val="현황CODE"/>
      <sheetName val="손익현황"/>
      <sheetName val="전기"/>
      <sheetName val="Factor"/>
      <sheetName val="2.대외공문"/>
      <sheetName val="A"/>
      <sheetName val="건축공사"/>
      <sheetName val="선급법인세 (2)"/>
      <sheetName val="터널조도"/>
      <sheetName val="001"/>
      <sheetName val="MOTOR"/>
      <sheetName val="G.R300경비"/>
      <sheetName val="PIPE내역(FCN)"/>
      <sheetName val="Sheet1"/>
      <sheetName val="REDUCER"/>
      <sheetName val="WE'T"/>
      <sheetName val="VXXX"/>
      <sheetName val="VXXXXX"/>
      <sheetName val="II손익관리"/>
      <sheetName val="1.종합손익(도급)"/>
      <sheetName val="1.종합손익(주택,개발)"/>
      <sheetName val="2.실행예산"/>
      <sheetName val="2.2과부족"/>
      <sheetName val="2.3원가절감"/>
      <sheetName val="8.외주비집행현황"/>
      <sheetName val="9.자재비"/>
      <sheetName val="10.현장집행"/>
      <sheetName val="3.추가원가"/>
      <sheetName val="3.추가원가 (2)"/>
      <sheetName val="4.사전공사"/>
      <sheetName val="5.추정공사비"/>
      <sheetName val="6.금융비용"/>
      <sheetName val="7.공사비집행현황(총괄)"/>
      <sheetName val="11.1생산성"/>
      <sheetName val="인력대비(정직)"/>
      <sheetName val="11.2인원산출"/>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내역5"/>
      <sheetName val="1차사업FS"/>
      <sheetName val="관로내역원"/>
      <sheetName val="견적서"/>
      <sheetName val="의왕내역"/>
      <sheetName val="통장출금액"/>
      <sheetName val="Mc1"/>
      <sheetName val="금관"/>
      <sheetName val="백화"/>
      <sheetName val="노임단가"/>
      <sheetName val="b_balju-단가단가단가"/>
      <sheetName val="평가데이터"/>
      <sheetName val="청천내"/>
      <sheetName val="사업수지"/>
      <sheetName val="사업성"/>
      <sheetName val="내역서2안"/>
      <sheetName val="수지"/>
      <sheetName val="공사개요"/>
      <sheetName val="대목"/>
      <sheetName val="부동산"/>
      <sheetName val="예산내역"/>
      <sheetName val="총괄수지표"/>
      <sheetName val="데이타"/>
      <sheetName val="단가조사"/>
      <sheetName val="달러출납부"/>
      <sheetName val="8월출납부"/>
      <sheetName val="fs"/>
      <sheetName val="3.판관비명세서"/>
      <sheetName val="D"/>
      <sheetName val="96노임기준"/>
      <sheetName val="Sheet2"/>
      <sheetName val="ITEM"/>
      <sheetName val="Y-WORK"/>
      <sheetName val="104동"/>
      <sheetName val="6월실적"/>
      <sheetName val="base"/>
      <sheetName val="회사정보"/>
      <sheetName val="1)fs"/>
      <sheetName val="내역"/>
      <sheetName val="준검 내역서"/>
      <sheetName val="내역서"/>
      <sheetName val=" FURNACE현설"/>
      <sheetName val="설계내역서"/>
      <sheetName val="단위단가"/>
      <sheetName val="단위수량"/>
      <sheetName val="부대공Ⅱ"/>
      <sheetName val="CTEMCOST"/>
      <sheetName val="6호기"/>
      <sheetName val="노무비"/>
      <sheetName val="DATE"/>
      <sheetName val="총괄집계표"/>
      <sheetName val="투찰가"/>
      <sheetName val="직노"/>
      <sheetName val="변경내역을"/>
      <sheetName val="삭제내역1차"/>
      <sheetName val="1.공사비집계"/>
      <sheetName val="대가목록"/>
      <sheetName val="참고사항"/>
      <sheetName val="근로자자료입력"/>
      <sheetName val="교량전기"/>
      <sheetName val="02자재"/>
      <sheetName val="Macro1"/>
      <sheetName val="순공사비"/>
      <sheetName val="목록1"/>
      <sheetName val="기본사항"/>
      <sheetName val="교통대책내역"/>
      <sheetName val="설비"/>
      <sheetName val="고분전시관"/>
      <sheetName val="Option"/>
      <sheetName val="분양가"/>
      <sheetName val="손익"/>
      <sheetName val="현금흐름"/>
      <sheetName val="982월원안"/>
      <sheetName val="TOT"/>
      <sheetName val="일별1"/>
      <sheetName val="2.손익계산서"/>
      <sheetName val="건축원가"/>
      <sheetName val="백암비스타내역"/>
      <sheetName val="삼성전기"/>
      <sheetName val="Sheet1 (2)"/>
      <sheetName val="c"/>
      <sheetName val="Secured Master"/>
      <sheetName val="In_Pri"/>
      <sheetName val="울산자동제어"/>
      <sheetName val="INPUT"/>
      <sheetName val="JUCK"/>
      <sheetName val="기계내역"/>
      <sheetName val="사급자재"/>
      <sheetName val="1단계"/>
      <sheetName val="코스모공장 (어음)"/>
      <sheetName val="입찰견적보고서"/>
      <sheetName val="현장경비"/>
      <sheetName val="요율"/>
      <sheetName val="계수시트"/>
      <sheetName val="원가계산서"/>
      <sheetName val="식재인부"/>
      <sheetName val="산출내역서"/>
      <sheetName val="원가서"/>
      <sheetName val="L_RPTA05_목록"/>
      <sheetName val="송라터널총괄"/>
      <sheetName val="마산방향"/>
      <sheetName val="진주방향"/>
      <sheetName val="물량표"/>
      <sheetName val="11.자재단가"/>
      <sheetName val="project management"/>
      <sheetName val="공사진행"/>
      <sheetName val="부산4"/>
      <sheetName val="48평형"/>
      <sheetName val="회사개요(2)"/>
      <sheetName val="2.건축"/>
      <sheetName val="CODE"/>
      <sheetName val="입력"/>
      <sheetName val="01"/>
      <sheetName val="국내총괄"/>
      <sheetName val="관기성공.내"/>
      <sheetName val="공통가설(대천)"/>
      <sheetName val="물가자료"/>
      <sheetName val="문학간접"/>
      <sheetName val="전선 및 전선관"/>
      <sheetName val="2공구산출내역"/>
      <sheetName val="기자재비"/>
      <sheetName val="단가산출"/>
      <sheetName val="제안서입력"/>
      <sheetName val="절감계산"/>
      <sheetName val="conclusion"/>
      <sheetName val="결정단가"/>
      <sheetName val="comparables"/>
      <sheetName val="Deduction"/>
      <sheetName val="other"/>
      <sheetName val="실행내역서"/>
      <sheetName val="BS"/>
      <sheetName val="PL"/>
      <sheetName val="TEMP2"/>
      <sheetName val="기초산출"/>
      <sheetName val="빌딩실행"/>
      <sheetName val="CLAUSE"/>
      <sheetName val="편성절차"/>
      <sheetName val="2000.05"/>
      <sheetName val="시운전연료"/>
      <sheetName val="간선계산"/>
      <sheetName val="갈현동"/>
      <sheetName val="수량산출"/>
      <sheetName val="공문"/>
      <sheetName val="적용률"/>
      <sheetName val="품목"/>
      <sheetName val="간접비내역-1"/>
      <sheetName val="하중계산"/>
      <sheetName val="본부장"/>
      <sheetName val="s"/>
      <sheetName val="실행내역서 "/>
      <sheetName val="맨홀수량"/>
      <sheetName val="입찰안"/>
      <sheetName val="4차원가계산서"/>
      <sheetName val="기구조직"/>
      <sheetName val="2.가정단면"/>
      <sheetName val="평균터파기고(1-2,ASP)"/>
      <sheetName val="교각1"/>
      <sheetName val="CCC"/>
      <sheetName val="부재리스트"/>
      <sheetName val="부대공"/>
      <sheetName val="포장공"/>
      <sheetName val="토공"/>
      <sheetName val="신갈"/>
      <sheetName val="예산"/>
      <sheetName val="현장별"/>
      <sheetName val="추가예산"/>
      <sheetName val="차수"/>
      <sheetName val="총괄내역서"/>
      <sheetName val="ABUT수량-A1"/>
      <sheetName val="노무,재료"/>
      <sheetName val="유림총괄"/>
      <sheetName val="자재단가"/>
      <sheetName val="수목표준대가"/>
      <sheetName val="예산명세서"/>
      <sheetName val="설계명세서"/>
      <sheetName val="자료입력"/>
      <sheetName val="일위대가표"/>
      <sheetName val="일위대가(건축)"/>
      <sheetName val="쌍송교"/>
      <sheetName val="설계"/>
      <sheetName val="기본일위"/>
      <sheetName val="EACT10"/>
      <sheetName val="_FURNACE현설"/>
      <sheetName val="준검_내역서"/>
      <sheetName val="BOQ"/>
      <sheetName val="총괄갑 "/>
      <sheetName val="품셈TABLE"/>
      <sheetName val="유림골조"/>
      <sheetName val="갑지1"/>
      <sheetName val="차도부연장현황"/>
      <sheetName val="일위대가"/>
      <sheetName val="기계설비"/>
      <sheetName val="공조기휀"/>
      <sheetName val="동원인원"/>
      <sheetName val="MRS세부"/>
      <sheetName val="우석문틀"/>
      <sheetName val="변경내역서"/>
      <sheetName val="대전-교대(A1-A2)"/>
      <sheetName val="6PILE  (돌출)"/>
      <sheetName val="차액보증"/>
      <sheetName val="70%"/>
      <sheetName val="조직공사중"/>
      <sheetName val="자재표"/>
      <sheetName val="공주-교대(A1)"/>
      <sheetName val="노무비산출(아파트 전체)-경보"/>
      <sheetName val="성남여성복지내역"/>
      <sheetName val="Breakdown"/>
      <sheetName val="UnitRate"/>
      <sheetName val="수입"/>
      <sheetName val="을"/>
      <sheetName val="골조시행"/>
      <sheetName val="갑지(추정)"/>
      <sheetName val="경비"/>
      <sheetName val="1차 내역서"/>
      <sheetName val="작성기준"/>
      <sheetName val="Bia"/>
      <sheetName val="So lieu"/>
      <sheetName val="TH VL, NC, DDHT Thanhphuoc"/>
      <sheetName val="Tables"/>
      <sheetName val="인테리어내역"/>
      <sheetName val="MTL$-INTER"/>
      <sheetName val="COPING-1"/>
      <sheetName val="역T형교대-2수량"/>
      <sheetName val="Summary Sheets"/>
      <sheetName val="단가표"/>
      <sheetName val="CON"/>
      <sheetName val="CABLE"/>
      <sheetName val="TG9504"/>
      <sheetName val="960318-1"/>
      <sheetName val="F5"/>
      <sheetName val="방송일위대가"/>
      <sheetName val="금액내역서"/>
      <sheetName val="단가조사서"/>
      <sheetName val="J01"/>
      <sheetName val="원가계산"/>
      <sheetName val="PROJECT BRIEF(EX.NEW)"/>
      <sheetName val="관기성공_내"/>
      <sheetName val="So_lieu"/>
      <sheetName val="TH_VL,_NC,_DDHT_Thanhphuoc"/>
      <sheetName val="실행예산_(2)1"/>
      <sheetName val="관기성공_내1"/>
      <sheetName val="So_lieu1"/>
      <sheetName val="TH_VL,_NC,_DDHT_Thanhphuoc1"/>
      <sheetName val="빌딩 안내"/>
      <sheetName val="DESIGN CRITERIA"/>
      <sheetName val="설비2차"/>
      <sheetName val="전력"/>
      <sheetName val="실행갑지"/>
      <sheetName val="배수공"/>
      <sheetName val="재료"/>
      <sheetName val="설치자재"/>
      <sheetName val="추천서"/>
      <sheetName val="기기리스트"/>
      <sheetName val="원형1호맨홀토공수량"/>
      <sheetName val="납부서"/>
      <sheetName val="적현로"/>
      <sheetName val="일위목차"/>
      <sheetName val="용산3(영광)"/>
      <sheetName val="광양방향"/>
      <sheetName val="현금"/>
      <sheetName val="6F8"/>
      <sheetName val="증감대비"/>
      <sheetName val="건축2"/>
      <sheetName val="인사자료총집계"/>
      <sheetName val="업체명"/>
      <sheetName val="관리"/>
      <sheetName val="1차설계변경내역"/>
      <sheetName val="금액"/>
      <sheetName val="기계공사"/>
      <sheetName val="실행대비"/>
      <sheetName val="해창정"/>
      <sheetName val="현장별계약현황('98.10.31)"/>
      <sheetName val="퇴직금(울산천상)"/>
      <sheetName val="대구은행"/>
      <sheetName val="관급자재"/>
      <sheetName val="설계내역"/>
      <sheetName val="95MAKER"/>
      <sheetName val="도급자재"/>
      <sheetName val="세부"/>
      <sheetName val="수량집계"/>
      <sheetName val="내역(설비)"/>
      <sheetName val="49-119"/>
      <sheetName val="환산"/>
      <sheetName val="합천내역"/>
      <sheetName val="교대(A1-A2)"/>
      <sheetName val="본체"/>
      <sheetName val="식재일위대가"/>
      <sheetName val="일위대가목차"/>
      <sheetName val="내역(기계설비)"/>
      <sheetName val="일반전기C"/>
      <sheetName val="건축공사집계"/>
      <sheetName val="계림(함평)"/>
      <sheetName val="계림(장성)"/>
      <sheetName val="SUMMARY"/>
      <sheetName val="PAINT"/>
      <sheetName val="포스코실행"/>
      <sheetName val="업체코드"/>
      <sheetName val="내역서(1공구)"/>
      <sheetName val="패널"/>
      <sheetName val="대비"/>
      <sheetName val="도근좌표"/>
      <sheetName val="무전표"/>
      <sheetName val="주현(해보)"/>
      <sheetName val="주현(영광)"/>
      <sheetName val="흄관"/>
      <sheetName val="그림"/>
      <sheetName val="그림2"/>
      <sheetName val="물가"/>
      <sheetName val="목록표"/>
      <sheetName val="Macro7"/>
      <sheetName val="9811"/>
      <sheetName val="목록"/>
      <sheetName val="2000년1차"/>
      <sheetName val="단가 "/>
      <sheetName val="1_공사비집계"/>
      <sheetName val="준검_내역서1"/>
      <sheetName val="_FURNACE현설1"/>
      <sheetName val="1_공사비집계1"/>
      <sheetName val="간접비"/>
      <sheetName val="99년신청"/>
      <sheetName val="Macro3"/>
      <sheetName val="원가"/>
      <sheetName val="대총괄"/>
      <sheetName val="내역(대광)"/>
      <sheetName val="General Data"/>
      <sheetName val="교대(A1)"/>
      <sheetName val="건축토목내역"/>
      <sheetName val="저"/>
      <sheetName val="#2_일위대가목록"/>
      <sheetName val="제잡비"/>
      <sheetName val="CON'C"/>
      <sheetName val="품셈"/>
      <sheetName val="노임단가산출근거"/>
      <sheetName val="적격점수&lt;300억미만&gt;"/>
      <sheetName val="COVER"/>
      <sheetName val="BSD _2_"/>
      <sheetName val="제품"/>
      <sheetName val="목차"/>
      <sheetName val="목동세대 산출근거"/>
      <sheetName val="비용"/>
      <sheetName val="다곡2교"/>
      <sheetName val="기계경비집계"/>
      <sheetName val="손익분석"/>
      <sheetName val="기초단가"/>
      <sheetName val="sh1"/>
      <sheetName val="개요"/>
      <sheetName val="WORK"/>
      <sheetName val="원하대비"/>
      <sheetName val="원도급"/>
      <sheetName val="하도급"/>
      <sheetName val="터파기및재료"/>
      <sheetName val="단열-자재"/>
      <sheetName val="실행철강하도"/>
      <sheetName val="호표"/>
      <sheetName val="관급"/>
      <sheetName val="우성교간선"/>
      <sheetName val="공통(20-91)"/>
      <sheetName val="금융비용"/>
      <sheetName val="빙장비사양"/>
      <sheetName val="단중표"/>
      <sheetName val="설-원가"/>
      <sheetName val="9GNG운반"/>
      <sheetName val="대비2"/>
      <sheetName val="RE9604"/>
      <sheetName val="인건비"/>
      <sheetName val="기본단가표"/>
      <sheetName val="여과지동"/>
      <sheetName val="기초자료"/>
      <sheetName val="옥외외등집계표"/>
      <sheetName val="세부내역서"/>
      <sheetName val="연습"/>
      <sheetName val="총 원가계산"/>
      <sheetName val="4.내역"/>
      <sheetName val="플랜트 설치"/>
      <sheetName val="산출근거"/>
      <sheetName val="도급"/>
      <sheetName val="실행간접비"/>
      <sheetName val="대림산업"/>
      <sheetName val="직접비"/>
      <sheetName val="신대방33(적용)"/>
      <sheetName val="시화점실행"/>
      <sheetName val="건축"/>
      <sheetName val="Baby일위대가"/>
      <sheetName val="파이프류"/>
      <sheetName val="열교환기"/>
      <sheetName val="공사비집계"/>
      <sheetName val="안양1공구_건축"/>
      <sheetName val="1월"/>
      <sheetName val="실행예°_x0000__x0000__x0000__x0000_"/>
      <sheetName val=""/>
      <sheetName val="T1"/>
      <sheetName val="부표총괄"/>
      <sheetName val="자판실행"/>
      <sheetName val="상수도토공집계표"/>
      <sheetName val="주방환기"/>
      <sheetName val="재료집계"/>
      <sheetName val="C1ㅇ"/>
      <sheetName val="공사비예산서(토목분)"/>
      <sheetName val="일반공사"/>
      <sheetName val="신표지1"/>
      <sheetName val="LIST"/>
      <sheetName val="MAT"/>
      <sheetName val="ASP포장"/>
      <sheetName val="IMPEADENCE MAP 취수장"/>
      <sheetName val="guard(mac)"/>
      <sheetName val="건축내역"/>
      <sheetName val="3F"/>
      <sheetName val="CT "/>
      <sheetName val="일위목록"/>
      <sheetName val="명단"/>
      <sheetName val="피벗(기술관리)"/>
      <sheetName val="건축일"/>
      <sheetName val="상행-교대(A1-A2)"/>
      <sheetName val="인원계획-미화"/>
      <sheetName val="조명율표"/>
      <sheetName val="unit 4"/>
      <sheetName val="망미"/>
      <sheetName val="수량산출서"/>
      <sheetName val="기계경비(시간당)"/>
      <sheetName val="램머"/>
      <sheetName val="맨홀토공수량"/>
      <sheetName val="기본단가"/>
      <sheetName val="분양면적표"/>
      <sheetName val="수수료율표"/>
      <sheetName val="개산공사비"/>
      <sheetName val="코스모공장_(어음)"/>
      <sheetName val="수목단가"/>
      <sheetName val="시설수량표"/>
      <sheetName val="식재수량표"/>
      <sheetName val="콘크리트타설집계표"/>
      <sheetName val="Project_Brief1"/>
      <sheetName val="b_balju_(2)1"/>
      <sheetName val="BSD_(2)"/>
      <sheetName val="2_주요계수총괄"/>
      <sheetName val="0_1_KEY_ASSUMPTIONS"/>
      <sheetName val="0_2_SCENARIO"/>
      <sheetName val="0__CONTROL"/>
      <sheetName val="콤보박스와_리스트박스의_연결"/>
      <sheetName val="현장관리비_산출내역"/>
      <sheetName val="2_대외공문"/>
      <sheetName val="선급법인세_(2)"/>
      <sheetName val="G_R300경비"/>
      <sheetName val="1_종합손익(도급)"/>
      <sheetName val="1_종합손익(주택,개발)"/>
      <sheetName val="2_실행예산"/>
      <sheetName val="2_2과부족"/>
      <sheetName val="2_3원가절감"/>
      <sheetName val="8_외주비집행현황"/>
      <sheetName val="9_자재비"/>
      <sheetName val="10_현장집행"/>
      <sheetName val="3_추가원가"/>
      <sheetName val="3_추가원가_(2)"/>
      <sheetName val="4_사전공사"/>
      <sheetName val="5_추정공사비"/>
      <sheetName val="6_금융비용"/>
      <sheetName val="7_공사비집행현황(총괄)"/>
      <sheetName val="11_1생산성"/>
      <sheetName val="11_2인원산출"/>
      <sheetName val="3_판관비명세서"/>
      <sheetName val="2_손익계산서"/>
      <sheetName val="Sheet1_(2)"/>
      <sheetName val="1_설계조건"/>
      <sheetName val="Secured_Master"/>
      <sheetName val="Define_finishing"/>
      <sheetName val="project_management"/>
      <sheetName val="2000_05"/>
      <sheetName val="Schedule_2_and_3"/>
      <sheetName val="코스모공장_(어음)1"/>
      <sheetName val="11_자재단가"/>
      <sheetName val="2_건축"/>
      <sheetName val="2_가정단면"/>
      <sheetName val="전선_및_전선관"/>
      <sheetName val=" Return"/>
      <sheetName val="Macro(조도)"/>
      <sheetName val="식재가격"/>
      <sheetName val="덕전리"/>
      <sheetName val="소방사항"/>
      <sheetName val="esc"/>
      <sheetName val="3.공통공사대비"/>
      <sheetName val="1유리"/>
      <sheetName val="표지"/>
      <sheetName val="실행내역"/>
      <sheetName val="총괄-1"/>
      <sheetName val="잡비"/>
      <sheetName val="목포방향"/>
      <sheetName val="220 (2)"/>
      <sheetName val="아파트"/>
      <sheetName val="GM 000"/>
      <sheetName val="sw1"/>
      <sheetName val="NOMUBI"/>
      <sheetName val="총내역"/>
      <sheetName val="행거,슈,볼트,펌프,잡재"/>
      <sheetName val="국민연금"/>
      <sheetName val="Total"/>
      <sheetName val="외주비"/>
      <sheetName val="1안"/>
      <sheetName val="견"/>
      <sheetName val="익산"/>
      <sheetName val="파일항타"/>
      <sheetName val="실행"/>
      <sheetName val="카렌스센터계량기설치공사"/>
      <sheetName val="FOB발"/>
      <sheetName val="별표 "/>
      <sheetName val="오억미만"/>
      <sheetName val="토공사"/>
      <sheetName val="200"/>
      <sheetName val="기본"/>
      <sheetName val="부안일위"/>
      <sheetName val="Dette"/>
      <sheetName val="바.한일양산"/>
      <sheetName val="제-노임"/>
      <sheetName val="제직재"/>
      <sheetName val="Calc V1.2"/>
      <sheetName val="Calc V1.2 (2)"/>
      <sheetName val="LEGEND"/>
      <sheetName val="MixBed"/>
      <sheetName val="CondPol"/>
      <sheetName val="AHU 산출"/>
      <sheetName val="샘플표지"/>
      <sheetName val="공사수행방안"/>
      <sheetName val="입출재고현황 (2)"/>
      <sheetName val="낙찰표"/>
      <sheetName val="제수"/>
      <sheetName val="암거공"/>
      <sheetName val="수안보-MBR1"/>
      <sheetName val="내역변"/>
      <sheetName val="열린교실"/>
      <sheetName val="사통"/>
      <sheetName val="Macro(전선)"/>
      <sheetName val="원가입력"/>
      <sheetName val="Sheet6"/>
      <sheetName val="입찰내역"/>
      <sheetName val="COST"/>
      <sheetName val="재집"/>
      <sheetName val="직재"/>
      <sheetName val="Campenon"/>
      <sheetName val="old estimate"/>
      <sheetName val="LILAMA"/>
      <sheetName val="PVECC JUNE"/>
      <sheetName val="pvecc sept"/>
      <sheetName val="TPIT"/>
      <sheetName val="vinacco"/>
      <sheetName val="VINAINCON"/>
      <sheetName val="A-4"/>
      <sheetName val="3.건축(현장안)"/>
      <sheetName val="가동비율"/>
      <sheetName val="공사비산출내역"/>
      <sheetName val="인건-측정"/>
      <sheetName val="가로등내역서"/>
      <sheetName val="A01"/>
      <sheetName val="A11"/>
      <sheetName val="A16"/>
      <sheetName val="A02"/>
      <sheetName val="A03"/>
      <sheetName val="A04"/>
      <sheetName val="A05"/>
      <sheetName val="A06"/>
      <sheetName val="A07"/>
      <sheetName val="A08a"/>
      <sheetName val="A08b"/>
      <sheetName val="신.분"/>
      <sheetName val="건축-물가변동"/>
      <sheetName val="물량내역"/>
      <sheetName val="점당객석수"/>
      <sheetName val="남대문빌딩"/>
      <sheetName val="배명(단가)"/>
      <sheetName val="돈암사업"/>
      <sheetName val="총괄표"/>
      <sheetName val="토목주소"/>
      <sheetName val="프랜트면허"/>
      <sheetName val="실행(ALT1)"/>
      <sheetName val="산근"/>
      <sheetName val="전기실-1"/>
      <sheetName val="일위대가 "/>
      <sheetName val="FRP PIPING 일위대가"/>
      <sheetName val="갑지"/>
      <sheetName val="실행(표지,갑,을)"/>
      <sheetName val="TTL"/>
      <sheetName val="설계서"/>
      <sheetName val="예산서"/>
      <sheetName val="M-PJT-1"/>
      <sheetName val="10라인CCSS-1"/>
      <sheetName val="NRD관광통로"/>
      <sheetName val="공종단가"/>
      <sheetName val="환율"/>
      <sheetName val="잡철물"/>
      <sheetName val="물량산출서"/>
      <sheetName val="CONCRETE"/>
      <sheetName val="내역서1999.8최종"/>
      <sheetName val="일반수량총괄집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sheetData sheetId="331"/>
      <sheetData sheetId="332"/>
      <sheetData sheetId="333"/>
      <sheetData sheetId="334"/>
      <sheetData sheetId="335"/>
      <sheetData sheetId="336"/>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7 PL"/>
      <sheetName val="재고자산"/>
      <sheetName val="작진-계획"/>
      <sheetName val="작진-월별(조정전)"/>
      <sheetName val="작진-월별(조정후)"/>
      <sheetName val="매출그룹"/>
      <sheetName val="조정"/>
      <sheetName val="PL-조정전"/>
      <sheetName val="PL-조정후"/>
      <sheetName val="APT(자체-조정전)"/>
      <sheetName val="재고자산실적"/>
      <sheetName val="손익분석"/>
      <sheetName val="항목실적"/>
      <sheetName val="인건실적"/>
      <sheetName val="미수실적"/>
      <sheetName val="공통가설"/>
      <sheetName val="SLAB&quot;1&quot;"/>
    </sheetNames>
    <sheetDataSet>
      <sheetData sheetId="0"/>
      <sheetData sheetId="1"/>
      <sheetData sheetId="2"/>
      <sheetData sheetId="3"/>
      <sheetData sheetId="4"/>
      <sheetData sheetId="5"/>
      <sheetData sheetId="6"/>
      <sheetData sheetId="7"/>
      <sheetData sheetId="8"/>
      <sheetData sheetId="9"/>
      <sheetData sheetId="10"/>
      <sheetData sheetId="11" refreshError="1">
        <row r="1">
          <cell r="A1" t="str">
            <v>▣ 손익차이분석(97.11)</v>
          </cell>
        </row>
        <row r="2">
          <cell r="G2" t="str">
            <v>단위:백만원</v>
          </cell>
        </row>
        <row r="3">
          <cell r="A3" t="str">
            <v>구</v>
          </cell>
          <cell r="B3" t="str">
            <v>목표원가율</v>
          </cell>
          <cell r="C3" t="str">
            <v xml:space="preserve">    사업계획</v>
          </cell>
          <cell r="E3" t="str">
            <v>전년원가율</v>
          </cell>
          <cell r="F3" t="str">
            <v xml:space="preserve">    전년실적</v>
          </cell>
        </row>
        <row r="4">
          <cell r="A4" t="str">
            <v>분</v>
          </cell>
          <cell r="B4">
            <v>0.85512258203325486</v>
          </cell>
          <cell r="C4" t="str">
            <v>매출증감</v>
          </cell>
          <cell r="D4" t="str">
            <v>손익기여</v>
          </cell>
          <cell r="E4">
            <v>0.86516017070972639</v>
          </cell>
          <cell r="F4" t="str">
            <v>매출증감</v>
          </cell>
          <cell r="G4" t="str">
            <v>손익기여</v>
          </cell>
        </row>
        <row r="5">
          <cell r="A5" t="str">
            <v>토목</v>
          </cell>
          <cell r="B5"/>
          <cell r="C5">
            <v>15791</v>
          </cell>
          <cell r="D5">
            <v>2287.7593071128726</v>
          </cell>
          <cell r="F5">
            <v>29649</v>
          </cell>
          <cell r="G5">
            <v>3997.8660986273221</v>
          </cell>
        </row>
        <row r="6">
          <cell r="A6" t="str">
            <v>건축</v>
          </cell>
          <cell r="B6"/>
          <cell r="C6">
            <v>-18155</v>
          </cell>
          <cell r="D6">
            <v>-2630.2495231862581</v>
          </cell>
          <cell r="F6">
            <v>8293</v>
          </cell>
          <cell r="G6">
            <v>1118.2267043042391</v>
          </cell>
        </row>
        <row r="7">
          <cell r="A7" t="str">
            <v>전기</v>
          </cell>
          <cell r="B7"/>
          <cell r="C7">
            <v>6167</v>
          </cell>
          <cell r="D7">
            <v>893.45903660091722</v>
          </cell>
          <cell r="F7">
            <v>12031</v>
          </cell>
          <cell r="G7">
            <v>1622.2579861912818</v>
          </cell>
        </row>
        <row r="8">
          <cell r="A8" t="str">
            <v>플랜트</v>
          </cell>
          <cell r="B8"/>
          <cell r="C8">
            <v>392</v>
          </cell>
          <cell r="D8">
            <v>56.791947842964092</v>
          </cell>
          <cell r="F8">
            <v>2018</v>
          </cell>
          <cell r="G8">
            <v>272.10677550777211</v>
          </cell>
        </row>
        <row r="9">
          <cell r="A9" t="str">
            <v>주택</v>
          </cell>
          <cell r="B9"/>
          <cell r="C9">
            <v>-1602</v>
          </cell>
          <cell r="D9">
            <v>-232.09362358272571</v>
          </cell>
          <cell r="F9">
            <v>38277</v>
          </cell>
          <cell r="G9">
            <v>5161.2641457438031</v>
          </cell>
        </row>
        <row r="10">
          <cell r="A10" t="str">
            <v>개발</v>
          </cell>
          <cell r="B10"/>
          <cell r="C10">
            <v>-974</v>
          </cell>
          <cell r="D10">
            <v>-141.11060509960976</v>
          </cell>
          <cell r="F10">
            <v>-9419</v>
          </cell>
          <cell r="G10">
            <v>-1270.0563520850872</v>
          </cell>
        </row>
        <row r="11">
          <cell r="A11" t="str">
            <v>해외</v>
          </cell>
          <cell r="B11"/>
          <cell r="C11">
            <v>3361</v>
          </cell>
          <cell r="D11">
            <v>486.93300178623042</v>
          </cell>
          <cell r="F11">
            <v>617</v>
          </cell>
          <cell r="G11">
            <v>83.19617467209882</v>
          </cell>
        </row>
        <row r="12">
          <cell r="A12" t="str">
            <v>기타</v>
          </cell>
          <cell r="B12"/>
          <cell r="C12">
            <v>139</v>
          </cell>
          <cell r="D12">
            <v>20.137961097377573</v>
          </cell>
          <cell r="F12">
            <v>10457</v>
          </cell>
          <cell r="G12">
            <v>1410.020094888391</v>
          </cell>
        </row>
        <row r="13">
          <cell r="A13" t="str">
            <v>계</v>
          </cell>
          <cell r="B13"/>
          <cell r="C13">
            <v>5119</v>
          </cell>
          <cell r="D13">
            <v>741.62750257176833</v>
          </cell>
          <cell r="F13">
            <v>91923</v>
          </cell>
          <cell r="G13">
            <v>12394.881627849822</v>
          </cell>
        </row>
        <row r="15">
          <cell r="B15" t="str">
            <v>실적</v>
          </cell>
          <cell r="C15"/>
          <cell r="D15"/>
          <cell r="E15" t="str">
            <v>실적</v>
          </cell>
        </row>
        <row r="16">
          <cell r="A16" t="str">
            <v>원가</v>
          </cell>
          <cell r="B16">
            <v>768373</v>
          </cell>
          <cell r="C16">
            <v>767473.37249742833</v>
          </cell>
          <cell r="D16">
            <v>-899.62750257163134</v>
          </cell>
          <cell r="E16">
            <v>768373</v>
          </cell>
          <cell r="F16">
            <v>776482.11837215011</v>
          </cell>
          <cell r="G16">
            <v>8109.1183721501147</v>
          </cell>
        </row>
        <row r="17">
          <cell r="A17" t="str">
            <v>재료비</v>
          </cell>
          <cell r="B17">
            <v>171242</v>
          </cell>
          <cell r="C17">
            <v>171041.50621274384</v>
          </cell>
          <cell r="D17">
            <v>-200.49378725615679</v>
          </cell>
          <cell r="E17">
            <v>171242</v>
          </cell>
          <cell r="F17">
            <v>173049.22337755715</v>
          </cell>
          <cell r="G17">
            <v>1807.2233775571513</v>
          </cell>
        </row>
        <row r="18">
          <cell r="A18" t="str">
            <v>노무비</v>
          </cell>
          <cell r="B18">
            <v>49952</v>
          </cell>
          <cell r="C18">
            <v>49893.515132613378</v>
          </cell>
          <cell r="D18">
            <v>-58.484867386621772</v>
          </cell>
          <cell r="E18">
            <v>49952</v>
          </cell>
          <cell r="F18">
            <v>50479.17453753014</v>
          </cell>
          <cell r="G18">
            <v>527.17453753013979</v>
          </cell>
        </row>
        <row r="19">
          <cell r="A19" t="str">
            <v>외주비</v>
          </cell>
          <cell r="B19">
            <v>547179</v>
          </cell>
          <cell r="C19">
            <v>546538.35115207115</v>
          </cell>
          <cell r="D19">
            <v>-640.64884792885277</v>
          </cell>
          <cell r="E19">
            <v>547179</v>
          </cell>
          <cell r="F19">
            <v>552953.72045706282</v>
          </cell>
          <cell r="G19">
            <v>5774.7204570628237</v>
          </cell>
        </row>
        <row r="20">
          <cell r="C20">
            <v>0</v>
          </cell>
          <cell r="F20">
            <v>0</v>
          </cell>
        </row>
        <row r="21">
          <cell r="A21" t="str">
            <v>판관비</v>
          </cell>
          <cell r="D21">
            <v>-1804</v>
          </cell>
          <cell r="G21">
            <v>-1249</v>
          </cell>
        </row>
        <row r="22">
          <cell r="A22" t="str">
            <v>영업외수익</v>
          </cell>
          <cell r="D22">
            <v>10356</v>
          </cell>
          <cell r="G22">
            <v>7680</v>
          </cell>
        </row>
        <row r="23">
          <cell r="A23" t="str">
            <v>영업외비용</v>
          </cell>
          <cell r="D23">
            <v>-4106</v>
          </cell>
          <cell r="G23">
            <v>-26214</v>
          </cell>
        </row>
        <row r="24">
          <cell r="A24" t="str">
            <v>특별이익</v>
          </cell>
          <cell r="D24">
            <v>0</v>
          </cell>
          <cell r="G24">
            <v>0</v>
          </cell>
        </row>
        <row r="25">
          <cell r="A25" t="str">
            <v>특별손실</v>
          </cell>
          <cell r="D25">
            <v>-872</v>
          </cell>
          <cell r="G25">
            <v>-872</v>
          </cell>
        </row>
        <row r="26">
          <cell r="A26" t="str">
            <v>손익차이</v>
          </cell>
          <cell r="D26">
            <v>3416.0000000001364</v>
          </cell>
          <cell r="G26">
            <v>-151.00000000006548</v>
          </cell>
        </row>
      </sheetData>
      <sheetData sheetId="12"/>
      <sheetData sheetId="13"/>
      <sheetData sheetId="14"/>
      <sheetData sheetId="15" refreshError="1"/>
      <sheetData sheetId="1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노원열병합  건축공사기성내역서"/>
      <sheetName val="하도급 기성고 신청서(13회)"/>
      <sheetName val="노원열병합 기성내역서갑지"/>
      <sheetName val="노원열병합  토목공사기성내역서"/>
      <sheetName val="변경내역"/>
      <sheetName val="자재변경"/>
      <sheetName val="실행견적서"/>
      <sheetName val="내역서"/>
      <sheetName val="견적서"/>
      <sheetName val="laroux"/>
      <sheetName val="아파트동총괄표"/>
      <sheetName val="부속동 보할"/>
      <sheetName val="아파트동보할"/>
      <sheetName val="아파트가설총괄"/>
      <sheetName val="부속동 가설보할 "/>
      <sheetName val="아파트가설층별보할"/>
      <sheetName val="설계조건"/>
      <sheetName val="갑지(추정)"/>
      <sheetName val="손익분석"/>
      <sheetName val="집계표"/>
      <sheetName val="입찰안"/>
      <sheetName val="내역"/>
      <sheetName val="#REF"/>
      <sheetName val="BSD (2)"/>
      <sheetName val="현장지지물물량"/>
      <sheetName val="예적금"/>
      <sheetName val="현황CODE"/>
      <sheetName val="손익현황"/>
      <sheetName val="통장출금액"/>
      <sheetName val="주경기-오배수"/>
      <sheetName val="BOQ건축"/>
      <sheetName val="사용성검토"/>
      <sheetName val="hvac내역서(제어동)"/>
      <sheetName val="소비자가"/>
      <sheetName val="전체"/>
      <sheetName val="Sheet5"/>
      <sheetName val="적용률"/>
      <sheetName val="조경"/>
      <sheetName val="일위대가"/>
      <sheetName val="토건13회"/>
      <sheetName val="Sheet1 (2)"/>
      <sheetName val="건축공사실행"/>
      <sheetName val="1-1"/>
      <sheetName val="전기일위대가"/>
      <sheetName val="Sheet3"/>
      <sheetName val="BSD _2_"/>
      <sheetName val="hvac(제어동)"/>
      <sheetName val="물량표S"/>
      <sheetName val="갑지1"/>
      <sheetName val="일위대가표"/>
      <sheetName val="건축내역"/>
      <sheetName val="소운반"/>
      <sheetName val="INPUT"/>
      <sheetName val="말뚝지지력산정"/>
      <sheetName val="REINF."/>
      <sheetName val="LOADS"/>
      <sheetName val="SKETCH"/>
      <sheetName val="REACTION(USE평시)"/>
      <sheetName val="REACTION(USD지진시)"/>
      <sheetName val="eq_data"/>
      <sheetName val="h-013211-2"/>
      <sheetName val="hvac_제어동_"/>
      <sheetName val="설변물량"/>
      <sheetName val="AV시스템"/>
      <sheetName val="plan&amp;section of foundation"/>
      <sheetName val="design criteria"/>
      <sheetName val="현장관리비"/>
      <sheetName val="수입"/>
      <sheetName val="물량표"/>
      <sheetName val="을"/>
      <sheetName val="물량표(신)"/>
      <sheetName val="PAINT"/>
      <sheetName val="SUMMARY"/>
      <sheetName val="공통가설"/>
      <sheetName val="특수선일위대가"/>
      <sheetName val="Sheet1"/>
      <sheetName val="Sheet2"/>
      <sheetName val="표지"/>
      <sheetName val="Danga"/>
      <sheetName val="노임단가"/>
      <sheetName val="현황"/>
      <sheetName val="단위수량"/>
      <sheetName val="2000년1차"/>
      <sheetName val="2000전체분"/>
      <sheetName val="KMT물량"/>
      <sheetName val="설계명세서"/>
      <sheetName val="예산명세서"/>
      <sheetName val="자료입력"/>
      <sheetName val="DATA"/>
      <sheetName val="데이타"/>
      <sheetName val="터파기및재료"/>
      <sheetName val="신우"/>
      <sheetName val="의왕내역"/>
      <sheetName val="Y-WORK"/>
      <sheetName val="EKOG10건축"/>
      <sheetName val="공문"/>
      <sheetName val="w't table"/>
      <sheetName val="내역서2안"/>
      <sheetName val="6PILE  (돌출)"/>
      <sheetName val="APT내역"/>
      <sheetName val="부대시설"/>
      <sheetName val="일위대가목차"/>
      <sheetName val="목차"/>
      <sheetName val="공사원가계산서"/>
      <sheetName val="신호등일위대가"/>
      <sheetName val="1.우편집중내역서"/>
      <sheetName val="BREAKDOWN"/>
      <sheetName val="I.설계조건"/>
      <sheetName val="1.설계기준"/>
      <sheetName val="crude.SLAB RE-bar"/>
      <sheetName val="CRUDE RE-bar"/>
      <sheetName val="을지"/>
      <sheetName val="TG9504"/>
      <sheetName val="가동비율"/>
      <sheetName val="플랜트 설치"/>
      <sheetName val="내역서(음성금왕)"/>
      <sheetName val="조명일위"/>
      <sheetName val="CHECK1"/>
      <sheetName val="부하계산서"/>
      <sheetName val="지급자재"/>
      <sheetName val="GAEYO"/>
      <sheetName val="문학간접"/>
      <sheetName val="간접비"/>
      <sheetName val="간접"/>
      <sheetName val="세부내역"/>
      <sheetName val="단면가정"/>
      <sheetName val="6,000"/>
      <sheetName val="정부노임단가"/>
      <sheetName val="공사진행"/>
      <sheetName val="COA-17"/>
      <sheetName val="C-18"/>
      <sheetName val="CATV"/>
      <sheetName val="갑지"/>
      <sheetName val="주소록"/>
      <sheetName val="대전21토목내역서"/>
      <sheetName val="건축"/>
      <sheetName val="점수계산1-2"/>
      <sheetName val="분석"/>
      <sheetName val="건축집계표"/>
      <sheetName val="월별손익"/>
      <sheetName val="조명시설"/>
      <sheetName val="전기"/>
      <sheetName val="투입대비"/>
      <sheetName val="주거오수"/>
      <sheetName val="1F"/>
      <sheetName val="가설개략"/>
      <sheetName val="원가계산서"/>
      <sheetName val="Total"/>
      <sheetName val="건축직영"/>
      <sheetName val="콘크리트타설집계표"/>
      <sheetName val="1위임보수"/>
      <sheetName val="일위대가(건축)"/>
      <sheetName val="단가산출"/>
      <sheetName val="업무"/>
      <sheetName val="설치공사2"/>
      <sheetName val="간접비내역-1"/>
      <sheetName val="99노임기준"/>
      <sheetName val="대비"/>
      <sheetName val="T1"/>
      <sheetName val="건축집계"/>
      <sheetName val="6호기"/>
      <sheetName val="ABUT수량-A1"/>
      <sheetName val="자판실행"/>
      <sheetName val="pile bearing capa &amp; arrenge"/>
      <sheetName val="working load at the btm ft."/>
      <sheetName val="stability check"/>
      <sheetName val="design load"/>
      <sheetName val="CAPVC"/>
      <sheetName val="WORK"/>
      <sheetName val="1.설계기준 "/>
      <sheetName val="Mc1"/>
      <sheetName val="퇴비산출근거"/>
      <sheetName val="BOX규격및 설계조건입력"/>
      <sheetName val="산거각호표"/>
      <sheetName val="부표총괄"/>
      <sheetName val="정공공사"/>
      <sheetName val="ITB COST"/>
      <sheetName val="특별교실"/>
      <sheetName val="충주"/>
      <sheetName val="차액보증"/>
      <sheetName val="자료"/>
      <sheetName val="심사계산"/>
      <sheetName val="심사물량"/>
      <sheetName val="자재단가비교표"/>
      <sheetName val="45,46"/>
      <sheetName val="코드"/>
      <sheetName val="집 계 표"/>
      <sheetName val="NM2"/>
      <sheetName val="NW1"/>
      <sheetName val="NW2"/>
      <sheetName val="PW3"/>
      <sheetName val="PW4"/>
      <sheetName val="SC1"/>
      <sheetName val="DNW"/>
      <sheetName val="N+"/>
      <sheetName val="NE"/>
      <sheetName val="PE"/>
      <sheetName val="PM"/>
      <sheetName val="TR"/>
      <sheetName val="FB25JN"/>
      <sheetName val="원형맨홀수량"/>
      <sheetName val="공통비(전체)"/>
      <sheetName val="내역(전체)"/>
      <sheetName val="건축공사"/>
      <sheetName val="일위(시설)"/>
      <sheetName val="Front"/>
      <sheetName val="wall"/>
      <sheetName val="c_balju"/>
      <sheetName val="4차원가계산서"/>
      <sheetName val="COBS"/>
      <sheetName val="05년1-3월원본"/>
      <sheetName val="손익"/>
      <sheetName val="단위중기"/>
      <sheetName val="원본"/>
      <sheetName val="공사개요"/>
      <sheetName val="증감내역서"/>
      <sheetName val="2000년하반기"/>
      <sheetName val="평면배관"/>
      <sheetName val="기타"/>
      <sheetName val="물량집계"/>
      <sheetName val="인건비"/>
      <sheetName val="천공배관"/>
      <sheetName val="단가표"/>
      <sheetName val="입력"/>
      <sheetName val="자동제어"/>
      <sheetName val="순환펌프"/>
      <sheetName val="히트펌프"/>
      <sheetName val="대비내역"/>
      <sheetName val="계약내역서"/>
      <sheetName val="총괄표"/>
      <sheetName val="21301동"/>
      <sheetName val="3.공통공사대비"/>
      <sheetName val="중기일위대가"/>
      <sheetName val="RDLEVLST"/>
      <sheetName val="AP1"/>
      <sheetName val="Tool"/>
      <sheetName val="그림"/>
      <sheetName val="현장식당(1)"/>
      <sheetName val="가격조사서"/>
      <sheetName val="안정검토"/>
      <sheetName val="인사자료총집계"/>
      <sheetName val="적용환율"/>
      <sheetName val="토사(PE)"/>
      <sheetName val="H-pile(298x299)"/>
      <sheetName val="H-pile(250x250)"/>
      <sheetName val="단"/>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협조전"/>
      <sheetName val="내역"/>
      <sheetName val="type-F"/>
      <sheetName val="우편발송료"/>
      <sheetName val="-금액"/>
      <sheetName val="전산소모품"/>
      <sheetName val="-프린터보유현황"/>
      <sheetName val="수선비"/>
      <sheetName val="난방비"/>
      <sheetName val="출장비"/>
      <sheetName val="-출장비내역"/>
      <sheetName val="판촉회의비"/>
      <sheetName val="기타"/>
      <sheetName val="본사신청인지대"/>
      <sheetName val="-작성법"/>
      <sheetName val="갑지"/>
      <sheetName val="지역본부별 실적"/>
      <sheetName val="거점별"/>
      <sheetName val="지점-대리점"/>
      <sheetName val="back-data"/>
      <sheetName val="TOT"/>
      <sheetName val="예산계획"/>
      <sheetName val="#REF"/>
      <sheetName val="금액내역서"/>
      <sheetName val="정부노임단가"/>
      <sheetName val="전기"/>
      <sheetName val="제품별110계"/>
      <sheetName val="2.대외공문"/>
      <sheetName val="대공종"/>
      <sheetName val="입찰안"/>
      <sheetName val="내역서(총)"/>
      <sheetName val="회의비등"/>
      <sheetName val="접대비"/>
      <sheetName val="교통비"/>
      <sheetName val="핸드폰"/>
      <sheetName val="당숙직"/>
      <sheetName val="영수증1"/>
      <sheetName val="영수증2"/>
      <sheetName val="정산서"/>
      <sheetName val="전표철"/>
      <sheetName val="인지대"/>
      <sheetName val="Sheet2"/>
      <sheetName val="Sheet3"/>
      <sheetName val="Sheet1"/>
      <sheetName val="출고증"/>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남양시작동자105노65기1.3화1.2"/>
      <sheetName val="보증"/>
      <sheetName val="총괄표"/>
      <sheetName val="97센_협"/>
      <sheetName val="5.세운W-A"/>
      <sheetName val="일위대가"/>
      <sheetName val="현장관리비 산출내역"/>
      <sheetName val="hvac(제어동)"/>
      <sheetName val="내역(자100%,노100%)기아화성UD동"/>
      <sheetName val="9-1차이내역"/>
      <sheetName val="대비"/>
      <sheetName val="0000"/>
      <sheetName val="조건변경"/>
      <sheetName val="완성검사증"/>
      <sheetName val="면세서류"/>
      <sheetName val="선반납"/>
      <sheetName val="신갈-반납"/>
      <sheetName val="협조전1"/>
      <sheetName val="3차조건변경"/>
      <sheetName val="매출취소"/>
      <sheetName val="4차조건변경"/>
      <sheetName val="기일연장"/>
      <sheetName val="변경내용"/>
      <sheetName val="견적서"/>
      <sheetName val="계정"/>
      <sheetName val="MASTER_IPL"/>
      <sheetName val="2.1COGS_소주"/>
      <sheetName val="본부소개"/>
      <sheetName val="DBL LPG시험"/>
      <sheetName val="자구계획db"/>
      <sheetName val="영업.일1"/>
      <sheetName val="3BL공동구 수량"/>
      <sheetName val="일위대가목차"/>
      <sheetName val="조건 (A)"/>
      <sheetName val="견적990322"/>
      <sheetName val="pivot monthly"/>
      <sheetName val="이자비용 (2)"/>
      <sheetName val="FD"/>
      <sheetName val="LD"/>
      <sheetName val="수입"/>
      <sheetName val="집계표"/>
      <sheetName val="개시대사 (2)"/>
      <sheetName val="직노"/>
      <sheetName val="경상비내역"/>
      <sheetName val="설계조건"/>
      <sheetName val="b_balju_cho"/>
      <sheetName val="국내조달(영상,시계,위성)"/>
      <sheetName val="국내조달(무선)"/>
      <sheetName val="GRACE"/>
      <sheetName val="OPT손익 내수"/>
      <sheetName val="OPT손익 수출"/>
      <sheetName val="HP1AMLIST"/>
      <sheetName val="매크로"/>
      <sheetName val="현금경비중역"/>
      <sheetName val="96년대비"/>
      <sheetName val="99경비"/>
      <sheetName val="eq_data"/>
      <sheetName val="조건"/>
      <sheetName val="유첨#2"/>
      <sheetName val="major"/>
      <sheetName val="①MT"/>
      <sheetName val="전기일위대가"/>
      <sheetName val="내역서"/>
      <sheetName val="손익분석"/>
      <sheetName val="Total"/>
      <sheetName val="PumpSpec"/>
      <sheetName val="영업소실적"/>
      <sheetName val="Angebot18.7."/>
      <sheetName val="Hyundai.Unit.cost.xls"/>
      <sheetName val="지역본부별_실적"/>
      <sheetName val="2_대외공문"/>
      <sheetName val="남양시작동자105노65기1_3화1_2"/>
      <sheetName val="5_세운W-A"/>
      <sheetName val="현장관리비_산출내역"/>
      <sheetName val="TRIM-Y3"/>
      <sheetName val="FRECEFECBAILEYS"/>
      <sheetName val="전문품의"/>
      <sheetName val="BSD (2)"/>
      <sheetName val="매출부문"/>
      <sheetName val="Y-WORK"/>
      <sheetName val="일위대가표"/>
      <sheetName val="소개"/>
      <sheetName val="TB"/>
      <sheetName val="계약ITEM"/>
      <sheetName val="DATA"/>
      <sheetName val="6PILE  (돌출)"/>
      <sheetName val="기숙사본건물도급내역"/>
      <sheetName val="969910( R)"/>
      <sheetName val="DATE"/>
      <sheetName val="UNSTEADY"/>
      <sheetName val="의장34반"/>
      <sheetName val="의장2반 "/>
      <sheetName val="노임"/>
      <sheetName val="98지급계획"/>
      <sheetName val="세부추진"/>
      <sheetName val="상용보강"/>
      <sheetName val="COPING"/>
      <sheetName val="말뚝지지력산정"/>
      <sheetName val="갑지(추정)"/>
      <sheetName val="DATA(BAC)"/>
      <sheetName val="관음목장(제출용)자105인97.5"/>
      <sheetName val="guard(mac)"/>
      <sheetName val="차량별점검"/>
      <sheetName val="터파기및재료"/>
      <sheetName val="조경"/>
      <sheetName val="인사자료총집계"/>
      <sheetName val="M1"/>
      <sheetName val="일반관리비"/>
      <sheetName val="UNIT"/>
      <sheetName val="파이프류"/>
      <sheetName val="Macro1"/>
      <sheetName val="월별손익"/>
      <sheetName val="SALE&amp;COST"/>
      <sheetName val="SG"/>
      <sheetName val="원단위"/>
      <sheetName val="종목코드"/>
      <sheetName val="COVER"/>
      <sheetName val="시험장S자로가로등공사"/>
      <sheetName val="TB12"/>
      <sheetName val="차수"/>
      <sheetName val="관람석제출"/>
      <sheetName val="1월"/>
      <sheetName val="노원열병합  건축공사기성내역서"/>
      <sheetName val="Calcs"/>
      <sheetName val="CAUDIT"/>
      <sheetName val="List1"/>
      <sheetName val="공통가설"/>
      <sheetName val="INPUT"/>
      <sheetName val="물량표S"/>
      <sheetName val="지역-가마감"/>
      <sheetName val="AP1"/>
      <sheetName val="캐스코(CRANE)_DwgList"/>
      <sheetName val="CVT산정"/>
      <sheetName val="시멘트"/>
      <sheetName val="pre"/>
      <sheetName val="다목적갑"/>
      <sheetName val="단가산출1"/>
      <sheetName val="전체현황"/>
      <sheetName val="총체보활공정표"/>
      <sheetName val="1.설계조건"/>
      <sheetName val="협조전 (39)"/>
      <sheetName val="협조전 (42)"/>
      <sheetName val="양식"/>
      <sheetName val="협조전 (41)"/>
      <sheetName val="수출실적양식"/>
      <sheetName val="협조전 (36)"/>
      <sheetName val="협조전 (40)"/>
      <sheetName val="협조전 (13)"/>
      <sheetName val="양식 (2)"/>
      <sheetName val="송금계획 (2)"/>
      <sheetName val="협조전 (20)"/>
      <sheetName val="송금계획"/>
      <sheetName val="협조전 (23)"/>
      <sheetName val="협조전 (25)"/>
      <sheetName val="협조전 (31)"/>
      <sheetName val="협조전 (37)"/>
      <sheetName val="직무내역최종"/>
      <sheetName val="협조전 (45)"/>
      <sheetName val="협조전 (48)"/>
      <sheetName val="협조전 (58)"/>
      <sheetName val="협조전 (59)"/>
      <sheetName val="협조전 (57)"/>
      <sheetName val="협조전 (60)"/>
      <sheetName val="협조전`(59)"/>
      <sheetName val="회사99"/>
      <sheetName val="예산총괄"/>
      <sheetName val="인부신상자료"/>
      <sheetName val=""/>
      <sheetName val="세목별"/>
      <sheetName val="calcul"/>
      <sheetName val="F4-F7"/>
      <sheetName val="ELEC_DCI"/>
      <sheetName val="INST_DCI"/>
      <sheetName val="REINF."/>
      <sheetName val="SKETCH"/>
      <sheetName val="LOADS"/>
      <sheetName val="인건비"/>
      <sheetName val="업무분장"/>
      <sheetName val="소속순"/>
      <sheetName val="3.현장배치"/>
      <sheetName val="한계원가"/>
      <sheetName val="교각1"/>
      <sheetName val="1단계"/>
      <sheetName val="근로자자료입력"/>
      <sheetName val="참고자료"/>
      <sheetName val="실행철강하도"/>
      <sheetName val="dia chi"/>
      <sheetName val="loan0006"/>
      <sheetName val="95하U$가격"/>
      <sheetName val="전체"/>
      <sheetName val="급여"/>
      <sheetName val="CALENDAR"/>
      <sheetName val="2_대외공문1"/>
      <sheetName val="협조전_(39)"/>
      <sheetName val="협조전_(42)"/>
      <sheetName val="협조전_(41)"/>
      <sheetName val="협조전_(36)"/>
      <sheetName val="협조전_(40)"/>
      <sheetName val="협조전_(13)"/>
      <sheetName val="양식_(2)"/>
      <sheetName val="송금계획_(2)"/>
      <sheetName val="협조전_(20)"/>
      <sheetName val="협조전_(23)"/>
      <sheetName val="협조전_(25)"/>
      <sheetName val="협조전_(31)"/>
      <sheetName val="협조전_(37)"/>
      <sheetName val="협조전_(45)"/>
      <sheetName val="협조전_(48)"/>
      <sheetName val="협조전_(58)"/>
      <sheetName val="협조전_(59)"/>
      <sheetName val="협조전_(57)"/>
      <sheetName val="협조전_(60)"/>
      <sheetName val="신규DEP"/>
      <sheetName val="96수출"/>
      <sheetName val="실행대비"/>
      <sheetName val="sm"/>
      <sheetName val="초임연봉"/>
      <sheetName val="RD제품개발투자비(매가)"/>
      <sheetName val="예산서"/>
      <sheetName val="과제"/>
      <sheetName val="환율"/>
      <sheetName val="토목"/>
      <sheetName val="xxxxxx"/>
      <sheetName val="KD율"/>
      <sheetName val="Tender Summary"/>
      <sheetName val="공사내역"/>
      <sheetName val="부대대비"/>
      <sheetName val="냉연집계"/>
      <sheetName val="ACTDATA"/>
      <sheetName val="1,2공구원가계산서"/>
      <sheetName val="2공구산출내역"/>
      <sheetName val="1공구산출내역서"/>
      <sheetName val="인원계획"/>
      <sheetName val="#REF!"/>
      <sheetName val="전입"/>
      <sheetName val="I.설계조건"/>
      <sheetName val="BANGKEXUAT"/>
      <sheetName val="Budget"/>
      <sheetName val="여과지동"/>
      <sheetName val="기초자료"/>
      <sheetName val="계열사현황종합"/>
      <sheetName val="콘크리트타설집계표"/>
      <sheetName val="대외공문"/>
      <sheetName val="2COMPO_TABLE"/>
      <sheetName val="간접"/>
      <sheetName val="개요"/>
      <sheetName val="TEL"/>
      <sheetName val="A-4"/>
      <sheetName val="조명시설"/>
      <sheetName val="danga"/>
      <sheetName val="ilch"/>
      <sheetName val="1.우편집중내역서"/>
      <sheetName val="ELECTRIC"/>
      <sheetName val="POL6차-PIPING"/>
      <sheetName val="단가대비"/>
      <sheetName val="200309퇴직추계"/>
      <sheetName val="본사현황"/>
      <sheetName val="97계획(96.11"/>
      <sheetName val="EQT-ESTN"/>
      <sheetName val="BID"/>
      <sheetName val="-15.0"/>
      <sheetName val="도"/>
      <sheetName val="가시설단위수량"/>
      <sheetName val="조명율표"/>
      <sheetName val="입력"/>
      <sheetName val="TABLE DB"/>
      <sheetName val="쌍용 data base"/>
      <sheetName val="에너지동"/>
      <sheetName val="설비"/>
      <sheetName val="수량산출서"/>
      <sheetName val="B-III"/>
      <sheetName val="97 사업추정(WEKI)"/>
      <sheetName val="95MAKER"/>
      <sheetName val="건축내역"/>
      <sheetName val="FOB발"/>
      <sheetName val="분석"/>
      <sheetName val="시추주상도"/>
      <sheetName val="Q827"/>
      <sheetName val="전제"/>
      <sheetName val="토공"/>
      <sheetName val="공량산출서"/>
      <sheetName val="05계약의약품관리 (2)"/>
      <sheetName val="6호기"/>
      <sheetName val="M6KK06018"/>
      <sheetName val="수리결과"/>
      <sheetName val="시설물일위"/>
      <sheetName val="출장거리"/>
      <sheetName val="노임이"/>
      <sheetName val="고정자산원본"/>
      <sheetName val="3련 BOX"/>
      <sheetName val="세부내역"/>
      <sheetName val="종합(PD,FD,RS)"/>
      <sheetName val="계산근거"/>
      <sheetName val="차액보증"/>
      <sheetName val="소비자가"/>
      <sheetName val="지사"/>
      <sheetName val="CODE"/>
      <sheetName val="지급자재"/>
      <sheetName val="가감수량"/>
      <sheetName val="맨홀수량산출"/>
      <sheetName val="계산표지"/>
      <sheetName val="factors"/>
      <sheetName val="공사별 가중치 산출근거(건축)"/>
      <sheetName val="공사별 가중치 산출근거(토목)"/>
      <sheetName val="가중치근거(조경)"/>
      <sheetName val="개별스왑명세표"/>
      <sheetName val="차입금적"/>
      <sheetName val="5.경상직원"/>
      <sheetName val="원료"/>
      <sheetName val="1-1"/>
      <sheetName val="FRC"/>
      <sheetName val="MASTER"/>
      <sheetName val="WORK"/>
      <sheetName val="전력구구조물산근"/>
      <sheetName val="을"/>
      <sheetName val="DATA1"/>
      <sheetName val="노임단가"/>
      <sheetName val="경비_원본"/>
      <sheetName val="3"/>
      <sheetName val="특수선일위대가"/>
      <sheetName val=" "/>
      <sheetName val="노동부"/>
      <sheetName val="APT내역"/>
      <sheetName val="부대시설"/>
      <sheetName val="TONG HOP VL-NC TT"/>
      <sheetName val="CHITIET VL-NC-TT -1p"/>
      <sheetName val="TDTKP1"/>
      <sheetName val="KPVC-BD "/>
      <sheetName val="dtxl"/>
      <sheetName val="RDLEVLST"/>
      <sheetName val="1.2내수"/>
      <sheetName val="9-1차이내역."/>
      <sheetName val="수출가격"/>
      <sheetName val="기계내역"/>
      <sheetName val="breakdown"/>
      <sheetName val="간접비계산"/>
      <sheetName val="DEP"/>
      <sheetName val="정공공사"/>
      <sheetName val="상반기손익차2총괄"/>
      <sheetName val="공구별 통합실행내역"/>
      <sheetName val="Macro(전선)"/>
      <sheetName val="대비표(토공1안)"/>
      <sheetName val="소업1교"/>
      <sheetName val="조직"/>
      <sheetName val="교통대책내역"/>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출장"/>
      <sheetName val="2.철골"/>
      <sheetName val="3.판넬"/>
      <sheetName val="4.건축"/>
      <sheetName val="5.조건"/>
      <sheetName val="6.분석"/>
      <sheetName val="7.집계"/>
      <sheetName val="8.총괄"/>
      <sheetName val="9.표지"/>
      <sheetName val="건축총괄"/>
      <sheetName val="총괄대비"/>
      <sheetName val="공사비집계"/>
      <sheetName val="부대총괄"/>
      <sheetName val="철골-판넬"/>
      <sheetName val="기초분석"/>
      <sheetName val="공장대비2A"/>
      <sheetName val="부대집계"/>
      <sheetName val="외벽판넬"/>
      <sheetName val="부대-철골"/>
      <sheetName val="부대-R.C.1"/>
      <sheetName val="부대-R.C.2"/>
      <sheetName val="추정공사비"/>
      <sheetName val="실결-01"/>
      <sheetName val="실결-02"/>
      <sheetName val="내역-01"/>
      <sheetName val="내역-02"/>
      <sheetName val="내역-기성"/>
      <sheetName val="속지"/>
      <sheetName val="경상기준"/>
      <sheetName val="공장대비"/>
      <sheetName val="공장대비2"/>
      <sheetName val="냉연집계"/>
      <sheetName val="부대대비"/>
      <sheetName val="협조전"/>
      <sheetName val="Personnaliser votre facture"/>
      <sheetName val="차수"/>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5내수 (2)"/>
      <sheetName val="96내수"/>
      <sheetName val="96수출"/>
      <sheetName val="RES"/>
      <sheetName val="96__"/>
      <sheetName val="지역본부별 실적"/>
      <sheetName val="거점별"/>
      <sheetName val="지점-대리점"/>
      <sheetName val="back-data"/>
      <sheetName val="(2)"/>
      <sheetName val="협조전"/>
      <sheetName val="관람석제출"/>
      <sheetName val="변경내용"/>
      <sheetName val="회의비등"/>
      <sheetName val="접대비"/>
      <sheetName val="교통비"/>
      <sheetName val="핸드폰"/>
      <sheetName val="당숙직"/>
      <sheetName val="영수증1"/>
      <sheetName val="영수증2"/>
      <sheetName val="정산서"/>
      <sheetName val="전표철"/>
      <sheetName val="Sheet1"/>
      <sheetName val="Sheet2"/>
      <sheetName val="Sheet3"/>
      <sheetName val="ML"/>
      <sheetName val="TOT"/>
      <sheetName val="TCA"/>
      <sheetName val="세목별"/>
      <sheetName val="3BL공동구 수량"/>
      <sheetName val="type-F"/>
      <sheetName val="내역(자100%,노100%)기아화성UD동"/>
      <sheetName val="관리96"/>
      <sheetName val="2.대외공문"/>
      <sheetName val="공통비"/>
      <sheetName val="#REF"/>
      <sheetName val="일지-H"/>
      <sheetName val="TEL"/>
      <sheetName val="신고서.전"/>
      <sheetName val="계정"/>
      <sheetName val="전체현황"/>
      <sheetName val="CVT산정"/>
      <sheetName val="추가 종합"/>
      <sheetName val="구동"/>
      <sheetName val="부대대비"/>
      <sheetName val="냉연집계"/>
      <sheetName val="기계"/>
      <sheetName val="정부노임단가"/>
      <sheetName val="항목(1)"/>
      <sheetName val=" 견적서"/>
      <sheetName val="A-4"/>
      <sheetName val="지사"/>
      <sheetName val="주소(한문)"/>
      <sheetName val="견적990322"/>
      <sheetName val="총괄표"/>
      <sheetName val="대외공문"/>
      <sheetName val="99경비"/>
      <sheetName val="소상 &quot;1&quot;"/>
      <sheetName val="유통망계획"/>
      <sheetName val="full (2)"/>
      <sheetName val="PTR台손익"/>
      <sheetName val="차액보증"/>
      <sheetName val="2COMPO_TABLE"/>
      <sheetName val="수입"/>
      <sheetName val="마북 손익분석(CATIA)"/>
      <sheetName val="일위대가목차"/>
      <sheetName val="설산1.나"/>
      <sheetName val="본사S"/>
      <sheetName val="입찰안"/>
      <sheetName val="기초"/>
      <sheetName val="BID"/>
      <sheetName val="차수"/>
      <sheetName val="예산계획"/>
      <sheetName val="95내수_(2)"/>
      <sheetName val="지역본부별_실적"/>
      <sheetName val="3BL공동구_수량"/>
      <sheetName val="2_대외공문"/>
      <sheetName val="신고서_전"/>
      <sheetName val="DATA(BAC)"/>
      <sheetName val="차량별점검"/>
      <sheetName val="수리결과"/>
      <sheetName val="BUS제원1"/>
      <sheetName val="95계획"/>
      <sheetName val="FRECEFECBAILEYS"/>
      <sheetName val="해외"/>
      <sheetName val="입력"/>
      <sheetName val="95내수_(2)1"/>
      <sheetName val="지역본부별_실적1"/>
      <sheetName val="3BL공동구_수량1"/>
      <sheetName val="2_대외공문1"/>
      <sheetName val="신고서_전1"/>
      <sheetName val="추가_종합"/>
      <sheetName val="_견적서"/>
      <sheetName val="소상_&quot;1&quot;"/>
      <sheetName val="full_(2)"/>
      <sheetName val="마북_손익분석(CATIA)"/>
      <sheetName val="설산1_나"/>
      <sheetName val="전문품의"/>
      <sheetName val="영업.일1"/>
      <sheetName val="1.변경범위"/>
      <sheetName val="MOTOR"/>
      <sheetName val="종목코드"/>
      <sheetName val="P.M 별"/>
      <sheetName val="소유주(원)"/>
      <sheetName val="현금경비중역"/>
      <sheetName val="1ST"/>
      <sheetName val="G703"/>
      <sheetName val="경비공통"/>
      <sheetName val="3"/>
      <sheetName val="선급비용"/>
      <sheetName val="5.경상직원"/>
      <sheetName val="갑지(추정)"/>
      <sheetName val="데이타"/>
      <sheetName val="DATA"/>
      <sheetName val="공통부대비"/>
      <sheetName val="F4-F7"/>
      <sheetName val="차잆금상환"/>
      <sheetName val="RD제품개발투자비(매가)"/>
      <sheetName val="실행철강하도"/>
      <sheetName val="을지"/>
      <sheetName val="건축원가계산서"/>
      <sheetName val="공구기구"/>
      <sheetName val="간이연락"/>
      <sheetName val="내역서"/>
      <sheetName val="#2.현지인_급여T"/>
      <sheetName val="보고FLOW"/>
      <sheetName val="집계표"/>
      <sheetName val="자재선정"/>
      <sheetName val="3련 BOX"/>
      <sheetName val="경비2내역"/>
      <sheetName val="기계내역"/>
      <sheetName val="가공비"/>
      <sheetName val="Equipment"/>
      <sheetName val="TL,Termination"/>
      <sheetName val="Cable,Conduit"/>
      <sheetName val="Instrument"/>
      <sheetName val="CAUDIT"/>
      <sheetName val="Performance Rate"/>
      <sheetName val="상반기경분통보"/>
      <sheetName val="FRT_O"/>
      <sheetName val="FAB_I"/>
      <sheetName val="PRESS DATA"/>
      <sheetName val="I.설계조건"/>
      <sheetName val="UNIT"/>
      <sheetName val="Breakdown sum"/>
      <sheetName val="서울AS지역"/>
      <sheetName val="강평자료"/>
      <sheetName val="항목_1_"/>
      <sheetName val="선정요령"/>
      <sheetName val="도급양식"/>
      <sheetName val="부하계산서"/>
      <sheetName val="Macro(전기)"/>
      <sheetName val="총괄"/>
      <sheetName val="일위대가표"/>
      <sheetName val="준검 내역서"/>
      <sheetName val="업무분장"/>
      <sheetName val="조건 (A)"/>
      <sheetName val="BF106_완"/>
      <sheetName val="조명시설"/>
      <sheetName val="Total"/>
      <sheetName val="원가"/>
      <sheetName val="계열사현황종합"/>
      <sheetName val="개별스왑명세표"/>
      <sheetName val="cap01"/>
      <sheetName val="외화금융(97-03)"/>
      <sheetName val="May."/>
      <sheetName val="June."/>
      <sheetName val="Quotation(Mar.01.09~)"/>
      <sheetName val="물량표"/>
      <sheetName val="일위대가"/>
      <sheetName val="Timesheet"/>
      <sheetName val="DWPM"/>
      <sheetName val="물량표(신)"/>
      <sheetName val="6호기"/>
      <sheetName val="갑지"/>
      <sheetName val="간접경상비"/>
      <sheetName val="3사분기"/>
      <sheetName val="재무가정"/>
      <sheetName val="93상각비"/>
      <sheetName val="설계조건"/>
      <sheetName val="-15.0"/>
      <sheetName val="HEAD"/>
      <sheetName val="수량산출서"/>
      <sheetName val="9-1차이내역"/>
      <sheetName val="Sheet14"/>
      <sheetName val="Sheet15"/>
      <sheetName val="토공(완충)"/>
      <sheetName val="공사별 가중치 산출근거(건축)"/>
      <sheetName val="공사별 가중치 산출근거(토목)"/>
      <sheetName val="가중치근거(조경)"/>
      <sheetName val="N賃率-職"/>
      <sheetName val="자재집계표"/>
      <sheetName val="95내수_(2)2"/>
      <sheetName val="지역본부별_실적2"/>
      <sheetName val="3BL공동구_수량2"/>
      <sheetName val="2_대외공문2"/>
      <sheetName val="신고서_전2"/>
      <sheetName val="추가_종합1"/>
      <sheetName val="_견적서1"/>
      <sheetName val="소상_&quot;1&quot;1"/>
      <sheetName val="full_(2)1"/>
      <sheetName val="마북_손익분석(CATIA)1"/>
      <sheetName val="설산1_나1"/>
      <sheetName val="영업_일1"/>
      <sheetName val="5_경상직원"/>
      <sheetName val="P_M_별"/>
      <sheetName val="1_변경범위"/>
      <sheetName val="#2_현지인_급여T"/>
      <sheetName val="3련_BOX"/>
      <sheetName val="Performance_Rate"/>
      <sheetName val="PRESS_DATA"/>
      <sheetName val="I_설계조건"/>
      <sheetName val="Breakdown_sum"/>
      <sheetName val="부재치수입력"/>
      <sheetName val="DRAIN DRUM PIT D-301"/>
      <sheetName val="1단계"/>
      <sheetName val="NAI"/>
      <sheetName val="GRACE"/>
      <sheetName val="회사99"/>
      <sheetName val="HDECGTY"/>
    </sheetNames>
    <sheetDataSet>
      <sheetData sheetId="0" refreshError="1"/>
      <sheetData sheetId="1" refreshError="1"/>
      <sheetData sheetId="2"/>
      <sheetData sheetId="3"/>
      <sheetData sheetId="4"/>
      <sheetData sheetId="5"/>
      <sheetData sheetId="6"/>
      <sheetData sheetId="7"/>
      <sheetData sheetId="8"/>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sheetData sheetId="193"/>
      <sheetData sheetId="194"/>
      <sheetData sheetId="195"/>
      <sheetData sheetId="196"/>
      <sheetData sheetId="197"/>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철근 (4)"/>
      <sheetName val="잡철"/>
      <sheetName val="타일"/>
      <sheetName val="타일분할"/>
      <sheetName val="AL창호"/>
      <sheetName val="미장1공구"/>
      <sheetName val="미장근거"/>
      <sheetName val="미장2공구"/>
      <sheetName val="Sheet1"/>
      <sheetName val="미장2공구 (2)"/>
      <sheetName val="기성집계 "/>
      <sheetName val="동극"/>
      <sheetName val="상진"/>
      <sheetName val="여흥"/>
      <sheetName val="왕용"/>
      <sheetName val="자재기성비율"/>
      <sheetName val="동극산출 (2)"/>
      <sheetName val="상진산출 (2)"/>
      <sheetName val="여흥산출 (2)"/>
      <sheetName val="왕용산출 (2)"/>
      <sheetName val="동극산출 (3)"/>
      <sheetName val="상진산출 (3)"/>
      <sheetName val="여흥산출 (3)"/>
      <sheetName val="왕용산출 (3)"/>
      <sheetName val="방수 (2)"/>
      <sheetName val="조적1공구 (2)"/>
      <sheetName val="조적2공구 "/>
      <sheetName val="폐기물처리"/>
      <sheetName val="파일"/>
      <sheetName val="단위중량"/>
      <sheetName val="부대내역"/>
      <sheetName val="96수출"/>
      <sheetName val="CVT산정"/>
      <sheetName val="기성99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5">
          <cell r="A5" t="str">
            <v xml:space="preserve"> 1. 철근콘크리트공사(3공구)면세</v>
          </cell>
        </row>
        <row r="6">
          <cell r="A6" t="str">
            <v>먹및규준틀</v>
          </cell>
          <cell r="B6"/>
          <cell r="C6" t="str">
            <v>M2</v>
          </cell>
          <cell r="D6">
            <v>34731</v>
          </cell>
          <cell r="E6">
            <v>500</v>
          </cell>
          <cell r="F6">
            <v>17365500</v>
          </cell>
          <cell r="G6">
            <v>7417</v>
          </cell>
          <cell r="H6">
            <v>3708500</v>
          </cell>
          <cell r="I6">
            <v>1062</v>
          </cell>
          <cell r="J6">
            <v>531000</v>
          </cell>
          <cell r="K6">
            <v>8479</v>
          </cell>
          <cell r="L6">
            <v>4239500</v>
          </cell>
        </row>
        <row r="7">
          <cell r="A7" t="str">
            <v>외부쌍줄비계</v>
          </cell>
          <cell r="B7"/>
          <cell r="C7" t="str">
            <v>M2</v>
          </cell>
          <cell r="D7">
            <v>31638</v>
          </cell>
          <cell r="E7">
            <v>4400</v>
          </cell>
          <cell r="F7">
            <v>139207200</v>
          </cell>
          <cell r="G7">
            <v>3689</v>
          </cell>
          <cell r="H7">
            <v>16231600</v>
          </cell>
          <cell r="I7">
            <v>410</v>
          </cell>
          <cell r="J7">
            <v>1804000</v>
          </cell>
          <cell r="K7">
            <v>4099</v>
          </cell>
          <cell r="L7">
            <v>18035600</v>
          </cell>
        </row>
        <row r="8">
          <cell r="A8" t="str">
            <v>비계다리</v>
          </cell>
          <cell r="B8"/>
          <cell r="C8" t="str">
            <v>EA</v>
          </cell>
          <cell r="D8">
            <v>12</v>
          </cell>
          <cell r="E8">
            <v>220000</v>
          </cell>
          <cell r="F8">
            <v>2640000</v>
          </cell>
          <cell r="G8">
            <v>0</v>
          </cell>
          <cell r="H8">
            <v>0</v>
          </cell>
          <cell r="J8">
            <v>0</v>
          </cell>
          <cell r="K8">
            <v>0</v>
          </cell>
          <cell r="L8">
            <v>0</v>
          </cell>
        </row>
        <row r="9">
          <cell r="A9" t="str">
            <v>내부수평비계</v>
          </cell>
          <cell r="B9" t="str">
            <v>H=4M이상</v>
          </cell>
          <cell r="C9" t="str">
            <v>M2</v>
          </cell>
          <cell r="D9">
            <v>1364</v>
          </cell>
          <cell r="E9">
            <v>6500</v>
          </cell>
          <cell r="F9">
            <v>8866000</v>
          </cell>
          <cell r="G9">
            <v>0</v>
          </cell>
          <cell r="H9">
            <v>0</v>
          </cell>
          <cell r="J9">
            <v>0</v>
          </cell>
          <cell r="K9">
            <v>0</v>
          </cell>
          <cell r="L9">
            <v>0</v>
          </cell>
        </row>
        <row r="10">
          <cell r="A10" t="str">
            <v>E.VSHAFT내부수평비계16층</v>
          </cell>
          <cell r="C10" t="str">
            <v>개소</v>
          </cell>
          <cell r="D10">
            <v>5</v>
          </cell>
          <cell r="E10">
            <v>1700000</v>
          </cell>
          <cell r="F10">
            <v>8500000</v>
          </cell>
          <cell r="G10">
            <v>0</v>
          </cell>
          <cell r="H10">
            <v>0</v>
          </cell>
          <cell r="J10">
            <v>0</v>
          </cell>
          <cell r="K10">
            <v>0</v>
          </cell>
          <cell r="L10">
            <v>0</v>
          </cell>
        </row>
        <row r="11">
          <cell r="A11" t="str">
            <v>레미콘타설(철근)</v>
          </cell>
          <cell r="B11" t="str">
            <v>부속동</v>
          </cell>
          <cell r="C11" t="str">
            <v>M3</v>
          </cell>
          <cell r="D11">
            <v>16867</v>
          </cell>
          <cell r="E11">
            <v>7200</v>
          </cell>
          <cell r="F11">
            <v>121442400</v>
          </cell>
          <cell r="G11">
            <v>8671</v>
          </cell>
          <cell r="H11">
            <v>62431200</v>
          </cell>
          <cell r="I11">
            <v>2498</v>
          </cell>
          <cell r="J11">
            <v>17985600</v>
          </cell>
          <cell r="K11">
            <v>11169</v>
          </cell>
          <cell r="L11">
            <v>80416800</v>
          </cell>
        </row>
        <row r="12">
          <cell r="A12" t="str">
            <v>레미콘타설(철근)</v>
          </cell>
          <cell r="B12" t="str">
            <v>APT15층</v>
          </cell>
          <cell r="C12" t="str">
            <v>M3</v>
          </cell>
          <cell r="D12">
            <v>8739</v>
          </cell>
          <cell r="E12">
            <v>7400</v>
          </cell>
          <cell r="F12">
            <v>64668600</v>
          </cell>
          <cell r="G12">
            <v>290</v>
          </cell>
          <cell r="H12">
            <v>2146000</v>
          </cell>
          <cell r="I12">
            <v>244</v>
          </cell>
          <cell r="J12">
            <v>1805600</v>
          </cell>
          <cell r="K12">
            <v>534</v>
          </cell>
          <cell r="L12">
            <v>3951600</v>
          </cell>
        </row>
        <row r="13">
          <cell r="A13" t="str">
            <v>레미콘타설(철근)</v>
          </cell>
          <cell r="B13" t="str">
            <v>APT16층</v>
          </cell>
          <cell r="C13" t="str">
            <v>M3</v>
          </cell>
          <cell r="D13">
            <v>2992</v>
          </cell>
          <cell r="E13">
            <v>7700</v>
          </cell>
          <cell r="F13">
            <v>23038400</v>
          </cell>
          <cell r="G13">
            <v>0</v>
          </cell>
          <cell r="H13">
            <v>0</v>
          </cell>
          <cell r="J13">
            <v>0</v>
          </cell>
          <cell r="K13">
            <v>0</v>
          </cell>
          <cell r="L13">
            <v>0</v>
          </cell>
        </row>
        <row r="14">
          <cell r="A14" t="str">
            <v>레미콘타설(무근)</v>
          </cell>
          <cell r="B14"/>
          <cell r="C14" t="str">
            <v>M3</v>
          </cell>
          <cell r="D14">
            <v>2497</v>
          </cell>
          <cell r="E14">
            <v>7000</v>
          </cell>
          <cell r="F14">
            <v>17479000</v>
          </cell>
          <cell r="G14">
            <v>126</v>
          </cell>
          <cell r="H14">
            <v>882000</v>
          </cell>
          <cell r="I14">
            <v>68</v>
          </cell>
          <cell r="J14">
            <v>476000</v>
          </cell>
          <cell r="K14">
            <v>194</v>
          </cell>
          <cell r="L14">
            <v>1358000</v>
          </cell>
        </row>
        <row r="15">
          <cell r="A15" t="str">
            <v>거푸집(3회15층)</v>
          </cell>
          <cell r="B15" t="str">
            <v>APT손료</v>
          </cell>
          <cell r="C15" t="str">
            <v>M2</v>
          </cell>
          <cell r="D15">
            <v>35061</v>
          </cell>
          <cell r="E15">
            <v>5100</v>
          </cell>
          <cell r="F15">
            <v>178811100</v>
          </cell>
          <cell r="G15">
            <v>267</v>
          </cell>
          <cell r="H15">
            <v>1361700</v>
          </cell>
          <cell r="I15">
            <v>585</v>
          </cell>
          <cell r="J15">
            <v>2983500</v>
          </cell>
          <cell r="K15">
            <v>852</v>
          </cell>
          <cell r="L15">
            <v>4345200</v>
          </cell>
        </row>
        <row r="16">
          <cell r="A16" t="str">
            <v>거푸집(3회15층)</v>
          </cell>
          <cell r="B16" t="str">
            <v>APT공임</v>
          </cell>
          <cell r="C16" t="str">
            <v>M2</v>
          </cell>
          <cell r="D16">
            <v>35061</v>
          </cell>
          <cell r="E16">
            <v>6100</v>
          </cell>
          <cell r="F16">
            <v>213872100</v>
          </cell>
          <cell r="G16">
            <v>267</v>
          </cell>
          <cell r="H16">
            <v>1628700</v>
          </cell>
          <cell r="I16">
            <v>585</v>
          </cell>
          <cell r="J16">
            <v>3568500</v>
          </cell>
          <cell r="K16">
            <v>852</v>
          </cell>
          <cell r="L16">
            <v>5197200</v>
          </cell>
        </row>
        <row r="17">
          <cell r="A17" t="str">
            <v>거푸집(3회16층)</v>
          </cell>
          <cell r="B17" t="str">
            <v>APT손료</v>
          </cell>
          <cell r="C17" t="str">
            <v>M2</v>
          </cell>
          <cell r="D17">
            <v>15584</v>
          </cell>
          <cell r="E17">
            <v>5300</v>
          </cell>
          <cell r="F17">
            <v>82595200</v>
          </cell>
          <cell r="G17">
            <v>0</v>
          </cell>
          <cell r="H17">
            <v>0</v>
          </cell>
          <cell r="J17">
            <v>0</v>
          </cell>
          <cell r="K17">
            <v>0</v>
          </cell>
          <cell r="L17">
            <v>0</v>
          </cell>
        </row>
        <row r="18">
          <cell r="A18" t="str">
            <v>거푸집(3회16층)</v>
          </cell>
          <cell r="B18" t="str">
            <v>APT공임</v>
          </cell>
          <cell r="C18" t="str">
            <v>M2</v>
          </cell>
          <cell r="D18">
            <v>15584</v>
          </cell>
          <cell r="E18">
            <v>6300</v>
          </cell>
          <cell r="F18">
            <v>98179200</v>
          </cell>
          <cell r="G18">
            <v>0</v>
          </cell>
          <cell r="H18">
            <v>0</v>
          </cell>
          <cell r="J18">
            <v>0</v>
          </cell>
          <cell r="K18">
            <v>0</v>
          </cell>
          <cell r="L18">
            <v>0</v>
          </cell>
        </row>
        <row r="19">
          <cell r="A19" t="str">
            <v>거푸집(4회15층)</v>
          </cell>
          <cell r="B19" t="str">
            <v>APT손료</v>
          </cell>
          <cell r="C19" t="str">
            <v>M2</v>
          </cell>
          <cell r="D19">
            <v>1135</v>
          </cell>
          <cell r="E19">
            <v>4600</v>
          </cell>
          <cell r="F19">
            <v>5221000</v>
          </cell>
          <cell r="G19">
            <v>0</v>
          </cell>
          <cell r="H19">
            <v>0</v>
          </cell>
          <cell r="J19">
            <v>0</v>
          </cell>
          <cell r="K19">
            <v>0</v>
          </cell>
          <cell r="L19">
            <v>0</v>
          </cell>
        </row>
        <row r="20">
          <cell r="A20" t="str">
            <v>거푸집(4회15층)</v>
          </cell>
          <cell r="B20" t="str">
            <v>APT공임</v>
          </cell>
          <cell r="C20" t="str">
            <v>M2</v>
          </cell>
          <cell r="D20">
            <v>1135</v>
          </cell>
          <cell r="E20">
            <v>5800</v>
          </cell>
          <cell r="F20">
            <v>6583000</v>
          </cell>
          <cell r="G20">
            <v>0</v>
          </cell>
          <cell r="H20">
            <v>0</v>
          </cell>
          <cell r="J20">
            <v>0</v>
          </cell>
          <cell r="K20">
            <v>0</v>
          </cell>
          <cell r="L20">
            <v>0</v>
          </cell>
        </row>
        <row r="21">
          <cell r="A21" t="str">
            <v>거푸집(곡면15층)</v>
          </cell>
          <cell r="B21" t="str">
            <v>APT손료</v>
          </cell>
          <cell r="C21" t="str">
            <v>M2</v>
          </cell>
          <cell r="D21">
            <v>29</v>
          </cell>
          <cell r="E21">
            <v>5500</v>
          </cell>
          <cell r="F21">
            <v>159500</v>
          </cell>
          <cell r="G21">
            <v>0</v>
          </cell>
          <cell r="H21">
            <v>0</v>
          </cell>
          <cell r="J21">
            <v>0</v>
          </cell>
          <cell r="K21">
            <v>0</v>
          </cell>
          <cell r="L21">
            <v>0</v>
          </cell>
        </row>
        <row r="22">
          <cell r="A22" t="str">
            <v>거푸집(곡면15층)</v>
          </cell>
          <cell r="B22" t="str">
            <v>APT공임</v>
          </cell>
          <cell r="C22" t="str">
            <v>M2</v>
          </cell>
          <cell r="D22">
            <v>29</v>
          </cell>
          <cell r="E22">
            <v>8500</v>
          </cell>
          <cell r="F22">
            <v>246500</v>
          </cell>
          <cell r="G22">
            <v>0</v>
          </cell>
          <cell r="H22">
            <v>0</v>
          </cell>
          <cell r="J22">
            <v>0</v>
          </cell>
          <cell r="K22">
            <v>0</v>
          </cell>
          <cell r="L22">
            <v>0</v>
          </cell>
        </row>
        <row r="23">
          <cell r="A23" t="str">
            <v>거푸집(EURO15층)</v>
          </cell>
          <cell r="B23" t="str">
            <v>손료</v>
          </cell>
          <cell r="C23" t="str">
            <v>M2</v>
          </cell>
          <cell r="D23">
            <v>32863</v>
          </cell>
          <cell r="E23">
            <v>3800</v>
          </cell>
          <cell r="F23">
            <v>124879400</v>
          </cell>
          <cell r="G23">
            <v>3393</v>
          </cell>
          <cell r="H23">
            <v>12893400</v>
          </cell>
          <cell r="I23">
            <v>1363</v>
          </cell>
          <cell r="J23">
            <v>5179400</v>
          </cell>
          <cell r="K23">
            <v>4756</v>
          </cell>
          <cell r="L23">
            <v>18072800</v>
          </cell>
        </row>
        <row r="24">
          <cell r="A24" t="str">
            <v>거푸집(EURO15층)</v>
          </cell>
          <cell r="B24" t="str">
            <v>공임</v>
          </cell>
          <cell r="C24" t="str">
            <v>M2</v>
          </cell>
          <cell r="D24">
            <v>32863</v>
          </cell>
          <cell r="E24">
            <v>5500</v>
          </cell>
          <cell r="F24">
            <v>180746500</v>
          </cell>
          <cell r="G24">
            <v>3393</v>
          </cell>
          <cell r="H24">
            <v>18661500</v>
          </cell>
          <cell r="I24">
            <v>1363</v>
          </cell>
          <cell r="J24">
            <v>7496500</v>
          </cell>
          <cell r="K24">
            <v>4756</v>
          </cell>
          <cell r="L24">
            <v>26158000</v>
          </cell>
        </row>
        <row r="25">
          <cell r="A25" t="str">
            <v>거푸집(EURO16층)</v>
          </cell>
          <cell r="B25" t="str">
            <v>손료</v>
          </cell>
          <cell r="C25" t="str">
            <v>M2</v>
          </cell>
          <cell r="D25">
            <v>10545</v>
          </cell>
          <cell r="E25">
            <v>3900</v>
          </cell>
          <cell r="F25">
            <v>41125500</v>
          </cell>
          <cell r="G25">
            <v>0</v>
          </cell>
          <cell r="H25">
            <v>0</v>
          </cell>
          <cell r="J25">
            <v>0</v>
          </cell>
          <cell r="K25">
            <v>0</v>
          </cell>
          <cell r="L25">
            <v>0</v>
          </cell>
        </row>
        <row r="26">
          <cell r="A26" t="str">
            <v>거푸집(EURO16층)</v>
          </cell>
          <cell r="B26" t="str">
            <v>공임</v>
          </cell>
          <cell r="C26" t="str">
            <v>M2</v>
          </cell>
          <cell r="D26">
            <v>10545</v>
          </cell>
          <cell r="E26">
            <v>5800</v>
          </cell>
          <cell r="F26">
            <v>61161000</v>
          </cell>
          <cell r="G26">
            <v>0</v>
          </cell>
          <cell r="H26">
            <v>0</v>
          </cell>
          <cell r="J26">
            <v>0</v>
          </cell>
          <cell r="K26">
            <v>0</v>
          </cell>
          <cell r="L26">
            <v>0</v>
          </cell>
        </row>
        <row r="27">
          <cell r="A27" t="str">
            <v>거푸집(RIB15층)</v>
          </cell>
          <cell r="B27" t="str">
            <v>손료</v>
          </cell>
          <cell r="C27" t="str">
            <v>M2</v>
          </cell>
          <cell r="D27">
            <v>5532</v>
          </cell>
          <cell r="E27">
            <v>4500</v>
          </cell>
          <cell r="F27">
            <v>24894000</v>
          </cell>
          <cell r="G27">
            <v>0</v>
          </cell>
          <cell r="H27">
            <v>0</v>
          </cell>
          <cell r="J27">
            <v>0</v>
          </cell>
          <cell r="K27">
            <v>0</v>
          </cell>
          <cell r="L27">
            <v>0</v>
          </cell>
        </row>
        <row r="28">
          <cell r="A28" t="str">
            <v>거푸집(RIB15층)</v>
          </cell>
          <cell r="B28" t="str">
            <v>공임</v>
          </cell>
          <cell r="C28" t="str">
            <v>M2</v>
          </cell>
          <cell r="D28">
            <v>5532</v>
          </cell>
          <cell r="E28">
            <v>6000</v>
          </cell>
          <cell r="F28">
            <v>33192000</v>
          </cell>
          <cell r="G28">
            <v>0</v>
          </cell>
          <cell r="H28">
            <v>0</v>
          </cell>
          <cell r="J28">
            <v>0</v>
          </cell>
          <cell r="K28">
            <v>0</v>
          </cell>
          <cell r="L28">
            <v>0</v>
          </cell>
        </row>
        <row r="29">
          <cell r="A29" t="str">
            <v>거푸집(RIB16층)</v>
          </cell>
          <cell r="B29" t="str">
            <v>손료</v>
          </cell>
          <cell r="C29" t="str">
            <v>M2</v>
          </cell>
          <cell r="D29">
            <v>2485</v>
          </cell>
          <cell r="E29">
            <v>4600</v>
          </cell>
          <cell r="F29">
            <v>11431000</v>
          </cell>
          <cell r="G29">
            <v>0</v>
          </cell>
          <cell r="H29">
            <v>0</v>
          </cell>
          <cell r="J29">
            <v>0</v>
          </cell>
          <cell r="K29">
            <v>0</v>
          </cell>
          <cell r="L29">
            <v>0</v>
          </cell>
        </row>
        <row r="30">
          <cell r="A30" t="str">
            <v>거푸집(RIB16층)</v>
          </cell>
          <cell r="B30" t="str">
            <v>공임</v>
          </cell>
          <cell r="C30" t="str">
            <v>M2</v>
          </cell>
          <cell r="D30">
            <v>2485</v>
          </cell>
          <cell r="E30">
            <v>6000</v>
          </cell>
          <cell r="F30">
            <v>14910000</v>
          </cell>
          <cell r="G30">
            <v>0</v>
          </cell>
          <cell r="H30">
            <v>0</v>
          </cell>
          <cell r="J30">
            <v>0</v>
          </cell>
          <cell r="K30">
            <v>0</v>
          </cell>
          <cell r="L30">
            <v>0</v>
          </cell>
        </row>
        <row r="31">
          <cell r="A31" t="str">
            <v>거푸집(경사15층)</v>
          </cell>
          <cell r="B31" t="str">
            <v>APT손료</v>
          </cell>
          <cell r="C31" t="str">
            <v>M2</v>
          </cell>
          <cell r="D31">
            <v>1837</v>
          </cell>
          <cell r="E31">
            <v>5500</v>
          </cell>
          <cell r="F31">
            <v>10103500</v>
          </cell>
          <cell r="G31">
            <v>72</v>
          </cell>
          <cell r="H31">
            <v>396000</v>
          </cell>
          <cell r="I31">
            <v>36</v>
          </cell>
          <cell r="J31">
            <v>198000</v>
          </cell>
          <cell r="K31">
            <v>108</v>
          </cell>
          <cell r="L31">
            <v>594000</v>
          </cell>
        </row>
        <row r="32">
          <cell r="A32" t="str">
            <v>거푸집(경사15층)</v>
          </cell>
          <cell r="B32" t="str">
            <v>APT공임</v>
          </cell>
          <cell r="C32" t="str">
            <v>M2</v>
          </cell>
          <cell r="D32">
            <v>1837</v>
          </cell>
          <cell r="E32">
            <v>8000</v>
          </cell>
          <cell r="F32">
            <v>14696000</v>
          </cell>
          <cell r="G32">
            <v>72</v>
          </cell>
          <cell r="H32">
            <v>576000</v>
          </cell>
          <cell r="I32">
            <v>36</v>
          </cell>
          <cell r="J32">
            <v>288000</v>
          </cell>
          <cell r="K32">
            <v>108</v>
          </cell>
          <cell r="L32">
            <v>864000</v>
          </cell>
        </row>
        <row r="33">
          <cell r="A33" t="str">
            <v>거푸집(경사16층)</v>
          </cell>
          <cell r="B33" t="str">
            <v>APT손료</v>
          </cell>
          <cell r="C33" t="str">
            <v>M2</v>
          </cell>
          <cell r="D33">
            <v>1664</v>
          </cell>
          <cell r="E33">
            <v>5600</v>
          </cell>
          <cell r="F33">
            <v>9318400</v>
          </cell>
          <cell r="G33">
            <v>0</v>
          </cell>
          <cell r="H33">
            <v>0</v>
          </cell>
          <cell r="J33">
            <v>0</v>
          </cell>
          <cell r="K33">
            <v>0</v>
          </cell>
          <cell r="L33">
            <v>0</v>
          </cell>
        </row>
        <row r="34">
          <cell r="A34" t="str">
            <v>거푸집(경사16층)</v>
          </cell>
          <cell r="B34" t="str">
            <v>APT공임</v>
          </cell>
          <cell r="C34" t="str">
            <v>M2</v>
          </cell>
          <cell r="D34">
            <v>1664</v>
          </cell>
          <cell r="E34">
            <v>8200</v>
          </cell>
          <cell r="F34">
            <v>13644800</v>
          </cell>
          <cell r="G34">
            <v>0</v>
          </cell>
          <cell r="H34">
            <v>0</v>
          </cell>
          <cell r="J34">
            <v>0</v>
          </cell>
          <cell r="K34">
            <v>0</v>
          </cell>
          <cell r="L34">
            <v>0</v>
          </cell>
        </row>
        <row r="35">
          <cell r="A35" t="str">
            <v>거푸집(3회부속동</v>
          </cell>
          <cell r="B35" t="str">
            <v>손료</v>
          </cell>
          <cell r="C35" t="str">
            <v>M2</v>
          </cell>
          <cell r="D35">
            <v>37710</v>
          </cell>
          <cell r="E35">
            <v>6400</v>
          </cell>
          <cell r="F35">
            <v>241344000</v>
          </cell>
          <cell r="G35">
            <v>19705</v>
          </cell>
          <cell r="H35">
            <v>126112000</v>
          </cell>
          <cell r="I35">
            <v>3439</v>
          </cell>
          <cell r="J35">
            <v>22009600</v>
          </cell>
          <cell r="K35">
            <v>23144</v>
          </cell>
          <cell r="L35">
            <v>148121600</v>
          </cell>
        </row>
        <row r="36">
          <cell r="A36" t="str">
            <v>거푸집(3회부속동</v>
          </cell>
          <cell r="B36" t="str">
            <v>공임</v>
          </cell>
          <cell r="C36" t="str">
            <v>M2</v>
          </cell>
          <cell r="D36">
            <v>37710</v>
          </cell>
          <cell r="E36">
            <v>8600</v>
          </cell>
          <cell r="F36">
            <v>324306000</v>
          </cell>
          <cell r="G36">
            <v>19705</v>
          </cell>
          <cell r="H36">
            <v>169463000</v>
          </cell>
          <cell r="I36">
            <v>3439</v>
          </cell>
          <cell r="J36">
            <v>29575400</v>
          </cell>
          <cell r="K36">
            <v>23144</v>
          </cell>
          <cell r="L36">
            <v>199038400</v>
          </cell>
        </row>
        <row r="37">
          <cell r="A37" t="str">
            <v>거푸집(4회부속동</v>
          </cell>
          <cell r="B37" t="str">
            <v>손료</v>
          </cell>
          <cell r="C37" t="str">
            <v>M2</v>
          </cell>
          <cell r="D37">
            <v>7731</v>
          </cell>
          <cell r="E37">
            <v>6000</v>
          </cell>
          <cell r="F37">
            <v>46386000</v>
          </cell>
          <cell r="G37">
            <v>3585</v>
          </cell>
          <cell r="H37">
            <v>21510000</v>
          </cell>
          <cell r="I37">
            <v>822</v>
          </cell>
          <cell r="J37">
            <v>4932000</v>
          </cell>
          <cell r="K37">
            <v>4407</v>
          </cell>
          <cell r="L37">
            <v>26442000</v>
          </cell>
        </row>
        <row r="38">
          <cell r="A38" t="str">
            <v>거푸집(4회부속동)</v>
          </cell>
          <cell r="B38" t="str">
            <v>공임</v>
          </cell>
          <cell r="C38" t="str">
            <v>M2</v>
          </cell>
          <cell r="D38">
            <v>7731</v>
          </cell>
          <cell r="E38">
            <v>8300</v>
          </cell>
          <cell r="F38">
            <v>64167300</v>
          </cell>
          <cell r="G38">
            <v>3585</v>
          </cell>
          <cell r="H38">
            <v>29755500</v>
          </cell>
          <cell r="I38">
            <v>822</v>
          </cell>
          <cell r="J38">
            <v>6822600</v>
          </cell>
          <cell r="K38">
            <v>4407</v>
          </cell>
          <cell r="L38">
            <v>36578100</v>
          </cell>
        </row>
        <row r="39">
          <cell r="A39" t="str">
            <v>거푸집(경사부속동</v>
          </cell>
          <cell r="B39" t="str">
            <v>손료</v>
          </cell>
          <cell r="C39" t="str">
            <v>M2</v>
          </cell>
          <cell r="D39">
            <v>1786</v>
          </cell>
          <cell r="E39">
            <v>6600</v>
          </cell>
          <cell r="F39">
            <v>11787600</v>
          </cell>
          <cell r="G39">
            <v>1001</v>
          </cell>
          <cell r="H39">
            <v>6606600</v>
          </cell>
          <cell r="I39">
            <v>325</v>
          </cell>
          <cell r="J39">
            <v>2145000</v>
          </cell>
          <cell r="K39">
            <v>1326</v>
          </cell>
          <cell r="L39">
            <v>8751600</v>
          </cell>
        </row>
        <row r="40">
          <cell r="A40" t="str">
            <v>거푸집(경사부속동</v>
          </cell>
          <cell r="B40" t="str">
            <v>공임</v>
          </cell>
          <cell r="C40" t="str">
            <v>M2</v>
          </cell>
          <cell r="D40">
            <v>1786</v>
          </cell>
          <cell r="E40">
            <v>9000</v>
          </cell>
          <cell r="F40">
            <v>16074000</v>
          </cell>
          <cell r="G40">
            <v>1001</v>
          </cell>
          <cell r="H40">
            <v>9009000</v>
          </cell>
          <cell r="I40">
            <v>325</v>
          </cell>
          <cell r="J40">
            <v>2925000</v>
          </cell>
          <cell r="K40">
            <v>1326</v>
          </cell>
          <cell r="L40">
            <v>11934000</v>
          </cell>
          <cell r="M40"/>
        </row>
        <row r="41">
          <cell r="A41" t="str">
            <v>거푸집(곡면부속동</v>
          </cell>
          <cell r="B41" t="str">
            <v>손료</v>
          </cell>
          <cell r="C41" t="str">
            <v>M2</v>
          </cell>
          <cell r="D41">
            <v>3412</v>
          </cell>
          <cell r="E41">
            <v>6600</v>
          </cell>
          <cell r="F41">
            <v>22519200</v>
          </cell>
          <cell r="G41">
            <v>1142</v>
          </cell>
          <cell r="H41">
            <v>7537200</v>
          </cell>
          <cell r="I41">
            <v>717</v>
          </cell>
          <cell r="J41">
            <v>4732200</v>
          </cell>
          <cell r="K41">
            <v>1859</v>
          </cell>
          <cell r="L41">
            <v>12269400</v>
          </cell>
        </row>
        <row r="42">
          <cell r="A42" t="str">
            <v>거푸집(곡면부속동</v>
          </cell>
          <cell r="B42" t="str">
            <v>공임</v>
          </cell>
          <cell r="C42" t="str">
            <v>M2</v>
          </cell>
          <cell r="D42">
            <v>3412</v>
          </cell>
          <cell r="E42">
            <v>9500</v>
          </cell>
          <cell r="F42">
            <v>32414000</v>
          </cell>
          <cell r="G42">
            <v>1142</v>
          </cell>
          <cell r="H42">
            <v>10849000</v>
          </cell>
          <cell r="I42">
            <v>717</v>
          </cell>
          <cell r="J42">
            <v>6811500</v>
          </cell>
          <cell r="K42">
            <v>1859</v>
          </cell>
          <cell r="L42">
            <v>17660500</v>
          </cell>
        </row>
        <row r="43">
          <cell r="A43" t="str">
            <v>거푸집(문양부속동</v>
          </cell>
          <cell r="B43" t="str">
            <v>손료</v>
          </cell>
          <cell r="C43" t="str">
            <v>M2</v>
          </cell>
          <cell r="D43">
            <v>1155</v>
          </cell>
          <cell r="E43">
            <v>7000</v>
          </cell>
          <cell r="F43">
            <v>8085000</v>
          </cell>
          <cell r="G43">
            <v>14</v>
          </cell>
          <cell r="H43">
            <v>98000</v>
          </cell>
          <cell r="I43">
            <v>79</v>
          </cell>
          <cell r="J43">
            <v>553000</v>
          </cell>
          <cell r="K43">
            <v>93</v>
          </cell>
          <cell r="L43">
            <v>651000</v>
          </cell>
        </row>
        <row r="44">
          <cell r="A44" t="str">
            <v>거푸집(문양부속동</v>
          </cell>
          <cell r="B44" t="str">
            <v>공임</v>
          </cell>
          <cell r="C44" t="str">
            <v>M2</v>
          </cell>
          <cell r="D44">
            <v>1155</v>
          </cell>
          <cell r="E44">
            <v>15000</v>
          </cell>
          <cell r="F44">
            <v>17325000</v>
          </cell>
          <cell r="G44">
            <v>14</v>
          </cell>
          <cell r="H44">
            <v>210000</v>
          </cell>
          <cell r="I44">
            <v>79</v>
          </cell>
          <cell r="J44">
            <v>1185000</v>
          </cell>
          <cell r="K44">
            <v>93</v>
          </cell>
          <cell r="L44">
            <v>1395000</v>
          </cell>
        </row>
        <row r="45">
          <cell r="A45" t="str">
            <v>거푸집(곡선문양)</v>
          </cell>
          <cell r="B45" t="str">
            <v>부속손료</v>
          </cell>
          <cell r="C45" t="str">
            <v>M2</v>
          </cell>
          <cell r="D45">
            <v>336</v>
          </cell>
          <cell r="E45">
            <v>8000</v>
          </cell>
          <cell r="F45">
            <v>2688000</v>
          </cell>
          <cell r="G45">
            <v>49</v>
          </cell>
          <cell r="H45">
            <v>392000</v>
          </cell>
          <cell r="J45">
            <v>0</v>
          </cell>
          <cell r="K45">
            <v>49</v>
          </cell>
          <cell r="L45">
            <v>392000</v>
          </cell>
        </row>
        <row r="46">
          <cell r="A46" t="str">
            <v>거푸집(곡선문양)</v>
          </cell>
          <cell r="B46" t="str">
            <v>부속공임</v>
          </cell>
          <cell r="C46" t="str">
            <v>M2</v>
          </cell>
          <cell r="D46">
            <v>336</v>
          </cell>
          <cell r="E46">
            <v>15000</v>
          </cell>
          <cell r="F46">
            <v>5040000</v>
          </cell>
          <cell r="G46">
            <v>49</v>
          </cell>
          <cell r="H46">
            <v>735000</v>
          </cell>
          <cell r="J46">
            <v>0</v>
          </cell>
          <cell r="K46">
            <v>49</v>
          </cell>
          <cell r="L46">
            <v>735000</v>
          </cell>
        </row>
        <row r="47">
          <cell r="A47" t="str">
            <v>거푸집(합벽부속동</v>
          </cell>
          <cell r="B47" t="str">
            <v>손료</v>
          </cell>
          <cell r="C47" t="str">
            <v>M2</v>
          </cell>
          <cell r="D47">
            <v>778</v>
          </cell>
          <cell r="E47">
            <v>13500</v>
          </cell>
          <cell r="F47">
            <v>10503000</v>
          </cell>
          <cell r="G47">
            <v>0</v>
          </cell>
          <cell r="H47">
            <v>0</v>
          </cell>
          <cell r="J47">
            <v>0</v>
          </cell>
          <cell r="K47">
            <v>0</v>
          </cell>
          <cell r="L47">
            <v>0</v>
          </cell>
        </row>
        <row r="48">
          <cell r="A48" t="str">
            <v>거푸집(합벽부속동</v>
          </cell>
          <cell r="B48" t="str">
            <v>공임</v>
          </cell>
          <cell r="C48" t="str">
            <v>M2</v>
          </cell>
          <cell r="D48">
            <v>778</v>
          </cell>
          <cell r="E48">
            <v>17000</v>
          </cell>
          <cell r="F48">
            <v>13226000</v>
          </cell>
          <cell r="G48">
            <v>0</v>
          </cell>
          <cell r="H48">
            <v>0</v>
          </cell>
          <cell r="J48">
            <v>0</v>
          </cell>
          <cell r="K48">
            <v>0</v>
          </cell>
          <cell r="L48">
            <v>0</v>
          </cell>
        </row>
        <row r="49">
          <cell r="A49" t="str">
            <v>동바리H&lt;4.5</v>
          </cell>
          <cell r="B49" t="str">
            <v>APT손료</v>
          </cell>
          <cell r="C49" t="str">
            <v>공M3</v>
          </cell>
          <cell r="D49">
            <v>55624</v>
          </cell>
          <cell r="E49">
            <v>400</v>
          </cell>
          <cell r="F49">
            <v>22249600</v>
          </cell>
          <cell r="G49">
            <v>688</v>
          </cell>
          <cell r="H49">
            <v>275200</v>
          </cell>
          <cell r="I49">
            <v>687</v>
          </cell>
          <cell r="J49">
            <v>274800</v>
          </cell>
          <cell r="K49">
            <v>1375</v>
          </cell>
          <cell r="L49">
            <v>550000</v>
          </cell>
        </row>
        <row r="50">
          <cell r="A50" t="str">
            <v>동바리H&lt;4.5</v>
          </cell>
          <cell r="B50" t="str">
            <v>APT공임</v>
          </cell>
          <cell r="C50" t="str">
            <v>공M3</v>
          </cell>
          <cell r="D50">
            <v>55624</v>
          </cell>
          <cell r="E50">
            <v>400</v>
          </cell>
          <cell r="F50">
            <v>22249600</v>
          </cell>
          <cell r="G50">
            <v>688</v>
          </cell>
          <cell r="H50">
            <v>275200</v>
          </cell>
          <cell r="I50">
            <v>687</v>
          </cell>
          <cell r="J50">
            <v>274800</v>
          </cell>
          <cell r="K50">
            <v>1375</v>
          </cell>
          <cell r="L50">
            <v>550000</v>
          </cell>
        </row>
        <row r="51">
          <cell r="A51" t="str">
            <v>동바리H&lt;4.5</v>
          </cell>
          <cell r="B51" t="str">
            <v>부속손료</v>
          </cell>
          <cell r="C51" t="str">
            <v>공M3</v>
          </cell>
          <cell r="D51">
            <v>10437</v>
          </cell>
          <cell r="E51">
            <v>600</v>
          </cell>
          <cell r="F51">
            <v>6262200</v>
          </cell>
          <cell r="G51">
            <v>4300</v>
          </cell>
          <cell r="H51">
            <v>2580000</v>
          </cell>
          <cell r="J51">
            <v>0</v>
          </cell>
          <cell r="K51">
            <v>4300</v>
          </cell>
          <cell r="L51">
            <v>2580000</v>
          </cell>
        </row>
        <row r="52">
          <cell r="A52" t="str">
            <v>동바리H&lt;4.5</v>
          </cell>
          <cell r="B52" t="str">
            <v>부속공임</v>
          </cell>
          <cell r="C52" t="str">
            <v>공M3</v>
          </cell>
          <cell r="D52">
            <v>10437</v>
          </cell>
          <cell r="E52">
            <v>400</v>
          </cell>
          <cell r="F52">
            <v>4174800</v>
          </cell>
          <cell r="G52">
            <v>4300</v>
          </cell>
          <cell r="H52">
            <v>1720000</v>
          </cell>
          <cell r="J52">
            <v>0</v>
          </cell>
          <cell r="K52">
            <v>4300</v>
          </cell>
          <cell r="L52">
            <v>1720000</v>
          </cell>
        </row>
        <row r="53">
          <cell r="A53" t="str">
            <v>동바리H&gt;4.5</v>
          </cell>
          <cell r="B53" t="str">
            <v>부속손료</v>
          </cell>
          <cell r="C53" t="str">
            <v>공M3</v>
          </cell>
          <cell r="D53">
            <v>43891</v>
          </cell>
          <cell r="E53">
            <v>600</v>
          </cell>
          <cell r="F53">
            <v>26334600</v>
          </cell>
          <cell r="G53">
            <v>14494</v>
          </cell>
          <cell r="H53">
            <v>8696400</v>
          </cell>
          <cell r="I53">
            <v>14423</v>
          </cell>
          <cell r="J53">
            <v>8653800</v>
          </cell>
          <cell r="K53">
            <v>28917</v>
          </cell>
          <cell r="L53">
            <v>17350200</v>
          </cell>
        </row>
        <row r="54">
          <cell r="A54" t="str">
            <v>동바리H&gt;4.5</v>
          </cell>
          <cell r="B54" t="str">
            <v>부속공임</v>
          </cell>
          <cell r="C54" t="str">
            <v>공M3</v>
          </cell>
          <cell r="D54">
            <v>43891</v>
          </cell>
          <cell r="E54">
            <v>600</v>
          </cell>
          <cell r="F54">
            <v>26334600</v>
          </cell>
          <cell r="G54">
            <v>14494</v>
          </cell>
          <cell r="H54">
            <v>8696400</v>
          </cell>
          <cell r="I54">
            <v>14423</v>
          </cell>
          <cell r="J54">
            <v>8653800</v>
          </cell>
          <cell r="K54">
            <v>28917</v>
          </cell>
          <cell r="L54">
            <v>17350200</v>
          </cell>
        </row>
        <row r="55">
          <cell r="A55" t="str">
            <v>철근가공조립</v>
          </cell>
          <cell r="B55" t="str">
            <v>부속동</v>
          </cell>
          <cell r="C55" t="str">
            <v>TON</v>
          </cell>
          <cell r="D55">
            <v>1836</v>
          </cell>
          <cell r="E55">
            <v>172000</v>
          </cell>
          <cell r="F55">
            <v>315792000</v>
          </cell>
          <cell r="G55">
            <v>1031</v>
          </cell>
          <cell r="H55">
            <v>177332000</v>
          </cell>
          <cell r="I55">
            <v>199</v>
          </cell>
          <cell r="J55">
            <v>34228000</v>
          </cell>
          <cell r="K55">
            <v>1230</v>
          </cell>
          <cell r="L55">
            <v>211560000</v>
          </cell>
        </row>
        <row r="56">
          <cell r="A56" t="str">
            <v>철근가공조립</v>
          </cell>
          <cell r="B56" t="str">
            <v>APT15층</v>
          </cell>
          <cell r="C56" t="str">
            <v>TON</v>
          </cell>
          <cell r="D56">
            <v>920</v>
          </cell>
          <cell r="E56">
            <v>175000</v>
          </cell>
          <cell r="F56">
            <v>161000000</v>
          </cell>
          <cell r="G56">
            <v>41</v>
          </cell>
          <cell r="H56">
            <v>7175000</v>
          </cell>
          <cell r="I56">
            <v>12</v>
          </cell>
          <cell r="J56">
            <v>2100000</v>
          </cell>
          <cell r="K56">
            <v>53</v>
          </cell>
          <cell r="L56">
            <v>9275000</v>
          </cell>
        </row>
        <row r="57">
          <cell r="A57" t="str">
            <v>철근가공조립</v>
          </cell>
          <cell r="B57" t="str">
            <v>APT16층</v>
          </cell>
          <cell r="C57" t="str">
            <v>TON</v>
          </cell>
          <cell r="D57">
            <v>295</v>
          </cell>
          <cell r="E57">
            <v>175000</v>
          </cell>
          <cell r="F57">
            <v>51625000</v>
          </cell>
          <cell r="G57">
            <v>0</v>
          </cell>
          <cell r="H57">
            <v>0</v>
          </cell>
          <cell r="J57">
            <v>0</v>
          </cell>
          <cell r="K57">
            <v>0</v>
          </cell>
          <cell r="L57">
            <v>0</v>
          </cell>
        </row>
        <row r="58">
          <cell r="A58" t="str">
            <v>면목</v>
          </cell>
          <cell r="B58" t="str">
            <v>15*15</v>
          </cell>
          <cell r="C58" t="str">
            <v>M</v>
          </cell>
          <cell r="D58">
            <v>19106</v>
          </cell>
          <cell r="E58">
            <v>220</v>
          </cell>
          <cell r="F58">
            <v>4203320</v>
          </cell>
          <cell r="G58">
            <v>3191</v>
          </cell>
          <cell r="H58">
            <v>702020</v>
          </cell>
          <cell r="J58">
            <v>0</v>
          </cell>
          <cell r="K58">
            <v>3191</v>
          </cell>
          <cell r="L58">
            <v>702020</v>
          </cell>
        </row>
        <row r="59">
          <cell r="A59" t="str">
            <v>면목</v>
          </cell>
          <cell r="B59" t="str">
            <v>20*20</v>
          </cell>
          <cell r="C59" t="str">
            <v>M</v>
          </cell>
          <cell r="D59">
            <v>3024</v>
          </cell>
          <cell r="E59">
            <v>320</v>
          </cell>
          <cell r="F59">
            <v>967680</v>
          </cell>
          <cell r="G59">
            <v>0</v>
          </cell>
          <cell r="H59">
            <v>0</v>
          </cell>
          <cell r="J59">
            <v>0</v>
          </cell>
          <cell r="K59">
            <v>0</v>
          </cell>
          <cell r="L59">
            <v>0</v>
          </cell>
        </row>
        <row r="60">
          <cell r="A60" t="str">
            <v>콤비(물끊기홈)</v>
          </cell>
          <cell r="B60" t="str">
            <v>면목</v>
          </cell>
          <cell r="C60" t="str">
            <v>M</v>
          </cell>
          <cell r="D60">
            <v>2886</v>
          </cell>
          <cell r="E60">
            <v>840</v>
          </cell>
          <cell r="F60">
            <v>2424240</v>
          </cell>
          <cell r="G60">
            <v>0</v>
          </cell>
          <cell r="H60">
            <v>0</v>
          </cell>
          <cell r="J60">
            <v>0</v>
          </cell>
          <cell r="K60">
            <v>0</v>
          </cell>
          <cell r="L60">
            <v>0</v>
          </cell>
        </row>
        <row r="61">
          <cell r="A61" t="str">
            <v>지수판</v>
          </cell>
          <cell r="B61"/>
          <cell r="C61" t="str">
            <v>M</v>
          </cell>
          <cell r="D61">
            <v>2647</v>
          </cell>
          <cell r="E61">
            <v>6000</v>
          </cell>
          <cell r="F61">
            <v>15882000</v>
          </cell>
          <cell r="G61">
            <v>904</v>
          </cell>
          <cell r="H61">
            <v>5424000</v>
          </cell>
          <cell r="I61">
            <v>409</v>
          </cell>
          <cell r="J61">
            <v>2454000</v>
          </cell>
          <cell r="K61">
            <v>1313</v>
          </cell>
          <cell r="L61">
            <v>7878000</v>
          </cell>
        </row>
        <row r="62">
          <cell r="A62" t="str">
            <v>단열재(0.03)</v>
          </cell>
          <cell r="B62" t="str">
            <v>T=80MM</v>
          </cell>
          <cell r="C62" t="str">
            <v>M2</v>
          </cell>
          <cell r="D62">
            <v>1836</v>
          </cell>
          <cell r="E62">
            <v>4500</v>
          </cell>
          <cell r="F62">
            <v>8262000</v>
          </cell>
          <cell r="G62">
            <v>0</v>
          </cell>
          <cell r="H62">
            <v>0</v>
          </cell>
          <cell r="J62">
            <v>0</v>
          </cell>
          <cell r="K62">
            <v>0</v>
          </cell>
          <cell r="L62">
            <v>0</v>
          </cell>
        </row>
        <row r="63">
          <cell r="A63" t="str">
            <v>단열재붙이기</v>
          </cell>
          <cell r="B63" t="str">
            <v>T=80MM</v>
          </cell>
          <cell r="C63" t="str">
            <v>M2</v>
          </cell>
          <cell r="D63">
            <v>1836</v>
          </cell>
          <cell r="E63">
            <v>400</v>
          </cell>
          <cell r="F63">
            <v>734400</v>
          </cell>
          <cell r="G63">
            <v>0</v>
          </cell>
          <cell r="H63">
            <v>0</v>
          </cell>
          <cell r="J63">
            <v>0</v>
          </cell>
          <cell r="K63">
            <v>0</v>
          </cell>
          <cell r="L63">
            <v>0</v>
          </cell>
        </row>
        <row r="64">
          <cell r="A64" t="str">
            <v>압축스치로폴</v>
          </cell>
          <cell r="B64" t="str">
            <v>T=10</v>
          </cell>
          <cell r="C64" t="str">
            <v>M2</v>
          </cell>
          <cell r="D64">
            <v>2146</v>
          </cell>
          <cell r="E64">
            <v>1400</v>
          </cell>
          <cell r="F64">
            <v>3004400</v>
          </cell>
          <cell r="G64">
            <v>0</v>
          </cell>
          <cell r="H64">
            <v>0</v>
          </cell>
          <cell r="J64">
            <v>0</v>
          </cell>
          <cell r="K64">
            <v>0</v>
          </cell>
          <cell r="L64">
            <v>0</v>
          </cell>
        </row>
        <row r="65">
          <cell r="A65" t="str">
            <v>압축스치로폴붙이기(T=10)</v>
          </cell>
          <cell r="C65" t="str">
            <v>M2</v>
          </cell>
          <cell r="D65">
            <v>2146</v>
          </cell>
          <cell r="E65">
            <v>400</v>
          </cell>
          <cell r="F65">
            <v>858400</v>
          </cell>
          <cell r="G65">
            <v>0</v>
          </cell>
          <cell r="H65">
            <v>0</v>
          </cell>
          <cell r="J65">
            <v>0</v>
          </cell>
          <cell r="K65">
            <v>0</v>
          </cell>
          <cell r="L65">
            <v>0</v>
          </cell>
        </row>
        <row r="66">
          <cell r="A66" t="str">
            <v>압축스치로폴</v>
          </cell>
          <cell r="B66" t="str">
            <v>T=10</v>
          </cell>
          <cell r="C66" t="str">
            <v>M2</v>
          </cell>
          <cell r="D66">
            <v>873</v>
          </cell>
          <cell r="E66">
            <v>1400</v>
          </cell>
          <cell r="F66">
            <v>1222200</v>
          </cell>
          <cell r="G66">
            <v>0</v>
          </cell>
          <cell r="H66">
            <v>0</v>
          </cell>
          <cell r="J66">
            <v>0</v>
          </cell>
          <cell r="K66">
            <v>0</v>
          </cell>
          <cell r="L66">
            <v>0</v>
          </cell>
        </row>
        <row r="67">
          <cell r="A67" t="str">
            <v>압축스치로폴붙이기</v>
          </cell>
          <cell r="C67" t="str">
            <v>M2</v>
          </cell>
          <cell r="D67">
            <v>873</v>
          </cell>
          <cell r="E67">
            <v>400</v>
          </cell>
          <cell r="F67">
            <v>349200</v>
          </cell>
          <cell r="G67">
            <v>0</v>
          </cell>
          <cell r="H67">
            <v>0</v>
          </cell>
          <cell r="J67">
            <v>0</v>
          </cell>
          <cell r="K67">
            <v>0</v>
          </cell>
          <cell r="L67">
            <v>0</v>
          </cell>
        </row>
        <row r="68">
          <cell r="A68" t="str">
            <v>콘크리트면처리</v>
          </cell>
          <cell r="B68" t="str">
            <v>리브면</v>
          </cell>
          <cell r="C68" t="str">
            <v>M2</v>
          </cell>
          <cell r="D68">
            <v>7751</v>
          </cell>
          <cell r="E68">
            <v>2100</v>
          </cell>
          <cell r="F68">
            <v>16277100</v>
          </cell>
          <cell r="G68">
            <v>0</v>
          </cell>
          <cell r="H68">
            <v>0</v>
          </cell>
          <cell r="J68">
            <v>0</v>
          </cell>
          <cell r="K68">
            <v>0</v>
          </cell>
          <cell r="L68">
            <v>0</v>
          </cell>
        </row>
        <row r="69">
          <cell r="A69" t="str">
            <v>콘크리트면처리</v>
          </cell>
          <cell r="B69" t="str">
            <v>일반외부</v>
          </cell>
          <cell r="C69" t="str">
            <v>M2</v>
          </cell>
          <cell r="D69">
            <v>8602</v>
          </cell>
          <cell r="E69">
            <v>2000</v>
          </cell>
          <cell r="F69">
            <v>17204000</v>
          </cell>
          <cell r="G69">
            <v>456</v>
          </cell>
          <cell r="H69">
            <v>912000</v>
          </cell>
          <cell r="J69">
            <v>0</v>
          </cell>
          <cell r="K69">
            <v>456</v>
          </cell>
          <cell r="L69">
            <v>912000</v>
          </cell>
        </row>
        <row r="70">
          <cell r="A70" t="str">
            <v>콘크리트면처리</v>
          </cell>
          <cell r="B70" t="str">
            <v>일반내부</v>
          </cell>
          <cell r="C70" t="str">
            <v>M2</v>
          </cell>
          <cell r="D70">
            <v>53735</v>
          </cell>
          <cell r="E70">
            <v>2000</v>
          </cell>
          <cell r="F70">
            <v>107470000</v>
          </cell>
          <cell r="G70">
            <v>4470</v>
          </cell>
          <cell r="H70">
            <v>8940000</v>
          </cell>
          <cell r="J70">
            <v>0</v>
          </cell>
          <cell r="K70">
            <v>4470</v>
          </cell>
          <cell r="L70">
            <v>8940000</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구단가"/>
      <sheetName val="부분합"/>
      <sheetName val="consol"/>
      <sheetName val="CON-ETC"/>
      <sheetName val="단가표"/>
      <sheetName val="001"/>
      <sheetName val="002"/>
      <sheetName val="003"/>
      <sheetName val="004"/>
      <sheetName val="005"/>
      <sheetName val="006"/>
      <sheetName val="007"/>
      <sheetName val="008"/>
      <sheetName val="S001"/>
      <sheetName val="S002"/>
      <sheetName val="S003"/>
      <sheetName val="S004"/>
      <sheetName val="S006"/>
      <sheetName val="S008"/>
      <sheetName val="SS1"/>
      <sheetName val="SS2"/>
      <sheetName val="SS3"/>
      <sheetName val="SS4"/>
      <sheetName val="SS5"/>
      <sheetName val="SS6"/>
      <sheetName val="SS7"/>
      <sheetName val="SS8"/>
      <sheetName val="T3(실)"/>
      <sheetName val="TT3(실)"/>
      <sheetName val="T4"/>
      <sheetName val="consum"/>
      <sheetName val="CON(구)"/>
      <sheetName val="SUMMARY"/>
      <sheetName val="ELT"/>
      <sheetName val="Sheet1"/>
      <sheetName val="Sheet2"/>
      <sheetName val="Sheet3"/>
      <sheetName val="견적의뢰"/>
      <sheetName val="차례"/>
      <sheetName val="비교"/>
      <sheetName val="단가"/>
      <sheetName val="외자재LIST"/>
      <sheetName val="T3"/>
      <sheetName val="CON"/>
      <sheetName val="여흥"/>
      <sheetName val="협조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승용 밋션별 &quot;1&quot;"/>
      <sheetName val="승용 밋션별 &quot;2&quot;"/>
      <sheetName val="승용 밋션별 &quot;3&quot;"/>
      <sheetName val="소상 &quot;1&quot;"/>
      <sheetName val="변경내용"/>
      <sheetName val="숙박비"/>
      <sheetName val="중식대"/>
      <sheetName val="회의비"/>
      <sheetName val="특근.간담회비"/>
      <sheetName val="접대비"/>
      <sheetName val="교통비"/>
      <sheetName val="교통비 (2)"/>
      <sheetName val="정산서"/>
      <sheetName val="사내영수증"/>
      <sheetName val="전표철"/>
      <sheetName val="전표철 (2)"/>
      <sheetName val="총지출"/>
      <sheetName val="Sheet1"/>
      <sheetName val="Sheet2"/>
      <sheetName val="Sheet3"/>
      <sheetName val="수불내수"/>
      <sheetName val="COPING"/>
      <sheetName val="96수출"/>
      <sheetName val="인원01"/>
      <sheetName val="협조전"/>
      <sheetName val="p2-1"/>
      <sheetName val="#REF"/>
      <sheetName val="내역1"/>
      <sheetName val="Key assumption"/>
      <sheetName val="품의양식"/>
      <sheetName val="정부노임단가"/>
      <sheetName val="3BL공동구 수량"/>
      <sheetName val="울산시산표"/>
      <sheetName val="관람석제출"/>
      <sheetName val="TEL"/>
      <sheetName val="남양시작동자105노65기1.3화1.2"/>
      <sheetName val="총괄표"/>
      <sheetName val="정보(MCC)"/>
      <sheetName val="정보(HEI)"/>
      <sheetName val="major"/>
      <sheetName val="0.1 KEY ASSUMPTIONS"/>
      <sheetName val="0. CONTROL"/>
      <sheetName val="자압"/>
      <sheetName val="회의비등"/>
      <sheetName val="핸드폰"/>
      <sheetName val="당숙직"/>
      <sheetName val="영수증1"/>
      <sheetName val="영수증2"/>
      <sheetName val="unit cost Bauteil 1"/>
      <sheetName val="unit cost Bauteil 2"/>
      <sheetName val="unit cost Bauteil 3"/>
      <sheetName val="unit cost Bauteil 4"/>
      <sheetName val="unit cost Bauteil 5"/>
      <sheetName val="명단"/>
      <sheetName val="TOT"/>
      <sheetName val="계열사현황종합"/>
      <sheetName val="94반성(Pnck)"/>
      <sheetName val="JUCK"/>
      <sheetName val="신1"/>
      <sheetName val="일별1"/>
      <sheetName val="MOTOR"/>
      <sheetName val="자압1"/>
      <sheetName val="VALVE"/>
      <sheetName val="Macro2"/>
      <sheetName val="GRACE"/>
      <sheetName val="Total"/>
      <sheetName val="2.대외공문"/>
      <sheetName val="매입세율"/>
      <sheetName val="공사개요"/>
      <sheetName val="TABLE DB"/>
      <sheetName val="쌍용 data base"/>
      <sheetName val="종기계획(월별)"/>
      <sheetName val="일반"/>
      <sheetName val="payroll"/>
      <sheetName val="구동"/>
      <sheetName val="공통(20-91)"/>
      <sheetName val="현장지지물물량"/>
      <sheetName val="내역서"/>
      <sheetName val="기안지"/>
      <sheetName val="SANTAMO"/>
      <sheetName val="Sheet4"/>
      <sheetName val="중기사용료"/>
      <sheetName val="Cost bd-&quot;A&quot;"/>
      <sheetName val="DAT(목표)"/>
      <sheetName val="출장거리"/>
      <sheetName val="본문"/>
      <sheetName val="계정"/>
      <sheetName val="승용_밋션별_&quot;1&quot;"/>
      <sheetName val="승용_밋션별_&quot;2&quot;"/>
      <sheetName val="승용_밋션별_&quot;3&quot;"/>
      <sheetName val="소상_&quot;1&quot;"/>
      <sheetName val="특근_간담회비"/>
      <sheetName val="교통비_(2)"/>
      <sheetName val="전표철_(2)"/>
      <sheetName val="Key_assumption"/>
      <sheetName val="3BL공동구_수량"/>
      <sheetName val="남양시작동자105노65기1_3화1_2"/>
      <sheetName val="0_1_KEY_ASSUMPTIONS"/>
      <sheetName val="0__CONTROL"/>
      <sheetName val="BID"/>
      <sheetName val="산출내역서"/>
      <sheetName val="CONCRETE"/>
      <sheetName val="대외공문"/>
      <sheetName val="세목별"/>
      <sheetName val="월별수입"/>
      <sheetName val="전문품의"/>
      <sheetName val="MFAB"/>
      <sheetName val="MFRT"/>
      <sheetName val="MPKG"/>
      <sheetName val="MPRD"/>
      <sheetName val="우각부보강"/>
      <sheetName val="조도계산서 (도서)"/>
      <sheetName val="공통비"/>
      <sheetName val="중장기판매계획"/>
      <sheetName val="2F 회의실견적(5_14 일대)"/>
      <sheetName val="세부추진"/>
      <sheetName val="상용보강"/>
      <sheetName val="수리결과"/>
      <sheetName val="참고"/>
      <sheetName val="플랜트 설치"/>
      <sheetName val="차량별점검"/>
      <sheetName val="수입"/>
      <sheetName val="전체현황"/>
      <sheetName val="승용_밋션별_&quot;1&quot;1"/>
      <sheetName val="승용_밋션별_&quot;2&quot;1"/>
      <sheetName val="승용_밋션별_&quot;3&quot;1"/>
      <sheetName val="소상_&quot;1&quot;1"/>
      <sheetName val="특근_간담회비1"/>
      <sheetName val="교통비_(2)1"/>
      <sheetName val="전표철_(2)1"/>
      <sheetName val="Key_assumption1"/>
      <sheetName val="3BL공동구_수량1"/>
      <sheetName val="남양시작동자105노65기1_3화1_21"/>
      <sheetName val="0_1_KEY_ASSUMPTIONS1"/>
      <sheetName val="0__CONTROL1"/>
      <sheetName val="unit_cost_Bauteil_1"/>
      <sheetName val="unit_cost_Bauteil_2"/>
      <sheetName val="unit_cost_Bauteil_3"/>
      <sheetName val="unit_cost_Bauteil_4"/>
      <sheetName val="unit_cost_Bauteil_5"/>
      <sheetName val="TABLE_DB"/>
      <sheetName val="쌍용_data_base"/>
      <sheetName val="2_대외공문"/>
      <sheetName val="Cost_bd-&quot;A&quot;"/>
      <sheetName val="조도계산서_(도서)"/>
      <sheetName val="95MAKER"/>
      <sheetName val="베네"/>
      <sheetName val="1-1"/>
      <sheetName val="일괄인쇄"/>
      <sheetName val="DATE"/>
      <sheetName val="ML"/>
      <sheetName val="충주"/>
      <sheetName val="견적990322"/>
      <sheetName val="001"/>
      <sheetName val="차수"/>
      <sheetName val="입력"/>
      <sheetName val="98지급계획"/>
      <sheetName val="KD율"/>
      <sheetName val="특별교실"/>
      <sheetName val="노무비"/>
      <sheetName val="부하계산서"/>
      <sheetName val="일위대가"/>
      <sheetName val="BEAM"/>
      <sheetName val="배수공 주요자재 집계표"/>
      <sheetName val="물량표"/>
      <sheetName val="선정요령"/>
      <sheetName val="가격정보"/>
      <sheetName val="8.특성항목"/>
      <sheetName val="콘크리트타설집계표"/>
      <sheetName val="1월"/>
      <sheetName val="구의33고"/>
      <sheetName val="BSD (2)"/>
      <sheetName val="bi"/>
      <sheetName val="공문"/>
      <sheetName val="공통부대비"/>
      <sheetName val="지보1_98"/>
      <sheetName val="설산1.나"/>
      <sheetName val="본사S"/>
      <sheetName val="차액보증"/>
      <sheetName val="COMPRESSOR"/>
      <sheetName val="Instruction"/>
      <sheetName val="다이꾸"/>
      <sheetName val="WIND-EQ"/>
      <sheetName val="실행대비"/>
      <sheetName val="Data&amp;Result"/>
      <sheetName val="A"/>
      <sheetName val="입력정보"/>
      <sheetName val="Data &amp; Result"/>
      <sheetName val="실행철강하도"/>
      <sheetName val="개요"/>
      <sheetName val="산출"/>
      <sheetName val="자재관리"/>
      <sheetName val="바닥판"/>
      <sheetName val="h-013211-2"/>
      <sheetName val="Macro(차단기)"/>
      <sheetName val="PumpSpec"/>
      <sheetName val="BQ(실행)"/>
      <sheetName val="투찰"/>
      <sheetName val="Y-WORK"/>
      <sheetName val="내역서비교"/>
      <sheetName val="5.모델링"/>
      <sheetName val="터널조도"/>
      <sheetName val="노임"/>
      <sheetName val="인수공규격"/>
      <sheetName val="전제"/>
      <sheetName val="생산"/>
      <sheetName val="차종별"/>
      <sheetName val="SPM(13.84)"/>
      <sheetName val="Benutzungshinweise"/>
      <sheetName val="95하U$가격"/>
      <sheetName val="전력구구조물산근2구간"/>
      <sheetName val="매입세"/>
      <sheetName val="TMMAN"/>
      <sheetName val="운행일지"/>
      <sheetName val="부대대비"/>
      <sheetName val="냉연집계"/>
      <sheetName val="날개벽수량표"/>
      <sheetName val="WBS"/>
      <sheetName val="할증 "/>
      <sheetName val="준검 내역서"/>
      <sheetName val="EJ"/>
      <sheetName val="부하LOAD"/>
      <sheetName val="Macro(전동기)"/>
      <sheetName val="INCOME"/>
      <sheetName val="COVER"/>
      <sheetName val="D=700"/>
      <sheetName val="c_balju"/>
      <sheetName val="재무현황"/>
      <sheetName val="개별스왑명세표"/>
      <sheetName val="카렌스센터계량기설치공사"/>
      <sheetName val="총괄"/>
      <sheetName val="YES"/>
      <sheetName val="Graph (LGEN)"/>
      <sheetName val="CALCULATION"/>
      <sheetName val="out_prog"/>
      <sheetName val="선적schedule (2)"/>
      <sheetName val="WORK-VOL"/>
      <sheetName val="조정금액결과표 (차수별)"/>
      <sheetName val="3련 BOX"/>
      <sheetName val="전체내역 (2)"/>
      <sheetName val="건축원가"/>
      <sheetName val="지급자재"/>
      <sheetName val="설계서(7)"/>
      <sheetName val="평균환율-USD"/>
      <sheetName val="간접"/>
      <sheetName val="조명시설"/>
      <sheetName val="9-1차이내역"/>
      <sheetName val="우수맨홀공제단위수량"/>
      <sheetName val="정공공사"/>
      <sheetName val="적정심사"/>
      <sheetName val="단가"/>
      <sheetName val="선로수량집계"/>
      <sheetName val="장비수량집계"/>
      <sheetName val="지장수량집계"/>
      <sheetName val="N賃率-職"/>
      <sheetName val="PBX"/>
      <sheetName val="Recording,Phone,Headset"/>
      <sheetName val="WORK"/>
      <sheetName val="전력구구조물산근"/>
      <sheetName val="사진"/>
      <sheetName val="DATA1"/>
      <sheetName val="Macro1"/>
      <sheetName val="1공구(을)"/>
      <sheetName val="업무분장"/>
      <sheetName val="dongia (2)"/>
      <sheetName val="업체별기성내역"/>
      <sheetName val="가설건물"/>
      <sheetName val="주소(한문)"/>
      <sheetName val="CVT산정"/>
      <sheetName val="공사개요 (2)"/>
      <sheetName val="ABUT수량-A1"/>
      <sheetName val="9.설치품셈"/>
      <sheetName val="C-직노1"/>
      <sheetName val="5.설치내역"/>
      <sheetName val="I一般比"/>
      <sheetName val="설직재-1"/>
      <sheetName val="FAB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조건"/>
      <sheetName val="견적의뢰(타팀)"/>
      <sheetName val="공비"/>
      <sheetName val="터파기및재료"/>
      <sheetName val="내역서"/>
      <sheetName val="5.경상직원"/>
      <sheetName val="내역"/>
      <sheetName val="4차원가계산서"/>
      <sheetName val="정공공사"/>
      <sheetName val="원가"/>
      <sheetName val="16-1"/>
      <sheetName val="소비자가"/>
      <sheetName val="Sheet1"/>
      <sheetName val="목록"/>
      <sheetName val="PIPE(UG)내역"/>
      <sheetName val="표지"/>
      <sheetName val="Piping Design Data"/>
      <sheetName val="출금실적"/>
      <sheetName val="일위대가"/>
      <sheetName val="A 견적"/>
      <sheetName val="공사개요"/>
      <sheetName val="산출내역서집계표"/>
      <sheetName val="노임단가"/>
      <sheetName val="물가시세"/>
      <sheetName val="단가"/>
      <sheetName val="유림총괄"/>
      <sheetName val="삼희오텔"/>
      <sheetName val="H-PILE수량집계"/>
      <sheetName val="대차대조표"/>
      <sheetName val="견적공통"/>
      <sheetName val="보고서원고"/>
      <sheetName val="hvac(제어동)"/>
      <sheetName val="실행"/>
      <sheetName val="4.내역"/>
      <sheetName val="부대대비"/>
      <sheetName val="냉연집계"/>
      <sheetName val="빗물받이(910-510-410)"/>
      <sheetName val="첨4"/>
      <sheetName val="공량산출서"/>
      <sheetName val="기초자료입력"/>
      <sheetName val="현관비DATA"/>
      <sheetName val="실행대비"/>
      <sheetName val="일반부표"/>
      <sheetName val="물가대비표"/>
      <sheetName val="JUCK"/>
      <sheetName val="유리"/>
      <sheetName val="평형공사비"/>
      <sheetName val="산출내역서"/>
      <sheetName val="01AC"/>
      <sheetName val="중기"/>
      <sheetName val="경상직원"/>
      <sheetName val="노임"/>
      <sheetName val="과천MAIN"/>
      <sheetName val="실행철강하도"/>
      <sheetName val="단가 및 재료비"/>
      <sheetName val="중기사용료산출근거"/>
      <sheetName val="날개수량1.5"/>
      <sheetName val="암센터"/>
      <sheetName val="소상 &quot;1&quot;"/>
      <sheetName val="영업.일1"/>
      <sheetName val="분전함신설"/>
      <sheetName val="접지1종"/>
      <sheetName val="도급기성"/>
      <sheetName val="FAB별"/>
      <sheetName val="Total"/>
      <sheetName val="집계표"/>
      <sheetName val="총괄표"/>
      <sheetName val="간접비"/>
      <sheetName val="간접"/>
      <sheetName val="문학간접"/>
      <sheetName val="동원(3)"/>
      <sheetName val="예정(3)"/>
      <sheetName val="터널조도"/>
      <sheetName val="시중노임"/>
      <sheetName val="현장관리비"/>
      <sheetName val="공통비(전체)"/>
      <sheetName val="공용시설내역"/>
      <sheetName val="Sheet2"/>
      <sheetName val="현장청취복명서"/>
      <sheetName val="사업예산내역"/>
      <sheetName val="사업예산품의서"/>
      <sheetName val="조건 (A)"/>
      <sheetName val="인건-측정"/>
      <sheetName val="산출근거"/>
      <sheetName val="이름표지정"/>
      <sheetName val="2002하반기노임기준"/>
      <sheetName val="플랜트 설치"/>
      <sheetName val="견"/>
      <sheetName val="CAL."/>
      <sheetName val="내역(영일)"/>
      <sheetName val="Y-WORK"/>
      <sheetName val="510동"/>
      <sheetName val="511동"/>
      <sheetName val="512동"/>
      <sheetName val="502동"/>
      <sheetName val="503동"/>
      <sheetName val="504동"/>
      <sheetName val="505동"/>
      <sheetName val="506동"/>
      <sheetName val="507동"/>
      <sheetName val="508동"/>
      <sheetName val="509동"/>
      <sheetName val="5.개인보호구지급"/>
      <sheetName val="업체별기성내역"/>
      <sheetName val="anaysis_sheet"/>
      <sheetName val="첨"/>
      <sheetName val="TEL"/>
      <sheetName val="03"/>
      <sheetName val="01"/>
      <sheetName val="02"/>
      <sheetName val="상하차비용(기계상차)"/>
      <sheetName val="수간보호"/>
      <sheetName val="운반비"/>
      <sheetName val="기성내역"/>
      <sheetName val="2.대외공문"/>
      <sheetName val="설계"/>
      <sheetName val="10월"/>
      <sheetName val="36신설수량"/>
      <sheetName val="유림골조"/>
      <sheetName val="부산제일극장"/>
      <sheetName val="PROJECT BRIEF(EX.NEW)"/>
      <sheetName val="배수장토목공사비"/>
      <sheetName val="Sheet5"/>
      <sheetName val="한화금융비"/>
      <sheetName val="반포2차"/>
      <sheetName val="대여현황"/>
      <sheetName val="A-4"/>
      <sheetName val="단가파일"/>
      <sheetName val="3.바닥판설계"/>
      <sheetName val="Sheet3"/>
      <sheetName val="CON'C"/>
      <sheetName val="일위대가목차"/>
      <sheetName val="토목을"/>
      <sheetName val="판매시설"/>
      <sheetName val="아파트_9"/>
      <sheetName val="주민복지관"/>
      <sheetName val="지하주차장"/>
      <sheetName val="테이블"/>
      <sheetName val="미드수량"/>
      <sheetName val="우수"/>
      <sheetName val="예산총괄"/>
      <sheetName val="개요"/>
      <sheetName val="충주"/>
      <sheetName val="48신설단가"/>
      <sheetName val="단독"/>
      <sheetName val="TC표지"/>
      <sheetName val="지장물조서"/>
      <sheetName val="토지조서"/>
      <sheetName val="목차"/>
      <sheetName val="1.4.설계기준"/>
      <sheetName val="wall"/>
      <sheetName val="001"/>
      <sheetName val="정부노임단가"/>
      <sheetName val="TOT"/>
      <sheetName val="공통가설공사"/>
      <sheetName val="5_경상직원"/>
      <sheetName val="A_견적"/>
      <sheetName val="관람석제출"/>
      <sheetName val="소개"/>
      <sheetName val="단위중량"/>
      <sheetName val="공예을"/>
      <sheetName val="조정금액결과표 (차수별)"/>
      <sheetName val="평가데이터"/>
      <sheetName val="노임단가표"/>
      <sheetName val="유기공정"/>
      <sheetName val="정화조동내역"/>
      <sheetName val="노무산출서"/>
      <sheetName val="물가자료"/>
      <sheetName val="40집계"/>
      <sheetName val="STORAGE"/>
      <sheetName val="설계조건"/>
      <sheetName val="기둥(원형)"/>
      <sheetName val="01하반기노임"/>
      <sheetName val="48일위"/>
      <sheetName val="OPT"/>
      <sheetName val="SV"/>
      <sheetName val="품셈"/>
      <sheetName val="대공종"/>
      <sheetName val="PAINT"/>
      <sheetName val="와동25-3(변경)"/>
      <sheetName val="월별수입"/>
      <sheetName val="월별손익"/>
      <sheetName val="연금기초"/>
      <sheetName val="0000"/>
      <sheetName val="토목"/>
      <sheetName val="등록자료"/>
      <sheetName val="수량-가로등"/>
      <sheetName val="#REF"/>
      <sheetName val="6호기"/>
      <sheetName val="협조전"/>
      <sheetName val="세부추진"/>
      <sheetName val="상용보강"/>
      <sheetName val="철거산출근거"/>
      <sheetName val="2003상반기노임기준"/>
      <sheetName val="연습장소"/>
      <sheetName val="견적서"/>
      <sheetName val="BSD (2)"/>
      <sheetName val="간접비계산"/>
      <sheetName val="원가계산서"/>
      <sheetName val="조명율표"/>
      <sheetName val="DATA"/>
      <sheetName val="기초단가"/>
      <sheetName val="편성절차"/>
      <sheetName val="건축원가"/>
      <sheetName val="수리결과"/>
      <sheetName val="내역을"/>
      <sheetName val="우수받이"/>
      <sheetName val="전체내역 (2)"/>
      <sheetName val="시험장S자로가로등공사"/>
      <sheetName val="청천내"/>
      <sheetName val="기준요인별"/>
      <sheetName val="정보(MCC)"/>
      <sheetName val="정보(HEI)"/>
      <sheetName val="기계경비(시간당)"/>
      <sheetName val="램머"/>
      <sheetName val="TYPE-B 평균H"/>
      <sheetName val="CALCULATION"/>
      <sheetName val="1SPAN"/>
      <sheetName val="영업소실적"/>
      <sheetName val="단가비교표"/>
      <sheetName val="일위대가 "/>
      <sheetName val="공사별5"/>
      <sheetName val="내역서 제출"/>
      <sheetName val="T6-6(2)"/>
      <sheetName val="공사진행"/>
      <sheetName val="공정표"/>
      <sheetName val="설계명세서"/>
      <sheetName val="PROJECT BRIEF"/>
      <sheetName val="총 원가계산"/>
      <sheetName val="정리"/>
      <sheetName val="산출기준(파견전산실)"/>
      <sheetName val="자재단가비교표"/>
      <sheetName val="특판"/>
      <sheetName val="합천내역"/>
      <sheetName val="데이타"/>
      <sheetName val="요율"/>
      <sheetName val="일위대가표"/>
      <sheetName val="식재인부"/>
      <sheetName val="기본일위"/>
      <sheetName val="산정표"/>
      <sheetName val="입력"/>
      <sheetName val="변경내역"/>
      <sheetName val="DATE"/>
      <sheetName val="POOM_MOTO"/>
      <sheetName val="POOM_MOTO2"/>
      <sheetName val="견적서(대외) (2)"/>
      <sheetName val="일반공사"/>
      <sheetName val="Upgrades pricing"/>
      <sheetName val="인건비"/>
      <sheetName val="손익"/>
      <sheetName val="현금"/>
      <sheetName val="새공통(96임금인상기준)"/>
      <sheetName val="1차 내역서"/>
      <sheetName val="6PILE  (돌출)"/>
      <sheetName val="실행(ALT1)"/>
      <sheetName val="토목공사"/>
      <sheetName val="도급당초내역"/>
      <sheetName val="원가계산하도"/>
      <sheetName val="변품8-37"/>
      <sheetName val="BID"/>
      <sheetName val="Sheet6"/>
      <sheetName val="공비대비"/>
      <sheetName val="설정"/>
      <sheetName val="1공구(을)"/>
      <sheetName val="프랜트면허"/>
      <sheetName val="FOB발"/>
      <sheetName val="적격심사표"/>
      <sheetName val="자판실행"/>
      <sheetName val="인제내역"/>
      <sheetName val="D"/>
      <sheetName val="설계예시"/>
      <sheetName val="참고"/>
      <sheetName val="공구원가계산"/>
      <sheetName val="부안일위"/>
      <sheetName val="경상비"/>
      <sheetName val="계정"/>
      <sheetName val="건축집계표"/>
      <sheetName val="t형"/>
      <sheetName val="단위수량"/>
      <sheetName val="단가조사서"/>
      <sheetName val="NOMUBI"/>
      <sheetName val="sw1"/>
      <sheetName val="단가산출서"/>
      <sheetName val="원내역서 그대로"/>
      <sheetName val="노임단가(2000하반기)"/>
      <sheetName val="도로구조공사비"/>
      <sheetName val="P.M 별"/>
      <sheetName val="차액보증"/>
      <sheetName val="대환취급"/>
      <sheetName val="월간인력"/>
      <sheetName val="인력소요계획"/>
      <sheetName val="국영"/>
      <sheetName val="98지급계획"/>
      <sheetName val="조직"/>
      <sheetName val="연결임시"/>
      <sheetName val="MOTOR"/>
      <sheetName val="갑지(추정)"/>
      <sheetName val="건축-물가변동"/>
      <sheetName val="시장성초안camera"/>
      <sheetName val="말뚝지지력산정"/>
      <sheetName val="1"/>
      <sheetName val="입찰안"/>
      <sheetName val="3련 BOX"/>
      <sheetName val="일위산출"/>
      <sheetName val="북제주원가"/>
      <sheetName val="자재단가"/>
      <sheetName val="차도조도계산"/>
      <sheetName val="단위단가"/>
      <sheetName val="2.2.2입적표"/>
      <sheetName val="조건표"/>
      <sheetName val="서울보증기초코드"/>
      <sheetName val="인수현황표020930"/>
      <sheetName val="현금예금"/>
      <sheetName val="9-1차이내역"/>
      <sheetName val="차수"/>
      <sheetName val="Price List"/>
      <sheetName val="POlist"/>
      <sheetName val="XL4Poppy"/>
      <sheetName val="뒤차축소"/>
      <sheetName val="자본"/>
      <sheetName val="Macro(차단기)"/>
      <sheetName val="공사비총괄표"/>
      <sheetName val="조작대(1연)"/>
      <sheetName val="코드"/>
      <sheetName val="산출-설비"/>
      <sheetName val="설비"/>
      <sheetName val="관접합및부설"/>
      <sheetName val="ABUT수량-A1"/>
      <sheetName val="일위산출근거"/>
      <sheetName val="원가계산 (2)"/>
      <sheetName val="__MAIN"/>
      <sheetName val="工완성공사율"/>
      <sheetName val="방학"/>
      <sheetName val="재료비"/>
      <sheetName val="257A1"/>
      <sheetName val="단가결정"/>
      <sheetName val="세금자료"/>
      <sheetName val="안산기계장치"/>
      <sheetName val="단가대비표"/>
      <sheetName val="골재집계"/>
      <sheetName val="-레미콘집계"/>
      <sheetName val="-몰탈콘크리트"/>
      <sheetName val="자갈,시멘트,모래산출"/>
      <sheetName val="-철근집계"/>
      <sheetName val="포장재료(1)"/>
      <sheetName val="-흄관집계"/>
      <sheetName val="토공집계표"/>
      <sheetName val="5"/>
      <sheetName val="중기일위대가"/>
      <sheetName val="교각1"/>
      <sheetName val="설계서"/>
      <sheetName val="Personnaliser..."/>
      <sheetName val="Takt Time"/>
      <sheetName val="기구"/>
      <sheetName val="PLT8500"/>
      <sheetName val="도근좌표"/>
      <sheetName val="기본단가"/>
      <sheetName val="기본DATA Sheet"/>
      <sheetName val="1차배부(JB포함)"/>
      <sheetName val="96수출"/>
      <sheetName val="전기일위대가"/>
      <sheetName val="plan&amp;section of foundation"/>
      <sheetName val="design criteria"/>
      <sheetName val="기준액"/>
      <sheetName val="실행비교"/>
      <sheetName val="사업분석"/>
      <sheetName val="노원열병합  건축공사기성내역서"/>
      <sheetName val="수수료율표"/>
      <sheetName val="신설개소별 총집계표(동해-배전)"/>
      <sheetName val="안평역사 총집계"/>
      <sheetName val="c_balju"/>
      <sheetName val="재무가정"/>
      <sheetName val="현재"/>
      <sheetName val="비교1"/>
      <sheetName val="여과지동"/>
      <sheetName val="기초자료"/>
      <sheetName val="사다리"/>
      <sheetName val="9GNG운반"/>
      <sheetName val="원가서"/>
      <sheetName val="새공통"/>
      <sheetName val="I一般比"/>
      <sheetName val="N賃率-職"/>
      <sheetName val="new급여T(4을-운전)"/>
      <sheetName val="남양시작동자105노65기1.3화1.2"/>
      <sheetName val="전문품의"/>
      <sheetName val="제안서"/>
      <sheetName val="행정표준(1)"/>
      <sheetName val="행정표준(2)"/>
      <sheetName val="부하(성남)"/>
      <sheetName val="대비표(토공1안)"/>
      <sheetName val="PIS"/>
      <sheetName val="표준코드"/>
      <sheetName val="연동내역"/>
      <sheetName val="안전시설"/>
      <sheetName val="H PILE수량"/>
      <sheetName val="설명서 "/>
      <sheetName val="주형"/>
      <sheetName val="DB구축"/>
      <sheetName val="단가산출"/>
      <sheetName val="마산월령동골조물량변경"/>
      <sheetName val="실행갑지"/>
      <sheetName val="산출(열차무선)"/>
      <sheetName val="입찰"/>
      <sheetName val="현경"/>
      <sheetName val="0001(arch)"/>
      <sheetName val="설계산출기초"/>
      <sheetName val="도급예산내역서봉투"/>
      <sheetName val="공사원가계산서"/>
      <sheetName val="설계산출표지"/>
      <sheetName val="도급예산내역서총괄표"/>
      <sheetName val="을부담운반비"/>
      <sheetName val="운반비산출"/>
      <sheetName val="국내조달(통합-1)"/>
      <sheetName val="적정심사"/>
      <sheetName val="조도계산서 (도서)"/>
      <sheetName val="4_내역"/>
      <sheetName val="Piping_Design_Data"/>
      <sheetName val="Stem Footing"/>
      <sheetName val="00000"/>
      <sheetName val="을 2"/>
      <sheetName val="수량산출내역1115"/>
      <sheetName val="공통가설(기준안)"/>
      <sheetName val="수량산출"/>
      <sheetName val="장비"/>
      <sheetName val="노무"/>
      <sheetName val="경비내역(을)-1"/>
      <sheetName val="분양금할인"/>
      <sheetName val="건축공사"/>
      <sheetName val="산출근거서-전기"/>
      <sheetName val="가시설흙막이"/>
      <sheetName val="토목주소"/>
      <sheetName val="총괄집계표"/>
      <sheetName val="기계공사"/>
      <sheetName val="PROCESS"/>
      <sheetName val="49단가"/>
      <sheetName val="BOJUNGGM"/>
      <sheetName val="이름표"/>
      <sheetName val="환경기계공정표 (3)"/>
      <sheetName val="48수량"/>
      <sheetName val="1공구산출내역서"/>
      <sheetName val="교통처리우회도로"/>
      <sheetName val="5_경상직원1"/>
      <sheetName val="A_견적1"/>
      <sheetName val="소상_&quot;1&quot;"/>
      <sheetName val="조건_(A)"/>
      <sheetName val="영업_일1"/>
      <sheetName val="단가_및_재료비"/>
      <sheetName val="날개수량1_5"/>
      <sheetName val="2_대외공문"/>
      <sheetName val="CAL_"/>
      <sheetName val="자압"/>
      <sheetName val="969910( R)"/>
      <sheetName val="CONCRETE"/>
      <sheetName val="견적 집계"/>
      <sheetName val="경"/>
      <sheetName val="조명시설"/>
      <sheetName val="Macro1"/>
      <sheetName val="Macro2"/>
      <sheetName val="건축공사실행"/>
      <sheetName val="노무비 근거"/>
      <sheetName val="자재대비표 리스트"/>
      <sheetName val="4)유동표"/>
      <sheetName val="단가표"/>
      <sheetName val="Data&amp;Result"/>
      <sheetName val="시중노임단가"/>
      <sheetName val="MACRO(전선관)"/>
      <sheetName val="참조"/>
      <sheetName val="참조M"/>
      <sheetName val="손익요약(미사용)"/>
      <sheetName val="20_10_100"/>
      <sheetName val="단면가정"/>
      <sheetName val="ELECTRIC"/>
      <sheetName val="CTEMCOST"/>
      <sheetName val="인부노임"/>
      <sheetName val="확정실적"/>
      <sheetName val="금액"/>
      <sheetName val="원가총괄"/>
      <sheetName val="특별교실"/>
      <sheetName val="총계"/>
      <sheetName val="하중계산"/>
      <sheetName val="서식가로"/>
      <sheetName val="품셈TABLE"/>
      <sheetName val="집계"/>
      <sheetName val="기계경비일람"/>
      <sheetName val="결재방"/>
      <sheetName val="Sch9  Guarantees and lawsuits"/>
      <sheetName val="CSTHA616"/>
      <sheetName val="종배수관"/>
      <sheetName val="갑지"/>
      <sheetName val="자재사용"/>
      <sheetName val="1.수량산출서"/>
      <sheetName val="가도공"/>
      <sheetName val="입력자료"/>
      <sheetName val="간지"/>
      <sheetName val="BOTM"/>
      <sheetName val="현황CODE"/>
      <sheetName val="손익현황"/>
      <sheetName val="산재 안전"/>
      <sheetName val="노무비 경비"/>
      <sheetName val="WORK"/>
      <sheetName val="배수공"/>
      <sheetName val="견적대비 "/>
      <sheetName val="P3"/>
      <sheetName val="반기_유가증권"/>
      <sheetName val="공통부대비"/>
      <sheetName val="전기"/>
      <sheetName val="급여대장출력"/>
      <sheetName val="주류전체2"/>
      <sheetName val="위스키3"/>
      <sheetName val="Graph (LGEN)"/>
      <sheetName val="out_prog"/>
      <sheetName val="선적schedule (2)"/>
      <sheetName val="시공계획"/>
      <sheetName val="1.설계기준"/>
      <sheetName val="차입금현황 (연결)"/>
      <sheetName val="일위대가_"/>
      <sheetName val="2_2_2입적표"/>
      <sheetName val="플랜트_설치"/>
      <sheetName val="조정금액결과표_(차수별)"/>
      <sheetName val="PROJECT_BRIEF(EX_NEW)"/>
      <sheetName val="3_바닥판설계"/>
      <sheetName val="BSD_(2)"/>
      <sheetName val="전체내역_(2)"/>
      <sheetName val="내역서_제출"/>
      <sheetName val="TYPE-B_평균H"/>
      <sheetName val="총_원가계산"/>
      <sheetName val="PROJECT_BRIEF"/>
      <sheetName val="견적서(대외)_(2)"/>
      <sheetName val="5_개인보호구지급"/>
      <sheetName val="Upgrades_pricing"/>
      <sheetName val="코드표"/>
      <sheetName val="상세내역,전력산출서"/>
      <sheetName val="민감도"/>
      <sheetName val="99노임기준"/>
      <sheetName val="계장 품셈표"/>
      <sheetName val="기계내역서"/>
      <sheetName val="우각부보강"/>
      <sheetName val="03년도 기지국별 시설현황"/>
      <sheetName val="도급"/>
      <sheetName val="PopCache"/>
      <sheetName val="PNLIST"/>
      <sheetName val="단가및재료비"/>
      <sheetName val="중기사용료"/>
      <sheetName val="견적단가"/>
      <sheetName val="TOTAL3"/>
      <sheetName val="MAIN"/>
      <sheetName val="ENG"/>
      <sheetName val="CONT"/>
      <sheetName val="PA - old"/>
      <sheetName val="준공정산"/>
      <sheetName val="사업성분석"/>
      <sheetName val="1-최종안"/>
      <sheetName val="사업분석-분양가결정"/>
      <sheetName val="상호참고자료"/>
      <sheetName val="발주처자료입력"/>
      <sheetName val="회사기본자료"/>
      <sheetName val="하자보증자료"/>
      <sheetName val="기술자관련자료"/>
      <sheetName val="도면명"/>
      <sheetName val="5.전사투자계획종함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sheetData sheetId="416"/>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sheetData sheetId="443"/>
      <sheetData sheetId="444"/>
      <sheetData sheetId="445"/>
      <sheetData sheetId="446"/>
      <sheetData sheetId="447"/>
      <sheetData sheetId="448"/>
      <sheetData sheetId="449"/>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8계획조정"/>
      <sheetName val="981차조정"/>
      <sheetName val="피벗테이블"/>
      <sheetName val="지시안"/>
      <sheetName val="요약"/>
      <sheetName val="총괄1"/>
      <sheetName val="총괄1-1"/>
      <sheetName val="총괄2"/>
      <sheetName val="총괄2-1"/>
      <sheetName val="임금동결시"/>
      <sheetName val="98세목별"/>
      <sheetName val="용역수수료내역"/>
      <sheetName val="Sheet1"/>
      <sheetName val="비통제세부"/>
      <sheetName val="1억이상"/>
      <sheetName val="5천이상"/>
      <sheetName val="임금인원"/>
      <sheetName val="계정"/>
      <sheetName val="TOT"/>
      <sheetName val="총괄집계표"/>
      <sheetName val="2.대외공문"/>
      <sheetName val="울산시산표"/>
      <sheetName val="대공종"/>
      <sheetName val="전체내역 (2)"/>
      <sheetName val="조건"/>
      <sheetName val="부대대비"/>
      <sheetName val="냉연집계"/>
      <sheetName val="소상 &quot;1&quot;"/>
      <sheetName val="직원수당"/>
      <sheetName val="Keyword"/>
      <sheetName val="README FIRST"/>
      <sheetName val="3.바닥판설계"/>
      <sheetName val="준검 내역서"/>
      <sheetName val="철강수급"/>
      <sheetName val="TIE-IN"/>
      <sheetName val="남양시작동010313100%"/>
      <sheetName val="MatchCode"/>
      <sheetName val="남양시작동자105노65기1.3화1.2"/>
      <sheetName val="조건 (A)"/>
      <sheetName val="설비비"/>
      <sheetName val="일위(PN)"/>
      <sheetName val="위치조서"/>
      <sheetName val="S0"/>
      <sheetName val="플랜트 설치"/>
      <sheetName val="CTEMCOST"/>
      <sheetName val="Price List"/>
      <sheetName val="A"/>
      <sheetName val="XL4Poppy"/>
      <sheetName val="준검_내역서"/>
      <sheetName val="2_대외공문"/>
      <sheetName val="소상_&quot;1&quot;"/>
      <sheetName val="Price_List"/>
      <sheetName val="UNIT"/>
      <sheetName val="전문품의"/>
      <sheetName val="SG"/>
      <sheetName val="현장지지물물량"/>
      <sheetName val="협조전"/>
      <sheetName val="98판관비1차"/>
      <sheetName val="주요공사"/>
      <sheetName val="동해title"/>
      <sheetName val="청"/>
      <sheetName val="수압집계"/>
      <sheetName val="PIPE내역(FCN)"/>
      <sheetName val="실행"/>
      <sheetName val="2000전체분"/>
      <sheetName val="2000년1차"/>
      <sheetName val="Cover"/>
      <sheetName val="BEAM"/>
      <sheetName val="코드표"/>
      <sheetName val="NKC"/>
      <sheetName val="월별수입"/>
      <sheetName val="RE9604"/>
      <sheetName val="GL"/>
      <sheetName val="TK1331 "/>
      <sheetName val="작성방법"/>
      <sheetName val="산출내역서"/>
      <sheetName val="BS"/>
      <sheetName val="기안지"/>
      <sheetName val="실행철강하도"/>
      <sheetName val="BID"/>
      <sheetName val="내역서"/>
      <sheetName val="주형"/>
      <sheetName val="예산서"/>
      <sheetName val="Sheet5"/>
      <sheetName val="인부신상자료"/>
      <sheetName val="입찰안"/>
      <sheetName val="자동제어"/>
      <sheetName val="갑지(추정)"/>
      <sheetName val="TYPE-B 평균H"/>
      <sheetName val="96수출"/>
      <sheetName val="표지"/>
      <sheetName val="Total"/>
      <sheetName val="관람석제출"/>
      <sheetName val="연습장소"/>
      <sheetName val="MOTOR"/>
      <sheetName val="노임단가"/>
      <sheetName val="5.전사투자계획종함안"/>
      <sheetName val="차액보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3">
          <cell r="E3" t="str">
            <v>TAAA</v>
          </cell>
          <cell r="F3" t="str">
            <v>경영전략팀</v>
          </cell>
        </row>
        <row r="4">
          <cell r="E4" t="str">
            <v>TAAB</v>
          </cell>
          <cell r="F4" t="str">
            <v>사업기획팀</v>
          </cell>
        </row>
        <row r="5">
          <cell r="E5" t="str">
            <v>TABA</v>
          </cell>
          <cell r="F5" t="str">
            <v>대외협력팀</v>
          </cell>
        </row>
        <row r="6">
          <cell r="E6" t="str">
            <v>TABB</v>
          </cell>
          <cell r="F6" t="str">
            <v>자동차산업연구소</v>
          </cell>
        </row>
        <row r="7">
          <cell r="E7" t="str">
            <v>TACA</v>
          </cell>
          <cell r="F7" t="str">
            <v>승용상품기획팀</v>
          </cell>
        </row>
        <row r="8">
          <cell r="E8" t="str">
            <v>TACB</v>
          </cell>
          <cell r="F8" t="str">
            <v>상용상품기획팀</v>
          </cell>
        </row>
        <row r="9">
          <cell r="E9" t="str">
            <v>TSCA</v>
          </cell>
          <cell r="F9" t="str">
            <v>생산계획조정팀</v>
          </cell>
        </row>
        <row r="11">
          <cell r="E11" t="str">
            <v>TBAA</v>
          </cell>
          <cell r="F11" t="str">
            <v>인사기획팀</v>
          </cell>
        </row>
        <row r="12">
          <cell r="E12" t="str">
            <v>TBAB</v>
          </cell>
          <cell r="F12" t="str">
            <v>인력운영팀</v>
          </cell>
        </row>
        <row r="13">
          <cell r="E13" t="str">
            <v>TBBA</v>
          </cell>
          <cell r="F13" t="str">
            <v>교육기획팀</v>
          </cell>
        </row>
        <row r="14">
          <cell r="E14" t="str">
            <v>TBBB</v>
          </cell>
          <cell r="F14" t="str">
            <v>교육운영팀</v>
          </cell>
        </row>
        <row r="15">
          <cell r="E15" t="str">
            <v>TBBE</v>
          </cell>
          <cell r="F15" t="str">
            <v>천안직훈팀</v>
          </cell>
        </row>
        <row r="16">
          <cell r="E16" t="str">
            <v>TBCA</v>
          </cell>
          <cell r="F16" t="str">
            <v>총무팀</v>
          </cell>
        </row>
        <row r="17">
          <cell r="E17" t="str">
            <v>TBCB</v>
          </cell>
          <cell r="F17" t="str">
            <v>관재팀</v>
          </cell>
        </row>
        <row r="18">
          <cell r="E18" t="str">
            <v>TBCC</v>
          </cell>
          <cell r="F18" t="str">
            <v>법무팀</v>
          </cell>
        </row>
        <row r="19">
          <cell r="E19" t="str">
            <v>TBCD</v>
          </cell>
          <cell r="F19" t="str">
            <v>비상계획팀</v>
          </cell>
        </row>
        <row r="21">
          <cell r="E21" t="str">
            <v>TCAA</v>
          </cell>
          <cell r="F21" t="str">
            <v>회계팀</v>
          </cell>
        </row>
        <row r="22">
          <cell r="E22" t="str">
            <v>TCAB</v>
          </cell>
          <cell r="F22" t="str">
            <v>세무팀</v>
          </cell>
        </row>
        <row r="23">
          <cell r="E23" t="str">
            <v>TCAC</v>
          </cell>
          <cell r="F23" t="str">
            <v>원가기획팀</v>
          </cell>
        </row>
        <row r="24">
          <cell r="E24" t="str">
            <v>TCAE</v>
          </cell>
          <cell r="F24" t="str">
            <v>재무회계프로젝트</v>
          </cell>
        </row>
        <row r="25">
          <cell r="E25" t="str">
            <v>TCAD</v>
          </cell>
          <cell r="F25" t="str">
            <v>경영분석팀</v>
          </cell>
        </row>
        <row r="26">
          <cell r="E26" t="str">
            <v>TCBA</v>
          </cell>
          <cell r="F26" t="str">
            <v>재정팀</v>
          </cell>
        </row>
        <row r="27">
          <cell r="E27" t="str">
            <v>TCBB</v>
          </cell>
          <cell r="F27" t="str">
            <v>국제금융팀</v>
          </cell>
        </row>
        <row r="28">
          <cell r="E28" t="str">
            <v>TCBC</v>
          </cell>
          <cell r="F28" t="str">
            <v>무역금융팀</v>
          </cell>
        </row>
        <row r="29">
          <cell r="E29" t="str">
            <v>TCCA</v>
          </cell>
          <cell r="F29" t="str">
            <v>할부금융팀</v>
          </cell>
        </row>
        <row r="30">
          <cell r="E30" t="str">
            <v>TCCB</v>
          </cell>
          <cell r="F30" t="str">
            <v>채권관리팀</v>
          </cell>
        </row>
        <row r="31">
          <cell r="E31" t="str">
            <v>TDAA</v>
          </cell>
          <cell r="F31" t="str">
            <v>판매지원팀</v>
          </cell>
        </row>
        <row r="32">
          <cell r="E32" t="str">
            <v>TDAB</v>
          </cell>
          <cell r="F32" t="str">
            <v>영업소개발팀</v>
          </cell>
        </row>
        <row r="33">
          <cell r="E33" t="str">
            <v>TDAC</v>
          </cell>
          <cell r="F33" t="str">
            <v>판매교육팀</v>
          </cell>
        </row>
        <row r="34">
          <cell r="E34" t="str">
            <v>TDAD</v>
          </cell>
          <cell r="F34" t="str">
            <v>고객상담센터</v>
          </cell>
        </row>
        <row r="35">
          <cell r="E35" t="str">
            <v>TDAF</v>
          </cell>
          <cell r="F35" t="str">
            <v>판매정보운영팀</v>
          </cell>
        </row>
        <row r="36">
          <cell r="E36" t="str">
            <v>TDBA</v>
          </cell>
          <cell r="F36" t="str">
            <v>승용기획팀</v>
          </cell>
        </row>
        <row r="37">
          <cell r="E37" t="str">
            <v>TDBB</v>
          </cell>
          <cell r="F37" t="str">
            <v>국내승용상품팀</v>
          </cell>
        </row>
        <row r="38">
          <cell r="E38" t="str">
            <v>TDBC</v>
          </cell>
          <cell r="F38" t="str">
            <v>승용판촉팀</v>
          </cell>
        </row>
        <row r="39">
          <cell r="E39" t="str">
            <v>TDBD</v>
          </cell>
          <cell r="F39" t="str">
            <v>승용운영팀</v>
          </cell>
        </row>
        <row r="40">
          <cell r="E40" t="str">
            <v>TDBE</v>
          </cell>
          <cell r="F40" t="str">
            <v>승용특판팀</v>
          </cell>
        </row>
        <row r="41">
          <cell r="E41" t="str">
            <v>TDBF</v>
          </cell>
          <cell r="F41" t="str">
            <v>현대모터스포츠팀</v>
          </cell>
        </row>
        <row r="42">
          <cell r="E42" t="str">
            <v>TDNA</v>
          </cell>
          <cell r="F42" t="str">
            <v>상용기획팀</v>
          </cell>
        </row>
        <row r="43">
          <cell r="E43" t="str">
            <v>TDNB</v>
          </cell>
          <cell r="F43" t="str">
            <v>국내상용상품팀</v>
          </cell>
        </row>
        <row r="44">
          <cell r="E44" t="str">
            <v>TDNC</v>
          </cell>
          <cell r="F44" t="str">
            <v>대상판촉팀</v>
          </cell>
        </row>
        <row r="45">
          <cell r="E45" t="str">
            <v>TDND</v>
          </cell>
          <cell r="F45" t="str">
            <v>소상판촉팀</v>
          </cell>
        </row>
        <row r="46">
          <cell r="E46" t="str">
            <v>TDNE</v>
          </cell>
          <cell r="F46" t="str">
            <v>상용특판팀</v>
          </cell>
        </row>
        <row r="47">
          <cell r="E47" t="str">
            <v>TDNF</v>
          </cell>
          <cell r="F47" t="str">
            <v>특장업무팀</v>
          </cell>
        </row>
        <row r="48">
          <cell r="E48" t="str">
            <v>TDTA</v>
          </cell>
          <cell r="F48" t="str">
            <v>물류운영팀</v>
          </cell>
        </row>
        <row r="49">
          <cell r="E49" t="str">
            <v>TDUJ</v>
          </cell>
          <cell r="F49" t="str">
            <v>써비스기획팀</v>
          </cell>
        </row>
        <row r="50">
          <cell r="E50" t="str">
            <v>TDUB</v>
          </cell>
          <cell r="F50" t="str">
            <v>써비스교육팀</v>
          </cell>
        </row>
        <row r="51">
          <cell r="E51" t="str">
            <v>TDUC</v>
          </cell>
          <cell r="F51" t="str">
            <v>보상업무팀</v>
          </cell>
        </row>
        <row r="52">
          <cell r="E52" t="str">
            <v>TDUE</v>
          </cell>
          <cell r="F52" t="str">
            <v>승용써비스기술팀</v>
          </cell>
        </row>
        <row r="53">
          <cell r="E53" t="str">
            <v>TDUF</v>
          </cell>
          <cell r="F53" t="str">
            <v>상용써비스팀</v>
          </cell>
        </row>
        <row r="54">
          <cell r="E54" t="str">
            <v>TDUG</v>
          </cell>
          <cell r="F54" t="str">
            <v>고객써비스1팀</v>
          </cell>
        </row>
        <row r="55">
          <cell r="E55" t="str">
            <v>TDUH</v>
          </cell>
          <cell r="F55" t="str">
            <v>고객써비스2팀</v>
          </cell>
        </row>
        <row r="56">
          <cell r="E56" t="str">
            <v>TEEA</v>
          </cell>
          <cell r="F56" t="str">
            <v>해외보상업무팀</v>
          </cell>
        </row>
        <row r="57">
          <cell r="E57" t="str">
            <v>TEEB</v>
          </cell>
          <cell r="F57" t="str">
            <v>해외써비스1팀</v>
          </cell>
        </row>
        <row r="58">
          <cell r="E58" t="str">
            <v>TEEC</v>
          </cell>
          <cell r="F58" t="str">
            <v>해외상용써비스팀</v>
          </cell>
        </row>
        <row r="59">
          <cell r="E59" t="str">
            <v>TEEF</v>
          </cell>
          <cell r="F59" t="str">
            <v>써비스정보팀</v>
          </cell>
        </row>
        <row r="60">
          <cell r="E60" t="str">
            <v>TEEH</v>
          </cell>
          <cell r="F60" t="str">
            <v>해외써비스2팀</v>
          </cell>
        </row>
        <row r="62">
          <cell r="E62" t="str">
            <v>TEAA</v>
          </cell>
          <cell r="F62" t="str">
            <v>수출기획팀</v>
          </cell>
        </row>
        <row r="63">
          <cell r="E63" t="str">
            <v>TEAB</v>
          </cell>
          <cell r="F63" t="str">
            <v>수출상품계획팀</v>
          </cell>
        </row>
        <row r="64">
          <cell r="E64" t="str">
            <v>TEAC</v>
          </cell>
          <cell r="F64" t="str">
            <v>수출업무팀</v>
          </cell>
        </row>
        <row r="65">
          <cell r="E65" t="str">
            <v>TEBC</v>
          </cell>
          <cell r="F65" t="str">
            <v>상용특장수출팀</v>
          </cell>
        </row>
        <row r="66">
          <cell r="E66" t="str">
            <v>TECA</v>
          </cell>
          <cell r="F66" t="str">
            <v>서구팀</v>
          </cell>
        </row>
        <row r="67">
          <cell r="E67" t="str">
            <v>TECB</v>
          </cell>
          <cell r="F67" t="str">
            <v>동구팀</v>
          </cell>
        </row>
        <row r="68">
          <cell r="E68" t="str">
            <v>TEDA</v>
          </cell>
          <cell r="F68" t="str">
            <v>미주팀</v>
          </cell>
        </row>
        <row r="69">
          <cell r="E69" t="str">
            <v>TEDB</v>
          </cell>
          <cell r="F69" t="str">
            <v>남미팀</v>
          </cell>
        </row>
        <row r="70">
          <cell r="E70" t="str">
            <v>TEGC</v>
          </cell>
          <cell r="F70" t="str">
            <v>아시아팀</v>
          </cell>
        </row>
        <row r="71">
          <cell r="E71" t="str">
            <v>TEGD</v>
          </cell>
          <cell r="F71" t="str">
            <v>태평양팀</v>
          </cell>
        </row>
        <row r="72">
          <cell r="E72" t="str">
            <v>TEHA</v>
          </cell>
          <cell r="F72" t="str">
            <v>중동팀</v>
          </cell>
        </row>
        <row r="73">
          <cell r="E73" t="str">
            <v>TEHB</v>
          </cell>
          <cell r="F73" t="str">
            <v>아프리카팀</v>
          </cell>
        </row>
        <row r="74">
          <cell r="E74" t="str">
            <v>TFAA</v>
          </cell>
          <cell r="F74" t="str">
            <v>정보기술기획팀</v>
          </cell>
        </row>
        <row r="75">
          <cell r="E75" t="str">
            <v>TFAB</v>
          </cell>
          <cell r="F75" t="str">
            <v>정보기술운영팀</v>
          </cell>
        </row>
        <row r="76">
          <cell r="E76" t="str">
            <v>TFAC</v>
          </cell>
          <cell r="F76" t="str">
            <v>통신팀</v>
          </cell>
        </row>
        <row r="77">
          <cell r="E77" t="str">
            <v>TFDA</v>
          </cell>
          <cell r="F77" t="str">
            <v>관리시스템팀</v>
          </cell>
        </row>
        <row r="78">
          <cell r="E78" t="str">
            <v>TFDB</v>
          </cell>
          <cell r="F78" t="str">
            <v>판매시스템팀</v>
          </cell>
        </row>
        <row r="80">
          <cell r="E80" t="str">
            <v>TKAA</v>
          </cell>
          <cell r="F80" t="str">
            <v>자재기획팀</v>
          </cell>
        </row>
        <row r="81">
          <cell r="E81" t="str">
            <v>TKBB</v>
          </cell>
          <cell r="F81" t="str">
            <v>부품원가2팀</v>
          </cell>
        </row>
        <row r="82">
          <cell r="E82" t="str">
            <v>TKCB</v>
          </cell>
          <cell r="F82" t="str">
            <v>샤시부품개발2팀</v>
          </cell>
        </row>
        <row r="83">
          <cell r="E83" t="str">
            <v>TKCE</v>
          </cell>
          <cell r="F83" t="str">
            <v>공작부품개발3팀</v>
          </cell>
        </row>
        <row r="84">
          <cell r="E84" t="str">
            <v>TKCJ</v>
          </cell>
          <cell r="F84" t="str">
            <v>전장부품개발팀</v>
          </cell>
        </row>
        <row r="85">
          <cell r="E85" t="str">
            <v>TKDD</v>
          </cell>
          <cell r="F85" t="str">
            <v>내자관리팀</v>
          </cell>
        </row>
        <row r="86">
          <cell r="E86" t="str">
            <v>TKEC</v>
          </cell>
          <cell r="F86" t="str">
            <v>상용샤시부품개발팀</v>
          </cell>
        </row>
        <row r="87">
          <cell r="E87" t="str">
            <v>TKFD</v>
          </cell>
          <cell r="F87" t="str">
            <v>본사부품개선팀</v>
          </cell>
        </row>
        <row r="88">
          <cell r="E88" t="str">
            <v>TKGB</v>
          </cell>
          <cell r="F88" t="str">
            <v>수입행정팀</v>
          </cell>
        </row>
        <row r="89">
          <cell r="E89" t="str">
            <v>TKGF</v>
          </cell>
          <cell r="F89" t="str">
            <v>ＣＫＤ개발팀</v>
          </cell>
        </row>
        <row r="90">
          <cell r="E90" t="str">
            <v>TKHA</v>
          </cell>
          <cell r="F90" t="str">
            <v>구매1팀</v>
          </cell>
        </row>
        <row r="91">
          <cell r="E91" t="str">
            <v>TKHB</v>
          </cell>
          <cell r="F91" t="str">
            <v>구매2팀</v>
          </cell>
        </row>
        <row r="92">
          <cell r="E92" t="str">
            <v>TKHE</v>
          </cell>
          <cell r="F92" t="str">
            <v>국제조달팀</v>
          </cell>
        </row>
        <row r="93">
          <cell r="E93" t="str">
            <v>TQBA</v>
          </cell>
          <cell r="F93" t="str">
            <v>CS기획팀</v>
          </cell>
        </row>
        <row r="94">
          <cell r="E94" t="str">
            <v>TQBB</v>
          </cell>
          <cell r="F94" t="str">
            <v>CS추진팀</v>
          </cell>
        </row>
        <row r="95">
          <cell r="E95" t="str">
            <v>TRAA</v>
          </cell>
          <cell r="F95" t="str">
            <v>부품수출1팀</v>
          </cell>
        </row>
        <row r="96">
          <cell r="E96" t="str">
            <v>TRAB</v>
          </cell>
          <cell r="F96" t="str">
            <v>부품수출2팀</v>
          </cell>
        </row>
        <row r="97">
          <cell r="E97" t="str">
            <v>TRAH</v>
          </cell>
          <cell r="F97" t="str">
            <v>부품조달팀</v>
          </cell>
        </row>
        <row r="98">
          <cell r="E98" t="str">
            <v>TKGG</v>
          </cell>
          <cell r="F98" t="str">
            <v>동경사무소</v>
          </cell>
        </row>
        <row r="99">
          <cell r="E99" t="str">
            <v>TSAA</v>
          </cell>
          <cell r="F99" t="str">
            <v>업무개선1팀</v>
          </cell>
        </row>
        <row r="100">
          <cell r="E100" t="str">
            <v>TSBA</v>
          </cell>
          <cell r="F100" t="str">
            <v>홍보1팀</v>
          </cell>
        </row>
        <row r="101">
          <cell r="E101" t="str">
            <v>TSBC</v>
          </cell>
          <cell r="F101" t="str">
            <v>광고팀</v>
          </cell>
        </row>
        <row r="102">
          <cell r="E102" t="str">
            <v>TSBD</v>
          </cell>
          <cell r="F102" t="str">
            <v>산업분석팀</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대외공문"/>
      <sheetName val="인부신상자료"/>
      <sheetName val="계정"/>
      <sheetName val="해외"/>
      <sheetName val="정공공사"/>
      <sheetName val="파이프류"/>
      <sheetName val="#REF"/>
      <sheetName val="Sheet2"/>
      <sheetName val="조건"/>
      <sheetName val="실행철강하도"/>
      <sheetName val="울산시산표"/>
      <sheetName val="Total"/>
      <sheetName val="사기도장"/>
      <sheetName val="대공종"/>
      <sheetName val="건축내역"/>
      <sheetName val="대외공문"/>
      <sheetName val="2000년1차"/>
      <sheetName val="도"/>
      <sheetName val="XL4Poppy"/>
      <sheetName val="총괄표"/>
      <sheetName val="입력"/>
      <sheetName val="집계표"/>
      <sheetName val="차량별점검"/>
      <sheetName val="이자율"/>
      <sheetName val="1.기안지"/>
      <sheetName val="Sheet1"/>
      <sheetName val="1.기안을지"/>
      <sheetName val="3.시행문"/>
      <sheetName val="4.협조전"/>
      <sheetName val="5.문서수발"/>
      <sheetName val="6.발송인"/>
      <sheetName val="7.우편물발송의뢰서"/>
      <sheetName val="8.간행물관리대장"/>
      <sheetName val="10.문서처리"/>
      <sheetName val="11.회람"/>
      <sheetName val="12.문서색인표"/>
      <sheetName val="14.문서목록"/>
      <sheetName val="15.이관문서목록표"/>
      <sheetName val="17.폐기문서목록표"/>
      <sheetName val="21.열람증"/>
      <sheetName val="문서열람및반출대장"/>
      <sheetName val="서식등록신청서"/>
      <sheetName val="서식등록대장"/>
      <sheetName val="회의록"/>
      <sheetName val="회의록 (을)"/>
      <sheetName val="도급"/>
      <sheetName val="DATA"/>
      <sheetName val="SULKEA"/>
      <sheetName val="식당동(010424)"/>
      <sheetName val="기본단가표"/>
      <sheetName val="노임이"/>
      <sheetName val="중기조종사 단위단가"/>
      <sheetName val="2_대외공문"/>
      <sheetName val="남양구조시험동"/>
      <sheetName val="경비"/>
      <sheetName val="코드"/>
      <sheetName val="표준문서"/>
      <sheetName val="일위대가목차"/>
      <sheetName val="기계경비(시간당)"/>
      <sheetName val="램머"/>
      <sheetName val="투찰(하수)"/>
      <sheetName val="DATA(VTL)"/>
      <sheetName val="교사기준면적(초등)"/>
      <sheetName val="전입"/>
      <sheetName val="내역서을지"/>
      <sheetName val="APT"/>
      <sheetName val="조건 (A)"/>
      <sheetName val="샘플표지"/>
      <sheetName val="영업.일1"/>
      <sheetName val="입찰안"/>
      <sheetName val="6호기"/>
      <sheetName val="항목(1)"/>
      <sheetName val="BOOK4"/>
      <sheetName val="업무분장"/>
      <sheetName val="데이타"/>
      <sheetName val="식재인부"/>
      <sheetName val="단면 (2)"/>
      <sheetName val="남양시작동자105노65기1.3화1.2"/>
      <sheetName val="출금실적"/>
      <sheetName val="원가계산서"/>
      <sheetName val="전문품의"/>
      <sheetName val="품의서(TL)"/>
      <sheetName val="NYS"/>
      <sheetName val="옹벽기초자료"/>
      <sheetName val="현황산출서"/>
      <sheetName val="단위수량"/>
      <sheetName val="가시설수량"/>
      <sheetName val="일위대가"/>
      <sheetName val="Sensitivity"/>
      <sheetName val="10.문서처리 (2)"/>
      <sheetName val="월별수입"/>
      <sheetName val="품의서P1"/>
      <sheetName val="품의서P2"/>
      <sheetName val="발송의뢰서"/>
      <sheetName val="회람"/>
      <sheetName val="문서색인표"/>
      <sheetName val="이관문서목록표"/>
      <sheetName val="폐기문서목록표"/>
      <sheetName val="문서수발"/>
      <sheetName val="시행문"/>
      <sheetName val="발송인"/>
      <sheetName val="간행물관리"/>
      <sheetName val="문서목록"/>
      <sheetName val="열람증"/>
      <sheetName val="재종"/>
      <sheetName val="품셈TABLE"/>
      <sheetName val="TABLE DB"/>
      <sheetName val="쌍용 data base"/>
      <sheetName val="문서처리"/>
      <sheetName val="협조전"/>
      <sheetName val="간이연락"/>
      <sheetName val="수입"/>
      <sheetName val="안전관리비갑지"/>
      <sheetName val="건축집계"/>
      <sheetName val="98지급계획"/>
      <sheetName val="내역"/>
      <sheetName val="P-산#1-1(WOWA1)"/>
      <sheetName val="소개"/>
      <sheetName val="토공집계표"/>
      <sheetName val="골조"/>
      <sheetName val="2_대외공문1"/>
      <sheetName val="원가총괄"/>
      <sheetName val="9-1차이내역"/>
      <sheetName val="G.R300경비"/>
      <sheetName val="전체"/>
      <sheetName val="B-III"/>
      <sheetName val="020114"/>
      <sheetName val="0111월"/>
      <sheetName val="월별손익"/>
      <sheetName val="5사남"/>
      <sheetName val="비품"/>
      <sheetName val="가정"/>
      <sheetName val="공량산출서"/>
      <sheetName val="BID"/>
      <sheetName val="일위(PN)"/>
      <sheetName val="계열사현황종합"/>
      <sheetName val="CALENDAR"/>
      <sheetName val="차수"/>
      <sheetName val="선급비용"/>
      <sheetName val="교수설계"/>
      <sheetName val="Summary by type of CIP"/>
      <sheetName val="CIP transfer to FA"/>
      <sheetName val="220 (2)"/>
      <sheetName val="JUM"/>
      <sheetName val="대차"/>
      <sheetName val="소방"/>
      <sheetName val="전체내역 (2)"/>
      <sheetName val="README FIRST"/>
      <sheetName val="금액내역서"/>
      <sheetName val="1단계 평가"/>
      <sheetName val="Data&amp;Result"/>
      <sheetName val="TOT"/>
      <sheetName val="INPUT"/>
      <sheetName val="원가"/>
      <sheetName val="주요공사"/>
      <sheetName val="을"/>
      <sheetName val="보할최종(준공)only"/>
      <sheetName val="동해title"/>
      <sheetName val="계수시트"/>
      <sheetName val="건축공사"/>
      <sheetName val="단가대비표"/>
      <sheetName val="소상 &quot;1&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2CAR"/>
      <sheetName val="90톤전기"/>
      <sheetName val="영창악기"/>
      <sheetName val="공장대비"/>
      <sheetName val="공장대비2"/>
      <sheetName val="정공공사"/>
      <sheetName val="01"/>
      <sheetName val="계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2CAR"/>
      <sheetName val="90톤전기"/>
      <sheetName val="영창악기"/>
      <sheetName val="공장대비"/>
      <sheetName val="공장대비2"/>
      <sheetName val="정공공사"/>
      <sheetName val="조건"/>
      <sheetName val="입찰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8계획조정"/>
      <sheetName val="항목"/>
      <sheetName val="세목"/>
      <sheetName val="98 3차조정 "/>
      <sheetName val="98 3차운영계획"/>
      <sheetName val="98 2차조정"/>
      <sheetName val="추가반영분"/>
      <sheetName val="추가미반영분"/>
      <sheetName val="계정"/>
      <sheetName val="건축내역"/>
      <sheetName val="정공공사"/>
      <sheetName val="항목(1)"/>
      <sheetName val="대공종"/>
      <sheetName val="하자보증보험료"/>
      <sheetName val="#REF"/>
      <sheetName val="Total"/>
      <sheetName val="내역서을지"/>
      <sheetName val="II손익관리"/>
      <sheetName val="원가data"/>
      <sheetName val="CALENDAR"/>
      <sheetName val="조건 (A)"/>
      <sheetName val="직구입"/>
      <sheetName val="Sheet1"/>
      <sheetName val="Sheet1 (2)"/>
      <sheetName val="업무분장"/>
      <sheetName val="2.대외공문"/>
      <sheetName val="주소(한문)"/>
      <sheetName val="98판관비3차"/>
      <sheetName val="명세서"/>
      <sheetName val="간이연락"/>
      <sheetName val="TEL"/>
      <sheetName val="부대내역"/>
      <sheetName val="자재단가"/>
      <sheetName val="영업.일1"/>
      <sheetName val="산업"/>
      <sheetName val="소비자가"/>
      <sheetName val="일위대가표"/>
      <sheetName val="b_balju_cho"/>
      <sheetName val="15"/>
      <sheetName val="일위대가 "/>
      <sheetName val="기본단가표"/>
      <sheetName val="실행"/>
      <sheetName val="내역"/>
      <sheetName val="98_3차조정_"/>
      <sheetName val="98_3차운영계획"/>
      <sheetName val="98_2차조정"/>
      <sheetName val="조건_(A)"/>
      <sheetName val="Sheet1_(2)"/>
      <sheetName val="2_대외공문"/>
      <sheetName val="말뚝지지력산정"/>
      <sheetName val="협조전"/>
      <sheetName val="TB"/>
      <sheetName val="BASE"/>
      <sheetName val="경쟁실분"/>
      <sheetName val="CAUDIT"/>
      <sheetName val="내역서"/>
      <sheetName val="자판실행"/>
      <sheetName val="BUS제원1"/>
      <sheetName val="96수출"/>
      <sheetName val="공정표"/>
      <sheetName val="건축공사"/>
      <sheetName val="Sheet5"/>
      <sheetName val="카펫타일"/>
      <sheetName val="일일작업현황"/>
      <sheetName val="안전장치"/>
      <sheetName val="삭제금지단가"/>
      <sheetName val="골조시행"/>
      <sheetName val="전입"/>
      <sheetName val="산근"/>
      <sheetName val="Keyword"/>
      <sheetName val="투자비"/>
      <sheetName val="조성원가DATA"/>
      <sheetName val="사업비"/>
      <sheetName val="조명시설"/>
      <sheetName val="건설_선금수수료 (2차)"/>
      <sheetName val="건설_선금수수료 (4차)"/>
      <sheetName val="월별손익"/>
      <sheetName val="고정자산"/>
      <sheetName val="매출원가추정"/>
      <sheetName val="매출추정"/>
      <sheetName val="차수"/>
      <sheetName val="5사남"/>
      <sheetName val="VAT duoc khau tru"/>
      <sheetName val="내역갑지"/>
      <sheetName val="type-F"/>
      <sheetName val="원가"/>
      <sheetName val="일위_파일"/>
      <sheetName val="산출근거"/>
      <sheetName val="VST재료산출"/>
      <sheetName val="98지급계획"/>
      <sheetName val="인부신상자료"/>
      <sheetName val="JUM"/>
      <sheetName val="내역서1999.8최종"/>
      <sheetName val="지수"/>
      <sheetName val="실행대비"/>
    </sheetNames>
    <sheetDataSet>
      <sheetData sheetId="0"/>
      <sheetData sheetId="1"/>
      <sheetData sheetId="2"/>
      <sheetData sheetId="3"/>
      <sheetData sheetId="4"/>
      <sheetData sheetId="5"/>
      <sheetData sheetId="6"/>
      <sheetData sheetId="7"/>
      <sheetData sheetId="8" refreshError="1">
        <row r="3">
          <cell r="A3" t="str">
            <v>851-06</v>
          </cell>
          <cell r="B3" t="str">
            <v>복리후생비</v>
          </cell>
          <cell r="C3" t="str">
            <v>통제</v>
          </cell>
        </row>
        <row r="4">
          <cell r="A4" t="str">
            <v>851-06-001</v>
          </cell>
          <cell r="B4" t="str">
            <v>중식대</v>
          </cell>
          <cell r="C4" t="str">
            <v>Y</v>
          </cell>
        </row>
        <row r="5">
          <cell r="A5" t="str">
            <v>851-06-002</v>
          </cell>
          <cell r="B5" t="str">
            <v>특근식대</v>
          </cell>
          <cell r="C5" t="str">
            <v>Y</v>
          </cell>
        </row>
        <row r="6">
          <cell r="A6" t="str">
            <v>851-06-003</v>
          </cell>
          <cell r="B6" t="str">
            <v>의료보험료</v>
          </cell>
          <cell r="C6" t="str">
            <v>N</v>
          </cell>
        </row>
        <row r="7">
          <cell r="A7" t="str">
            <v>851-06-004</v>
          </cell>
          <cell r="B7" t="str">
            <v>산재보험</v>
          </cell>
          <cell r="C7" t="str">
            <v>N</v>
          </cell>
        </row>
        <row r="8">
          <cell r="A8" t="str">
            <v>851-06-005</v>
          </cell>
          <cell r="B8" t="str">
            <v>체육비</v>
          </cell>
          <cell r="C8" t="str">
            <v>Y</v>
          </cell>
        </row>
        <row r="9">
          <cell r="A9" t="str">
            <v>851-06-006</v>
          </cell>
          <cell r="B9" t="str">
            <v>피복비</v>
          </cell>
          <cell r="C9" t="str">
            <v>Y</v>
          </cell>
        </row>
        <row r="10">
          <cell r="A10" t="str">
            <v>851-06-007</v>
          </cell>
          <cell r="B10" t="str">
            <v>임의장려금</v>
          </cell>
          <cell r="C10" t="str">
            <v>N</v>
          </cell>
        </row>
        <row r="11">
          <cell r="A11" t="str">
            <v>851-06-008</v>
          </cell>
          <cell r="B11" t="str">
            <v>포상금</v>
          </cell>
          <cell r="C11" t="str">
            <v>Y</v>
          </cell>
        </row>
        <row r="12">
          <cell r="A12" t="str">
            <v>851-06-009</v>
          </cell>
          <cell r="B12" t="str">
            <v>당.숙직비</v>
          </cell>
          <cell r="C12" t="str">
            <v>Y</v>
          </cell>
        </row>
        <row r="13">
          <cell r="A13" t="str">
            <v>851-06-010</v>
          </cell>
          <cell r="B13" t="str">
            <v>퇴직자 연.월차 수당</v>
          </cell>
          <cell r="C13" t="str">
            <v>Y</v>
          </cell>
        </row>
        <row r="14">
          <cell r="A14" t="str">
            <v>851-06-011</v>
          </cell>
          <cell r="B14" t="str">
            <v>정기연.월차 수당</v>
          </cell>
          <cell r="C14" t="str">
            <v>Y</v>
          </cell>
        </row>
        <row r="15">
          <cell r="A15" t="str">
            <v>851-06-012</v>
          </cell>
          <cell r="B15" t="str">
            <v>공통비</v>
          </cell>
          <cell r="C15" t="str">
            <v>N</v>
          </cell>
        </row>
        <row r="16">
          <cell r="A16" t="str">
            <v>851-06-013</v>
          </cell>
          <cell r="B16" t="str">
            <v>회의비</v>
          </cell>
          <cell r="C16" t="str">
            <v>Y</v>
          </cell>
        </row>
        <row r="17">
          <cell r="A17" t="str">
            <v>851-06-014</v>
          </cell>
          <cell r="B17" t="str">
            <v>국민연금</v>
          </cell>
          <cell r="C17" t="str">
            <v>N</v>
          </cell>
        </row>
        <row r="18">
          <cell r="A18" t="str">
            <v>851-06-015</v>
          </cell>
          <cell r="B18" t="str">
            <v>고용보험료</v>
          </cell>
          <cell r="C18" t="str">
            <v>N</v>
          </cell>
        </row>
        <row r="19">
          <cell r="A19" t="str">
            <v>851-06-021</v>
          </cell>
          <cell r="B19" t="str">
            <v>경조금</v>
          </cell>
          <cell r="C19" t="str">
            <v>N</v>
          </cell>
        </row>
        <row r="20">
          <cell r="A20" t="str">
            <v>851-06-023</v>
          </cell>
          <cell r="B20" t="str">
            <v>간담회비</v>
          </cell>
          <cell r="C20" t="str">
            <v>Y</v>
          </cell>
        </row>
        <row r="21">
          <cell r="A21" t="str">
            <v>851-06-024</v>
          </cell>
          <cell r="B21" t="str">
            <v>장기단체 상해보험</v>
          </cell>
          <cell r="C21" t="str">
            <v>N</v>
          </cell>
        </row>
        <row r="22">
          <cell r="A22" t="str">
            <v>851-06-025</v>
          </cell>
          <cell r="B22" t="str">
            <v>그룹활동비</v>
          </cell>
          <cell r="C22" t="str">
            <v>Y</v>
          </cell>
        </row>
        <row r="23">
          <cell r="A23" t="str">
            <v>851-06-026</v>
          </cell>
          <cell r="B23" t="str">
            <v>경영증진비</v>
          </cell>
          <cell r="C23" t="str">
            <v>Y</v>
          </cell>
        </row>
        <row r="24">
          <cell r="A24" t="str">
            <v>851-06-998</v>
          </cell>
          <cell r="B24" t="str">
            <v>제안활동비</v>
          </cell>
          <cell r="C24" t="str">
            <v>Y</v>
          </cell>
        </row>
        <row r="25">
          <cell r="A25" t="str">
            <v>851-06-999</v>
          </cell>
          <cell r="B25" t="str">
            <v>기타</v>
          </cell>
          <cell r="C25" t="str">
            <v>Y</v>
          </cell>
        </row>
        <row r="26">
          <cell r="A26" t="str">
            <v>851-13</v>
          </cell>
          <cell r="B26" t="str">
            <v>조세공과금</v>
          </cell>
        </row>
        <row r="27">
          <cell r="A27" t="str">
            <v>851-13-001</v>
          </cell>
          <cell r="B27" t="str">
            <v>인지대</v>
          </cell>
          <cell r="C27" t="str">
            <v>N</v>
          </cell>
        </row>
        <row r="28">
          <cell r="A28" t="str">
            <v>851-13-002</v>
          </cell>
          <cell r="B28" t="str">
            <v>협회비</v>
          </cell>
          <cell r="C28" t="str">
            <v>N</v>
          </cell>
        </row>
        <row r="29">
          <cell r="A29" t="str">
            <v>851-13-003</v>
          </cell>
          <cell r="B29" t="str">
            <v>사업소세</v>
          </cell>
          <cell r="C29" t="str">
            <v>N</v>
          </cell>
        </row>
        <row r="30">
          <cell r="A30" t="str">
            <v>851-13-004</v>
          </cell>
          <cell r="B30" t="str">
            <v>균등할주민세</v>
          </cell>
          <cell r="C30" t="str">
            <v>N</v>
          </cell>
        </row>
        <row r="31">
          <cell r="A31" t="str">
            <v>851-13-999</v>
          </cell>
          <cell r="B31" t="str">
            <v>기타</v>
          </cell>
          <cell r="C31" t="str">
            <v>N</v>
          </cell>
        </row>
        <row r="32">
          <cell r="A32" t="str">
            <v>851-14</v>
          </cell>
          <cell r="B32" t="str">
            <v>통신비</v>
          </cell>
        </row>
        <row r="33">
          <cell r="A33" t="str">
            <v>851-14-001</v>
          </cell>
          <cell r="B33" t="str">
            <v>국선전화료</v>
          </cell>
          <cell r="C33" t="str">
            <v>Y</v>
          </cell>
        </row>
        <row r="34">
          <cell r="A34" t="str">
            <v>851-14-002</v>
          </cell>
          <cell r="B34" t="str">
            <v>전용선전화료</v>
          </cell>
          <cell r="C34" t="str">
            <v>Y</v>
          </cell>
        </row>
        <row r="35">
          <cell r="A35" t="str">
            <v>851-14-003</v>
          </cell>
          <cell r="B35" t="str">
            <v>텔렉스사용료</v>
          </cell>
          <cell r="C35" t="str">
            <v>Y</v>
          </cell>
        </row>
        <row r="36">
          <cell r="A36" t="str">
            <v>851-14-004</v>
          </cell>
          <cell r="B36" t="str">
            <v>우편발송료</v>
          </cell>
          <cell r="C36" t="str">
            <v>Y</v>
          </cell>
        </row>
        <row r="37">
          <cell r="A37" t="str">
            <v>851-14-005</v>
          </cell>
          <cell r="B37" t="str">
            <v>시설유지수리비</v>
          </cell>
          <cell r="C37" t="str">
            <v>Y</v>
          </cell>
        </row>
        <row r="38">
          <cell r="A38" t="str">
            <v>851-14-006</v>
          </cell>
          <cell r="B38" t="str">
            <v>전화회선료</v>
          </cell>
          <cell r="C38" t="str">
            <v>Y</v>
          </cell>
        </row>
        <row r="39">
          <cell r="A39" t="str">
            <v>851-14-999</v>
          </cell>
          <cell r="B39" t="str">
            <v>기타</v>
          </cell>
          <cell r="C39" t="str">
            <v>Y</v>
          </cell>
        </row>
        <row r="40">
          <cell r="A40" t="str">
            <v>851-15</v>
          </cell>
          <cell r="B40" t="str">
            <v>수도광열비</v>
          </cell>
          <cell r="C40" t="str">
            <v>Y</v>
          </cell>
        </row>
        <row r="41">
          <cell r="A41" t="str">
            <v>851-15-001</v>
          </cell>
          <cell r="B41" t="str">
            <v>임차자산관리비</v>
          </cell>
          <cell r="C41" t="str">
            <v>N</v>
          </cell>
        </row>
        <row r="42">
          <cell r="A42" t="str">
            <v>851-15-999</v>
          </cell>
          <cell r="B42" t="str">
            <v>기타</v>
          </cell>
          <cell r="C42" t="str">
            <v>Y</v>
          </cell>
        </row>
        <row r="43">
          <cell r="A43" t="str">
            <v>851-16</v>
          </cell>
          <cell r="B43" t="str">
            <v>운반보관비</v>
          </cell>
          <cell r="C43" t="str">
            <v>Y</v>
          </cell>
        </row>
        <row r="44">
          <cell r="A44" t="str">
            <v>851-16-001</v>
          </cell>
          <cell r="B44" t="str">
            <v>우편대탁송</v>
          </cell>
          <cell r="C44" t="str">
            <v>Y</v>
          </cell>
        </row>
        <row r="45">
          <cell r="A45" t="str">
            <v>851-16-002</v>
          </cell>
          <cell r="B45" t="str">
            <v>물품운반</v>
          </cell>
          <cell r="C45" t="str">
            <v>Y</v>
          </cell>
        </row>
        <row r="46">
          <cell r="A46" t="str">
            <v>851-16-003</v>
          </cell>
          <cell r="B46" t="str">
            <v>포장</v>
          </cell>
          <cell r="C46" t="str">
            <v>Y</v>
          </cell>
        </row>
        <row r="47">
          <cell r="A47" t="str">
            <v>851-16-004</v>
          </cell>
          <cell r="B47" t="str">
            <v>보관</v>
          </cell>
          <cell r="C47" t="str">
            <v>Y</v>
          </cell>
        </row>
        <row r="48">
          <cell r="A48" t="str">
            <v>851-16-005</v>
          </cell>
          <cell r="B48" t="str">
            <v>서류급송</v>
          </cell>
          <cell r="C48" t="str">
            <v>Y</v>
          </cell>
        </row>
        <row r="49">
          <cell r="A49" t="str">
            <v>851-16-006</v>
          </cell>
          <cell r="B49" t="str">
            <v>탁송료현대상선</v>
          </cell>
          <cell r="C49" t="str">
            <v>Y</v>
          </cell>
        </row>
        <row r="50">
          <cell r="A50" t="str">
            <v>851-16-007</v>
          </cell>
          <cell r="B50" t="str">
            <v>업체지급탁송료</v>
          </cell>
          <cell r="C50" t="str">
            <v>Y</v>
          </cell>
        </row>
        <row r="51">
          <cell r="A51" t="str">
            <v>851-16-999</v>
          </cell>
          <cell r="B51" t="str">
            <v>기타</v>
          </cell>
          <cell r="C51" t="str">
            <v>Y</v>
          </cell>
        </row>
        <row r="52">
          <cell r="A52" t="str">
            <v>851-17</v>
          </cell>
          <cell r="B52" t="str">
            <v>임차료</v>
          </cell>
          <cell r="C52" t="str">
            <v>Y</v>
          </cell>
        </row>
        <row r="53">
          <cell r="A53" t="str">
            <v>851-17-001</v>
          </cell>
          <cell r="B53" t="str">
            <v>토지건물임차</v>
          </cell>
          <cell r="C53" t="str">
            <v>N</v>
          </cell>
        </row>
        <row r="54">
          <cell r="A54" t="str">
            <v>851-17-002</v>
          </cell>
          <cell r="B54" t="str">
            <v>사무기기사용</v>
          </cell>
          <cell r="C54" t="str">
            <v>Y</v>
          </cell>
        </row>
        <row r="55">
          <cell r="A55" t="str">
            <v>851-17-003</v>
          </cell>
          <cell r="B55" t="str">
            <v>H/W전산기사용료</v>
          </cell>
          <cell r="C55" t="str">
            <v>N</v>
          </cell>
        </row>
        <row r="56">
          <cell r="A56" t="str">
            <v>851-17-004</v>
          </cell>
          <cell r="B56" t="str">
            <v>S/W전산기사용료</v>
          </cell>
          <cell r="C56" t="str">
            <v>N</v>
          </cell>
        </row>
        <row r="57">
          <cell r="A57" t="str">
            <v>851-17-999</v>
          </cell>
          <cell r="B57" t="str">
            <v>기타</v>
          </cell>
          <cell r="C57" t="str">
            <v>Y</v>
          </cell>
        </row>
        <row r="58">
          <cell r="A58" t="str">
            <v>851-20</v>
          </cell>
          <cell r="B58" t="str">
            <v>차량비</v>
          </cell>
          <cell r="C58" t="str">
            <v>Y</v>
          </cell>
        </row>
        <row r="59">
          <cell r="A59" t="str">
            <v>851-20-001</v>
          </cell>
          <cell r="B59" t="str">
            <v>유류비</v>
          </cell>
          <cell r="C59" t="str">
            <v>Y</v>
          </cell>
        </row>
        <row r="60">
          <cell r="A60" t="str">
            <v>851-20-002</v>
          </cell>
          <cell r="B60" t="str">
            <v>수리비</v>
          </cell>
          <cell r="C60" t="str">
            <v>Y</v>
          </cell>
        </row>
        <row r="61">
          <cell r="A61" t="str">
            <v>851-20-003</v>
          </cell>
          <cell r="B61" t="str">
            <v>보험료</v>
          </cell>
          <cell r="C61" t="str">
            <v>N</v>
          </cell>
        </row>
        <row r="62">
          <cell r="A62" t="str">
            <v>851-20-004</v>
          </cell>
          <cell r="B62" t="str">
            <v>자동차세</v>
          </cell>
          <cell r="C62" t="str">
            <v>N</v>
          </cell>
        </row>
        <row r="63">
          <cell r="A63" t="str">
            <v>851-20-005</v>
          </cell>
          <cell r="B63" t="str">
            <v>주차료</v>
          </cell>
          <cell r="C63" t="str">
            <v>Y</v>
          </cell>
        </row>
        <row r="64">
          <cell r="A64" t="str">
            <v>851-20-006</v>
          </cell>
          <cell r="B64" t="str">
            <v>자가운전보험금</v>
          </cell>
          <cell r="C64" t="str">
            <v>Y</v>
          </cell>
        </row>
        <row r="65">
          <cell r="A65" t="str">
            <v>851-20-007</v>
          </cell>
          <cell r="B65" t="str">
            <v>자가운전유류대</v>
          </cell>
          <cell r="C65" t="str">
            <v>Y</v>
          </cell>
        </row>
        <row r="66">
          <cell r="A66" t="str">
            <v>851-20-999</v>
          </cell>
          <cell r="B66" t="str">
            <v>기타</v>
          </cell>
          <cell r="C66" t="str">
            <v>Y</v>
          </cell>
        </row>
        <row r="67">
          <cell r="A67" t="str">
            <v>851-21</v>
          </cell>
          <cell r="B67" t="str">
            <v>지급수수료</v>
          </cell>
          <cell r="C67" t="str">
            <v>Y</v>
          </cell>
        </row>
        <row r="68">
          <cell r="A68" t="str">
            <v>851-21-001</v>
          </cell>
          <cell r="B68" t="str">
            <v>용역수수료</v>
          </cell>
          <cell r="C68" t="str">
            <v>Y</v>
          </cell>
        </row>
        <row r="69">
          <cell r="A69" t="str">
            <v>851-21-002</v>
          </cell>
          <cell r="B69" t="str">
            <v>송금.추심료</v>
          </cell>
          <cell r="C69" t="str">
            <v>Y</v>
          </cell>
        </row>
        <row r="70">
          <cell r="A70" t="str">
            <v>851-21-003</v>
          </cell>
          <cell r="B70" t="str">
            <v>제증명발급료</v>
          </cell>
          <cell r="C70" t="str">
            <v>Y</v>
          </cell>
        </row>
        <row r="71">
          <cell r="A71" t="str">
            <v>851-21-004</v>
          </cell>
          <cell r="B71" t="str">
            <v>공통비</v>
          </cell>
          <cell r="C71" t="str">
            <v>N</v>
          </cell>
        </row>
        <row r="72">
          <cell r="A72" t="str">
            <v>851-21-006</v>
          </cell>
          <cell r="B72" t="str">
            <v>보험료</v>
          </cell>
          <cell r="C72" t="str">
            <v>N</v>
          </cell>
        </row>
        <row r="73">
          <cell r="A73" t="str">
            <v>851-21-999</v>
          </cell>
          <cell r="B73" t="str">
            <v>기타</v>
          </cell>
          <cell r="C73" t="str">
            <v>Y</v>
          </cell>
        </row>
        <row r="74">
          <cell r="A74" t="str">
            <v>851-22</v>
          </cell>
          <cell r="B74" t="str">
            <v>사무용품비</v>
          </cell>
          <cell r="C74" t="str">
            <v>Y</v>
          </cell>
        </row>
        <row r="75">
          <cell r="A75" t="str">
            <v>851-22-001</v>
          </cell>
          <cell r="B75" t="str">
            <v>인쇄물 및 양식</v>
          </cell>
          <cell r="C75" t="str">
            <v>Y</v>
          </cell>
        </row>
        <row r="76">
          <cell r="A76" t="str">
            <v>851-22-002</v>
          </cell>
          <cell r="B76" t="str">
            <v>일반문구</v>
          </cell>
          <cell r="C76" t="str">
            <v>Y</v>
          </cell>
        </row>
        <row r="77">
          <cell r="A77" t="str">
            <v>851-22-999</v>
          </cell>
          <cell r="B77" t="str">
            <v>기타</v>
          </cell>
          <cell r="C77" t="str">
            <v>Y</v>
          </cell>
        </row>
        <row r="78">
          <cell r="A78" t="str">
            <v>851-23</v>
          </cell>
          <cell r="B78" t="str">
            <v>소모품비</v>
          </cell>
          <cell r="C78" t="str">
            <v>Y</v>
          </cell>
        </row>
        <row r="79">
          <cell r="A79" t="str">
            <v>851-23-001</v>
          </cell>
          <cell r="B79" t="str">
            <v>일반소모품</v>
          </cell>
          <cell r="C79" t="str">
            <v>Y</v>
          </cell>
        </row>
        <row r="80">
          <cell r="A80" t="str">
            <v>851-23-002</v>
          </cell>
          <cell r="B80" t="str">
            <v>명함</v>
          </cell>
          <cell r="C80" t="str">
            <v>Y</v>
          </cell>
        </row>
        <row r="81">
          <cell r="A81" t="str">
            <v>851-23-999</v>
          </cell>
          <cell r="B81" t="str">
            <v>기타</v>
          </cell>
          <cell r="C81" t="str">
            <v>Y</v>
          </cell>
        </row>
        <row r="82">
          <cell r="A82" t="str">
            <v>851-24</v>
          </cell>
          <cell r="B82" t="str">
            <v>수선비</v>
          </cell>
          <cell r="C82" t="str">
            <v>Y</v>
          </cell>
        </row>
        <row r="83">
          <cell r="A83" t="str">
            <v>851-24-001</v>
          </cell>
          <cell r="B83" t="str">
            <v>사무실건물수리비</v>
          </cell>
          <cell r="C83" t="str">
            <v>Y</v>
          </cell>
        </row>
        <row r="84">
          <cell r="A84" t="str">
            <v>851-24-002</v>
          </cell>
          <cell r="B84" t="str">
            <v>비품수리</v>
          </cell>
          <cell r="C84" t="str">
            <v>Y</v>
          </cell>
        </row>
        <row r="85">
          <cell r="A85" t="str">
            <v>851-24-003</v>
          </cell>
          <cell r="B85" t="str">
            <v>전산기정비료</v>
          </cell>
          <cell r="C85" t="str">
            <v>Y</v>
          </cell>
        </row>
        <row r="86">
          <cell r="A86" t="str">
            <v>851-24-999</v>
          </cell>
          <cell r="B86" t="str">
            <v>기타</v>
          </cell>
          <cell r="C86" t="str">
            <v>Y</v>
          </cell>
        </row>
        <row r="87">
          <cell r="A87" t="str">
            <v>851-25</v>
          </cell>
          <cell r="B87" t="str">
            <v>도서비</v>
          </cell>
          <cell r="C87" t="str">
            <v>Y</v>
          </cell>
        </row>
        <row r="88">
          <cell r="A88" t="str">
            <v>851-25-001</v>
          </cell>
          <cell r="B88" t="str">
            <v>신문구독</v>
          </cell>
          <cell r="C88" t="str">
            <v>Y</v>
          </cell>
        </row>
        <row r="89">
          <cell r="A89" t="str">
            <v>851-25-002</v>
          </cell>
          <cell r="B89" t="str">
            <v>잡지구독</v>
          </cell>
          <cell r="C89" t="str">
            <v>Y</v>
          </cell>
        </row>
        <row r="90">
          <cell r="A90" t="str">
            <v>851-25-003</v>
          </cell>
          <cell r="B90" t="str">
            <v>도서구입</v>
          </cell>
          <cell r="C90" t="str">
            <v>Y</v>
          </cell>
        </row>
        <row r="91">
          <cell r="A91" t="str">
            <v>851-25-004</v>
          </cell>
          <cell r="B91" t="str">
            <v>현대지구입</v>
          </cell>
          <cell r="C91" t="str">
            <v>N</v>
          </cell>
        </row>
        <row r="92">
          <cell r="A92" t="str">
            <v>851-25-005</v>
          </cell>
          <cell r="B92" t="str">
            <v>사보발간</v>
          </cell>
          <cell r="C92" t="str">
            <v>Y</v>
          </cell>
        </row>
        <row r="93">
          <cell r="A93" t="str">
            <v>851-25-999</v>
          </cell>
          <cell r="B93" t="str">
            <v>기타</v>
          </cell>
          <cell r="C93" t="str">
            <v>Y</v>
          </cell>
        </row>
        <row r="94">
          <cell r="A94" t="str">
            <v>851-26</v>
          </cell>
          <cell r="B94" t="str">
            <v>교육훈련비</v>
          </cell>
          <cell r="C94" t="str">
            <v>Y</v>
          </cell>
        </row>
        <row r="95">
          <cell r="A95" t="str">
            <v>851-26-001</v>
          </cell>
          <cell r="B95" t="str">
            <v>신입사원채용</v>
          </cell>
          <cell r="C95" t="str">
            <v>Y</v>
          </cell>
        </row>
        <row r="96">
          <cell r="A96" t="str">
            <v>851-26-002</v>
          </cell>
          <cell r="B96" t="str">
            <v>판매사원채용</v>
          </cell>
          <cell r="C96" t="str">
            <v>Y</v>
          </cell>
        </row>
        <row r="97">
          <cell r="A97" t="str">
            <v>851-26-003</v>
          </cell>
          <cell r="B97" t="str">
            <v>사내교육</v>
          </cell>
          <cell r="C97" t="str">
            <v>Y</v>
          </cell>
        </row>
        <row r="98">
          <cell r="A98" t="str">
            <v>851-26-004</v>
          </cell>
          <cell r="B98" t="str">
            <v>세미나참가비</v>
          </cell>
          <cell r="C98" t="str">
            <v>Y</v>
          </cell>
        </row>
        <row r="99">
          <cell r="A99" t="str">
            <v>851-26-005</v>
          </cell>
          <cell r="B99" t="str">
            <v>직훈수당</v>
          </cell>
          <cell r="C99" t="str">
            <v>Y</v>
          </cell>
        </row>
        <row r="100">
          <cell r="A100" t="str">
            <v>851-26-006</v>
          </cell>
          <cell r="B100" t="str">
            <v>직훈실습재료비</v>
          </cell>
          <cell r="C100" t="str">
            <v>Y</v>
          </cell>
        </row>
        <row r="101">
          <cell r="A101" t="str">
            <v>851-26-007</v>
          </cell>
          <cell r="B101" t="str">
            <v>직훈교재비</v>
          </cell>
          <cell r="C101" t="str">
            <v>Y</v>
          </cell>
        </row>
        <row r="102">
          <cell r="A102" t="str">
            <v>851-26-008</v>
          </cell>
          <cell r="B102" t="str">
            <v>직훈시설유지비</v>
          </cell>
          <cell r="C102" t="str">
            <v>Y</v>
          </cell>
        </row>
        <row r="103">
          <cell r="A103" t="str">
            <v>851-26-009</v>
          </cell>
          <cell r="B103" t="str">
            <v>직훈일반운영비</v>
          </cell>
          <cell r="C103" t="str">
            <v>Y</v>
          </cell>
        </row>
        <row r="104">
          <cell r="A104" t="str">
            <v>851-26-010</v>
          </cell>
          <cell r="B104" t="str">
            <v>직훈관련사업비</v>
          </cell>
          <cell r="C104" t="str">
            <v>Y</v>
          </cell>
        </row>
        <row r="105">
          <cell r="A105" t="str">
            <v>851-26-011</v>
          </cell>
          <cell r="B105" t="str">
            <v>기능올림픽육성비</v>
          </cell>
          <cell r="C105" t="str">
            <v>Y</v>
          </cell>
        </row>
        <row r="106">
          <cell r="A106" t="str">
            <v>851-26-998</v>
          </cell>
          <cell r="B106" t="str">
            <v>제안교육비</v>
          </cell>
          <cell r="C106" t="str">
            <v>Y</v>
          </cell>
        </row>
        <row r="107">
          <cell r="A107" t="str">
            <v>851-26-999</v>
          </cell>
          <cell r="B107" t="str">
            <v>기타</v>
          </cell>
          <cell r="C107" t="str">
            <v>Y</v>
          </cell>
        </row>
        <row r="108">
          <cell r="A108" t="str">
            <v>851-38</v>
          </cell>
          <cell r="B108" t="str">
            <v>직업훈련비</v>
          </cell>
          <cell r="C108" t="str">
            <v>Y</v>
          </cell>
        </row>
        <row r="109">
          <cell r="A109" t="str">
            <v>851-38-001</v>
          </cell>
          <cell r="B109" t="str">
            <v>교사인건비</v>
          </cell>
          <cell r="C109" t="str">
            <v>N</v>
          </cell>
        </row>
        <row r="110">
          <cell r="A110" t="str">
            <v>851-38-002</v>
          </cell>
          <cell r="B110" t="str">
            <v>실습재료비</v>
          </cell>
          <cell r="C110" t="str">
            <v>N</v>
          </cell>
        </row>
        <row r="111">
          <cell r="A111" t="str">
            <v>851-38-003</v>
          </cell>
          <cell r="B111" t="str">
            <v>교재비</v>
          </cell>
          <cell r="C111" t="str">
            <v>N</v>
          </cell>
        </row>
        <row r="112">
          <cell r="A112" t="str">
            <v>851-38-004</v>
          </cell>
          <cell r="B112" t="str">
            <v>시설장비유지</v>
          </cell>
          <cell r="C112" t="str">
            <v>N</v>
          </cell>
        </row>
        <row r="113">
          <cell r="A113" t="str">
            <v>851-38-005</v>
          </cell>
          <cell r="B113" t="str">
            <v>일반운영비</v>
          </cell>
          <cell r="C113" t="str">
            <v>N</v>
          </cell>
        </row>
        <row r="114">
          <cell r="A114" t="str">
            <v>851-38-006</v>
          </cell>
          <cell r="B114" t="str">
            <v>기숙사비</v>
          </cell>
          <cell r="C114" t="str">
            <v>N</v>
          </cell>
        </row>
        <row r="115">
          <cell r="A115" t="str">
            <v>851-38-007</v>
          </cell>
          <cell r="B115" t="str">
            <v>훈련수당</v>
          </cell>
          <cell r="C115" t="str">
            <v>N</v>
          </cell>
        </row>
        <row r="116">
          <cell r="A116" t="str">
            <v>851-38-008</v>
          </cell>
          <cell r="B116" t="str">
            <v>재해보험료</v>
          </cell>
          <cell r="C116" t="str">
            <v>N</v>
          </cell>
        </row>
        <row r="117">
          <cell r="A117" t="str">
            <v>851-38-009</v>
          </cell>
          <cell r="B117" t="str">
            <v>관련사업비</v>
          </cell>
          <cell r="C117" t="str">
            <v>N</v>
          </cell>
        </row>
        <row r="118">
          <cell r="A118" t="str">
            <v>851-38-999</v>
          </cell>
          <cell r="B118" t="str">
            <v>기타</v>
          </cell>
          <cell r="C118" t="str">
            <v>N</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호프"/>
      <sheetName val="계정"/>
      <sheetName val="정공공사"/>
    </sheetNames>
    <sheetDataSet>
      <sheetData sheetId="0">
        <row r="2">
          <cell r="A2"/>
          <cell r="I2" t="str">
            <v xml:space="preserve"> '97년  손 익  계 획 </v>
          </cell>
        </row>
        <row r="3">
          <cell r="Q3" t="str">
            <v xml:space="preserve">   작 성 자 : 이  수 한</v>
          </cell>
        </row>
        <row r="4">
          <cell r="Q4" t="str">
            <v xml:space="preserve">   작성일자 : '96.10.16</v>
          </cell>
        </row>
        <row r="5">
          <cell r="A5" t="str">
            <v>DISK NO. : 97-손익F/PLAN97</v>
          </cell>
          <cell r="Q5" t="str">
            <v xml:space="preserve">   단    위 : 천    원</v>
          </cell>
        </row>
        <row r="6">
          <cell r="Q6"/>
        </row>
        <row r="7">
          <cell r="A7" t="str">
            <v>항  목</v>
          </cell>
          <cell r="B7" t="str">
            <v>세  목</v>
          </cell>
          <cell r="C7" t="str">
            <v>부문</v>
          </cell>
          <cell r="D7" t="str">
            <v>'96년 실적</v>
          </cell>
          <cell r="E7" t="str">
            <v>'96. 1</v>
          </cell>
          <cell r="F7" t="str">
            <v>2</v>
          </cell>
          <cell r="G7" t="str">
            <v>3</v>
          </cell>
          <cell r="H7" t="str">
            <v>4</v>
          </cell>
          <cell r="I7" t="str">
            <v>5</v>
          </cell>
          <cell r="J7" t="str">
            <v>6</v>
          </cell>
          <cell r="K7" t="str">
            <v>7</v>
          </cell>
          <cell r="L7" t="str">
            <v>8</v>
          </cell>
          <cell r="M7" t="str">
            <v>9</v>
          </cell>
          <cell r="N7" t="str">
            <v>10</v>
          </cell>
          <cell r="O7" t="str">
            <v>11</v>
          </cell>
          <cell r="P7" t="str">
            <v>12</v>
          </cell>
          <cell r="Q7" t="str">
            <v>합  계</v>
          </cell>
          <cell r="R7" t="str">
            <v>비    고</v>
          </cell>
        </row>
        <row r="9">
          <cell r="A9" t="str">
            <v>객    실</v>
          </cell>
          <cell r="B9" t="str">
            <v>객실수입</v>
          </cell>
          <cell r="D9">
            <v>1008385</v>
          </cell>
          <cell r="E9">
            <v>91765</v>
          </cell>
          <cell r="F9">
            <v>83758</v>
          </cell>
          <cell r="G9">
            <v>91913</v>
          </cell>
          <cell r="H9">
            <v>95318</v>
          </cell>
          <cell r="I9">
            <v>97171</v>
          </cell>
          <cell r="J9">
            <v>99127</v>
          </cell>
          <cell r="K9">
            <v>99131</v>
          </cell>
          <cell r="L9">
            <v>93224</v>
          </cell>
          <cell r="M9">
            <v>82198</v>
          </cell>
          <cell r="N9">
            <v>91242</v>
          </cell>
          <cell r="O9">
            <v>90355</v>
          </cell>
          <cell r="P9">
            <v>89430</v>
          </cell>
          <cell r="Q9">
            <v>1104632</v>
          </cell>
        </row>
        <row r="10">
          <cell r="A10" t="str">
            <v>식 음 과</v>
          </cell>
          <cell r="B10" t="str">
            <v>식료매출</v>
          </cell>
          <cell r="D10">
            <v>1804472</v>
          </cell>
          <cell r="E10">
            <v>167283</v>
          </cell>
          <cell r="F10">
            <v>165319</v>
          </cell>
          <cell r="G10">
            <v>175307</v>
          </cell>
          <cell r="H10">
            <v>170561</v>
          </cell>
          <cell r="I10">
            <v>168705</v>
          </cell>
          <cell r="J10">
            <v>160431</v>
          </cell>
          <cell r="K10">
            <v>158511</v>
          </cell>
          <cell r="L10">
            <v>140227</v>
          </cell>
          <cell r="M10">
            <v>159595</v>
          </cell>
          <cell r="N10">
            <v>166866</v>
          </cell>
          <cell r="O10">
            <v>175163</v>
          </cell>
          <cell r="P10">
            <v>202230</v>
          </cell>
          <cell r="Q10">
            <v>2010198</v>
          </cell>
          <cell r="R10"/>
        </row>
        <row r="11">
          <cell r="B11" t="str">
            <v>음료매출</v>
          </cell>
          <cell r="D11">
            <v>252092</v>
          </cell>
          <cell r="E11">
            <v>36098</v>
          </cell>
          <cell r="F11">
            <v>19908</v>
          </cell>
          <cell r="G11">
            <v>25486</v>
          </cell>
          <cell r="H11">
            <v>24654</v>
          </cell>
          <cell r="I11">
            <v>26772</v>
          </cell>
          <cell r="J11">
            <v>20444</v>
          </cell>
          <cell r="K11">
            <v>21229</v>
          </cell>
          <cell r="L11">
            <v>16634</v>
          </cell>
          <cell r="M11">
            <v>24476</v>
          </cell>
          <cell r="N11">
            <v>27024</v>
          </cell>
          <cell r="O11">
            <v>30572</v>
          </cell>
          <cell r="P11">
            <v>36283</v>
          </cell>
          <cell r="Q11">
            <v>309580</v>
          </cell>
          <cell r="R11"/>
        </row>
        <row r="12">
          <cell r="A12" t="str">
            <v>사 우 나</v>
          </cell>
          <cell r="B12" t="str">
            <v>입장수입</v>
          </cell>
          <cell r="D12">
            <v>348333</v>
          </cell>
          <cell r="E12">
            <v>35052</v>
          </cell>
          <cell r="F12">
            <v>33011</v>
          </cell>
          <cell r="G12">
            <v>34223</v>
          </cell>
          <cell r="H12">
            <v>31638</v>
          </cell>
          <cell r="I12">
            <v>30589</v>
          </cell>
          <cell r="J12">
            <v>29725</v>
          </cell>
          <cell r="K12">
            <v>27188</v>
          </cell>
          <cell r="L12">
            <v>27494</v>
          </cell>
          <cell r="M12">
            <v>30063</v>
          </cell>
          <cell r="N12">
            <v>33954</v>
          </cell>
          <cell r="O12">
            <v>33461</v>
          </cell>
          <cell r="P12">
            <v>33795</v>
          </cell>
          <cell r="Q12">
            <v>380193</v>
          </cell>
        </row>
        <row r="13">
          <cell r="B13" t="str">
            <v>온돌매출</v>
          </cell>
          <cell r="D13">
            <v>25636</v>
          </cell>
          <cell r="E13">
            <v>2575</v>
          </cell>
          <cell r="F13">
            <v>2467</v>
          </cell>
          <cell r="G13">
            <v>2627</v>
          </cell>
          <cell r="H13">
            <v>2602</v>
          </cell>
          <cell r="I13">
            <v>2305</v>
          </cell>
          <cell r="J13">
            <v>1974</v>
          </cell>
          <cell r="K13">
            <v>1725</v>
          </cell>
          <cell r="L13">
            <v>2135</v>
          </cell>
          <cell r="M13">
            <v>2139</v>
          </cell>
          <cell r="N13">
            <v>2465</v>
          </cell>
          <cell r="O13">
            <v>2406</v>
          </cell>
          <cell r="P13">
            <v>2480</v>
          </cell>
          <cell r="Q13">
            <v>27900</v>
          </cell>
        </row>
        <row r="14">
          <cell r="B14" t="str">
            <v>식료매출</v>
          </cell>
          <cell r="D14">
            <v>162260</v>
          </cell>
          <cell r="E14">
            <v>14127</v>
          </cell>
          <cell r="F14">
            <v>13205</v>
          </cell>
          <cell r="G14">
            <v>14524</v>
          </cell>
          <cell r="H14">
            <v>13462</v>
          </cell>
          <cell r="I14">
            <v>12287</v>
          </cell>
          <cell r="J14">
            <v>12691</v>
          </cell>
          <cell r="K14">
            <v>12924</v>
          </cell>
          <cell r="L14">
            <v>12616</v>
          </cell>
          <cell r="M14">
            <v>14965</v>
          </cell>
          <cell r="N14">
            <v>17979</v>
          </cell>
          <cell r="O14">
            <v>17781</v>
          </cell>
          <cell r="P14">
            <v>18375</v>
          </cell>
          <cell r="Q14">
            <v>174936</v>
          </cell>
        </row>
        <row r="15">
          <cell r="B15" t="str">
            <v>음료매출</v>
          </cell>
          <cell r="D15">
            <v>43023</v>
          </cell>
          <cell r="E15">
            <v>4485</v>
          </cell>
          <cell r="F15">
            <v>4166</v>
          </cell>
          <cell r="G15">
            <v>4512</v>
          </cell>
          <cell r="H15">
            <v>4255</v>
          </cell>
          <cell r="I15">
            <v>4195</v>
          </cell>
          <cell r="J15">
            <v>4822</v>
          </cell>
          <cell r="K15">
            <v>3232</v>
          </cell>
          <cell r="L15">
            <v>4058</v>
          </cell>
          <cell r="M15">
            <v>4817</v>
          </cell>
          <cell r="N15">
            <v>4974</v>
          </cell>
          <cell r="O15">
            <v>4885</v>
          </cell>
          <cell r="P15">
            <v>5058</v>
          </cell>
          <cell r="Q15">
            <v>53459</v>
          </cell>
        </row>
        <row r="16">
          <cell r="B16" t="str">
            <v>소    계</v>
          </cell>
          <cell r="D16">
            <v>579252</v>
          </cell>
          <cell r="E16">
            <v>56239</v>
          </cell>
          <cell r="F16">
            <v>52849</v>
          </cell>
          <cell r="G16">
            <v>55886</v>
          </cell>
          <cell r="H16">
            <v>51957</v>
          </cell>
          <cell r="I16">
            <v>49376</v>
          </cell>
          <cell r="J16">
            <v>49212</v>
          </cell>
          <cell r="K16">
            <v>45069</v>
          </cell>
          <cell r="L16">
            <v>46303</v>
          </cell>
          <cell r="M16">
            <v>51984</v>
          </cell>
          <cell r="N16">
            <v>59372</v>
          </cell>
          <cell r="O16">
            <v>58533</v>
          </cell>
          <cell r="P16">
            <v>59708</v>
          </cell>
          <cell r="Q16">
            <v>636488</v>
          </cell>
        </row>
        <row r="18">
          <cell r="A18" t="str">
            <v>호 텔   영 업   매 출 액</v>
          </cell>
          <cell r="D18">
            <v>3644201</v>
          </cell>
          <cell r="E18">
            <v>351385</v>
          </cell>
          <cell r="F18">
            <v>321834</v>
          </cell>
          <cell r="G18">
            <v>348592</v>
          </cell>
          <cell r="H18">
            <v>342490</v>
          </cell>
          <cell r="I18">
            <v>342024</v>
          </cell>
          <cell r="J18">
            <v>329214</v>
          </cell>
          <cell r="K18">
            <v>323940</v>
          </cell>
          <cell r="L18">
            <v>296388</v>
          </cell>
          <cell r="M18">
            <v>318253</v>
          </cell>
          <cell r="N18">
            <v>344504</v>
          </cell>
          <cell r="O18">
            <v>354623</v>
          </cell>
          <cell r="P18">
            <v>387651</v>
          </cell>
          <cell r="Q18">
            <v>4060898</v>
          </cell>
        </row>
        <row r="20">
          <cell r="A20" t="str">
            <v>기 타 수 입</v>
          </cell>
          <cell r="B20" t="str">
            <v>봉사료 수 입</v>
          </cell>
          <cell r="D20">
            <v>330850</v>
          </cell>
          <cell r="E20">
            <v>31633</v>
          </cell>
          <cell r="F20">
            <v>28882</v>
          </cell>
          <cell r="G20">
            <v>31437</v>
          </cell>
          <cell r="H20">
            <v>31085</v>
          </cell>
          <cell r="I20">
            <v>31144</v>
          </cell>
          <cell r="J20">
            <v>29949</v>
          </cell>
          <cell r="K20">
            <v>29675</v>
          </cell>
          <cell r="L20">
            <v>26889</v>
          </cell>
          <cell r="M20">
            <v>28819</v>
          </cell>
          <cell r="N20">
            <v>31055</v>
          </cell>
          <cell r="O20">
            <v>32116</v>
          </cell>
          <cell r="P20">
            <v>35386</v>
          </cell>
          <cell r="Q20">
            <v>368070</v>
          </cell>
        </row>
        <row r="21">
          <cell r="B21" t="str">
            <v>연회장 렌 탈</v>
          </cell>
          <cell r="C21"/>
          <cell r="D21">
            <v>120957</v>
          </cell>
          <cell r="E21">
            <v>10208.9</v>
          </cell>
          <cell r="F21">
            <v>12433.2</v>
          </cell>
          <cell r="G21">
            <v>15450.5</v>
          </cell>
          <cell r="H21">
            <v>12320.1</v>
          </cell>
          <cell r="I21">
            <v>14434.2</v>
          </cell>
          <cell r="J21">
            <v>17009.2</v>
          </cell>
          <cell r="K21">
            <v>11137.5</v>
          </cell>
          <cell r="L21">
            <v>12607.650000000001</v>
          </cell>
          <cell r="M21">
            <v>14667.750000000002</v>
          </cell>
          <cell r="N21">
            <v>13439.25</v>
          </cell>
          <cell r="O21">
            <v>11269.800000000001</v>
          </cell>
          <cell r="P21">
            <v>8997.75</v>
          </cell>
          <cell r="Q21">
            <v>153975.79999999999</v>
          </cell>
        </row>
        <row r="22">
          <cell r="B22" t="str">
            <v>세 탁  수 입</v>
          </cell>
          <cell r="D22">
            <v>5332</v>
          </cell>
          <cell r="E22">
            <v>710</v>
          </cell>
          <cell r="F22">
            <v>710</v>
          </cell>
          <cell r="G22">
            <v>710</v>
          </cell>
          <cell r="H22">
            <v>710</v>
          </cell>
          <cell r="I22">
            <v>710</v>
          </cell>
          <cell r="J22">
            <v>710</v>
          </cell>
          <cell r="K22">
            <v>710</v>
          </cell>
          <cell r="L22">
            <v>710</v>
          </cell>
          <cell r="M22">
            <v>710</v>
          </cell>
          <cell r="N22">
            <v>710</v>
          </cell>
          <cell r="O22">
            <v>710</v>
          </cell>
          <cell r="P22">
            <v>710</v>
          </cell>
          <cell r="Q22">
            <v>8520</v>
          </cell>
          <cell r="R22"/>
        </row>
        <row r="23">
          <cell r="B23" t="str">
            <v>전선료 수 입</v>
          </cell>
          <cell r="D23">
            <v>28405</v>
          </cell>
          <cell r="E23">
            <v>3400</v>
          </cell>
          <cell r="F23">
            <v>3400</v>
          </cell>
          <cell r="G23">
            <v>3400</v>
          </cell>
          <cell r="H23">
            <v>3400</v>
          </cell>
          <cell r="I23">
            <v>3400</v>
          </cell>
          <cell r="J23">
            <v>3400</v>
          </cell>
          <cell r="K23">
            <v>3400</v>
          </cell>
          <cell r="L23">
            <v>3400</v>
          </cell>
          <cell r="M23">
            <v>3400</v>
          </cell>
          <cell r="N23">
            <v>3400</v>
          </cell>
          <cell r="O23">
            <v>3400</v>
          </cell>
          <cell r="P23">
            <v>3400</v>
          </cell>
          <cell r="Q23">
            <v>40800</v>
          </cell>
          <cell r="R23"/>
        </row>
        <row r="24">
          <cell r="B24" t="str">
            <v>건물수입</v>
          </cell>
          <cell r="C24" t="str">
            <v>임대</v>
          </cell>
          <cell r="D24">
            <v>46208</v>
          </cell>
          <cell r="E24">
            <v>3000</v>
          </cell>
          <cell r="F24">
            <v>3000</v>
          </cell>
          <cell r="G24">
            <v>3000</v>
          </cell>
          <cell r="H24">
            <v>3000</v>
          </cell>
          <cell r="I24">
            <v>3000</v>
          </cell>
          <cell r="J24">
            <v>3000</v>
          </cell>
          <cell r="K24">
            <v>3000</v>
          </cell>
          <cell r="L24">
            <v>3000</v>
          </cell>
          <cell r="M24">
            <v>3000</v>
          </cell>
          <cell r="N24">
            <v>3000</v>
          </cell>
          <cell r="O24">
            <v>3000</v>
          </cell>
          <cell r="P24">
            <v>3000</v>
          </cell>
          <cell r="Q24">
            <v>36000</v>
          </cell>
        </row>
        <row r="25">
          <cell r="B25" t="str">
            <v xml:space="preserve">    〃     전기수도</v>
          </cell>
          <cell r="D25">
            <v>211243</v>
          </cell>
          <cell r="E25">
            <v>18003.7</v>
          </cell>
          <cell r="F25">
            <v>18429.400000000001</v>
          </cell>
          <cell r="G25">
            <v>18727.5</v>
          </cell>
          <cell r="H25">
            <v>17587.900000000001</v>
          </cell>
          <cell r="I25">
            <v>15548.500000000002</v>
          </cell>
          <cell r="J25">
            <v>16492.300000000003</v>
          </cell>
          <cell r="K25">
            <v>24285.800000000003</v>
          </cell>
          <cell r="L25">
            <v>25060.2</v>
          </cell>
          <cell r="M25">
            <v>27574.800000000003</v>
          </cell>
          <cell r="N25">
            <v>20328</v>
          </cell>
          <cell r="O25">
            <v>15730.000000000002</v>
          </cell>
          <cell r="P25">
            <v>16456</v>
          </cell>
          <cell r="Q25">
            <v>234224.10000000003</v>
          </cell>
          <cell r="R25"/>
        </row>
        <row r="26">
          <cell r="B26" t="str">
            <v>담배판매수입</v>
          </cell>
          <cell r="D26">
            <v>28905</v>
          </cell>
          <cell r="E26">
            <v>3237</v>
          </cell>
          <cell r="F26">
            <v>3034.5</v>
          </cell>
          <cell r="G26">
            <v>3034.5</v>
          </cell>
          <cell r="H26">
            <v>2925</v>
          </cell>
          <cell r="I26">
            <v>2175</v>
          </cell>
          <cell r="J26">
            <v>2659.5</v>
          </cell>
          <cell r="K26">
            <v>2055</v>
          </cell>
          <cell r="L26">
            <v>2113.5</v>
          </cell>
          <cell r="M26">
            <v>1996.5</v>
          </cell>
          <cell r="N26">
            <v>2425.5</v>
          </cell>
          <cell r="O26">
            <v>2425.5</v>
          </cell>
          <cell r="P26">
            <v>2425.5</v>
          </cell>
          <cell r="Q26">
            <v>30507</v>
          </cell>
        </row>
        <row r="27">
          <cell r="B27" t="str">
            <v>부가 수입</v>
          </cell>
          <cell r="C27" t="str">
            <v>객실</v>
          </cell>
          <cell r="D27" t="e">
            <v>#REF!</v>
          </cell>
          <cell r="E27">
            <v>734</v>
          </cell>
          <cell r="F27">
            <v>670</v>
          </cell>
          <cell r="G27">
            <v>735</v>
          </cell>
          <cell r="H27">
            <v>763</v>
          </cell>
          <cell r="I27">
            <v>777</v>
          </cell>
          <cell r="J27">
            <v>793</v>
          </cell>
          <cell r="K27">
            <v>793</v>
          </cell>
          <cell r="L27">
            <v>746</v>
          </cell>
          <cell r="M27">
            <v>658</v>
          </cell>
          <cell r="N27">
            <v>730</v>
          </cell>
          <cell r="O27">
            <v>723</v>
          </cell>
          <cell r="P27">
            <v>715</v>
          </cell>
          <cell r="Q27">
            <v>8837</v>
          </cell>
          <cell r="R27" t="str">
            <v>객실수입×0.8%</v>
          </cell>
        </row>
        <row r="28">
          <cell r="C28" t="str">
            <v>SAUNA</v>
          </cell>
          <cell r="D28" t="e">
            <v>#REF!</v>
          </cell>
          <cell r="E28">
            <v>1402</v>
          </cell>
          <cell r="F28">
            <v>1320</v>
          </cell>
          <cell r="G28">
            <v>1369</v>
          </cell>
          <cell r="H28">
            <v>1266</v>
          </cell>
          <cell r="I28">
            <v>1224</v>
          </cell>
          <cell r="J28">
            <v>1189</v>
          </cell>
          <cell r="K28">
            <v>1088</v>
          </cell>
          <cell r="L28">
            <v>1100</v>
          </cell>
          <cell r="M28">
            <v>1203</v>
          </cell>
          <cell r="N28">
            <v>1358</v>
          </cell>
          <cell r="O28">
            <v>1338</v>
          </cell>
          <cell r="P28">
            <v>1352</v>
          </cell>
          <cell r="Q28">
            <v>15209</v>
          </cell>
          <cell r="R28" t="str">
            <v>입장수입×4.0%</v>
          </cell>
        </row>
        <row r="29">
          <cell r="C29" t="str">
            <v>연회</v>
          </cell>
          <cell r="D29" t="e">
            <v>#REF!</v>
          </cell>
          <cell r="E29">
            <v>1885</v>
          </cell>
          <cell r="F29">
            <v>1116</v>
          </cell>
          <cell r="G29">
            <v>1147</v>
          </cell>
          <cell r="H29">
            <v>1144</v>
          </cell>
          <cell r="I29">
            <v>1241</v>
          </cell>
          <cell r="J29">
            <v>1044</v>
          </cell>
          <cell r="K29">
            <v>778</v>
          </cell>
          <cell r="L29">
            <v>393</v>
          </cell>
          <cell r="M29">
            <v>923</v>
          </cell>
          <cell r="N29">
            <v>1372</v>
          </cell>
          <cell r="O29">
            <v>1509</v>
          </cell>
          <cell r="P29">
            <v>2085</v>
          </cell>
          <cell r="Q29">
            <v>14637</v>
          </cell>
          <cell r="R29" t="str">
            <v>연회수입×3.0%</v>
          </cell>
        </row>
        <row r="31">
          <cell r="B31" t="str">
            <v xml:space="preserve">            소   계</v>
          </cell>
          <cell r="D31">
            <v>40860</v>
          </cell>
          <cell r="E31">
            <v>4342.68</v>
          </cell>
          <cell r="F31">
            <v>3292.36</v>
          </cell>
          <cell r="G31">
            <v>3446.0600000000004</v>
          </cell>
          <cell r="H31">
            <v>3363.38</v>
          </cell>
          <cell r="I31">
            <v>3468.94</v>
          </cell>
          <cell r="J31">
            <v>3268.0800000000004</v>
          </cell>
          <cell r="K31">
            <v>2871.7200000000003</v>
          </cell>
          <cell r="L31">
            <v>2418.1200000000003</v>
          </cell>
          <cell r="M31">
            <v>3006.7200000000003</v>
          </cell>
          <cell r="N31">
            <v>3702.2000000000003</v>
          </cell>
          <cell r="O31">
            <v>3819.9</v>
          </cell>
          <cell r="P31">
            <v>4484.16</v>
          </cell>
          <cell r="Q31">
            <v>41484.320000000007</v>
          </cell>
        </row>
        <row r="33">
          <cell r="A33" t="str">
            <v>기  타  매  출   합  계</v>
          </cell>
          <cell r="D33">
            <v>812760</v>
          </cell>
          <cell r="E33">
            <v>74535.28</v>
          </cell>
          <cell r="F33">
            <v>73181.460000000006</v>
          </cell>
          <cell r="G33">
            <v>79205.56</v>
          </cell>
          <cell r="H33">
            <v>74391.38</v>
          </cell>
          <cell r="I33">
            <v>73880.639999999999</v>
          </cell>
          <cell r="J33">
            <v>76488.08</v>
          </cell>
          <cell r="K33">
            <v>77135.02</v>
          </cell>
          <cell r="L33">
            <v>76198.47</v>
          </cell>
          <cell r="M33">
            <v>83174.77</v>
          </cell>
          <cell r="N33">
            <v>78059.95</v>
          </cell>
          <cell r="O33">
            <v>72471.199999999997</v>
          </cell>
          <cell r="P33">
            <v>74859.41</v>
          </cell>
          <cell r="Q33">
            <v>913581.2200000002</v>
          </cell>
        </row>
        <row r="34">
          <cell r="Q34"/>
        </row>
        <row r="36">
          <cell r="A36" t="str">
            <v>매   출   액     합  계</v>
          </cell>
          <cell r="D36">
            <v>4456961</v>
          </cell>
          <cell r="E36">
            <v>425920.28</v>
          </cell>
          <cell r="F36">
            <v>395015.46</v>
          </cell>
          <cell r="G36">
            <v>427797.56</v>
          </cell>
          <cell r="H36">
            <v>416881.38</v>
          </cell>
          <cell r="I36">
            <v>415904.64</v>
          </cell>
          <cell r="J36">
            <v>405702.08</v>
          </cell>
          <cell r="K36">
            <v>401075.02</v>
          </cell>
          <cell r="L36">
            <v>372586.47</v>
          </cell>
          <cell r="M36">
            <v>401427.77</v>
          </cell>
          <cell r="N36">
            <v>422563.95</v>
          </cell>
          <cell r="O36">
            <v>427094.2</v>
          </cell>
          <cell r="P36">
            <v>462510.41000000003</v>
          </cell>
          <cell r="Q36">
            <v>4974479.2200000007</v>
          </cell>
        </row>
        <row r="38">
          <cell r="A38" t="str">
            <v>재료비</v>
          </cell>
          <cell r="B38" t="str">
            <v>식료 재료비</v>
          </cell>
          <cell r="C38"/>
          <cell r="D38" t="e">
            <v>#REF!</v>
          </cell>
          <cell r="E38">
            <v>67122</v>
          </cell>
          <cell r="F38">
            <v>66054</v>
          </cell>
          <cell r="G38">
            <v>70237</v>
          </cell>
          <cell r="H38">
            <v>68089</v>
          </cell>
          <cell r="I38">
            <v>66967</v>
          </cell>
          <cell r="J38">
            <v>64055</v>
          </cell>
          <cell r="K38">
            <v>63431</v>
          </cell>
          <cell r="L38">
            <v>56552</v>
          </cell>
          <cell r="M38">
            <v>62842</v>
          </cell>
          <cell r="N38">
            <v>66544</v>
          </cell>
          <cell r="O38">
            <v>71339</v>
          </cell>
          <cell r="P38">
            <v>79418</v>
          </cell>
          <cell r="Q38">
            <v>802650</v>
          </cell>
        </row>
        <row r="39">
          <cell r="B39" t="str">
            <v>음료 재료비</v>
          </cell>
          <cell r="D39" t="e">
            <v>#REF!</v>
          </cell>
          <cell r="E39">
            <v>8522</v>
          </cell>
          <cell r="F39">
            <v>5056</v>
          </cell>
          <cell r="G39">
            <v>6300</v>
          </cell>
          <cell r="H39">
            <v>6071</v>
          </cell>
          <cell r="I39">
            <v>6503</v>
          </cell>
          <cell r="J39">
            <v>5306</v>
          </cell>
          <cell r="K39">
            <v>5137</v>
          </cell>
          <cell r="L39">
            <v>4345</v>
          </cell>
          <cell r="M39">
            <v>6152</v>
          </cell>
          <cell r="N39">
            <v>6720</v>
          </cell>
          <cell r="O39">
            <v>7446</v>
          </cell>
          <cell r="P39">
            <v>8682</v>
          </cell>
          <cell r="Q39">
            <v>76240</v>
          </cell>
        </row>
        <row r="40">
          <cell r="A40" t="str">
            <v>재료비</v>
          </cell>
          <cell r="B40" t="str">
            <v>소      계</v>
          </cell>
          <cell r="C40"/>
          <cell r="D40">
            <v>817628</v>
          </cell>
          <cell r="E40">
            <v>75644</v>
          </cell>
          <cell r="F40">
            <v>71110</v>
          </cell>
          <cell r="G40">
            <v>76537</v>
          </cell>
          <cell r="H40">
            <v>74160</v>
          </cell>
          <cell r="I40">
            <v>73470</v>
          </cell>
          <cell r="J40">
            <v>69361</v>
          </cell>
          <cell r="K40">
            <v>68568</v>
          </cell>
          <cell r="L40">
            <v>60897</v>
          </cell>
          <cell r="M40">
            <v>68994</v>
          </cell>
          <cell r="N40">
            <v>73264</v>
          </cell>
          <cell r="O40">
            <v>78785</v>
          </cell>
          <cell r="P40">
            <v>88100</v>
          </cell>
          <cell r="Q40">
            <v>878890</v>
          </cell>
          <cell r="R40"/>
        </row>
        <row r="41">
          <cell r="A41" t="str">
            <v>노무비</v>
          </cell>
          <cell r="B41" t="str">
            <v>소      계</v>
          </cell>
          <cell r="C41"/>
          <cell r="D41" t="e">
            <v>#REF!</v>
          </cell>
          <cell r="E41">
            <v>4459.84</v>
          </cell>
          <cell r="F41">
            <v>5700</v>
          </cell>
          <cell r="G41">
            <v>4459.84</v>
          </cell>
          <cell r="H41">
            <v>4460</v>
          </cell>
          <cell r="I41">
            <v>4460</v>
          </cell>
          <cell r="J41">
            <v>4460</v>
          </cell>
          <cell r="K41">
            <v>4600</v>
          </cell>
          <cell r="L41">
            <v>4600</v>
          </cell>
          <cell r="M41">
            <v>4600</v>
          </cell>
          <cell r="N41">
            <v>4600</v>
          </cell>
          <cell r="O41">
            <v>4600</v>
          </cell>
          <cell r="P41">
            <v>4600</v>
          </cell>
          <cell r="Q41">
            <v>55599.68</v>
          </cell>
        </row>
        <row r="42">
          <cell r="B42" t="str">
            <v>소      계</v>
          </cell>
          <cell r="C42"/>
          <cell r="D42" t="e">
            <v>#REF!</v>
          </cell>
          <cell r="G42">
            <v>1240</v>
          </cell>
          <cell r="J42">
            <v>1240</v>
          </cell>
          <cell r="M42">
            <v>1240</v>
          </cell>
          <cell r="P42">
            <v>2034</v>
          </cell>
          <cell r="Q42">
            <v>5754</v>
          </cell>
        </row>
        <row r="43">
          <cell r="B43" t="str">
            <v>소      계</v>
          </cell>
          <cell r="C43"/>
          <cell r="D43" t="e">
            <v>#REF!</v>
          </cell>
          <cell r="J43">
            <v>2900</v>
          </cell>
          <cell r="K43">
            <v>-2900</v>
          </cell>
          <cell r="P43">
            <v>3000</v>
          </cell>
          <cell r="Q43">
            <v>3000</v>
          </cell>
        </row>
        <row r="44">
          <cell r="B44" t="str">
            <v>소      계</v>
          </cell>
          <cell r="C44"/>
          <cell r="D44" t="e">
            <v>#REF!</v>
          </cell>
          <cell r="J44">
            <v>3000</v>
          </cell>
          <cell r="K44">
            <v>-3000</v>
          </cell>
          <cell r="P44">
            <v>3100</v>
          </cell>
          <cell r="Q44">
            <v>3100</v>
          </cell>
          <cell r="R44"/>
        </row>
        <row r="45">
          <cell r="A45" t="str">
            <v>노무비</v>
          </cell>
          <cell r="B45" t="str">
            <v>소      계</v>
          </cell>
          <cell r="C45"/>
          <cell r="D45">
            <v>65420</v>
          </cell>
          <cell r="E45">
            <v>4459.84</v>
          </cell>
          <cell r="F45">
            <v>5700</v>
          </cell>
          <cell r="G45">
            <v>5699.84</v>
          </cell>
          <cell r="H45">
            <v>4460</v>
          </cell>
          <cell r="I45">
            <v>4460</v>
          </cell>
          <cell r="J45">
            <v>11600</v>
          </cell>
          <cell r="K45">
            <v>-1300</v>
          </cell>
          <cell r="L45">
            <v>4600</v>
          </cell>
          <cell r="M45">
            <v>5840</v>
          </cell>
          <cell r="N45">
            <v>4600</v>
          </cell>
          <cell r="O45">
            <v>4600</v>
          </cell>
          <cell r="P45">
            <v>12734</v>
          </cell>
          <cell r="Q45">
            <v>67453.679999999993</v>
          </cell>
        </row>
        <row r="46">
          <cell r="A46" t="str">
            <v>외주용역비</v>
          </cell>
          <cell r="B46" t="str">
            <v>소      계</v>
          </cell>
          <cell r="C46"/>
          <cell r="D46" t="e">
            <v>#REF!</v>
          </cell>
          <cell r="E46">
            <v>61339</v>
          </cell>
          <cell r="F46">
            <v>68715</v>
          </cell>
          <cell r="G46">
            <v>66034</v>
          </cell>
          <cell r="H46">
            <v>64587</v>
          </cell>
          <cell r="I46">
            <v>67771</v>
          </cell>
          <cell r="J46">
            <v>66456</v>
          </cell>
          <cell r="K46">
            <v>64595</v>
          </cell>
          <cell r="L46">
            <v>61948</v>
          </cell>
          <cell r="M46">
            <v>63366</v>
          </cell>
          <cell r="N46">
            <v>65246</v>
          </cell>
          <cell r="O46">
            <v>65243</v>
          </cell>
          <cell r="P46">
            <v>65249</v>
          </cell>
          <cell r="Q46">
            <v>780549</v>
          </cell>
          <cell r="R46" t="str">
            <v>'95실적10%↑</v>
          </cell>
        </row>
        <row r="47">
          <cell r="B47" t="str">
            <v>소      계</v>
          </cell>
          <cell r="C47"/>
          <cell r="D47" t="e">
            <v>#REF!</v>
          </cell>
          <cell r="G47">
            <v>72574</v>
          </cell>
          <cell r="J47">
            <v>73928</v>
          </cell>
          <cell r="M47">
            <v>70425</v>
          </cell>
          <cell r="P47">
            <v>73920</v>
          </cell>
          <cell r="Q47">
            <v>290847</v>
          </cell>
          <cell r="R47" t="str">
            <v>(최저임금.정기승호반영)</v>
          </cell>
        </row>
        <row r="48">
          <cell r="B48" t="str">
            <v>소      계</v>
          </cell>
          <cell r="C48"/>
          <cell r="D48" t="e">
            <v>#REF!</v>
          </cell>
          <cell r="E48">
            <v>1700</v>
          </cell>
          <cell r="F48">
            <v>1500</v>
          </cell>
          <cell r="G48">
            <v>400</v>
          </cell>
          <cell r="H48">
            <v>400</v>
          </cell>
          <cell r="I48">
            <v>400</v>
          </cell>
          <cell r="J48">
            <v>1500</v>
          </cell>
          <cell r="K48">
            <v>1500</v>
          </cell>
          <cell r="L48">
            <v>1500</v>
          </cell>
          <cell r="M48">
            <v>400</v>
          </cell>
          <cell r="N48">
            <v>1000</v>
          </cell>
          <cell r="O48">
            <v>1500</v>
          </cell>
          <cell r="P48">
            <v>1700</v>
          </cell>
          <cell r="Q48">
            <v>13500</v>
          </cell>
          <cell r="R48" t="str">
            <v>일용직/아르바이트</v>
          </cell>
        </row>
        <row r="49">
          <cell r="B49" t="str">
            <v>소      계</v>
          </cell>
          <cell r="C49"/>
          <cell r="D49" t="e">
            <v>#REF!</v>
          </cell>
          <cell r="E49">
            <v>1338</v>
          </cell>
          <cell r="F49">
            <v>1462</v>
          </cell>
          <cell r="G49">
            <v>1460</v>
          </cell>
          <cell r="H49">
            <v>1428</v>
          </cell>
          <cell r="I49">
            <v>1475</v>
          </cell>
          <cell r="J49">
            <v>1442</v>
          </cell>
          <cell r="K49">
            <v>1404</v>
          </cell>
          <cell r="L49">
            <v>1324</v>
          </cell>
          <cell r="M49">
            <v>1382</v>
          </cell>
          <cell r="N49">
            <v>1444</v>
          </cell>
          <cell r="O49">
            <v>1460</v>
          </cell>
          <cell r="P49">
            <v>1509</v>
          </cell>
          <cell r="Q49">
            <v>17128</v>
          </cell>
          <cell r="R49" t="str">
            <v>급료+봉사료1.5%</v>
          </cell>
        </row>
        <row r="50">
          <cell r="B50" t="str">
            <v>소      계</v>
          </cell>
          <cell r="C50"/>
          <cell r="D50" t="e">
            <v>#REF!</v>
          </cell>
          <cell r="E50">
            <v>2212</v>
          </cell>
          <cell r="F50">
            <v>2275</v>
          </cell>
          <cell r="G50">
            <v>2222</v>
          </cell>
          <cell r="H50">
            <v>2648</v>
          </cell>
          <cell r="I50">
            <v>2680</v>
          </cell>
          <cell r="J50">
            <v>2656</v>
          </cell>
          <cell r="K50">
            <v>2519</v>
          </cell>
          <cell r="L50">
            <v>2501</v>
          </cell>
          <cell r="M50">
            <v>2382</v>
          </cell>
          <cell r="N50">
            <v>2282</v>
          </cell>
          <cell r="O50">
            <v>2284</v>
          </cell>
          <cell r="P50">
            <v>2367</v>
          </cell>
          <cell r="Q50">
            <v>29028</v>
          </cell>
        </row>
        <row r="51">
          <cell r="B51" t="str">
            <v>소      계</v>
          </cell>
          <cell r="C51"/>
          <cell r="D51" t="e">
            <v>#REF!</v>
          </cell>
          <cell r="E51">
            <v>462</v>
          </cell>
          <cell r="F51">
            <v>487</v>
          </cell>
          <cell r="G51">
            <v>849</v>
          </cell>
          <cell r="H51">
            <v>476</v>
          </cell>
          <cell r="I51">
            <v>491</v>
          </cell>
          <cell r="J51">
            <v>850</v>
          </cell>
          <cell r="K51">
            <v>468</v>
          </cell>
          <cell r="L51">
            <v>426</v>
          </cell>
          <cell r="M51">
            <v>813</v>
          </cell>
          <cell r="N51">
            <v>481</v>
          </cell>
          <cell r="O51">
            <v>486</v>
          </cell>
          <cell r="P51">
            <v>872</v>
          </cell>
          <cell r="Q51">
            <v>7161</v>
          </cell>
          <cell r="R51" t="str">
            <v>급료+봉사료+상여5%</v>
          </cell>
        </row>
        <row r="52">
          <cell r="B52" t="str">
            <v>소      계</v>
          </cell>
          <cell r="C52"/>
          <cell r="D52" t="e">
            <v>#REF!</v>
          </cell>
          <cell r="E52">
            <v>3515</v>
          </cell>
          <cell r="F52">
            <v>3219</v>
          </cell>
          <cell r="G52">
            <v>3485</v>
          </cell>
          <cell r="H52">
            <v>3424</v>
          </cell>
          <cell r="I52">
            <v>3420</v>
          </cell>
          <cell r="J52">
            <v>3292</v>
          </cell>
          <cell r="K52">
            <v>3240</v>
          </cell>
          <cell r="L52">
            <v>2963</v>
          </cell>
          <cell r="M52">
            <v>3199</v>
          </cell>
          <cell r="N52">
            <v>3445</v>
          </cell>
          <cell r="O52">
            <v>3546</v>
          </cell>
          <cell r="P52">
            <v>3876</v>
          </cell>
          <cell r="Q52">
            <v>40624</v>
          </cell>
          <cell r="R52" t="str">
            <v>영업매출×1%</v>
          </cell>
        </row>
        <row r="53">
          <cell r="B53" t="str">
            <v>소      계</v>
          </cell>
          <cell r="C53"/>
          <cell r="D53" t="e">
            <v>#REF!</v>
          </cell>
          <cell r="E53">
            <v>13867</v>
          </cell>
          <cell r="F53">
            <v>1281</v>
          </cell>
          <cell r="G53">
            <v>1000</v>
          </cell>
          <cell r="H53">
            <v>1805</v>
          </cell>
          <cell r="I53">
            <v>1000</v>
          </cell>
          <cell r="J53">
            <v>3621</v>
          </cell>
          <cell r="K53">
            <v>5066</v>
          </cell>
          <cell r="L53">
            <v>2396</v>
          </cell>
          <cell r="M53">
            <v>6180</v>
          </cell>
          <cell r="N53">
            <v>1871</v>
          </cell>
          <cell r="O53">
            <v>4441</v>
          </cell>
          <cell r="P53">
            <v>1954</v>
          </cell>
          <cell r="Q53">
            <v>44482</v>
          </cell>
        </row>
        <row r="54">
          <cell r="B54" t="str">
            <v>소      계</v>
          </cell>
          <cell r="C54"/>
          <cell r="D54" t="e">
            <v>#REF!</v>
          </cell>
          <cell r="E54">
            <v>250</v>
          </cell>
          <cell r="F54">
            <v>250</v>
          </cell>
          <cell r="G54">
            <v>250</v>
          </cell>
          <cell r="H54">
            <v>250</v>
          </cell>
          <cell r="I54">
            <v>250</v>
          </cell>
          <cell r="J54">
            <v>250</v>
          </cell>
          <cell r="K54">
            <v>250</v>
          </cell>
          <cell r="L54">
            <v>250</v>
          </cell>
          <cell r="M54">
            <v>250</v>
          </cell>
          <cell r="N54">
            <v>250</v>
          </cell>
          <cell r="O54">
            <v>250</v>
          </cell>
          <cell r="P54">
            <v>250</v>
          </cell>
          <cell r="Q54">
            <v>3000</v>
          </cell>
        </row>
        <row r="55">
          <cell r="B55" t="str">
            <v>소      계</v>
          </cell>
          <cell r="C55"/>
          <cell r="D55" t="e">
            <v>#REF!</v>
          </cell>
          <cell r="E55">
            <v>22798</v>
          </cell>
          <cell r="F55">
            <v>115</v>
          </cell>
          <cell r="G55">
            <v>90</v>
          </cell>
          <cell r="H55">
            <v>138</v>
          </cell>
          <cell r="I55">
            <v>90</v>
          </cell>
          <cell r="J55">
            <v>270</v>
          </cell>
          <cell r="K55">
            <v>500</v>
          </cell>
          <cell r="L55">
            <v>150</v>
          </cell>
          <cell r="M55">
            <v>550</v>
          </cell>
          <cell r="N55">
            <v>143</v>
          </cell>
          <cell r="O55">
            <v>450</v>
          </cell>
          <cell r="P55">
            <v>170</v>
          </cell>
          <cell r="Q55">
            <v>25464</v>
          </cell>
          <cell r="R55"/>
        </row>
        <row r="56">
          <cell r="B56" t="str">
            <v>소      계</v>
          </cell>
          <cell r="C56"/>
          <cell r="D56" t="e">
            <v>#REF!</v>
          </cell>
          <cell r="E56">
            <v>11350</v>
          </cell>
          <cell r="F56">
            <v>110</v>
          </cell>
          <cell r="G56">
            <v>110</v>
          </cell>
          <cell r="H56">
            <v>110</v>
          </cell>
          <cell r="I56">
            <v>110</v>
          </cell>
          <cell r="J56">
            <v>110</v>
          </cell>
          <cell r="K56">
            <v>110</v>
          </cell>
          <cell r="L56">
            <v>110</v>
          </cell>
          <cell r="M56">
            <v>110</v>
          </cell>
          <cell r="N56">
            <v>110</v>
          </cell>
          <cell r="O56">
            <v>110</v>
          </cell>
          <cell r="P56">
            <v>110</v>
          </cell>
          <cell r="Q56">
            <v>12560</v>
          </cell>
          <cell r="R56" t="str">
            <v>안전.보험관리대행료</v>
          </cell>
        </row>
        <row r="57">
          <cell r="B57" t="str">
            <v>소      계</v>
          </cell>
          <cell r="C57"/>
          <cell r="D57" t="e">
            <v>#REF!</v>
          </cell>
          <cell r="E57">
            <v>70</v>
          </cell>
          <cell r="F57">
            <v>70</v>
          </cell>
          <cell r="G57">
            <v>70</v>
          </cell>
          <cell r="H57">
            <v>70</v>
          </cell>
          <cell r="I57">
            <v>70</v>
          </cell>
          <cell r="J57">
            <v>70</v>
          </cell>
          <cell r="K57">
            <v>70</v>
          </cell>
          <cell r="L57">
            <v>70</v>
          </cell>
          <cell r="M57">
            <v>70</v>
          </cell>
          <cell r="N57">
            <v>70</v>
          </cell>
          <cell r="O57">
            <v>70</v>
          </cell>
          <cell r="P57">
            <v>70</v>
          </cell>
          <cell r="Q57">
            <v>840</v>
          </cell>
        </row>
        <row r="58">
          <cell r="B58" t="str">
            <v>소      계</v>
          </cell>
          <cell r="C58"/>
          <cell r="D58" t="e">
            <v>#REF!</v>
          </cell>
          <cell r="J58">
            <v>11000</v>
          </cell>
          <cell r="Q58">
            <v>11000</v>
          </cell>
          <cell r="R58" t="str">
            <v>100천원×110명</v>
          </cell>
        </row>
        <row r="59">
          <cell r="B59" t="str">
            <v>소      계</v>
          </cell>
          <cell r="C59"/>
          <cell r="D59" t="e">
            <v>#REF!</v>
          </cell>
          <cell r="G59">
            <v>2050</v>
          </cell>
          <cell r="J59">
            <v>2050</v>
          </cell>
          <cell r="M59">
            <v>2050</v>
          </cell>
          <cell r="P59">
            <v>2050</v>
          </cell>
          <cell r="Q59">
            <v>8200</v>
          </cell>
          <cell r="R59"/>
        </row>
        <row r="60">
          <cell r="B60" t="str">
            <v>소      계</v>
          </cell>
          <cell r="C60"/>
          <cell r="D60" t="e">
            <v>#REF!</v>
          </cell>
          <cell r="E60">
            <v>277</v>
          </cell>
          <cell r="F60">
            <v>292</v>
          </cell>
          <cell r="G60">
            <v>509</v>
          </cell>
          <cell r="H60">
            <v>285</v>
          </cell>
          <cell r="I60">
            <v>295</v>
          </cell>
          <cell r="J60">
            <v>510</v>
          </cell>
          <cell r="K60">
            <v>280</v>
          </cell>
          <cell r="L60">
            <v>264</v>
          </cell>
          <cell r="M60">
            <v>487</v>
          </cell>
          <cell r="N60">
            <v>288</v>
          </cell>
          <cell r="O60">
            <v>292</v>
          </cell>
          <cell r="P60">
            <v>523</v>
          </cell>
          <cell r="Q60">
            <v>4302</v>
          </cell>
          <cell r="R60" t="str">
            <v>급여+봉사료+상여3%</v>
          </cell>
        </row>
        <row r="61">
          <cell r="A61" t="str">
            <v>외주용역비</v>
          </cell>
          <cell r="B61" t="str">
            <v>소      계</v>
          </cell>
          <cell r="C61"/>
          <cell r="D61">
            <v>1259129</v>
          </cell>
          <cell r="E61">
            <v>125136.90000000001</v>
          </cell>
          <cell r="F61">
            <v>83764.800000000003</v>
          </cell>
          <cell r="G61">
            <v>158658.15</v>
          </cell>
          <cell r="H61">
            <v>79402.05</v>
          </cell>
          <cell r="I61">
            <v>81954.600000000006</v>
          </cell>
          <cell r="J61">
            <v>176405.25</v>
          </cell>
          <cell r="K61">
            <v>84002.1</v>
          </cell>
          <cell r="L61">
            <v>76858.080000000002</v>
          </cell>
          <cell r="M61">
            <v>157730.56</v>
          </cell>
          <cell r="N61">
            <v>79695.199999999997</v>
          </cell>
          <cell r="O61">
            <v>83337.279999999999</v>
          </cell>
          <cell r="P61">
            <v>162351</v>
          </cell>
          <cell r="Q61">
            <v>1349295.97</v>
          </cell>
        </row>
        <row r="62">
          <cell r="B62" t="str">
            <v>소      계</v>
          </cell>
          <cell r="C62"/>
        </row>
        <row r="63">
          <cell r="A63" t="str">
            <v>외주관리비</v>
          </cell>
          <cell r="B63" t="str">
            <v>소      계</v>
          </cell>
          <cell r="C63"/>
          <cell r="D63">
            <v>421959</v>
          </cell>
          <cell r="E63">
            <v>36177.75</v>
          </cell>
          <cell r="F63">
            <v>35533.050000000003</v>
          </cell>
          <cell r="G63">
            <v>35341.950000000004</v>
          </cell>
          <cell r="H63">
            <v>36110.550000000003</v>
          </cell>
          <cell r="I63">
            <v>35498.400000000001</v>
          </cell>
          <cell r="J63">
            <v>39553.5</v>
          </cell>
          <cell r="K63">
            <v>36509.550000000003</v>
          </cell>
          <cell r="L63">
            <v>35375.550000000003</v>
          </cell>
          <cell r="M63">
            <v>35957.25</v>
          </cell>
          <cell r="N63">
            <v>36750</v>
          </cell>
          <cell r="O63">
            <v>36750</v>
          </cell>
          <cell r="P63">
            <v>36750</v>
          </cell>
          <cell r="Q63">
            <v>436307.55</v>
          </cell>
        </row>
        <row r="64">
          <cell r="B64" t="str">
            <v>소      계</v>
          </cell>
          <cell r="C64"/>
        </row>
        <row r="65">
          <cell r="A65" t="str">
            <v>외주세탁비</v>
          </cell>
          <cell r="B65" t="str">
            <v>소      계</v>
          </cell>
          <cell r="C65"/>
          <cell r="D65" t="e">
            <v>#REF!</v>
          </cell>
          <cell r="E65">
            <v>2150</v>
          </cell>
          <cell r="F65">
            <v>1210</v>
          </cell>
          <cell r="G65">
            <v>2400</v>
          </cell>
          <cell r="H65">
            <v>1290</v>
          </cell>
          <cell r="I65">
            <v>870</v>
          </cell>
          <cell r="J65">
            <v>3240</v>
          </cell>
          <cell r="K65">
            <v>950</v>
          </cell>
          <cell r="L65">
            <v>1210</v>
          </cell>
          <cell r="M65">
            <v>2700</v>
          </cell>
          <cell r="N65">
            <v>1290</v>
          </cell>
          <cell r="O65">
            <v>870</v>
          </cell>
          <cell r="P65">
            <v>2740</v>
          </cell>
          <cell r="Q65">
            <v>20920</v>
          </cell>
        </row>
        <row r="66">
          <cell r="B66" t="str">
            <v>소      계</v>
          </cell>
          <cell r="C66"/>
          <cell r="D66" t="e">
            <v>#REF!</v>
          </cell>
          <cell r="E66">
            <v>4810</v>
          </cell>
          <cell r="F66">
            <v>4660</v>
          </cell>
          <cell r="G66">
            <v>4774</v>
          </cell>
          <cell r="H66">
            <v>4587</v>
          </cell>
          <cell r="I66">
            <v>4620</v>
          </cell>
          <cell r="J66">
            <v>4236</v>
          </cell>
          <cell r="K66">
            <v>3659</v>
          </cell>
          <cell r="L66">
            <v>4146</v>
          </cell>
          <cell r="M66">
            <v>3936</v>
          </cell>
          <cell r="N66">
            <v>4547</v>
          </cell>
          <cell r="O66">
            <v>4513</v>
          </cell>
          <cell r="P66">
            <v>5257</v>
          </cell>
          <cell r="Q66">
            <v>53745</v>
          </cell>
        </row>
        <row r="67">
          <cell r="B67" t="str">
            <v>소      계</v>
          </cell>
          <cell r="C67"/>
          <cell r="D67" t="e">
            <v>#REF!</v>
          </cell>
          <cell r="E67">
            <v>258</v>
          </cell>
          <cell r="F67">
            <v>170</v>
          </cell>
          <cell r="G67">
            <v>141</v>
          </cell>
          <cell r="H67">
            <v>355</v>
          </cell>
          <cell r="I67">
            <v>675</v>
          </cell>
          <cell r="J67">
            <v>402</v>
          </cell>
          <cell r="K67">
            <v>546</v>
          </cell>
          <cell r="L67">
            <v>243</v>
          </cell>
          <cell r="M67">
            <v>174</v>
          </cell>
          <cell r="N67">
            <v>421</v>
          </cell>
          <cell r="O67">
            <v>941</v>
          </cell>
          <cell r="P67">
            <v>586</v>
          </cell>
          <cell r="Q67">
            <v>4912</v>
          </cell>
        </row>
        <row r="68">
          <cell r="A68" t="str">
            <v>외주세탁비</v>
          </cell>
          <cell r="B68" t="str">
            <v>소      계</v>
          </cell>
          <cell r="C68"/>
          <cell r="D68">
            <v>62503</v>
          </cell>
          <cell r="E68">
            <v>7218</v>
          </cell>
          <cell r="F68">
            <v>6040</v>
          </cell>
          <cell r="G68">
            <v>7315</v>
          </cell>
          <cell r="H68">
            <v>6232</v>
          </cell>
          <cell r="I68">
            <v>6165</v>
          </cell>
          <cell r="J68">
            <v>7878</v>
          </cell>
          <cell r="K68">
            <v>5155</v>
          </cell>
          <cell r="L68">
            <v>5599</v>
          </cell>
          <cell r="M68">
            <v>6810</v>
          </cell>
          <cell r="N68">
            <v>6258</v>
          </cell>
          <cell r="O68">
            <v>6324</v>
          </cell>
          <cell r="P68">
            <v>8583</v>
          </cell>
          <cell r="Q68">
            <v>79577</v>
          </cell>
        </row>
        <row r="69">
          <cell r="A69" t="str">
            <v>복리후생비</v>
          </cell>
          <cell r="B69" t="str">
            <v>식당유지비</v>
          </cell>
          <cell r="D69" t="e">
            <v>#REF!</v>
          </cell>
          <cell r="E69">
            <v>7055.4000000000005</v>
          </cell>
          <cell r="F69">
            <v>6523.0000000000009</v>
          </cell>
          <cell r="G69">
            <v>7641.7000000000007</v>
          </cell>
          <cell r="H69">
            <v>7245.7000000000007</v>
          </cell>
          <cell r="I69">
            <v>7615.3</v>
          </cell>
          <cell r="J69">
            <v>7242.4000000000005</v>
          </cell>
          <cell r="K69">
            <v>7731.9000000000005</v>
          </cell>
          <cell r="L69">
            <v>7452.9000000000005</v>
          </cell>
          <cell r="M69">
            <v>7505.4000000000005</v>
          </cell>
          <cell r="N69">
            <v>7593.6</v>
          </cell>
          <cell r="O69">
            <v>7651.35</v>
          </cell>
          <cell r="P69">
            <v>7649.25</v>
          </cell>
          <cell r="Q69">
            <v>88907.900000000023</v>
          </cell>
          <cell r="R69" t="str">
            <v>'95실적×10%↑</v>
          </cell>
        </row>
        <row r="70">
          <cell r="B70" t="str">
            <v>회  식  대</v>
          </cell>
          <cell r="C70"/>
          <cell r="D70" t="e">
            <v>#REF!</v>
          </cell>
          <cell r="E70">
            <v>3200</v>
          </cell>
          <cell r="F70">
            <v>3200</v>
          </cell>
          <cell r="G70">
            <v>3200</v>
          </cell>
          <cell r="H70">
            <v>3200</v>
          </cell>
          <cell r="I70">
            <v>3200</v>
          </cell>
          <cell r="J70">
            <v>3200</v>
          </cell>
          <cell r="K70">
            <v>3200</v>
          </cell>
          <cell r="L70">
            <v>3200</v>
          </cell>
          <cell r="M70">
            <v>3200</v>
          </cell>
          <cell r="N70">
            <v>3200</v>
          </cell>
          <cell r="O70">
            <v>3200</v>
          </cell>
          <cell r="P70">
            <v>3200</v>
          </cell>
          <cell r="Q70">
            <v>38400</v>
          </cell>
          <cell r="R70" t="str">
            <v>95실적*10%↑/출장식대포함</v>
          </cell>
        </row>
        <row r="71">
          <cell r="B71" t="str">
            <v>선  물  비</v>
          </cell>
          <cell r="C71"/>
          <cell r="D71" t="e">
            <v>#REF!</v>
          </cell>
          <cell r="E71">
            <v>200</v>
          </cell>
          <cell r="F71">
            <v>1750</v>
          </cell>
          <cell r="G71">
            <v>200</v>
          </cell>
          <cell r="H71">
            <v>100</v>
          </cell>
          <cell r="I71">
            <v>3500</v>
          </cell>
          <cell r="J71">
            <v>200</v>
          </cell>
          <cell r="K71">
            <v>100</v>
          </cell>
          <cell r="L71">
            <v>100</v>
          </cell>
          <cell r="M71">
            <v>1750</v>
          </cell>
          <cell r="N71">
            <v>3500</v>
          </cell>
          <cell r="O71">
            <v>100</v>
          </cell>
          <cell r="P71">
            <v>200</v>
          </cell>
          <cell r="Q71">
            <v>11700</v>
          </cell>
          <cell r="R71" t="str">
            <v>노동절/추석 25천원×110명</v>
          </cell>
        </row>
        <row r="72">
          <cell r="B72" t="str">
            <v>단체행사비</v>
          </cell>
          <cell r="C72"/>
          <cell r="D72" t="e">
            <v>#REF!</v>
          </cell>
          <cell r="H72">
            <v>1800</v>
          </cell>
          <cell r="N72">
            <v>2600</v>
          </cell>
          <cell r="P72">
            <v>2000</v>
          </cell>
          <cell r="Q72">
            <v>6400</v>
          </cell>
          <cell r="R72"/>
        </row>
        <row r="73">
          <cell r="A73"/>
          <cell r="B73" t="str">
            <v>서클지원비</v>
          </cell>
          <cell r="D73" t="e">
            <v>#REF!</v>
          </cell>
          <cell r="E73">
            <v>300</v>
          </cell>
          <cell r="F73">
            <v>300</v>
          </cell>
          <cell r="G73">
            <v>300</v>
          </cell>
          <cell r="H73">
            <v>300</v>
          </cell>
          <cell r="I73">
            <v>300</v>
          </cell>
          <cell r="J73">
            <v>300</v>
          </cell>
          <cell r="K73">
            <v>300</v>
          </cell>
          <cell r="L73">
            <v>300</v>
          </cell>
          <cell r="M73">
            <v>300</v>
          </cell>
          <cell r="N73">
            <v>300</v>
          </cell>
          <cell r="O73">
            <v>300</v>
          </cell>
          <cell r="P73">
            <v>300</v>
          </cell>
          <cell r="Q73">
            <v>3600</v>
          </cell>
          <cell r="R73" t="str">
            <v>써클당15만원/월×2개 단체</v>
          </cell>
        </row>
        <row r="74">
          <cell r="A74"/>
          <cell r="B74" t="str">
            <v>피  복  대</v>
          </cell>
          <cell r="C74"/>
          <cell r="D74" t="e">
            <v>#REF!</v>
          </cell>
          <cell r="E74">
            <v>300</v>
          </cell>
          <cell r="F74">
            <v>300</v>
          </cell>
          <cell r="G74">
            <v>300</v>
          </cell>
          <cell r="H74">
            <v>500</v>
          </cell>
          <cell r="I74">
            <v>300</v>
          </cell>
          <cell r="J74">
            <v>300</v>
          </cell>
          <cell r="K74">
            <v>300</v>
          </cell>
          <cell r="L74">
            <v>300</v>
          </cell>
          <cell r="M74">
            <v>300</v>
          </cell>
          <cell r="N74">
            <v>300</v>
          </cell>
          <cell r="O74">
            <v>300</v>
          </cell>
          <cell r="P74">
            <v>300</v>
          </cell>
          <cell r="Q74">
            <v>3800</v>
          </cell>
          <cell r="R74" t="str">
            <v>1월위생복/4월접객복</v>
          </cell>
        </row>
        <row r="75">
          <cell r="B75" t="str">
            <v>포  상  비</v>
          </cell>
          <cell r="D75" t="e">
            <v>#REF!</v>
          </cell>
          <cell r="K75">
            <v>300</v>
          </cell>
          <cell r="P75">
            <v>800</v>
          </cell>
          <cell r="Q75">
            <v>1100</v>
          </cell>
          <cell r="R75" t="str">
            <v>상하반기우수업장(사원)</v>
          </cell>
        </row>
        <row r="76">
          <cell r="B76" t="str">
            <v>치  료  비</v>
          </cell>
          <cell r="D76" t="e">
            <v>#REF!</v>
          </cell>
          <cell r="E76">
            <v>50</v>
          </cell>
          <cell r="F76">
            <v>50</v>
          </cell>
          <cell r="G76">
            <v>50</v>
          </cell>
          <cell r="H76">
            <v>50</v>
          </cell>
          <cell r="I76">
            <v>50</v>
          </cell>
          <cell r="J76">
            <v>50</v>
          </cell>
          <cell r="K76">
            <v>50</v>
          </cell>
          <cell r="L76">
            <v>50</v>
          </cell>
          <cell r="M76">
            <v>50</v>
          </cell>
          <cell r="N76">
            <v>50</v>
          </cell>
          <cell r="O76">
            <v>50</v>
          </cell>
          <cell r="P76">
            <v>50</v>
          </cell>
          <cell r="Q76">
            <v>600</v>
          </cell>
          <cell r="R76" t="str">
            <v>공상치료비</v>
          </cell>
        </row>
        <row r="77">
          <cell r="B77" t="str">
            <v>기      타</v>
          </cell>
          <cell r="D77" t="e">
            <v>#REF!</v>
          </cell>
          <cell r="E77">
            <v>600</v>
          </cell>
          <cell r="F77">
            <v>700</v>
          </cell>
          <cell r="G77">
            <v>500</v>
          </cell>
          <cell r="H77">
            <v>500</v>
          </cell>
          <cell r="I77">
            <v>500</v>
          </cell>
          <cell r="J77">
            <v>500</v>
          </cell>
          <cell r="K77">
            <v>500</v>
          </cell>
          <cell r="L77">
            <v>500</v>
          </cell>
          <cell r="M77">
            <v>500</v>
          </cell>
          <cell r="N77">
            <v>300</v>
          </cell>
          <cell r="O77">
            <v>300</v>
          </cell>
          <cell r="P77">
            <v>400</v>
          </cell>
          <cell r="Q77">
            <v>5800</v>
          </cell>
        </row>
        <row r="78">
          <cell r="A78" t="str">
            <v>복리후생비</v>
          </cell>
          <cell r="B78" t="str">
            <v>소      계</v>
          </cell>
          <cell r="C78"/>
          <cell r="D78">
            <v>168281</v>
          </cell>
          <cell r="E78">
            <v>11705.400000000001</v>
          </cell>
          <cell r="F78">
            <v>12823</v>
          </cell>
          <cell r="G78">
            <v>12191.7</v>
          </cell>
          <cell r="H78">
            <v>13695.7</v>
          </cell>
          <cell r="I78">
            <v>15465.3</v>
          </cell>
          <cell r="J78">
            <v>11792.400000000001</v>
          </cell>
          <cell r="K78">
            <v>12481.900000000001</v>
          </cell>
          <cell r="L78">
            <v>11902.900000000001</v>
          </cell>
          <cell r="M78">
            <v>13605.400000000001</v>
          </cell>
          <cell r="N78">
            <v>17843.599999999999</v>
          </cell>
          <cell r="O78">
            <v>11901.35</v>
          </cell>
          <cell r="P78">
            <v>14899.25</v>
          </cell>
          <cell r="Q78">
            <v>160307.90000000002</v>
          </cell>
        </row>
        <row r="79">
          <cell r="A79" t="str">
            <v>여비교통비</v>
          </cell>
          <cell r="B79" t="str">
            <v>시내교통비</v>
          </cell>
          <cell r="C79"/>
          <cell r="D79" t="e">
            <v>#REF!</v>
          </cell>
          <cell r="E79">
            <v>100</v>
          </cell>
          <cell r="F79">
            <v>100</v>
          </cell>
          <cell r="G79">
            <v>100</v>
          </cell>
          <cell r="H79">
            <v>100</v>
          </cell>
          <cell r="I79">
            <v>100</v>
          </cell>
          <cell r="J79">
            <v>50</v>
          </cell>
          <cell r="K79">
            <v>50</v>
          </cell>
          <cell r="L79">
            <v>100</v>
          </cell>
          <cell r="M79">
            <v>100</v>
          </cell>
          <cell r="N79">
            <v>50</v>
          </cell>
          <cell r="O79">
            <v>50</v>
          </cell>
          <cell r="P79">
            <v>50</v>
          </cell>
          <cell r="Q79">
            <v>950</v>
          </cell>
          <cell r="R79"/>
        </row>
        <row r="80">
          <cell r="B80" t="str">
            <v>판촉 및 야근자</v>
          </cell>
          <cell r="D80" t="e">
            <v>#REF!</v>
          </cell>
          <cell r="E80">
            <v>150</v>
          </cell>
          <cell r="F80">
            <v>200</v>
          </cell>
          <cell r="G80">
            <v>150</v>
          </cell>
          <cell r="H80">
            <v>150</v>
          </cell>
          <cell r="I80">
            <v>150</v>
          </cell>
          <cell r="J80">
            <v>150</v>
          </cell>
          <cell r="K80">
            <v>150</v>
          </cell>
          <cell r="L80">
            <v>150</v>
          </cell>
          <cell r="M80">
            <v>150</v>
          </cell>
          <cell r="N80">
            <v>150</v>
          </cell>
          <cell r="O80">
            <v>150</v>
          </cell>
          <cell r="P80">
            <v>150</v>
          </cell>
          <cell r="Q80">
            <v>1850</v>
          </cell>
        </row>
        <row r="81">
          <cell r="B81" t="str">
            <v>출  장  비</v>
          </cell>
          <cell r="C81"/>
          <cell r="D81" t="e">
            <v>#REF!</v>
          </cell>
          <cell r="E81">
            <v>50</v>
          </cell>
          <cell r="F81">
            <v>50</v>
          </cell>
          <cell r="G81">
            <v>50</v>
          </cell>
          <cell r="H81">
            <v>50</v>
          </cell>
          <cell r="I81">
            <v>50</v>
          </cell>
          <cell r="J81">
            <v>50</v>
          </cell>
          <cell r="K81">
            <v>50</v>
          </cell>
          <cell r="L81">
            <v>50</v>
          </cell>
          <cell r="M81">
            <v>50</v>
          </cell>
          <cell r="N81">
            <v>50</v>
          </cell>
          <cell r="O81">
            <v>50</v>
          </cell>
          <cell r="P81">
            <v>50</v>
          </cell>
          <cell r="Q81">
            <v>600</v>
          </cell>
          <cell r="R81"/>
        </row>
        <row r="82">
          <cell r="A82" t="str">
            <v>여비교통비</v>
          </cell>
          <cell r="B82" t="str">
            <v>소      계</v>
          </cell>
          <cell r="C82"/>
          <cell r="D82">
            <v>2840</v>
          </cell>
          <cell r="E82">
            <v>300</v>
          </cell>
          <cell r="F82">
            <v>350</v>
          </cell>
          <cell r="G82">
            <v>300</v>
          </cell>
          <cell r="H82">
            <v>300</v>
          </cell>
          <cell r="I82">
            <v>300</v>
          </cell>
          <cell r="J82">
            <v>250</v>
          </cell>
          <cell r="K82">
            <v>250</v>
          </cell>
          <cell r="L82">
            <v>300</v>
          </cell>
          <cell r="M82">
            <v>300</v>
          </cell>
          <cell r="N82">
            <v>250</v>
          </cell>
          <cell r="O82">
            <v>250</v>
          </cell>
          <cell r="P82">
            <v>250</v>
          </cell>
          <cell r="Q82">
            <v>3400</v>
          </cell>
        </row>
        <row r="83">
          <cell r="A83" t="str">
            <v>통  신  비</v>
          </cell>
          <cell r="B83" t="str">
            <v>전화료  외</v>
          </cell>
          <cell r="D83" t="e">
            <v>#REF!</v>
          </cell>
          <cell r="E83">
            <v>4000</v>
          </cell>
          <cell r="F83">
            <v>4000</v>
          </cell>
          <cell r="G83">
            <v>4000</v>
          </cell>
          <cell r="H83">
            <v>4000</v>
          </cell>
          <cell r="I83">
            <v>4400</v>
          </cell>
          <cell r="J83">
            <v>4300</v>
          </cell>
          <cell r="K83">
            <v>4400</v>
          </cell>
          <cell r="L83">
            <v>4400</v>
          </cell>
          <cell r="M83">
            <v>4400</v>
          </cell>
          <cell r="N83">
            <v>4400</v>
          </cell>
          <cell r="O83">
            <v>4380</v>
          </cell>
          <cell r="P83">
            <v>4400</v>
          </cell>
          <cell r="Q83">
            <v>51080</v>
          </cell>
          <cell r="R83" t="str">
            <v>FAX사용료포함</v>
          </cell>
        </row>
        <row r="84">
          <cell r="B84" t="str">
            <v>우편 요 금</v>
          </cell>
          <cell r="D84" t="e">
            <v>#REF!</v>
          </cell>
          <cell r="E84">
            <v>50</v>
          </cell>
          <cell r="F84">
            <v>50</v>
          </cell>
          <cell r="G84">
            <v>50</v>
          </cell>
          <cell r="H84">
            <v>50</v>
          </cell>
          <cell r="I84">
            <v>50</v>
          </cell>
          <cell r="J84">
            <v>50</v>
          </cell>
          <cell r="K84">
            <v>50</v>
          </cell>
          <cell r="L84">
            <v>50</v>
          </cell>
          <cell r="M84">
            <v>50</v>
          </cell>
          <cell r="N84">
            <v>50</v>
          </cell>
          <cell r="O84">
            <v>50</v>
          </cell>
          <cell r="P84">
            <v>50</v>
          </cell>
          <cell r="Q84">
            <v>600</v>
          </cell>
        </row>
        <row r="85">
          <cell r="B85" t="str">
            <v>T.V 시청료</v>
          </cell>
          <cell r="D85" t="e">
            <v>#REF!</v>
          </cell>
          <cell r="E85">
            <v>200</v>
          </cell>
          <cell r="F85">
            <v>200</v>
          </cell>
          <cell r="G85">
            <v>200</v>
          </cell>
          <cell r="H85">
            <v>200</v>
          </cell>
          <cell r="I85">
            <v>200</v>
          </cell>
          <cell r="J85">
            <v>200</v>
          </cell>
          <cell r="K85">
            <v>200</v>
          </cell>
          <cell r="L85">
            <v>200</v>
          </cell>
          <cell r="M85">
            <v>200</v>
          </cell>
          <cell r="N85">
            <v>200</v>
          </cell>
          <cell r="O85">
            <v>200</v>
          </cell>
          <cell r="P85">
            <v>200</v>
          </cell>
          <cell r="Q85">
            <v>2400</v>
          </cell>
          <cell r="R85" t="str">
            <v>5천원/2달×80대</v>
          </cell>
        </row>
        <row r="86">
          <cell r="B86" t="str">
            <v>무선호출기</v>
          </cell>
          <cell r="D86" t="e">
            <v>#REF!</v>
          </cell>
          <cell r="E86">
            <v>35</v>
          </cell>
          <cell r="F86">
            <v>35</v>
          </cell>
          <cell r="G86">
            <v>35</v>
          </cell>
          <cell r="H86">
            <v>35</v>
          </cell>
          <cell r="I86">
            <v>35</v>
          </cell>
          <cell r="J86">
            <v>35</v>
          </cell>
          <cell r="K86">
            <v>35</v>
          </cell>
          <cell r="L86">
            <v>35</v>
          </cell>
          <cell r="M86">
            <v>35</v>
          </cell>
          <cell r="N86">
            <v>35</v>
          </cell>
          <cell r="O86">
            <v>35</v>
          </cell>
          <cell r="P86">
            <v>35</v>
          </cell>
          <cell r="Q86">
            <v>420</v>
          </cell>
          <cell r="R86" t="str">
            <v>(객실:72, 사우나:8)</v>
          </cell>
        </row>
        <row r="87">
          <cell r="A87" t="str">
            <v>통  신  비</v>
          </cell>
          <cell r="B87" t="str">
            <v>소      계</v>
          </cell>
          <cell r="C87"/>
          <cell r="D87">
            <v>43406</v>
          </cell>
          <cell r="E87">
            <v>4285</v>
          </cell>
          <cell r="F87">
            <v>4285</v>
          </cell>
          <cell r="G87">
            <v>4285</v>
          </cell>
          <cell r="H87">
            <v>4285</v>
          </cell>
          <cell r="I87">
            <v>4685</v>
          </cell>
          <cell r="J87">
            <v>4585</v>
          </cell>
          <cell r="K87">
            <v>4685</v>
          </cell>
          <cell r="L87">
            <v>4685</v>
          </cell>
          <cell r="M87">
            <v>4685</v>
          </cell>
          <cell r="N87">
            <v>4685</v>
          </cell>
          <cell r="O87">
            <v>4665</v>
          </cell>
          <cell r="P87">
            <v>4685</v>
          </cell>
          <cell r="Q87">
            <v>54500</v>
          </cell>
        </row>
        <row r="88">
          <cell r="A88" t="str">
            <v>수도광열비</v>
          </cell>
          <cell r="B88" t="str">
            <v>전  기  료</v>
          </cell>
          <cell r="C88" t="str">
            <v>호텔</v>
          </cell>
          <cell r="D88" t="e">
            <v>#REF!</v>
          </cell>
          <cell r="E88">
            <v>11765</v>
          </cell>
          <cell r="F88">
            <v>12666</v>
          </cell>
          <cell r="G88">
            <v>12996</v>
          </cell>
          <cell r="H88">
            <v>12174</v>
          </cell>
          <cell r="I88">
            <v>13230</v>
          </cell>
          <cell r="J88">
            <v>22202</v>
          </cell>
          <cell r="K88">
            <v>23885</v>
          </cell>
          <cell r="L88">
            <v>25870</v>
          </cell>
          <cell r="M88">
            <v>16748</v>
          </cell>
          <cell r="N88">
            <v>12636</v>
          </cell>
          <cell r="O88">
            <v>12929</v>
          </cell>
          <cell r="P88">
            <v>14803</v>
          </cell>
          <cell r="Q88">
            <v>191904</v>
          </cell>
          <cell r="R88" t="str">
            <v>'95년실적×8.0%</v>
          </cell>
        </row>
        <row r="89">
          <cell r="B89" t="str">
            <v>수  도  료</v>
          </cell>
          <cell r="C89" t="str">
            <v>부분</v>
          </cell>
          <cell r="D89" t="e">
            <v>#REF!</v>
          </cell>
          <cell r="E89">
            <v>3139</v>
          </cell>
          <cell r="F89">
            <v>3476</v>
          </cell>
          <cell r="G89">
            <v>3998</v>
          </cell>
          <cell r="H89">
            <v>4043</v>
          </cell>
          <cell r="I89">
            <v>3958</v>
          </cell>
          <cell r="J89">
            <v>4271</v>
          </cell>
          <cell r="K89">
            <v>4881</v>
          </cell>
          <cell r="L89">
            <v>4828</v>
          </cell>
          <cell r="M89">
            <v>4903</v>
          </cell>
          <cell r="N89">
            <v>3837</v>
          </cell>
          <cell r="O89">
            <v>4644</v>
          </cell>
          <cell r="P89">
            <v>4217</v>
          </cell>
          <cell r="Q89">
            <v>50195</v>
          </cell>
          <cell r="R89" t="str">
            <v>'95년실적×5.0%</v>
          </cell>
        </row>
        <row r="90">
          <cell r="A90"/>
          <cell r="B90" t="str">
            <v>도시가스료</v>
          </cell>
          <cell r="D90" t="e">
            <v>#REF!</v>
          </cell>
          <cell r="E90">
            <v>11736</v>
          </cell>
          <cell r="F90">
            <v>11603</v>
          </cell>
          <cell r="G90">
            <v>7186</v>
          </cell>
          <cell r="H90">
            <v>6280</v>
          </cell>
          <cell r="I90">
            <v>4626</v>
          </cell>
          <cell r="J90">
            <v>3830</v>
          </cell>
          <cell r="K90">
            <v>2780</v>
          </cell>
          <cell r="L90">
            <v>4389</v>
          </cell>
          <cell r="M90">
            <v>2759</v>
          </cell>
          <cell r="N90">
            <v>4082</v>
          </cell>
          <cell r="O90">
            <v>5542</v>
          </cell>
          <cell r="P90">
            <v>10674</v>
          </cell>
          <cell r="Q90">
            <v>75487</v>
          </cell>
          <cell r="R90" t="str">
            <v>'95년실적×5.0%</v>
          </cell>
        </row>
        <row r="91">
          <cell r="B91" t="str">
            <v>고체알콜외</v>
          </cell>
          <cell r="D91" t="e">
            <v>#REF!</v>
          </cell>
          <cell r="E91">
            <v>336</v>
          </cell>
          <cell r="F91">
            <v>336</v>
          </cell>
          <cell r="G91">
            <v>336</v>
          </cell>
          <cell r="H91">
            <v>336</v>
          </cell>
          <cell r="I91">
            <v>336</v>
          </cell>
          <cell r="J91">
            <v>336</v>
          </cell>
          <cell r="K91">
            <v>336</v>
          </cell>
          <cell r="L91">
            <v>336</v>
          </cell>
          <cell r="M91">
            <v>336</v>
          </cell>
          <cell r="N91">
            <v>336</v>
          </cell>
          <cell r="O91">
            <v>336</v>
          </cell>
          <cell r="P91">
            <v>336</v>
          </cell>
          <cell r="Q91">
            <v>4032</v>
          </cell>
        </row>
        <row r="92">
          <cell r="B92" t="str">
            <v>유  류  대</v>
          </cell>
          <cell r="D92" t="e">
            <v>#REF!</v>
          </cell>
          <cell r="E92">
            <v>150</v>
          </cell>
          <cell r="F92">
            <v>150</v>
          </cell>
          <cell r="G92">
            <v>150</v>
          </cell>
          <cell r="H92">
            <v>150</v>
          </cell>
          <cell r="I92">
            <v>150</v>
          </cell>
          <cell r="N92">
            <v>150</v>
          </cell>
          <cell r="O92">
            <v>150</v>
          </cell>
          <cell r="P92">
            <v>150</v>
          </cell>
          <cell r="Q92">
            <v>1200</v>
          </cell>
        </row>
        <row r="93">
          <cell r="A93" t="str">
            <v>수도광열비</v>
          </cell>
          <cell r="B93" t="str">
            <v>소      계</v>
          </cell>
          <cell r="D93">
            <v>328741</v>
          </cell>
          <cell r="E93">
            <v>31194.899999999998</v>
          </cell>
          <cell r="F93">
            <v>32465.649999999998</v>
          </cell>
          <cell r="G93">
            <v>28365.899999999998</v>
          </cell>
          <cell r="H93">
            <v>26430.449999999997</v>
          </cell>
          <cell r="I93">
            <v>25644.999999999996</v>
          </cell>
          <cell r="J93">
            <v>35234.85</v>
          </cell>
          <cell r="K93">
            <v>36664.299999999996</v>
          </cell>
          <cell r="L93">
            <v>40736.449999999997</v>
          </cell>
          <cell r="M93">
            <v>28457.899999999998</v>
          </cell>
          <cell r="N93">
            <v>24197.149999999998</v>
          </cell>
          <cell r="O93">
            <v>27141.149999999998</v>
          </cell>
          <cell r="P93">
            <v>34707</v>
          </cell>
          <cell r="Q93">
            <v>371240.70000000007</v>
          </cell>
        </row>
        <row r="94">
          <cell r="A94" t="str">
            <v>지급임차료</v>
          </cell>
          <cell r="B94" t="str">
            <v>화분</v>
          </cell>
          <cell r="D94" t="e">
            <v>#REF!</v>
          </cell>
          <cell r="E94">
            <v>1000</v>
          </cell>
          <cell r="F94">
            <v>1000</v>
          </cell>
          <cell r="G94">
            <v>1000</v>
          </cell>
          <cell r="H94">
            <v>1000</v>
          </cell>
          <cell r="I94">
            <v>1000</v>
          </cell>
          <cell r="J94">
            <v>1000</v>
          </cell>
          <cell r="K94">
            <v>1000</v>
          </cell>
          <cell r="L94">
            <v>1000</v>
          </cell>
          <cell r="M94">
            <v>1000</v>
          </cell>
          <cell r="N94">
            <v>1000</v>
          </cell>
          <cell r="O94">
            <v>1000</v>
          </cell>
          <cell r="P94">
            <v>1000</v>
          </cell>
          <cell r="Q94">
            <v>12000</v>
          </cell>
          <cell r="R94"/>
        </row>
        <row r="95">
          <cell r="B95" t="str">
            <v>TAPE</v>
          </cell>
          <cell r="D95" t="e">
            <v>#REF!</v>
          </cell>
          <cell r="E95">
            <v>100</v>
          </cell>
          <cell r="F95">
            <v>100</v>
          </cell>
          <cell r="G95">
            <v>90</v>
          </cell>
          <cell r="H95">
            <v>90</v>
          </cell>
          <cell r="I95">
            <v>90</v>
          </cell>
          <cell r="J95">
            <v>90</v>
          </cell>
          <cell r="K95">
            <v>90</v>
          </cell>
          <cell r="L95">
            <v>90</v>
          </cell>
          <cell r="M95">
            <v>90</v>
          </cell>
          <cell r="N95">
            <v>100</v>
          </cell>
          <cell r="O95">
            <v>100</v>
          </cell>
          <cell r="P95">
            <v>100</v>
          </cell>
          <cell r="Q95">
            <v>1130</v>
          </cell>
          <cell r="R95"/>
        </row>
        <row r="96">
          <cell r="B96" t="str">
            <v>전산리스료</v>
          </cell>
          <cell r="D96" t="e">
            <v>#REF!</v>
          </cell>
          <cell r="G96">
            <v>7100</v>
          </cell>
          <cell r="J96">
            <v>7100</v>
          </cell>
          <cell r="M96">
            <v>7100</v>
          </cell>
          <cell r="P96">
            <v>7100</v>
          </cell>
          <cell r="Q96">
            <v>28400</v>
          </cell>
        </row>
        <row r="97">
          <cell r="D97" t="e">
            <v>#REF!</v>
          </cell>
          <cell r="Q97"/>
          <cell r="R97"/>
        </row>
        <row r="98">
          <cell r="A98" t="str">
            <v>지급임차료</v>
          </cell>
          <cell r="B98" t="str">
            <v>소      계</v>
          </cell>
          <cell r="D98">
            <v>27556</v>
          </cell>
          <cell r="E98">
            <v>1100</v>
          </cell>
          <cell r="F98">
            <v>1100</v>
          </cell>
          <cell r="G98">
            <v>8190</v>
          </cell>
          <cell r="H98">
            <v>1090</v>
          </cell>
          <cell r="I98">
            <v>1090</v>
          </cell>
          <cell r="J98">
            <v>8190</v>
          </cell>
          <cell r="K98">
            <v>1090</v>
          </cell>
          <cell r="L98">
            <v>1090</v>
          </cell>
          <cell r="M98">
            <v>8190</v>
          </cell>
          <cell r="N98">
            <v>1100</v>
          </cell>
          <cell r="O98">
            <v>1100</v>
          </cell>
          <cell r="P98">
            <v>8200</v>
          </cell>
          <cell r="Q98">
            <v>41530</v>
          </cell>
          <cell r="R98"/>
        </row>
        <row r="99">
          <cell r="A99" t="str">
            <v>수 선 비</v>
          </cell>
          <cell r="B99" t="str">
            <v>소      계</v>
          </cell>
          <cell r="D99" t="e">
            <v>#REF!</v>
          </cell>
          <cell r="E99">
            <v>45000</v>
          </cell>
          <cell r="F99">
            <v>1000</v>
          </cell>
          <cell r="G99">
            <v>1000</v>
          </cell>
          <cell r="H99">
            <v>35000</v>
          </cell>
          <cell r="I99">
            <v>3000</v>
          </cell>
          <cell r="J99">
            <v>3000</v>
          </cell>
          <cell r="K99">
            <v>3000</v>
          </cell>
          <cell r="L99">
            <v>3000</v>
          </cell>
          <cell r="M99">
            <v>2200</v>
          </cell>
          <cell r="N99"/>
          <cell r="O99"/>
          <cell r="P99"/>
          <cell r="Q99">
            <v>96200</v>
          </cell>
          <cell r="R99"/>
        </row>
        <row r="100">
          <cell r="B100" t="str">
            <v>소      계</v>
          </cell>
          <cell r="D100" t="e">
            <v>#REF!</v>
          </cell>
          <cell r="E100">
            <v>1300</v>
          </cell>
          <cell r="F100">
            <v>3875</v>
          </cell>
          <cell r="G100">
            <v>1250</v>
          </cell>
          <cell r="H100">
            <v>1350</v>
          </cell>
          <cell r="I100">
            <v>2000</v>
          </cell>
          <cell r="J100">
            <v>1230</v>
          </cell>
          <cell r="K100">
            <v>1490</v>
          </cell>
          <cell r="L100">
            <v>1560</v>
          </cell>
          <cell r="M100">
            <v>2000</v>
          </cell>
          <cell r="N100">
            <v>1500</v>
          </cell>
          <cell r="O100">
            <v>1200</v>
          </cell>
          <cell r="P100">
            <v>1250</v>
          </cell>
          <cell r="Q100">
            <v>20005</v>
          </cell>
          <cell r="R100"/>
        </row>
        <row r="101">
          <cell r="B101" t="str">
            <v>소      계</v>
          </cell>
          <cell r="D101" t="e">
            <v>#REF!</v>
          </cell>
          <cell r="E101">
            <v>150</v>
          </cell>
          <cell r="F101">
            <v>150</v>
          </cell>
          <cell r="G101">
            <v>150</v>
          </cell>
          <cell r="H101">
            <v>150</v>
          </cell>
          <cell r="I101">
            <v>150</v>
          </cell>
          <cell r="J101">
            <v>150</v>
          </cell>
          <cell r="K101">
            <v>150</v>
          </cell>
          <cell r="L101">
            <v>150</v>
          </cell>
          <cell r="M101">
            <v>150</v>
          </cell>
          <cell r="N101">
            <v>150</v>
          </cell>
          <cell r="O101">
            <v>150</v>
          </cell>
          <cell r="P101">
            <v>150</v>
          </cell>
          <cell r="Q101">
            <v>1800</v>
          </cell>
        </row>
        <row r="102">
          <cell r="B102" t="str">
            <v>소      계</v>
          </cell>
          <cell r="D102" t="e">
            <v>#REF!</v>
          </cell>
          <cell r="E102">
            <v>720</v>
          </cell>
          <cell r="F102">
            <v>720</v>
          </cell>
          <cell r="G102">
            <v>720</v>
          </cell>
          <cell r="H102">
            <v>720</v>
          </cell>
          <cell r="I102">
            <v>720</v>
          </cell>
          <cell r="J102">
            <v>720</v>
          </cell>
          <cell r="K102">
            <v>720</v>
          </cell>
          <cell r="L102">
            <v>720</v>
          </cell>
          <cell r="M102">
            <v>720</v>
          </cell>
          <cell r="N102">
            <v>720</v>
          </cell>
          <cell r="O102">
            <v>720</v>
          </cell>
          <cell r="P102">
            <v>720</v>
          </cell>
          <cell r="Q102">
            <v>8640</v>
          </cell>
          <cell r="R102" t="str">
            <v>TOWER PARKING</v>
          </cell>
        </row>
        <row r="103">
          <cell r="B103" t="str">
            <v>소      계</v>
          </cell>
          <cell r="D103" t="e">
            <v>#REF!</v>
          </cell>
          <cell r="E103">
            <v>350</v>
          </cell>
          <cell r="F103">
            <v>350</v>
          </cell>
          <cell r="G103">
            <v>350</v>
          </cell>
          <cell r="H103">
            <v>350</v>
          </cell>
          <cell r="I103">
            <v>350</v>
          </cell>
          <cell r="J103">
            <v>350</v>
          </cell>
          <cell r="K103">
            <v>350</v>
          </cell>
          <cell r="L103">
            <v>350</v>
          </cell>
          <cell r="M103">
            <v>350</v>
          </cell>
          <cell r="N103">
            <v>350</v>
          </cell>
          <cell r="O103">
            <v>350</v>
          </cell>
          <cell r="P103">
            <v>350</v>
          </cell>
          <cell r="Q103">
            <v>4200</v>
          </cell>
        </row>
        <row r="104">
          <cell r="B104" t="str">
            <v>소      계</v>
          </cell>
          <cell r="D104" t="e">
            <v>#REF!</v>
          </cell>
          <cell r="E104">
            <v>600</v>
          </cell>
          <cell r="F104">
            <v>600</v>
          </cell>
          <cell r="G104">
            <v>600</v>
          </cell>
          <cell r="H104">
            <v>600</v>
          </cell>
          <cell r="I104">
            <v>600</v>
          </cell>
          <cell r="J104">
            <v>600</v>
          </cell>
          <cell r="K104">
            <v>650</v>
          </cell>
          <cell r="L104">
            <v>650</v>
          </cell>
          <cell r="M104">
            <v>650</v>
          </cell>
          <cell r="N104">
            <v>650</v>
          </cell>
          <cell r="O104">
            <v>650</v>
          </cell>
          <cell r="P104">
            <v>650</v>
          </cell>
          <cell r="Q104">
            <v>7500</v>
          </cell>
        </row>
        <row r="105">
          <cell r="B105" t="str">
            <v>소      계</v>
          </cell>
          <cell r="D105" t="e">
            <v>#REF!</v>
          </cell>
          <cell r="E105">
            <v>200</v>
          </cell>
          <cell r="F105">
            <v>200</v>
          </cell>
          <cell r="G105">
            <v>200</v>
          </cell>
          <cell r="H105">
            <v>200</v>
          </cell>
          <cell r="I105">
            <v>200</v>
          </cell>
          <cell r="J105">
            <v>200</v>
          </cell>
          <cell r="K105">
            <v>200</v>
          </cell>
          <cell r="L105">
            <v>200</v>
          </cell>
          <cell r="M105">
            <v>200</v>
          </cell>
          <cell r="N105">
            <v>200</v>
          </cell>
          <cell r="O105">
            <v>200</v>
          </cell>
          <cell r="P105">
            <v>200</v>
          </cell>
          <cell r="Q105">
            <v>2400</v>
          </cell>
          <cell r="R105" t="str">
            <v>커피머쉰,화장실타월기</v>
          </cell>
        </row>
        <row r="106">
          <cell r="A106" t="str">
            <v>수 선 비</v>
          </cell>
          <cell r="B106" t="str">
            <v>소      계</v>
          </cell>
          <cell r="C106"/>
          <cell r="D106">
            <v>55282</v>
          </cell>
          <cell r="E106">
            <v>48320</v>
          </cell>
          <cell r="F106">
            <v>6895</v>
          </cell>
          <cell r="G106">
            <v>4270</v>
          </cell>
          <cell r="H106">
            <v>38370</v>
          </cell>
          <cell r="I106">
            <v>7020</v>
          </cell>
          <cell r="J106">
            <v>6250</v>
          </cell>
          <cell r="K106">
            <v>6560</v>
          </cell>
          <cell r="L106">
            <v>6630</v>
          </cell>
          <cell r="M106">
            <v>6270</v>
          </cell>
          <cell r="N106">
            <v>3570</v>
          </cell>
          <cell r="O106">
            <v>3270</v>
          </cell>
          <cell r="P106">
            <v>3320</v>
          </cell>
          <cell r="Q106">
            <v>140745</v>
          </cell>
          <cell r="R106"/>
        </row>
        <row r="107">
          <cell r="A107" t="str">
            <v>보 험 료</v>
          </cell>
          <cell r="B107" t="str">
            <v>소      계</v>
          </cell>
          <cell r="D107" t="e">
            <v>#REF!</v>
          </cell>
          <cell r="E107"/>
          <cell r="F107"/>
          <cell r="G107"/>
          <cell r="H107"/>
          <cell r="I107"/>
          <cell r="J107"/>
          <cell r="K107"/>
          <cell r="L107"/>
          <cell r="M107">
            <v>8600</v>
          </cell>
          <cell r="N107"/>
          <cell r="O107"/>
          <cell r="P107"/>
          <cell r="Q107">
            <v>8600</v>
          </cell>
          <cell r="R107"/>
        </row>
        <row r="108">
          <cell r="B108" t="str">
            <v>소      계</v>
          </cell>
          <cell r="D108" t="e">
            <v>#REF!</v>
          </cell>
          <cell r="E108"/>
          <cell r="F108">
            <v>731</v>
          </cell>
          <cell r="G108"/>
          <cell r="H108"/>
          <cell r="I108">
            <v>525</v>
          </cell>
          <cell r="J108"/>
          <cell r="K108"/>
          <cell r="L108">
            <v>302</v>
          </cell>
          <cell r="M108"/>
          <cell r="N108"/>
          <cell r="O108">
            <v>1250</v>
          </cell>
          <cell r="P108"/>
          <cell r="Q108">
            <v>2808</v>
          </cell>
        </row>
        <row r="109">
          <cell r="B109" t="str">
            <v>소      계</v>
          </cell>
          <cell r="D109" t="e">
            <v>#REF!</v>
          </cell>
          <cell r="E109"/>
          <cell r="F109"/>
          <cell r="G109"/>
          <cell r="H109">
            <v>7800</v>
          </cell>
          <cell r="I109"/>
          <cell r="J109"/>
          <cell r="K109"/>
          <cell r="L109"/>
          <cell r="M109"/>
          <cell r="N109"/>
          <cell r="O109"/>
          <cell r="P109"/>
          <cell r="Q109">
            <v>7800</v>
          </cell>
          <cell r="R109" t="str">
            <v>시설/주차장/생산물</v>
          </cell>
        </row>
        <row r="110">
          <cell r="B110" t="str">
            <v>소      계</v>
          </cell>
          <cell r="C110"/>
          <cell r="D110" t="e">
            <v>#REF!</v>
          </cell>
          <cell r="E110">
            <v>80</v>
          </cell>
          <cell r="F110">
            <v>85.5</v>
          </cell>
          <cell r="G110">
            <v>85.497600000000006</v>
          </cell>
          <cell r="H110">
            <v>80</v>
          </cell>
          <cell r="I110">
            <v>80</v>
          </cell>
          <cell r="J110">
            <v>80</v>
          </cell>
          <cell r="K110">
            <v>85</v>
          </cell>
          <cell r="L110">
            <v>85</v>
          </cell>
          <cell r="M110">
            <v>87.6</v>
          </cell>
          <cell r="N110">
            <v>69</v>
          </cell>
          <cell r="O110">
            <v>69</v>
          </cell>
          <cell r="P110">
            <v>99.509999999999991</v>
          </cell>
          <cell r="Q110">
            <v>986.10760000000005</v>
          </cell>
          <cell r="R110" t="str">
            <v>산재보험료포함</v>
          </cell>
        </row>
        <row r="111">
          <cell r="B111" t="str">
            <v>소      계</v>
          </cell>
          <cell r="D111" t="e">
            <v>#REF!</v>
          </cell>
          <cell r="E111">
            <v>13.379520000000001</v>
          </cell>
          <cell r="F111">
            <v>17.100000000000001</v>
          </cell>
          <cell r="G111">
            <v>17.099520000000002</v>
          </cell>
          <cell r="H111">
            <v>13.38</v>
          </cell>
          <cell r="I111">
            <v>13.38</v>
          </cell>
          <cell r="J111">
            <v>17.100000000000001</v>
          </cell>
          <cell r="K111">
            <v>13.8</v>
          </cell>
          <cell r="L111">
            <v>13.8</v>
          </cell>
          <cell r="M111">
            <v>17.52</v>
          </cell>
          <cell r="N111">
            <v>13.8</v>
          </cell>
          <cell r="O111">
            <v>13.8</v>
          </cell>
          <cell r="P111">
            <v>19.902000000000001</v>
          </cell>
          <cell r="Q111">
            <v>184.06104000000005</v>
          </cell>
        </row>
        <row r="112">
          <cell r="A112" t="str">
            <v>보 험 료</v>
          </cell>
          <cell r="B112" t="str">
            <v>소      계</v>
          </cell>
          <cell r="C112"/>
          <cell r="D112">
            <v>21465</v>
          </cell>
          <cell r="E112">
            <v>93.379519999999999</v>
          </cell>
          <cell r="F112">
            <v>833.6</v>
          </cell>
          <cell r="G112">
            <v>102.59712</v>
          </cell>
          <cell r="H112">
            <v>7893.38</v>
          </cell>
          <cell r="I112">
            <v>618.38</v>
          </cell>
          <cell r="J112">
            <v>97.1</v>
          </cell>
          <cell r="K112">
            <v>98.8</v>
          </cell>
          <cell r="L112">
            <v>400.8</v>
          </cell>
          <cell r="M112">
            <v>8705.1200000000008</v>
          </cell>
          <cell r="N112">
            <v>82.8</v>
          </cell>
          <cell r="O112">
            <v>1332.8</v>
          </cell>
          <cell r="P112">
            <v>119.41199999999999</v>
          </cell>
          <cell r="Q112">
            <v>20378.16864</v>
          </cell>
        </row>
        <row r="113">
          <cell r="R113" t="str">
            <v>'95년예산 10%↑</v>
          </cell>
        </row>
        <row r="114">
          <cell r="A114" t="str">
            <v>접 대 비</v>
          </cell>
          <cell r="B114" t="str">
            <v>소      계</v>
          </cell>
          <cell r="C114"/>
          <cell r="D114">
            <v>4972</v>
          </cell>
          <cell r="E114">
            <v>300</v>
          </cell>
          <cell r="F114">
            <v>1800</v>
          </cell>
          <cell r="G114">
            <v>300</v>
          </cell>
          <cell r="H114">
            <v>300</v>
          </cell>
          <cell r="I114">
            <v>300</v>
          </cell>
          <cell r="J114">
            <v>300</v>
          </cell>
          <cell r="K114">
            <v>400</v>
          </cell>
          <cell r="L114">
            <v>400</v>
          </cell>
          <cell r="M114">
            <v>800</v>
          </cell>
          <cell r="N114">
            <v>300</v>
          </cell>
          <cell r="O114">
            <v>300</v>
          </cell>
          <cell r="P114">
            <v>300</v>
          </cell>
          <cell r="Q114">
            <v>5800</v>
          </cell>
        </row>
        <row r="115">
          <cell r="B115" t="str">
            <v>소      계</v>
          </cell>
        </row>
        <row r="116">
          <cell r="B116" t="str">
            <v>소      계</v>
          </cell>
        </row>
        <row r="117">
          <cell r="A117" t="str">
            <v>광고선전비</v>
          </cell>
          <cell r="B117" t="str">
            <v>소      계</v>
          </cell>
          <cell r="C117"/>
          <cell r="D117">
            <v>7050</v>
          </cell>
          <cell r="E117">
            <v>1000</v>
          </cell>
          <cell r="F117"/>
          <cell r="G117">
            <v>2000</v>
          </cell>
          <cell r="H117">
            <v>200</v>
          </cell>
          <cell r="I117">
            <v>1500</v>
          </cell>
          <cell r="K117"/>
          <cell r="L117">
            <v>2000</v>
          </cell>
          <cell r="O117">
            <v>6500</v>
          </cell>
          <cell r="Q117">
            <v>13200</v>
          </cell>
        </row>
        <row r="119">
          <cell r="A119" t="str">
            <v>차 량 비</v>
          </cell>
          <cell r="B119" t="str">
            <v>유 류 대</v>
          </cell>
          <cell r="D119" t="e">
            <v>#REF!</v>
          </cell>
          <cell r="E119">
            <v>750</v>
          </cell>
          <cell r="F119">
            <v>750</v>
          </cell>
          <cell r="G119">
            <v>750</v>
          </cell>
          <cell r="H119">
            <v>750</v>
          </cell>
          <cell r="I119">
            <v>750</v>
          </cell>
          <cell r="J119">
            <v>750</v>
          </cell>
          <cell r="K119">
            <v>750</v>
          </cell>
          <cell r="L119">
            <v>750</v>
          </cell>
          <cell r="M119">
            <v>750</v>
          </cell>
          <cell r="N119">
            <v>750</v>
          </cell>
          <cell r="O119">
            <v>750</v>
          </cell>
          <cell r="P119">
            <v>750</v>
          </cell>
          <cell r="Q119">
            <v>9000</v>
          </cell>
        </row>
        <row r="120">
          <cell r="B120" t="str">
            <v>수 리 비</v>
          </cell>
          <cell r="D120" t="e">
            <v>#REF!</v>
          </cell>
          <cell r="E120">
            <v>670</v>
          </cell>
          <cell r="F120">
            <v>500</v>
          </cell>
          <cell r="G120">
            <v>420</v>
          </cell>
          <cell r="H120">
            <v>500</v>
          </cell>
          <cell r="I120">
            <v>500</v>
          </cell>
          <cell r="J120">
            <v>500</v>
          </cell>
          <cell r="K120">
            <v>670</v>
          </cell>
          <cell r="L120">
            <v>200</v>
          </cell>
          <cell r="M120">
            <v>200</v>
          </cell>
          <cell r="N120">
            <v>200</v>
          </cell>
          <cell r="O120">
            <v>300</v>
          </cell>
          <cell r="P120">
            <v>230</v>
          </cell>
          <cell r="Q120">
            <v>4890</v>
          </cell>
          <cell r="R120" t="str">
            <v>점검료포함(25,12인승)</v>
          </cell>
        </row>
        <row r="121">
          <cell r="B121" t="str">
            <v>기 타</v>
          </cell>
          <cell r="D121" t="e">
            <v>#REF!</v>
          </cell>
          <cell r="E121">
            <v>300</v>
          </cell>
          <cell r="F121">
            <v>300</v>
          </cell>
          <cell r="G121">
            <v>300</v>
          </cell>
          <cell r="H121">
            <v>300</v>
          </cell>
          <cell r="I121">
            <v>300</v>
          </cell>
          <cell r="J121">
            <v>300</v>
          </cell>
          <cell r="K121">
            <v>300</v>
          </cell>
          <cell r="L121">
            <v>300</v>
          </cell>
          <cell r="M121">
            <v>300</v>
          </cell>
          <cell r="N121">
            <v>300</v>
          </cell>
          <cell r="O121">
            <v>250</v>
          </cell>
          <cell r="P121">
            <v>250</v>
          </cell>
          <cell r="Q121">
            <v>3500</v>
          </cell>
          <cell r="R121" t="str">
            <v>통행료,(고정)주차료</v>
          </cell>
        </row>
        <row r="122">
          <cell r="A122" t="str">
            <v>차 량 비</v>
          </cell>
          <cell r="B122" t="str">
            <v>소      계</v>
          </cell>
          <cell r="C122"/>
          <cell r="D122">
            <v>16214</v>
          </cell>
          <cell r="E122">
            <v>1720</v>
          </cell>
          <cell r="F122">
            <v>1550</v>
          </cell>
          <cell r="G122">
            <v>1470</v>
          </cell>
          <cell r="H122">
            <v>1550</v>
          </cell>
          <cell r="I122">
            <v>1550</v>
          </cell>
          <cell r="J122">
            <v>1550</v>
          </cell>
          <cell r="K122">
            <v>1720</v>
          </cell>
          <cell r="L122">
            <v>1250</v>
          </cell>
          <cell r="M122">
            <v>1250</v>
          </cell>
          <cell r="N122">
            <v>1250</v>
          </cell>
          <cell r="O122">
            <v>1300</v>
          </cell>
          <cell r="P122">
            <v>1230</v>
          </cell>
          <cell r="Q122">
            <v>17390</v>
          </cell>
        </row>
        <row r="123">
          <cell r="A123" t="str">
            <v>사 무 비</v>
          </cell>
          <cell r="B123" t="str">
            <v>소      계</v>
          </cell>
          <cell r="D123" t="e">
            <v>#REF!</v>
          </cell>
          <cell r="E123">
            <v>200</v>
          </cell>
          <cell r="F123">
            <v>200</v>
          </cell>
          <cell r="G123">
            <v>200</v>
          </cell>
          <cell r="H123">
            <v>200</v>
          </cell>
          <cell r="I123">
            <v>200</v>
          </cell>
          <cell r="J123">
            <v>200</v>
          </cell>
          <cell r="K123">
            <v>200</v>
          </cell>
          <cell r="L123">
            <v>200</v>
          </cell>
          <cell r="M123">
            <v>200</v>
          </cell>
          <cell r="N123">
            <v>200</v>
          </cell>
          <cell r="O123">
            <v>200</v>
          </cell>
          <cell r="P123">
            <v>200</v>
          </cell>
          <cell r="Q123">
            <v>2400</v>
          </cell>
        </row>
        <row r="124">
          <cell r="B124" t="str">
            <v>소      계</v>
          </cell>
          <cell r="D124" t="e">
            <v>#REF!</v>
          </cell>
          <cell r="E124">
            <v>350</v>
          </cell>
          <cell r="F124">
            <v>350</v>
          </cell>
          <cell r="G124">
            <v>350</v>
          </cell>
          <cell r="H124">
            <v>350</v>
          </cell>
          <cell r="I124">
            <v>350</v>
          </cell>
          <cell r="J124">
            <v>350</v>
          </cell>
          <cell r="K124">
            <v>350</v>
          </cell>
          <cell r="L124">
            <v>350</v>
          </cell>
          <cell r="M124">
            <v>350</v>
          </cell>
          <cell r="N124">
            <v>350</v>
          </cell>
          <cell r="O124">
            <v>350</v>
          </cell>
          <cell r="P124">
            <v>350</v>
          </cell>
          <cell r="Q124">
            <v>4200</v>
          </cell>
          <cell r="R124" t="str">
            <v>(신문/잡지)</v>
          </cell>
        </row>
        <row r="125">
          <cell r="B125" t="str">
            <v>소      계</v>
          </cell>
          <cell r="D125" t="e">
            <v>#REF!</v>
          </cell>
          <cell r="E125">
            <v>200</v>
          </cell>
          <cell r="F125">
            <v>200</v>
          </cell>
          <cell r="G125">
            <v>200</v>
          </cell>
          <cell r="H125">
            <v>200</v>
          </cell>
          <cell r="I125">
            <v>200</v>
          </cell>
          <cell r="J125">
            <v>200</v>
          </cell>
          <cell r="K125">
            <v>200</v>
          </cell>
          <cell r="L125">
            <v>200</v>
          </cell>
          <cell r="M125">
            <v>200</v>
          </cell>
          <cell r="N125">
            <v>200</v>
          </cell>
          <cell r="O125">
            <v>200</v>
          </cell>
          <cell r="P125">
            <v>200</v>
          </cell>
          <cell r="Q125">
            <v>2400</v>
          </cell>
          <cell r="R125" t="str">
            <v>복사용지,FAX용지/토너</v>
          </cell>
        </row>
        <row r="126">
          <cell r="B126" t="str">
            <v>소      계</v>
          </cell>
          <cell r="D126" t="e">
            <v>#REF!</v>
          </cell>
          <cell r="E126">
            <v>2340</v>
          </cell>
          <cell r="F126">
            <v>1000</v>
          </cell>
          <cell r="G126">
            <v>1350</v>
          </cell>
          <cell r="H126">
            <v>1450</v>
          </cell>
          <cell r="I126">
            <v>1350</v>
          </cell>
          <cell r="J126">
            <v>1750</v>
          </cell>
          <cell r="K126">
            <v>1000</v>
          </cell>
          <cell r="L126">
            <v>1650</v>
          </cell>
          <cell r="M126">
            <v>1000</v>
          </cell>
          <cell r="N126">
            <v>950</v>
          </cell>
          <cell r="O126">
            <v>800</v>
          </cell>
          <cell r="P126">
            <v>7750</v>
          </cell>
          <cell r="Q126">
            <v>22390</v>
          </cell>
          <cell r="R126" t="str">
            <v>BILL,홍보물,메뉴판등 포함</v>
          </cell>
        </row>
        <row r="127">
          <cell r="B127" t="str">
            <v>소      계</v>
          </cell>
          <cell r="D127" t="e">
            <v>#REF!</v>
          </cell>
          <cell r="E127">
            <v>60</v>
          </cell>
          <cell r="F127">
            <v>60</v>
          </cell>
          <cell r="G127">
            <v>60</v>
          </cell>
          <cell r="H127">
            <v>60</v>
          </cell>
          <cell r="I127">
            <v>60</v>
          </cell>
          <cell r="J127">
            <v>60</v>
          </cell>
          <cell r="K127">
            <v>60</v>
          </cell>
          <cell r="L127">
            <v>60</v>
          </cell>
          <cell r="M127">
            <v>60</v>
          </cell>
          <cell r="N127">
            <v>60</v>
          </cell>
          <cell r="O127">
            <v>60</v>
          </cell>
          <cell r="P127">
            <v>60</v>
          </cell>
          <cell r="Q127">
            <v>720</v>
          </cell>
        </row>
        <row r="128">
          <cell r="B128" t="str">
            <v>소      계</v>
          </cell>
          <cell r="C128"/>
          <cell r="D128" t="e">
            <v>#REF!</v>
          </cell>
          <cell r="E128">
            <v>400</v>
          </cell>
          <cell r="F128">
            <v>400</v>
          </cell>
          <cell r="G128">
            <v>400</v>
          </cell>
          <cell r="H128">
            <v>400</v>
          </cell>
          <cell r="I128">
            <v>400</v>
          </cell>
          <cell r="J128">
            <v>400</v>
          </cell>
          <cell r="K128">
            <v>400</v>
          </cell>
          <cell r="L128">
            <v>400</v>
          </cell>
          <cell r="M128">
            <v>400</v>
          </cell>
          <cell r="N128">
            <v>400</v>
          </cell>
          <cell r="O128">
            <v>400</v>
          </cell>
          <cell r="P128">
            <v>400</v>
          </cell>
          <cell r="Q128">
            <v>4800</v>
          </cell>
        </row>
        <row r="129">
          <cell r="A129" t="str">
            <v>사 무 비</v>
          </cell>
          <cell r="B129" t="str">
            <v>소      계</v>
          </cell>
          <cell r="D129">
            <v>18879</v>
          </cell>
          <cell r="E129">
            <v>3550</v>
          </cell>
          <cell r="F129">
            <v>2210</v>
          </cell>
          <cell r="G129">
            <v>2560</v>
          </cell>
          <cell r="H129">
            <v>2660</v>
          </cell>
          <cell r="I129">
            <v>2560</v>
          </cell>
          <cell r="J129">
            <v>2960</v>
          </cell>
          <cell r="K129">
            <v>2210</v>
          </cell>
          <cell r="L129">
            <v>2860</v>
          </cell>
          <cell r="M129">
            <v>2210</v>
          </cell>
          <cell r="N129">
            <v>2160</v>
          </cell>
          <cell r="O129">
            <v>2010</v>
          </cell>
          <cell r="P129">
            <v>8960</v>
          </cell>
          <cell r="Q129">
            <v>36910</v>
          </cell>
        </row>
        <row r="130">
          <cell r="A130" t="str">
            <v>소모품비</v>
          </cell>
          <cell r="B130" t="str">
            <v>소      계</v>
          </cell>
          <cell r="C130" t="str">
            <v>객실</v>
          </cell>
          <cell r="D130" t="e">
            <v>#REF!</v>
          </cell>
          <cell r="E130">
            <v>2350</v>
          </cell>
          <cell r="F130">
            <v>1650</v>
          </cell>
          <cell r="G130">
            <v>3580</v>
          </cell>
          <cell r="H130">
            <v>2217</v>
          </cell>
          <cell r="I130">
            <v>1500</v>
          </cell>
          <cell r="J130">
            <v>1515</v>
          </cell>
          <cell r="K130">
            <v>1912</v>
          </cell>
          <cell r="L130">
            <v>1415</v>
          </cell>
          <cell r="M130">
            <v>1500</v>
          </cell>
          <cell r="N130">
            <v>1567</v>
          </cell>
          <cell r="O130">
            <v>1810</v>
          </cell>
          <cell r="P130">
            <v>1365</v>
          </cell>
          <cell r="Q130">
            <v>22381</v>
          </cell>
        </row>
        <row r="131">
          <cell r="B131" t="str">
            <v>소      계</v>
          </cell>
          <cell r="D131" t="e">
            <v>#REF!</v>
          </cell>
          <cell r="E131">
            <v>1397</v>
          </cell>
          <cell r="F131">
            <v>1280</v>
          </cell>
          <cell r="G131">
            <v>1500</v>
          </cell>
          <cell r="H131">
            <v>1600</v>
          </cell>
          <cell r="I131">
            <v>1500</v>
          </cell>
          <cell r="J131">
            <v>1057</v>
          </cell>
          <cell r="K131">
            <v>1397</v>
          </cell>
          <cell r="L131">
            <v>1200</v>
          </cell>
          <cell r="M131">
            <v>1350</v>
          </cell>
          <cell r="N131">
            <v>1237</v>
          </cell>
          <cell r="O131">
            <v>1200</v>
          </cell>
          <cell r="P131">
            <v>1158</v>
          </cell>
          <cell r="Q131">
            <v>15876</v>
          </cell>
        </row>
        <row r="132">
          <cell r="B132" t="str">
            <v>소      계</v>
          </cell>
          <cell r="D132" t="e">
            <v>#REF!</v>
          </cell>
          <cell r="E132">
            <v>2508</v>
          </cell>
          <cell r="F132">
            <v>1926</v>
          </cell>
          <cell r="G132">
            <v>1572</v>
          </cell>
          <cell r="H132">
            <v>3098</v>
          </cell>
          <cell r="I132">
            <v>1650</v>
          </cell>
          <cell r="J132">
            <v>1890</v>
          </cell>
          <cell r="K132">
            <v>2298</v>
          </cell>
          <cell r="L132">
            <v>2304</v>
          </cell>
          <cell r="M132">
            <v>1500</v>
          </cell>
          <cell r="N132">
            <v>2833</v>
          </cell>
          <cell r="O132">
            <v>1800</v>
          </cell>
          <cell r="P132">
            <v>2211</v>
          </cell>
          <cell r="Q132">
            <v>25590</v>
          </cell>
        </row>
        <row r="133">
          <cell r="B133" t="str">
            <v>소      계</v>
          </cell>
          <cell r="D133" t="e">
            <v>#REF!</v>
          </cell>
          <cell r="E133">
            <v>2792</v>
          </cell>
          <cell r="F133">
            <v>3906</v>
          </cell>
          <cell r="G133">
            <v>3085</v>
          </cell>
          <cell r="H133">
            <v>2359</v>
          </cell>
          <cell r="I133">
            <v>3108</v>
          </cell>
          <cell r="J133">
            <v>2949</v>
          </cell>
          <cell r="K133">
            <v>3041</v>
          </cell>
          <cell r="L133">
            <v>2646</v>
          </cell>
          <cell r="M133">
            <v>2805</v>
          </cell>
          <cell r="N133">
            <v>2974</v>
          </cell>
          <cell r="O133">
            <v>3208</v>
          </cell>
          <cell r="P133">
            <v>2634</v>
          </cell>
          <cell r="Q133">
            <v>35507</v>
          </cell>
        </row>
        <row r="134">
          <cell r="B134" t="str">
            <v>소      계</v>
          </cell>
          <cell r="C134" t="str">
            <v>사우나</v>
          </cell>
          <cell r="D134" t="e">
            <v>#REF!</v>
          </cell>
          <cell r="E134">
            <v>350</v>
          </cell>
          <cell r="G134">
            <v>400</v>
          </cell>
          <cell r="I134">
            <v>400</v>
          </cell>
          <cell r="K134">
            <v>300</v>
          </cell>
          <cell r="M134">
            <v>400</v>
          </cell>
          <cell r="O134">
            <v>400</v>
          </cell>
          <cell r="Q134">
            <v>2250</v>
          </cell>
        </row>
        <row r="135">
          <cell r="B135" t="str">
            <v>소      계</v>
          </cell>
          <cell r="D135" t="e">
            <v>#REF!</v>
          </cell>
          <cell r="E135">
            <v>1090</v>
          </cell>
          <cell r="F135">
            <v>2000</v>
          </cell>
          <cell r="H135">
            <v>1090</v>
          </cell>
          <cell r="J135">
            <v>1500</v>
          </cell>
          <cell r="K135">
            <v>1090</v>
          </cell>
          <cell r="M135">
            <v>1800</v>
          </cell>
          <cell r="N135">
            <v>2090</v>
          </cell>
          <cell r="O135">
            <v>150</v>
          </cell>
          <cell r="Q135">
            <v>10810</v>
          </cell>
          <cell r="R135" t="str">
            <v>청관제외</v>
          </cell>
        </row>
        <row r="136">
          <cell r="A136" t="str">
            <v>소모품비</v>
          </cell>
          <cell r="B136" t="str">
            <v>소      계</v>
          </cell>
          <cell r="C136"/>
          <cell r="D136">
            <v>131881</v>
          </cell>
          <cell r="E136">
            <v>10487</v>
          </cell>
          <cell r="F136">
            <v>10762</v>
          </cell>
          <cell r="G136">
            <v>10137</v>
          </cell>
          <cell r="H136">
            <v>10364</v>
          </cell>
          <cell r="I136">
            <v>8158</v>
          </cell>
          <cell r="J136">
            <v>8911</v>
          </cell>
          <cell r="K136">
            <v>10038</v>
          </cell>
          <cell r="L136">
            <v>7565</v>
          </cell>
          <cell r="M136">
            <v>9355</v>
          </cell>
          <cell r="N136">
            <v>10701</v>
          </cell>
          <cell r="O136">
            <v>8568</v>
          </cell>
          <cell r="P136">
            <v>7368</v>
          </cell>
          <cell r="Q136">
            <v>112414</v>
          </cell>
        </row>
        <row r="137">
          <cell r="A137" t="str">
            <v>세금과공과</v>
          </cell>
          <cell r="B137" t="str">
            <v>소      계</v>
          </cell>
          <cell r="D137" t="e">
            <v>#REF!</v>
          </cell>
          <cell r="E137"/>
          <cell r="F137"/>
          <cell r="G137">
            <v>650</v>
          </cell>
          <cell r="H137"/>
          <cell r="I137"/>
          <cell r="J137">
            <v>700</v>
          </cell>
          <cell r="K137"/>
          <cell r="L137"/>
          <cell r="M137">
            <v>700</v>
          </cell>
          <cell r="N137"/>
          <cell r="O137"/>
          <cell r="P137">
            <v>700</v>
          </cell>
          <cell r="Q137">
            <v>2750</v>
          </cell>
          <cell r="R137"/>
        </row>
        <row r="138">
          <cell r="B138" t="str">
            <v>소      계</v>
          </cell>
          <cell r="D138" t="e">
            <v>#REF!</v>
          </cell>
          <cell r="E138">
            <v>250</v>
          </cell>
          <cell r="F138">
            <v>200</v>
          </cell>
          <cell r="G138">
            <v>200</v>
          </cell>
          <cell r="H138">
            <v>200</v>
          </cell>
          <cell r="I138">
            <v>200</v>
          </cell>
          <cell r="J138">
            <v>200</v>
          </cell>
          <cell r="K138">
            <v>200</v>
          </cell>
          <cell r="L138">
            <v>200</v>
          </cell>
          <cell r="M138">
            <v>200</v>
          </cell>
          <cell r="N138">
            <v>200</v>
          </cell>
          <cell r="O138">
            <v>200</v>
          </cell>
          <cell r="P138">
            <v>200</v>
          </cell>
          <cell r="Q138">
            <v>2450</v>
          </cell>
          <cell r="R138"/>
        </row>
        <row r="139">
          <cell r="B139" t="str">
            <v>소      계</v>
          </cell>
          <cell r="D139" t="e">
            <v>#REF!</v>
          </cell>
          <cell r="E139"/>
          <cell r="F139"/>
          <cell r="G139">
            <v>40</v>
          </cell>
          <cell r="H139"/>
          <cell r="I139"/>
          <cell r="J139">
            <v>40</v>
          </cell>
          <cell r="K139"/>
          <cell r="L139"/>
          <cell r="M139">
            <v>40</v>
          </cell>
          <cell r="N139"/>
          <cell r="O139"/>
          <cell r="P139">
            <v>40</v>
          </cell>
          <cell r="Q139">
            <v>160</v>
          </cell>
          <cell r="R139"/>
        </row>
        <row r="140">
          <cell r="B140" t="str">
            <v>소      계</v>
          </cell>
          <cell r="D140" t="e">
            <v>#REF!</v>
          </cell>
          <cell r="E140"/>
          <cell r="F140"/>
          <cell r="G140"/>
          <cell r="H140"/>
          <cell r="I140"/>
          <cell r="J140">
            <v>72650</v>
          </cell>
          <cell r="K140"/>
          <cell r="L140"/>
          <cell r="M140"/>
          <cell r="N140"/>
          <cell r="O140"/>
          <cell r="P140"/>
          <cell r="Q140">
            <v>72650</v>
          </cell>
          <cell r="R140" t="str">
            <v>'95년 과세표준 15%↑</v>
          </cell>
        </row>
        <row r="141">
          <cell r="B141" t="str">
            <v>소      계</v>
          </cell>
          <cell r="D141" t="e">
            <v>#REF!</v>
          </cell>
          <cell r="E141"/>
          <cell r="F141"/>
          <cell r="G141"/>
          <cell r="H141"/>
          <cell r="I141"/>
          <cell r="J141"/>
          <cell r="K141"/>
          <cell r="L141"/>
          <cell r="M141">
            <v>26000</v>
          </cell>
          <cell r="N141"/>
          <cell r="O141"/>
          <cell r="P141"/>
          <cell r="Q141">
            <v>26000</v>
          </cell>
          <cell r="R141" t="str">
            <v>'95년 과세표준 15%↑</v>
          </cell>
        </row>
        <row r="142">
          <cell r="B142" t="str">
            <v>소      계</v>
          </cell>
          <cell r="D142" t="e">
            <v>#REF!</v>
          </cell>
          <cell r="E142"/>
          <cell r="F142"/>
          <cell r="G142"/>
          <cell r="H142"/>
          <cell r="I142">
            <v>2800</v>
          </cell>
          <cell r="J142"/>
          <cell r="K142"/>
          <cell r="L142"/>
          <cell r="M142"/>
          <cell r="N142"/>
          <cell r="O142"/>
          <cell r="P142"/>
          <cell r="Q142">
            <v>2800</v>
          </cell>
        </row>
        <row r="143">
          <cell r="B143" t="str">
            <v>소      계</v>
          </cell>
          <cell r="D143" t="e">
            <v>#REF!</v>
          </cell>
          <cell r="E143"/>
          <cell r="F143"/>
          <cell r="G143"/>
          <cell r="H143">
            <v>600</v>
          </cell>
          <cell r="I143"/>
          <cell r="J143"/>
          <cell r="K143"/>
          <cell r="L143"/>
          <cell r="M143"/>
          <cell r="N143">
            <v>600</v>
          </cell>
          <cell r="O143"/>
          <cell r="P143"/>
          <cell r="Q143">
            <v>1200</v>
          </cell>
          <cell r="R143"/>
        </row>
        <row r="144">
          <cell r="B144" t="str">
            <v>소      계</v>
          </cell>
          <cell r="D144" t="e">
            <v>#REF!</v>
          </cell>
          <cell r="E144"/>
          <cell r="F144"/>
          <cell r="G144"/>
          <cell r="H144"/>
          <cell r="I144"/>
          <cell r="J144"/>
          <cell r="K144">
            <v>4500</v>
          </cell>
          <cell r="L144"/>
          <cell r="M144"/>
          <cell r="N144"/>
          <cell r="O144"/>
          <cell r="P144"/>
          <cell r="Q144">
            <v>4500</v>
          </cell>
        </row>
        <row r="145">
          <cell r="B145" t="str">
            <v>소      계</v>
          </cell>
          <cell r="D145" t="e">
            <v>#REF!</v>
          </cell>
          <cell r="E145"/>
          <cell r="F145"/>
          <cell r="G145"/>
          <cell r="H145"/>
          <cell r="I145"/>
          <cell r="J145"/>
          <cell r="K145">
            <v>220</v>
          </cell>
          <cell r="L145"/>
          <cell r="M145"/>
          <cell r="N145"/>
          <cell r="O145"/>
          <cell r="P145"/>
          <cell r="Q145">
            <v>220</v>
          </cell>
        </row>
        <row r="146">
          <cell r="B146" t="str">
            <v>소      계</v>
          </cell>
          <cell r="C146"/>
          <cell r="D146" t="e">
            <v>#REF!</v>
          </cell>
          <cell r="E146"/>
          <cell r="F146">
            <v>89.19680000000001</v>
          </cell>
          <cell r="G146">
            <v>114</v>
          </cell>
          <cell r="H146">
            <v>113.99680000000001</v>
          </cell>
          <cell r="I146">
            <v>89.2</v>
          </cell>
          <cell r="J146">
            <v>89.2</v>
          </cell>
          <cell r="K146">
            <v>114</v>
          </cell>
          <cell r="L146">
            <v>92</v>
          </cell>
          <cell r="M146">
            <v>92</v>
          </cell>
          <cell r="N146">
            <v>116.8</v>
          </cell>
          <cell r="O146">
            <v>92</v>
          </cell>
          <cell r="P146">
            <v>184</v>
          </cell>
          <cell r="Q146">
            <v>1186.3935999999999</v>
          </cell>
          <cell r="R146"/>
        </row>
        <row r="147">
          <cell r="B147" t="str">
            <v>소      계</v>
          </cell>
          <cell r="D147" t="e">
            <v>#REF!</v>
          </cell>
          <cell r="E147"/>
          <cell r="F147"/>
          <cell r="G147">
            <v>2092</v>
          </cell>
          <cell r="H147"/>
          <cell r="I147"/>
          <cell r="J147"/>
          <cell r="K147"/>
          <cell r="L147"/>
          <cell r="M147">
            <v>2092</v>
          </cell>
          <cell r="N147"/>
          <cell r="O147"/>
          <cell r="P147"/>
          <cell r="Q147">
            <v>4184</v>
          </cell>
          <cell r="R147">
            <v>435954.39360000001</v>
          </cell>
        </row>
        <row r="148">
          <cell r="B148" t="str">
            <v>소      계</v>
          </cell>
          <cell r="D148" t="e">
            <v>#REF!</v>
          </cell>
          <cell r="E148"/>
          <cell r="F148"/>
          <cell r="G148">
            <v>250</v>
          </cell>
          <cell r="H148"/>
          <cell r="I148"/>
          <cell r="J148">
            <v>250</v>
          </cell>
          <cell r="K148"/>
          <cell r="L148"/>
          <cell r="M148">
            <v>250</v>
          </cell>
          <cell r="N148"/>
          <cell r="O148"/>
          <cell r="P148">
            <v>250</v>
          </cell>
          <cell r="Q148">
            <v>1000</v>
          </cell>
          <cell r="R148">
            <v>116690</v>
          </cell>
        </row>
        <row r="149">
          <cell r="A149" t="str">
            <v>세금과공과</v>
          </cell>
          <cell r="B149" t="str">
            <v>소      계</v>
          </cell>
          <cell r="D149">
            <v>106837</v>
          </cell>
          <cell r="E149">
            <v>250</v>
          </cell>
          <cell r="F149">
            <v>289.1968</v>
          </cell>
          <cell r="G149">
            <v>3346</v>
          </cell>
          <cell r="H149">
            <v>913.99680000000001</v>
          </cell>
          <cell r="I149">
            <v>3089.2</v>
          </cell>
          <cell r="J149">
            <v>73929.2</v>
          </cell>
          <cell r="K149">
            <v>5034</v>
          </cell>
          <cell r="L149">
            <v>292</v>
          </cell>
          <cell r="M149">
            <v>29374</v>
          </cell>
          <cell r="N149">
            <v>916.8</v>
          </cell>
          <cell r="O149">
            <v>292</v>
          </cell>
          <cell r="P149">
            <v>1374</v>
          </cell>
          <cell r="Q149">
            <v>119100.3936</v>
          </cell>
          <cell r="R149">
            <v>319264.39360000001</v>
          </cell>
        </row>
        <row r="150">
          <cell r="A150" t="str">
            <v>건물임대원가</v>
          </cell>
          <cell r="B150" t="str">
            <v>소      계</v>
          </cell>
          <cell r="D150" t="e">
            <v>#REF!</v>
          </cell>
          <cell r="J150">
            <v>7344</v>
          </cell>
          <cell r="Q150">
            <v>7344</v>
          </cell>
          <cell r="R150" t="str">
            <v>'95년 과세표준 15%↑</v>
          </cell>
        </row>
        <row r="151">
          <cell r="B151" t="str">
            <v>소      계</v>
          </cell>
          <cell r="D151" t="e">
            <v>#REF!</v>
          </cell>
          <cell r="M151">
            <v>2600</v>
          </cell>
          <cell r="Q151">
            <v>2600</v>
          </cell>
          <cell r="R151" t="str">
            <v>'95년 과세표준 15%↑</v>
          </cell>
        </row>
        <row r="152">
          <cell r="B152" t="str">
            <v>소      계</v>
          </cell>
          <cell r="D152" t="e">
            <v>#REF!</v>
          </cell>
          <cell r="G152">
            <v>250</v>
          </cell>
          <cell r="M152">
            <v>250</v>
          </cell>
          <cell r="Q152">
            <v>500</v>
          </cell>
        </row>
        <row r="153">
          <cell r="B153" t="str">
            <v>소      계</v>
          </cell>
          <cell r="D153" t="e">
            <v>#REF!</v>
          </cell>
          <cell r="G153">
            <v>4300</v>
          </cell>
          <cell r="J153">
            <v>4500</v>
          </cell>
          <cell r="M153">
            <v>4300</v>
          </cell>
          <cell r="P153">
            <v>4300</v>
          </cell>
          <cell r="Q153">
            <v>17400</v>
          </cell>
        </row>
        <row r="154">
          <cell r="B154" t="str">
            <v>소      계</v>
          </cell>
          <cell r="D154" t="e">
            <v>#REF!</v>
          </cell>
          <cell r="E154">
            <v>23500</v>
          </cell>
          <cell r="F154">
            <v>16500</v>
          </cell>
          <cell r="G154">
            <v>16500</v>
          </cell>
          <cell r="H154">
            <v>16500</v>
          </cell>
          <cell r="I154">
            <v>18000</v>
          </cell>
          <cell r="J154">
            <v>22469</v>
          </cell>
          <cell r="K154">
            <v>22469</v>
          </cell>
          <cell r="L154">
            <v>22469</v>
          </cell>
          <cell r="M154">
            <v>16250</v>
          </cell>
          <cell r="N154">
            <v>16250</v>
          </cell>
          <cell r="O154">
            <v>16250</v>
          </cell>
          <cell r="P154">
            <v>19950</v>
          </cell>
          <cell r="Q154">
            <v>227107</v>
          </cell>
          <cell r="R154" t="str">
            <v>'95년 실적대비 8%↑</v>
          </cell>
        </row>
        <row r="155">
          <cell r="B155" t="str">
            <v>소      계</v>
          </cell>
          <cell r="D155" t="e">
            <v>#REF!</v>
          </cell>
          <cell r="E155">
            <v>2345</v>
          </cell>
          <cell r="F155">
            <v>1600</v>
          </cell>
          <cell r="G155">
            <v>1800</v>
          </cell>
          <cell r="H155">
            <v>2270</v>
          </cell>
          <cell r="I155">
            <v>2320</v>
          </cell>
          <cell r="J155">
            <v>2320</v>
          </cell>
          <cell r="K155">
            <v>2900</v>
          </cell>
          <cell r="L155">
            <v>2700</v>
          </cell>
          <cell r="M155">
            <v>2530</v>
          </cell>
          <cell r="N155">
            <v>2500</v>
          </cell>
          <cell r="O155">
            <v>2500</v>
          </cell>
          <cell r="P155">
            <v>2530</v>
          </cell>
          <cell r="Q155">
            <v>28315</v>
          </cell>
          <cell r="R155" t="str">
            <v>'95년 실적대비 5%↑</v>
          </cell>
        </row>
        <row r="156">
          <cell r="B156" t="str">
            <v>소      계</v>
          </cell>
          <cell r="D156" t="e">
            <v>#REF!</v>
          </cell>
          <cell r="E156">
            <v>3445</v>
          </cell>
          <cell r="F156">
            <v>3445</v>
          </cell>
          <cell r="G156">
            <v>3183</v>
          </cell>
          <cell r="H156">
            <v>1000</v>
          </cell>
          <cell r="I156">
            <v>650</v>
          </cell>
          <cell r="J156">
            <v>650</v>
          </cell>
          <cell r="K156">
            <v>230</v>
          </cell>
          <cell r="L156">
            <v>200</v>
          </cell>
          <cell r="M156">
            <v>200</v>
          </cell>
          <cell r="N156">
            <v>250</v>
          </cell>
          <cell r="O156">
            <v>1540</v>
          </cell>
          <cell r="P156">
            <v>3445</v>
          </cell>
          <cell r="Q156">
            <v>18238</v>
          </cell>
          <cell r="R156" t="str">
            <v>'95년 실적대비 5%↑</v>
          </cell>
        </row>
        <row r="157">
          <cell r="B157" t="str">
            <v>소      계</v>
          </cell>
          <cell r="D157" t="e">
            <v>#REF!</v>
          </cell>
          <cell r="F157">
            <v>3500</v>
          </cell>
          <cell r="I157">
            <v>3500</v>
          </cell>
          <cell r="J157">
            <v>3500</v>
          </cell>
          <cell r="M157">
            <v>1350</v>
          </cell>
          <cell r="O157">
            <v>0</v>
          </cell>
          <cell r="P157">
            <v>3500</v>
          </cell>
          <cell r="Q157">
            <v>15350</v>
          </cell>
        </row>
        <row r="158">
          <cell r="A158" t="str">
            <v>건물임대원가</v>
          </cell>
          <cell r="B158" t="str">
            <v>소      계</v>
          </cell>
          <cell r="D158">
            <v>102718</v>
          </cell>
          <cell r="E158">
            <v>29290</v>
          </cell>
          <cell r="F158">
            <v>25045</v>
          </cell>
          <cell r="G158">
            <v>26033</v>
          </cell>
          <cell r="H158">
            <v>19770</v>
          </cell>
          <cell r="I158">
            <v>24470</v>
          </cell>
          <cell r="J158">
            <v>40783</v>
          </cell>
          <cell r="K158">
            <v>25599</v>
          </cell>
          <cell r="L158">
            <v>25369</v>
          </cell>
          <cell r="M158">
            <v>27480</v>
          </cell>
          <cell r="N158">
            <v>19000</v>
          </cell>
          <cell r="O158">
            <v>20290</v>
          </cell>
          <cell r="P158">
            <v>33725</v>
          </cell>
          <cell r="Q158">
            <v>316854</v>
          </cell>
        </row>
        <row r="159">
          <cell r="B159" t="str">
            <v>소      계</v>
          </cell>
        </row>
        <row r="160">
          <cell r="A160" t="str">
            <v>운 반 비</v>
          </cell>
          <cell r="B160" t="str">
            <v>소      계</v>
          </cell>
          <cell r="D160">
            <v>2490</v>
          </cell>
          <cell r="E160">
            <v>250</v>
          </cell>
          <cell r="F160">
            <v>250</v>
          </cell>
          <cell r="G160">
            <v>250</v>
          </cell>
          <cell r="H160">
            <v>250</v>
          </cell>
          <cell r="I160">
            <v>250</v>
          </cell>
          <cell r="J160">
            <v>200</v>
          </cell>
          <cell r="K160">
            <v>200</v>
          </cell>
          <cell r="L160">
            <v>230</v>
          </cell>
          <cell r="M160">
            <v>250</v>
          </cell>
          <cell r="N160">
            <v>250</v>
          </cell>
          <cell r="O160">
            <v>250</v>
          </cell>
          <cell r="P160">
            <v>250</v>
          </cell>
          <cell r="Q160">
            <v>2880</v>
          </cell>
        </row>
        <row r="161">
          <cell r="B161" t="str">
            <v>소      계</v>
          </cell>
        </row>
        <row r="162">
          <cell r="A162" t="str">
            <v>지급수수료</v>
          </cell>
          <cell r="B162" t="str">
            <v>소      계</v>
          </cell>
          <cell r="D162" t="e">
            <v>#REF!</v>
          </cell>
          <cell r="E162">
            <v>6440</v>
          </cell>
          <cell r="F162">
            <v>5972.4</v>
          </cell>
          <cell r="G162">
            <v>6468</v>
          </cell>
          <cell r="H162">
            <v>5852.6</v>
          </cell>
          <cell r="I162">
            <v>5839.6</v>
          </cell>
          <cell r="J162">
            <v>5696.6</v>
          </cell>
          <cell r="K162">
            <v>6064.7999999999993</v>
          </cell>
          <cell r="L162">
            <v>5633.5999999999995</v>
          </cell>
          <cell r="M162">
            <v>6069</v>
          </cell>
          <cell r="N162">
            <v>6389.5999999999995</v>
          </cell>
          <cell r="O162">
            <v>6458.2</v>
          </cell>
          <cell r="P162">
            <v>6993</v>
          </cell>
          <cell r="Q162">
            <v>73877.399999999994</v>
          </cell>
          <cell r="R162" t="str">
            <v>호텔매출×30%×3.6%</v>
          </cell>
        </row>
        <row r="163">
          <cell r="B163" t="str">
            <v>소      계</v>
          </cell>
          <cell r="D163" t="e">
            <v>#REF!</v>
          </cell>
          <cell r="E163">
            <v>1542.2</v>
          </cell>
          <cell r="F163">
            <v>1452.0000000000002</v>
          </cell>
          <cell r="G163">
            <v>1505.9</v>
          </cell>
          <cell r="H163">
            <v>1392.6000000000001</v>
          </cell>
          <cell r="I163">
            <v>1346.4</v>
          </cell>
          <cell r="J163">
            <v>1307.9000000000001</v>
          </cell>
          <cell r="K163">
            <v>1196.8000000000002</v>
          </cell>
          <cell r="L163">
            <v>1210</v>
          </cell>
          <cell r="M163">
            <v>1323.3000000000002</v>
          </cell>
          <cell r="N163">
            <v>1493.8000000000002</v>
          </cell>
          <cell r="O163">
            <v>1471.8000000000002</v>
          </cell>
          <cell r="P163">
            <v>1487.2</v>
          </cell>
          <cell r="Q163">
            <v>16729.899999999998</v>
          </cell>
          <cell r="R163" t="str">
            <v>입장수입/9×0.36</v>
          </cell>
        </row>
        <row r="164">
          <cell r="B164" t="str">
            <v>소      계</v>
          </cell>
          <cell r="D164" t="e">
            <v>#REF!</v>
          </cell>
          <cell r="E164">
            <v>300</v>
          </cell>
          <cell r="F164">
            <v>300</v>
          </cell>
          <cell r="G164">
            <v>300</v>
          </cell>
          <cell r="H164">
            <v>300</v>
          </cell>
          <cell r="I164">
            <v>300</v>
          </cell>
          <cell r="J164">
            <v>300</v>
          </cell>
          <cell r="K164">
            <v>300</v>
          </cell>
          <cell r="L164">
            <v>300</v>
          </cell>
          <cell r="M164">
            <v>300</v>
          </cell>
          <cell r="N164">
            <v>300</v>
          </cell>
          <cell r="O164">
            <v>300</v>
          </cell>
          <cell r="P164">
            <v>300</v>
          </cell>
          <cell r="Q164">
            <v>3600</v>
          </cell>
        </row>
        <row r="165">
          <cell r="B165" t="str">
            <v>소      계</v>
          </cell>
          <cell r="D165" t="e">
            <v>#REF!</v>
          </cell>
          <cell r="E165">
            <v>30</v>
          </cell>
          <cell r="F165">
            <v>30</v>
          </cell>
          <cell r="G165">
            <v>30</v>
          </cell>
          <cell r="H165">
            <v>30</v>
          </cell>
          <cell r="I165">
            <v>30</v>
          </cell>
          <cell r="J165">
            <v>30</v>
          </cell>
          <cell r="K165">
            <v>30</v>
          </cell>
          <cell r="L165">
            <v>30</v>
          </cell>
          <cell r="M165">
            <v>30</v>
          </cell>
          <cell r="N165">
            <v>30</v>
          </cell>
          <cell r="O165">
            <v>30</v>
          </cell>
          <cell r="P165">
            <v>30</v>
          </cell>
          <cell r="Q165">
            <v>360</v>
          </cell>
        </row>
        <row r="166">
          <cell r="A166" t="str">
            <v>지급수수료</v>
          </cell>
          <cell r="B166" t="str">
            <v>소      계</v>
          </cell>
          <cell r="D166">
            <v>89552</v>
          </cell>
          <cell r="E166">
            <v>8312.2000000000007</v>
          </cell>
          <cell r="F166">
            <v>7754.4</v>
          </cell>
          <cell r="G166">
            <v>8303.9</v>
          </cell>
          <cell r="H166">
            <v>7575.2000000000007</v>
          </cell>
          <cell r="I166">
            <v>7516</v>
          </cell>
          <cell r="J166">
            <v>7334.5</v>
          </cell>
          <cell r="K166">
            <v>7591.5999999999995</v>
          </cell>
          <cell r="L166">
            <v>7173.5999999999995</v>
          </cell>
          <cell r="M166">
            <v>7722.3</v>
          </cell>
          <cell r="N166">
            <v>8213.4</v>
          </cell>
          <cell r="O166">
            <v>8260</v>
          </cell>
          <cell r="P166">
            <v>8810.2000000000007</v>
          </cell>
          <cell r="Q166">
            <v>94567.299999999988</v>
          </cell>
        </row>
        <row r="167">
          <cell r="A167" t="str">
            <v>교육훈련비</v>
          </cell>
          <cell r="B167" t="str">
            <v>소      계</v>
          </cell>
          <cell r="D167">
            <v>2712</v>
          </cell>
          <cell r="G167">
            <v>600</v>
          </cell>
          <cell r="J167">
            <v>600</v>
          </cell>
          <cell r="Q167">
            <v>1200</v>
          </cell>
          <cell r="R167" t="str">
            <v>어학교재외(영어,일어)</v>
          </cell>
        </row>
        <row r="168">
          <cell r="B168" t="str">
            <v>소      계</v>
          </cell>
          <cell r="D168" t="e">
            <v>#REF!</v>
          </cell>
          <cell r="E168">
            <v>100</v>
          </cell>
          <cell r="F168">
            <v>500</v>
          </cell>
          <cell r="G168">
            <v>100</v>
          </cell>
          <cell r="H168">
            <v>600</v>
          </cell>
          <cell r="I168">
            <v>600</v>
          </cell>
          <cell r="J168">
            <v>100</v>
          </cell>
          <cell r="K168">
            <v>600</v>
          </cell>
          <cell r="L168">
            <v>500</v>
          </cell>
          <cell r="M168">
            <v>100</v>
          </cell>
          <cell r="N168">
            <v>500</v>
          </cell>
          <cell r="O168">
            <v>100</v>
          </cell>
          <cell r="P168">
            <v>100</v>
          </cell>
          <cell r="Q168">
            <v>3900</v>
          </cell>
          <cell r="R168" t="str">
            <v>OJT 및 SVC교육</v>
          </cell>
        </row>
        <row r="169">
          <cell r="B169" t="str">
            <v>소      계</v>
          </cell>
          <cell r="D169" t="e">
            <v>#REF!</v>
          </cell>
          <cell r="E169">
            <v>100</v>
          </cell>
          <cell r="F169">
            <v>100</v>
          </cell>
          <cell r="G169">
            <v>100</v>
          </cell>
          <cell r="H169">
            <v>100</v>
          </cell>
          <cell r="I169">
            <v>100</v>
          </cell>
          <cell r="J169">
            <v>100</v>
          </cell>
          <cell r="K169">
            <v>100</v>
          </cell>
          <cell r="L169">
            <v>100</v>
          </cell>
          <cell r="M169">
            <v>100</v>
          </cell>
          <cell r="N169">
            <v>100</v>
          </cell>
          <cell r="O169">
            <v>100</v>
          </cell>
          <cell r="P169">
            <v>100</v>
          </cell>
          <cell r="Q169">
            <v>1200</v>
          </cell>
        </row>
        <row r="170">
          <cell r="B170" t="str">
            <v>소      계</v>
          </cell>
          <cell r="D170" t="e">
            <v>#REF!</v>
          </cell>
          <cell r="F170">
            <v>0</v>
          </cell>
          <cell r="G170">
            <v>200</v>
          </cell>
          <cell r="H170">
            <v>200</v>
          </cell>
          <cell r="I170">
            <v>250</v>
          </cell>
          <cell r="K170">
            <v>0</v>
          </cell>
          <cell r="L170">
            <v>200</v>
          </cell>
          <cell r="N170">
            <v>200</v>
          </cell>
          <cell r="Q170">
            <v>1050</v>
          </cell>
          <cell r="R170" t="str">
            <v>관리.경리책임자교육외</v>
          </cell>
        </row>
        <row r="171">
          <cell r="A171" t="str">
            <v>교육훈련비</v>
          </cell>
          <cell r="B171" t="str">
            <v>소      계</v>
          </cell>
          <cell r="D171">
            <v>2712</v>
          </cell>
          <cell r="E171">
            <v>200</v>
          </cell>
          <cell r="F171">
            <v>600</v>
          </cell>
          <cell r="G171">
            <v>1000</v>
          </cell>
          <cell r="H171">
            <v>900</v>
          </cell>
          <cell r="I171">
            <v>950</v>
          </cell>
          <cell r="J171">
            <v>800</v>
          </cell>
          <cell r="K171">
            <v>700</v>
          </cell>
          <cell r="L171">
            <v>800</v>
          </cell>
          <cell r="M171">
            <v>200</v>
          </cell>
          <cell r="N171">
            <v>800</v>
          </cell>
          <cell r="O171">
            <v>200</v>
          </cell>
          <cell r="P171">
            <v>200</v>
          </cell>
          <cell r="Q171">
            <v>7350</v>
          </cell>
        </row>
        <row r="172">
          <cell r="A172" t="str">
            <v>판 촉 비</v>
          </cell>
          <cell r="B172" t="str">
            <v>소      계</v>
          </cell>
          <cell r="D172" t="e">
            <v>#REF!</v>
          </cell>
          <cell r="E172">
            <v>826</v>
          </cell>
          <cell r="F172">
            <v>610</v>
          </cell>
          <cell r="G172">
            <v>450</v>
          </cell>
          <cell r="H172">
            <v>1200</v>
          </cell>
          <cell r="I172">
            <v>630</v>
          </cell>
          <cell r="J172">
            <v>650</v>
          </cell>
          <cell r="K172">
            <v>600</v>
          </cell>
          <cell r="L172">
            <v>500</v>
          </cell>
          <cell r="M172">
            <v>500</v>
          </cell>
          <cell r="N172">
            <v>900</v>
          </cell>
          <cell r="O172">
            <v>1000</v>
          </cell>
          <cell r="P172">
            <v>1460</v>
          </cell>
          <cell r="Q172">
            <v>9326</v>
          </cell>
          <cell r="R172"/>
        </row>
        <row r="173">
          <cell r="B173" t="str">
            <v>소      계</v>
          </cell>
          <cell r="D173" t="e">
            <v>#REF!</v>
          </cell>
          <cell r="E173">
            <v>1250</v>
          </cell>
          <cell r="F173">
            <v>864</v>
          </cell>
          <cell r="G173">
            <v>612</v>
          </cell>
          <cell r="H173">
            <v>1140</v>
          </cell>
          <cell r="I173">
            <v>800</v>
          </cell>
          <cell r="J173">
            <v>410</v>
          </cell>
          <cell r="K173">
            <v>615</v>
          </cell>
          <cell r="L173">
            <v>330</v>
          </cell>
          <cell r="M173">
            <v>670</v>
          </cell>
          <cell r="N173">
            <v>1040</v>
          </cell>
          <cell r="O173">
            <v>1184</v>
          </cell>
          <cell r="P173">
            <v>1250</v>
          </cell>
          <cell r="Q173">
            <v>10165</v>
          </cell>
        </row>
        <row r="174">
          <cell r="B174" t="str">
            <v>소      계</v>
          </cell>
          <cell r="D174" t="e">
            <v>#REF!</v>
          </cell>
          <cell r="E174">
            <v>1033</v>
          </cell>
          <cell r="F174">
            <v>662</v>
          </cell>
          <cell r="G174">
            <v>600</v>
          </cell>
          <cell r="H174">
            <v>750</v>
          </cell>
          <cell r="I174">
            <v>850</v>
          </cell>
          <cell r="J174">
            <v>400</v>
          </cell>
          <cell r="K174">
            <v>600</v>
          </cell>
          <cell r="L174">
            <v>500</v>
          </cell>
          <cell r="M174">
            <v>500</v>
          </cell>
          <cell r="N174">
            <v>700</v>
          </cell>
          <cell r="O174">
            <v>800</v>
          </cell>
          <cell r="P174">
            <v>1150</v>
          </cell>
          <cell r="Q174">
            <v>8545</v>
          </cell>
        </row>
        <row r="175">
          <cell r="B175" t="str">
            <v>소      계</v>
          </cell>
          <cell r="D175" t="e">
            <v>#REF!</v>
          </cell>
          <cell r="E175">
            <v>621</v>
          </cell>
          <cell r="F175">
            <v>300</v>
          </cell>
          <cell r="G175">
            <v>200</v>
          </cell>
          <cell r="H175">
            <v>300</v>
          </cell>
          <cell r="I175">
            <v>300</v>
          </cell>
          <cell r="J175">
            <v>160</v>
          </cell>
          <cell r="K175">
            <v>160</v>
          </cell>
          <cell r="L175">
            <v>120</v>
          </cell>
          <cell r="M175">
            <v>210</v>
          </cell>
          <cell r="N175">
            <v>310</v>
          </cell>
          <cell r="O175">
            <v>380</v>
          </cell>
          <cell r="P175">
            <v>500</v>
          </cell>
          <cell r="Q175">
            <v>3561</v>
          </cell>
        </row>
        <row r="176">
          <cell r="B176" t="str">
            <v>소      계</v>
          </cell>
          <cell r="D176" t="e">
            <v>#REF!</v>
          </cell>
          <cell r="E176">
            <v>120</v>
          </cell>
          <cell r="F176">
            <v>120</v>
          </cell>
          <cell r="G176">
            <v>120</v>
          </cell>
          <cell r="H176">
            <v>120</v>
          </cell>
          <cell r="I176">
            <v>120</v>
          </cell>
          <cell r="J176">
            <v>120</v>
          </cell>
          <cell r="K176">
            <v>120</v>
          </cell>
          <cell r="L176">
            <v>120</v>
          </cell>
          <cell r="M176">
            <v>120</v>
          </cell>
          <cell r="N176">
            <v>120</v>
          </cell>
          <cell r="O176">
            <v>120</v>
          </cell>
          <cell r="P176">
            <v>120</v>
          </cell>
          <cell r="Q176">
            <v>1440</v>
          </cell>
        </row>
        <row r="177">
          <cell r="A177" t="str">
            <v>판촉비</v>
          </cell>
          <cell r="B177" t="str">
            <v>소      계</v>
          </cell>
          <cell r="D177">
            <v>31978</v>
          </cell>
          <cell r="E177">
            <v>3850</v>
          </cell>
          <cell r="F177">
            <v>2556</v>
          </cell>
          <cell r="G177">
            <v>1982</v>
          </cell>
          <cell r="H177">
            <v>3510</v>
          </cell>
          <cell r="I177">
            <v>2700</v>
          </cell>
          <cell r="J177">
            <v>1740</v>
          </cell>
          <cell r="K177">
            <v>2095</v>
          </cell>
          <cell r="L177">
            <v>1570</v>
          </cell>
          <cell r="M177">
            <v>2000</v>
          </cell>
          <cell r="N177">
            <v>3070</v>
          </cell>
          <cell r="O177">
            <v>3484</v>
          </cell>
          <cell r="P177">
            <v>4480</v>
          </cell>
          <cell r="Q177">
            <v>33037</v>
          </cell>
        </row>
        <row r="178">
          <cell r="B178" t="str">
            <v>소      계</v>
          </cell>
        </row>
        <row r="179">
          <cell r="A179" t="str">
            <v>건물관리비</v>
          </cell>
          <cell r="B179" t="str">
            <v>소      계</v>
          </cell>
          <cell r="D179">
            <v>40408</v>
          </cell>
          <cell r="E179">
            <v>4345</v>
          </cell>
          <cell r="F179">
            <v>4125</v>
          </cell>
          <cell r="G179">
            <v>4125</v>
          </cell>
          <cell r="H179">
            <v>4092.0000000000005</v>
          </cell>
          <cell r="I179">
            <v>4026.0000000000005</v>
          </cell>
          <cell r="J179">
            <v>4732.2000000000007</v>
          </cell>
          <cell r="K179">
            <v>4436.3</v>
          </cell>
          <cell r="L179">
            <v>4444</v>
          </cell>
          <cell r="M179">
            <v>4598</v>
          </cell>
          <cell r="N179">
            <v>4092.0000000000005</v>
          </cell>
          <cell r="O179">
            <v>4136</v>
          </cell>
          <cell r="P179">
            <v>4136</v>
          </cell>
          <cell r="Q179">
            <v>51287.5</v>
          </cell>
        </row>
        <row r="180">
          <cell r="B180" t="str">
            <v>소      계</v>
          </cell>
        </row>
        <row r="181">
          <cell r="A181" t="str">
            <v>기타 원가</v>
          </cell>
          <cell r="B181" t="str">
            <v>소      계</v>
          </cell>
          <cell r="D181" t="e">
            <v>#REF!</v>
          </cell>
          <cell r="E181">
            <v>2913</v>
          </cell>
          <cell r="F181">
            <v>2731</v>
          </cell>
          <cell r="G181">
            <v>2731</v>
          </cell>
          <cell r="H181">
            <v>2633</v>
          </cell>
          <cell r="I181">
            <v>1958</v>
          </cell>
          <cell r="J181">
            <v>2394</v>
          </cell>
          <cell r="K181">
            <v>1850</v>
          </cell>
          <cell r="L181">
            <v>1902</v>
          </cell>
          <cell r="M181">
            <v>1797</v>
          </cell>
          <cell r="N181">
            <v>2183</v>
          </cell>
          <cell r="O181">
            <v>2183</v>
          </cell>
          <cell r="P181">
            <v>2183</v>
          </cell>
          <cell r="Q181">
            <v>27458</v>
          </cell>
          <cell r="R181" t="str">
            <v>담배 판매액×90%</v>
          </cell>
        </row>
        <row r="182">
          <cell r="B182" t="str">
            <v>소      계</v>
          </cell>
          <cell r="C182" t="str">
            <v>객실</v>
          </cell>
          <cell r="D182" t="e">
            <v>#REF!</v>
          </cell>
          <cell r="E182">
            <v>484</v>
          </cell>
          <cell r="F182">
            <v>442</v>
          </cell>
          <cell r="G182">
            <v>485</v>
          </cell>
          <cell r="H182">
            <v>504</v>
          </cell>
          <cell r="I182">
            <v>513</v>
          </cell>
          <cell r="J182">
            <v>523</v>
          </cell>
          <cell r="K182">
            <v>523</v>
          </cell>
          <cell r="L182">
            <v>492</v>
          </cell>
          <cell r="M182">
            <v>434</v>
          </cell>
          <cell r="N182">
            <v>482</v>
          </cell>
          <cell r="O182">
            <v>477</v>
          </cell>
          <cell r="P182">
            <v>472</v>
          </cell>
          <cell r="Q182">
            <v>5831</v>
          </cell>
          <cell r="R182" t="str">
            <v>객실부가수입×66%</v>
          </cell>
        </row>
        <row r="183">
          <cell r="B183" t="str">
            <v>소      계</v>
          </cell>
          <cell r="C183" t="str">
            <v>SAUNA</v>
          </cell>
          <cell r="D183" t="e">
            <v>#REF!</v>
          </cell>
          <cell r="E183">
            <v>617</v>
          </cell>
          <cell r="F183">
            <v>581</v>
          </cell>
          <cell r="G183">
            <v>602</v>
          </cell>
          <cell r="H183">
            <v>557</v>
          </cell>
          <cell r="I183">
            <v>539</v>
          </cell>
          <cell r="J183">
            <v>523</v>
          </cell>
          <cell r="K183">
            <v>479</v>
          </cell>
          <cell r="L183">
            <v>484</v>
          </cell>
          <cell r="M183">
            <v>529</v>
          </cell>
          <cell r="N183">
            <v>598</v>
          </cell>
          <cell r="O183">
            <v>589</v>
          </cell>
          <cell r="P183">
            <v>595</v>
          </cell>
          <cell r="Q183">
            <v>6693</v>
          </cell>
          <cell r="R183" t="str">
            <v>SAUNA부가수입×44%</v>
          </cell>
        </row>
        <row r="184">
          <cell r="B184" t="str">
            <v>소      계</v>
          </cell>
          <cell r="C184" t="str">
            <v>연회</v>
          </cell>
          <cell r="D184" t="e">
            <v>#REF!</v>
          </cell>
          <cell r="E184">
            <v>1631</v>
          </cell>
          <cell r="F184">
            <v>965</v>
          </cell>
          <cell r="G184">
            <v>992</v>
          </cell>
          <cell r="H184">
            <v>990</v>
          </cell>
          <cell r="I184">
            <v>1073</v>
          </cell>
          <cell r="J184">
            <v>903</v>
          </cell>
          <cell r="K184">
            <v>673</v>
          </cell>
          <cell r="L184">
            <v>340</v>
          </cell>
          <cell r="M184">
            <v>798</v>
          </cell>
          <cell r="N184">
            <v>1187</v>
          </cell>
          <cell r="O184">
            <v>1305</v>
          </cell>
          <cell r="P184">
            <v>1804</v>
          </cell>
          <cell r="Q184">
            <v>12661</v>
          </cell>
          <cell r="R184" t="str">
            <v>연회부가수입×86.5%</v>
          </cell>
        </row>
        <row r="185">
          <cell r="B185" t="str">
            <v>소      계</v>
          </cell>
          <cell r="D185" t="e">
            <v>#REF!</v>
          </cell>
          <cell r="E185">
            <v>31633</v>
          </cell>
          <cell r="F185">
            <v>28882</v>
          </cell>
          <cell r="G185">
            <v>31437</v>
          </cell>
          <cell r="H185">
            <v>31085</v>
          </cell>
          <cell r="I185">
            <v>31144</v>
          </cell>
          <cell r="J185">
            <v>29949</v>
          </cell>
          <cell r="K185">
            <v>29675</v>
          </cell>
          <cell r="L185">
            <v>26889</v>
          </cell>
          <cell r="M185">
            <v>28819</v>
          </cell>
          <cell r="N185">
            <v>31055</v>
          </cell>
          <cell r="O185">
            <v>32116</v>
          </cell>
          <cell r="P185">
            <v>35386</v>
          </cell>
          <cell r="Q185">
            <v>368070</v>
          </cell>
        </row>
        <row r="186">
          <cell r="B186" t="str">
            <v>소      계</v>
          </cell>
        </row>
        <row r="187">
          <cell r="A187" t="str">
            <v>기타 원가</v>
          </cell>
          <cell r="B187" t="str">
            <v>소      계</v>
          </cell>
          <cell r="D187">
            <v>499335</v>
          </cell>
          <cell r="E187">
            <v>37278</v>
          </cell>
          <cell r="F187">
            <v>33601</v>
          </cell>
          <cell r="G187">
            <v>36247</v>
          </cell>
          <cell r="H187">
            <v>35769</v>
          </cell>
          <cell r="I187">
            <v>35227</v>
          </cell>
          <cell r="J187">
            <v>34292</v>
          </cell>
          <cell r="K187">
            <v>33200</v>
          </cell>
          <cell r="L187">
            <v>30107</v>
          </cell>
          <cell r="M187">
            <v>32377</v>
          </cell>
          <cell r="N187">
            <v>35505</v>
          </cell>
          <cell r="O187">
            <v>36670</v>
          </cell>
          <cell r="P187">
            <v>40440</v>
          </cell>
          <cell r="Q187">
            <v>420713</v>
          </cell>
        </row>
        <row r="189">
          <cell r="A189" t="str">
            <v>감가상각비</v>
          </cell>
          <cell r="B189" t="str">
            <v>비품</v>
          </cell>
          <cell r="D189">
            <v>120764</v>
          </cell>
          <cell r="J189">
            <v>40589</v>
          </cell>
          <cell r="K189">
            <v>-40589</v>
          </cell>
          <cell r="P189">
            <v>81178</v>
          </cell>
          <cell r="Q189">
            <v>81178</v>
          </cell>
        </row>
        <row r="191">
          <cell r="D191"/>
        </row>
        <row r="192">
          <cell r="A192" t="str">
            <v>투 입 합 계</v>
          </cell>
          <cell r="B192"/>
          <cell r="D192">
            <v>4450000</v>
          </cell>
          <cell r="E192">
            <v>446467.36952000007</v>
          </cell>
          <cell r="F192">
            <v>351442.69679999998</v>
          </cell>
          <cell r="G192">
            <v>439011.03712000005</v>
          </cell>
          <cell r="H192">
            <v>380283.32680000004</v>
          </cell>
          <cell r="I192">
            <v>348667.88</v>
          </cell>
          <cell r="J192">
            <v>589318</v>
          </cell>
          <cell r="K192">
            <v>307399.55</v>
          </cell>
          <cell r="L192">
            <v>333135.37999999995</v>
          </cell>
          <cell r="M192">
            <v>463161.53</v>
          </cell>
          <cell r="N192">
            <v>338553.95</v>
          </cell>
          <cell r="O192">
            <v>351716.57999999996</v>
          </cell>
          <cell r="P192">
            <v>567149.86199999996</v>
          </cell>
          <cell r="Q192">
            <v>4916307.1622399995</v>
          </cell>
        </row>
        <row r="193">
          <cell r="Q193"/>
        </row>
        <row r="195">
          <cell r="A195" t="str">
            <v>영업 이익</v>
          </cell>
          <cell r="B195"/>
          <cell r="D195">
            <v>6961</v>
          </cell>
          <cell r="E195">
            <v>-20547.089520000038</v>
          </cell>
          <cell r="F195">
            <v>43572.763200000045</v>
          </cell>
          <cell r="G195">
            <v>-11213.477120000054</v>
          </cell>
          <cell r="H195">
            <v>36598.053199999966</v>
          </cell>
          <cell r="I195">
            <v>67236.760000000009</v>
          </cell>
          <cell r="J195">
            <v>-183615.91999999998</v>
          </cell>
          <cell r="K195">
            <v>93675.47000000003</v>
          </cell>
          <cell r="L195">
            <v>39451.090000000026</v>
          </cell>
          <cell r="M195">
            <v>-61733.760000000009</v>
          </cell>
          <cell r="N195">
            <v>84010</v>
          </cell>
          <cell r="O195">
            <v>75377.620000000054</v>
          </cell>
          <cell r="P195">
            <v>-104639.45199999993</v>
          </cell>
          <cell r="Q195">
            <v>58172.05776000116</v>
          </cell>
          <cell r="R195"/>
        </row>
        <row r="198">
          <cell r="A198" t="str">
            <v>감가상각비</v>
          </cell>
          <cell r="B198" t="str">
            <v>건물</v>
          </cell>
          <cell r="D198">
            <v>665564</v>
          </cell>
          <cell r="J198">
            <v>335537</v>
          </cell>
          <cell r="K198">
            <v>-335537</v>
          </cell>
          <cell r="P198">
            <v>665564</v>
          </cell>
          <cell r="Q198">
            <v>665564</v>
          </cell>
        </row>
        <row r="200">
          <cell r="B200" t="str">
            <v>영업외 이익</v>
          </cell>
          <cell r="D200">
            <v>6961</v>
          </cell>
          <cell r="E200">
            <v>500</v>
          </cell>
          <cell r="F200">
            <v>500</v>
          </cell>
          <cell r="G200">
            <v>500</v>
          </cell>
          <cell r="H200">
            <v>500</v>
          </cell>
          <cell r="I200">
            <v>500</v>
          </cell>
          <cell r="J200">
            <v>500</v>
          </cell>
          <cell r="K200">
            <v>500</v>
          </cell>
          <cell r="L200">
            <v>500</v>
          </cell>
          <cell r="M200">
            <v>500</v>
          </cell>
          <cell r="N200">
            <v>500</v>
          </cell>
          <cell r="O200">
            <v>500</v>
          </cell>
          <cell r="P200">
            <v>500</v>
          </cell>
          <cell r="Q200">
            <v>6000</v>
          </cell>
        </row>
        <row r="201">
          <cell r="A201" t="str">
            <v>영업외 손익</v>
          </cell>
          <cell r="B201"/>
          <cell r="D201"/>
          <cell r="E201"/>
          <cell r="F201"/>
          <cell r="G201"/>
          <cell r="H201"/>
          <cell r="I201"/>
          <cell r="J201"/>
          <cell r="K201"/>
          <cell r="L201"/>
          <cell r="M201"/>
          <cell r="N201"/>
          <cell r="O201"/>
          <cell r="P201"/>
          <cell r="Q201"/>
        </row>
        <row r="202">
          <cell r="B202" t="str">
            <v>영업외 비용</v>
          </cell>
          <cell r="D202">
            <v>3394</v>
          </cell>
          <cell r="E202">
            <v>100</v>
          </cell>
          <cell r="F202">
            <v>100</v>
          </cell>
          <cell r="G202">
            <v>100</v>
          </cell>
          <cell r="H202">
            <v>100</v>
          </cell>
          <cell r="I202">
            <v>100</v>
          </cell>
          <cell r="J202">
            <v>100</v>
          </cell>
          <cell r="K202">
            <v>100</v>
          </cell>
          <cell r="L202">
            <v>100</v>
          </cell>
          <cell r="M202">
            <v>100</v>
          </cell>
          <cell r="N202">
            <v>100</v>
          </cell>
          <cell r="O202">
            <v>100</v>
          </cell>
          <cell r="P202">
            <v>100</v>
          </cell>
          <cell r="Q202">
            <v>1200</v>
          </cell>
        </row>
        <row r="204">
          <cell r="A204" t="str">
            <v>감가상각비 반영후 경상이익</v>
          </cell>
          <cell r="D204">
            <v>-655036</v>
          </cell>
          <cell r="E204">
            <v>-20147.089520000038</v>
          </cell>
          <cell r="F204">
            <v>43972.763200000045</v>
          </cell>
          <cell r="G204">
            <v>-10813.477120000054</v>
          </cell>
          <cell r="H204">
            <v>36998.053199999966</v>
          </cell>
          <cell r="I204">
            <v>67636.760000000009</v>
          </cell>
          <cell r="J204">
            <v>-518752.92</v>
          </cell>
          <cell r="K204">
            <v>429612.47000000003</v>
          </cell>
          <cell r="L204">
            <v>39851.090000000026</v>
          </cell>
          <cell r="M204">
            <v>-61333.760000000009</v>
          </cell>
          <cell r="N204">
            <v>84410</v>
          </cell>
          <cell r="O204">
            <v>75777.620000000054</v>
          </cell>
          <cell r="P204">
            <v>-769803.45199999993</v>
          </cell>
          <cell r="Q204">
            <v>-602591.94223999884</v>
          </cell>
        </row>
        <row r="205">
          <cell r="D205"/>
          <cell r="Q205"/>
        </row>
        <row r="206">
          <cell r="A206" t="str">
            <v>자산취득</v>
          </cell>
          <cell r="B206" t="str">
            <v>건물 (자본적지출)</v>
          </cell>
          <cell r="D206" t="e">
            <v>#REF!</v>
          </cell>
          <cell r="Q206">
            <v>0</v>
          </cell>
          <cell r="R206" t="str">
            <v>명세별첨</v>
          </cell>
        </row>
        <row r="207">
          <cell r="B207" t="str">
            <v>비품</v>
          </cell>
          <cell r="D207" t="e">
            <v>#REF!</v>
          </cell>
          <cell r="E207">
            <v>4400</v>
          </cell>
          <cell r="F207">
            <v>3250</v>
          </cell>
          <cell r="G207">
            <v>17420</v>
          </cell>
          <cell r="H207">
            <v>4050</v>
          </cell>
          <cell r="I207">
            <v>3680</v>
          </cell>
          <cell r="J207">
            <v>17200</v>
          </cell>
          <cell r="K207">
            <v>4375</v>
          </cell>
          <cell r="L207">
            <v>2000</v>
          </cell>
          <cell r="M207">
            <v>2400</v>
          </cell>
          <cell r="N207">
            <v>600</v>
          </cell>
          <cell r="O207">
            <v>1950</v>
          </cell>
          <cell r="P207">
            <v>1050</v>
          </cell>
          <cell r="Q207">
            <v>62375</v>
          </cell>
        </row>
        <row r="208">
          <cell r="B208" t="str">
            <v>저장품</v>
          </cell>
          <cell r="C208" t="str">
            <v>그라스류</v>
          </cell>
          <cell r="D208" t="e">
            <v>#REF!</v>
          </cell>
          <cell r="E208">
            <v>1340</v>
          </cell>
          <cell r="F208">
            <v>950</v>
          </cell>
          <cell r="G208">
            <v>450</v>
          </cell>
          <cell r="H208">
            <v>450</v>
          </cell>
          <cell r="I208">
            <v>1000</v>
          </cell>
          <cell r="J208">
            <v>840</v>
          </cell>
          <cell r="K208">
            <v>660</v>
          </cell>
          <cell r="L208">
            <v>450</v>
          </cell>
          <cell r="M208">
            <v>450</v>
          </cell>
          <cell r="N208">
            <v>500</v>
          </cell>
          <cell r="O208">
            <v>840</v>
          </cell>
          <cell r="P208">
            <v>450</v>
          </cell>
          <cell r="Q208">
            <v>8380</v>
          </cell>
        </row>
        <row r="209">
          <cell r="B209"/>
          <cell r="C209" t="str">
            <v>식기류</v>
          </cell>
          <cell r="D209" t="e">
            <v>#REF!</v>
          </cell>
          <cell r="E209">
            <v>1800</v>
          </cell>
          <cell r="F209">
            <v>2180</v>
          </cell>
          <cell r="G209">
            <v>4820</v>
          </cell>
          <cell r="H209">
            <v>580</v>
          </cell>
          <cell r="I209">
            <v>900</v>
          </cell>
          <cell r="J209">
            <v>1800</v>
          </cell>
          <cell r="K209">
            <v>250</v>
          </cell>
          <cell r="L209">
            <v>250</v>
          </cell>
          <cell r="M209">
            <v>470</v>
          </cell>
          <cell r="N209">
            <v>250</v>
          </cell>
          <cell r="O209">
            <v>300</v>
          </cell>
          <cell r="P209">
            <v>500</v>
          </cell>
          <cell r="Q209">
            <v>14100</v>
          </cell>
        </row>
        <row r="210">
          <cell r="B210"/>
          <cell r="C210" t="str">
            <v>유텐실</v>
          </cell>
          <cell r="D210" t="e">
            <v>#REF!</v>
          </cell>
          <cell r="E210">
            <v>910</v>
          </cell>
          <cell r="F210">
            <v>1340</v>
          </cell>
          <cell r="G210">
            <v>1500</v>
          </cell>
          <cell r="H210">
            <v>1250</v>
          </cell>
          <cell r="I210">
            <v>1360</v>
          </cell>
          <cell r="J210">
            <v>350</v>
          </cell>
          <cell r="K210">
            <v>800</v>
          </cell>
          <cell r="L210">
            <v>1800</v>
          </cell>
          <cell r="M210">
            <v>1500</v>
          </cell>
          <cell r="N210">
            <v>250</v>
          </cell>
          <cell r="O210">
            <v>440</v>
          </cell>
          <cell r="P210">
            <v>525</v>
          </cell>
          <cell r="Q210">
            <v>12025</v>
          </cell>
        </row>
        <row r="211">
          <cell r="B211"/>
          <cell r="C211" t="str">
            <v>린넨류</v>
          </cell>
          <cell r="D211" t="e">
            <v>#REF!</v>
          </cell>
          <cell r="E211">
            <v>150</v>
          </cell>
          <cell r="F211">
            <v>3175</v>
          </cell>
          <cell r="G211">
            <v>2820</v>
          </cell>
          <cell r="H211">
            <v>4500</v>
          </cell>
          <cell r="I211">
            <v>900</v>
          </cell>
          <cell r="J211">
            <v>1500</v>
          </cell>
          <cell r="K211"/>
          <cell r="L211">
            <v>1500</v>
          </cell>
          <cell r="M211">
            <v>3300</v>
          </cell>
          <cell r="N211">
            <v>6810</v>
          </cell>
          <cell r="O211">
            <v>1400</v>
          </cell>
          <cell r="P211">
            <v>300</v>
          </cell>
          <cell r="Q211">
            <v>26355</v>
          </cell>
        </row>
        <row r="212">
          <cell r="B212" t="str">
            <v xml:space="preserve">       소  계</v>
          </cell>
          <cell r="D212" t="e">
            <v>#REF!</v>
          </cell>
          <cell r="E212">
            <v>4200</v>
          </cell>
          <cell r="F212">
            <v>7645</v>
          </cell>
          <cell r="G212">
            <v>9590</v>
          </cell>
          <cell r="H212">
            <v>6780</v>
          </cell>
          <cell r="I212">
            <v>4160</v>
          </cell>
          <cell r="J212">
            <v>4490</v>
          </cell>
          <cell r="K212">
            <v>1710</v>
          </cell>
          <cell r="L212">
            <v>4000</v>
          </cell>
          <cell r="M212">
            <v>5720</v>
          </cell>
          <cell r="N212">
            <v>7810</v>
          </cell>
          <cell r="O212">
            <v>2980</v>
          </cell>
          <cell r="P212">
            <v>1775</v>
          </cell>
          <cell r="Q212">
            <v>60860</v>
          </cell>
        </row>
        <row r="214">
          <cell r="B214" t="str">
            <v>합계</v>
          </cell>
          <cell r="D214" t="e">
            <v>#REF!</v>
          </cell>
          <cell r="E214">
            <v>8600</v>
          </cell>
          <cell r="F214">
            <v>10895</v>
          </cell>
          <cell r="G214">
            <v>27010</v>
          </cell>
          <cell r="H214">
            <v>10830</v>
          </cell>
          <cell r="I214">
            <v>7840</v>
          </cell>
          <cell r="J214">
            <v>21690</v>
          </cell>
          <cell r="K214">
            <v>6085</v>
          </cell>
          <cell r="L214">
            <v>6000</v>
          </cell>
          <cell r="M214">
            <v>8120</v>
          </cell>
          <cell r="N214">
            <v>8410</v>
          </cell>
          <cell r="O214">
            <v>4930</v>
          </cell>
          <cell r="P214">
            <v>2825</v>
          </cell>
          <cell r="Q214">
            <v>123235</v>
          </cell>
        </row>
        <row r="215">
          <cell r="R215" t="str">
            <v>［SYSTEM DPT］</v>
          </cell>
        </row>
        <row r="216">
          <cell r="A216" t="str">
            <v>|::</v>
          </cell>
        </row>
      </sheetData>
      <sheetData sheetId="1" refreshError="1"/>
      <sheetData sheetId="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사내공문"/>
      <sheetName val="FAX양식 "/>
      <sheetName val="공정표"/>
      <sheetName val="Module"/>
      <sheetName val="Manual"/>
      <sheetName val="공사개요"/>
      <sheetName val="견적일지"/>
      <sheetName val="견적의뢰"/>
      <sheetName val="예산산정"/>
      <sheetName val="원가계산서"/>
      <sheetName val="견적보고서"/>
      <sheetName val="현장관리비"/>
      <sheetName val="호프"/>
      <sheetName val="계정"/>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ow r="12">
          <cell r="F12">
            <v>40</v>
          </cell>
          <cell r="G12">
            <v>4299000</v>
          </cell>
          <cell r="H12">
            <v>171960000</v>
          </cell>
          <cell r="J12">
            <v>40</v>
          </cell>
          <cell r="K12">
            <v>4299000</v>
          </cell>
          <cell r="L12">
            <v>171960000</v>
          </cell>
        </row>
        <row r="13">
          <cell r="F13">
            <v>40</v>
          </cell>
          <cell r="G13">
            <v>4077000</v>
          </cell>
          <cell r="H13">
            <v>163080000</v>
          </cell>
          <cell r="J13">
            <v>40</v>
          </cell>
          <cell r="K13">
            <v>4077000</v>
          </cell>
          <cell r="L13">
            <v>163080000</v>
          </cell>
        </row>
        <row r="14">
          <cell r="F14">
            <v>60</v>
          </cell>
          <cell r="G14">
            <v>3698000</v>
          </cell>
          <cell r="H14">
            <v>221880000</v>
          </cell>
          <cell r="J14">
            <v>60</v>
          </cell>
          <cell r="K14">
            <v>3698000</v>
          </cell>
          <cell r="L14">
            <v>221880000</v>
          </cell>
        </row>
        <row r="15">
          <cell r="F15">
            <v>92</v>
          </cell>
          <cell r="G15">
            <v>2985000</v>
          </cell>
          <cell r="H15">
            <v>274620000</v>
          </cell>
          <cell r="J15">
            <v>92</v>
          </cell>
          <cell r="K15">
            <v>2985000</v>
          </cell>
          <cell r="L15">
            <v>274620000</v>
          </cell>
        </row>
        <row r="16">
          <cell r="F16">
            <v>40</v>
          </cell>
          <cell r="G16">
            <v>2935000</v>
          </cell>
          <cell r="H16">
            <v>117400000</v>
          </cell>
          <cell r="J16">
            <v>40</v>
          </cell>
          <cell r="K16">
            <v>2935000</v>
          </cell>
          <cell r="L16">
            <v>117400000</v>
          </cell>
        </row>
        <row r="17">
          <cell r="F17">
            <v>160</v>
          </cell>
          <cell r="G17">
            <v>1638000</v>
          </cell>
          <cell r="H17">
            <v>262080000</v>
          </cell>
          <cell r="J17">
            <v>160</v>
          </cell>
          <cell r="K17">
            <v>1638000</v>
          </cell>
          <cell r="L17">
            <v>262080000</v>
          </cell>
        </row>
        <row r="18">
          <cell r="F18">
            <v>0</v>
          </cell>
          <cell r="G18">
            <v>1588000</v>
          </cell>
          <cell r="H18">
            <v>0</v>
          </cell>
          <cell r="J18">
            <v>0</v>
          </cell>
          <cell r="K18">
            <v>1588000</v>
          </cell>
          <cell r="L18">
            <v>0</v>
          </cell>
        </row>
        <row r="19">
          <cell r="F19">
            <v>184</v>
          </cell>
          <cell r="G19">
            <v>1253000</v>
          </cell>
          <cell r="H19">
            <v>230552000</v>
          </cell>
          <cell r="J19">
            <v>184</v>
          </cell>
          <cell r="K19">
            <v>1253000</v>
          </cell>
          <cell r="L19">
            <v>230552000</v>
          </cell>
        </row>
        <row r="20">
          <cell r="F20">
            <v>0</v>
          </cell>
          <cell r="G20">
            <v>1203000</v>
          </cell>
          <cell r="H20">
            <v>0</v>
          </cell>
          <cell r="J20">
            <v>0</v>
          </cell>
          <cell r="K20">
            <v>1203000</v>
          </cell>
          <cell r="L20">
            <v>0</v>
          </cell>
        </row>
        <row r="21">
          <cell r="K21">
            <v>0</v>
          </cell>
        </row>
        <row r="22">
          <cell r="F22">
            <v>616</v>
          </cell>
          <cell r="H22">
            <v>1441572000</v>
          </cell>
          <cell r="J22">
            <v>616</v>
          </cell>
          <cell r="K22">
            <v>0</v>
          </cell>
          <cell r="L22">
            <v>1441572000</v>
          </cell>
        </row>
        <row r="23">
          <cell r="K23">
            <v>0</v>
          </cell>
        </row>
        <row r="24">
          <cell r="K24">
            <v>0</v>
          </cell>
        </row>
        <row r="25">
          <cell r="K25">
            <v>0</v>
          </cell>
        </row>
        <row r="26">
          <cell r="F26">
            <v>54</v>
          </cell>
          <cell r="G26">
            <v>1736000</v>
          </cell>
          <cell r="H26">
            <v>93744000</v>
          </cell>
          <cell r="J26">
            <v>54</v>
          </cell>
          <cell r="K26">
            <v>1736000</v>
          </cell>
          <cell r="L26">
            <v>93744000</v>
          </cell>
        </row>
        <row r="27">
          <cell r="F27">
            <v>62</v>
          </cell>
          <cell r="G27">
            <v>1296750</v>
          </cell>
          <cell r="H27">
            <v>80398500</v>
          </cell>
          <cell r="J27">
            <v>62</v>
          </cell>
          <cell r="K27">
            <v>1296750</v>
          </cell>
          <cell r="L27">
            <v>80398500</v>
          </cell>
        </row>
        <row r="28">
          <cell r="K28">
            <v>0</v>
          </cell>
        </row>
        <row r="29">
          <cell r="H29">
            <v>174142500</v>
          </cell>
          <cell r="K29">
            <v>0</v>
          </cell>
          <cell r="L29">
            <v>174142500</v>
          </cell>
        </row>
        <row r="30">
          <cell r="K30">
            <v>0</v>
          </cell>
        </row>
        <row r="31">
          <cell r="K31">
            <v>0</v>
          </cell>
        </row>
        <row r="32">
          <cell r="F32">
            <v>80</v>
          </cell>
          <cell r="G32">
            <v>1300000</v>
          </cell>
          <cell r="H32">
            <v>104000000</v>
          </cell>
          <cell r="J32">
            <v>80</v>
          </cell>
          <cell r="K32">
            <v>1300000</v>
          </cell>
          <cell r="L32">
            <v>104000000</v>
          </cell>
        </row>
        <row r="33">
          <cell r="F33">
            <v>32</v>
          </cell>
          <cell r="G33">
            <v>1200000</v>
          </cell>
          <cell r="H33">
            <v>38400000</v>
          </cell>
          <cell r="J33">
            <v>32</v>
          </cell>
          <cell r="K33">
            <v>1200000</v>
          </cell>
          <cell r="L33">
            <v>38400000</v>
          </cell>
        </row>
        <row r="34">
          <cell r="F34">
            <v>32</v>
          </cell>
          <cell r="G34">
            <v>1200000</v>
          </cell>
          <cell r="H34">
            <v>38400000</v>
          </cell>
          <cell r="J34">
            <v>32</v>
          </cell>
          <cell r="K34">
            <v>1200000</v>
          </cell>
          <cell r="L34">
            <v>38400000</v>
          </cell>
        </row>
        <row r="35">
          <cell r="F35">
            <v>32</v>
          </cell>
          <cell r="G35">
            <v>1100000</v>
          </cell>
          <cell r="H35">
            <v>35200000</v>
          </cell>
          <cell r="J35">
            <v>32</v>
          </cell>
          <cell r="K35">
            <v>1100000</v>
          </cell>
          <cell r="L35">
            <v>35200000</v>
          </cell>
        </row>
        <row r="36">
          <cell r="F36">
            <v>32</v>
          </cell>
          <cell r="G36">
            <v>1100000</v>
          </cell>
          <cell r="H36">
            <v>35200000</v>
          </cell>
          <cell r="J36">
            <v>32</v>
          </cell>
          <cell r="K36">
            <v>1100000</v>
          </cell>
          <cell r="L36">
            <v>35200000</v>
          </cell>
        </row>
        <row r="37">
          <cell r="F37">
            <v>80</v>
          </cell>
          <cell r="G37">
            <v>600000</v>
          </cell>
          <cell r="H37">
            <v>48000000</v>
          </cell>
          <cell r="J37">
            <v>80</v>
          </cell>
          <cell r="K37">
            <v>600000</v>
          </cell>
          <cell r="L37">
            <v>48000000</v>
          </cell>
        </row>
        <row r="38">
          <cell r="F38">
            <v>28</v>
          </cell>
          <cell r="G38">
            <v>900000</v>
          </cell>
          <cell r="H38">
            <v>25200000</v>
          </cell>
          <cell r="J38">
            <v>28</v>
          </cell>
          <cell r="K38">
            <v>900000</v>
          </cell>
          <cell r="L38">
            <v>25200000</v>
          </cell>
        </row>
        <row r="39">
          <cell r="F39">
            <v>40</v>
          </cell>
          <cell r="G39">
            <v>600000</v>
          </cell>
          <cell r="H39">
            <v>24000000</v>
          </cell>
          <cell r="J39">
            <v>40</v>
          </cell>
          <cell r="K39">
            <v>600000</v>
          </cell>
          <cell r="L39">
            <v>24000000</v>
          </cell>
        </row>
        <row r="40">
          <cell r="F40">
            <v>20</v>
          </cell>
          <cell r="G40">
            <v>1000000</v>
          </cell>
          <cell r="H40">
            <v>20000000</v>
          </cell>
          <cell r="J40">
            <v>20</v>
          </cell>
          <cell r="K40">
            <v>1000000</v>
          </cell>
          <cell r="L40">
            <v>20000000</v>
          </cell>
        </row>
        <row r="41">
          <cell r="F41">
            <v>120</v>
          </cell>
          <cell r="G41">
            <v>730000</v>
          </cell>
          <cell r="H41">
            <v>87600000</v>
          </cell>
          <cell r="J41">
            <v>120</v>
          </cell>
          <cell r="K41">
            <v>730000</v>
          </cell>
          <cell r="L41">
            <v>87600000</v>
          </cell>
        </row>
        <row r="43">
          <cell r="F43">
            <v>496</v>
          </cell>
          <cell r="H43">
            <v>456000000</v>
          </cell>
          <cell r="J43">
            <v>496</v>
          </cell>
          <cell r="K43">
            <v>0</v>
          </cell>
          <cell r="L43">
            <v>456000000</v>
          </cell>
        </row>
        <row r="44">
          <cell r="K44">
            <v>0</v>
          </cell>
        </row>
        <row r="45">
          <cell r="K45">
            <v>0</v>
          </cell>
        </row>
        <row r="46">
          <cell r="F46">
            <v>1</v>
          </cell>
          <cell r="G46">
            <v>62628000.000000007</v>
          </cell>
          <cell r="H46">
            <v>62628000.000000007</v>
          </cell>
          <cell r="J46">
            <v>1</v>
          </cell>
          <cell r="K46">
            <v>62628000.000000007</v>
          </cell>
          <cell r="L46">
            <v>62628000.000000007</v>
          </cell>
        </row>
        <row r="47">
          <cell r="F47">
            <v>1</v>
          </cell>
          <cell r="G47">
            <v>35919000</v>
          </cell>
          <cell r="H47">
            <v>35919000</v>
          </cell>
          <cell r="J47">
            <v>1</v>
          </cell>
          <cell r="K47">
            <v>35919000</v>
          </cell>
          <cell r="L47">
            <v>35919000</v>
          </cell>
        </row>
        <row r="48">
          <cell r="F48">
            <v>1</v>
          </cell>
          <cell r="G48">
            <v>15000000</v>
          </cell>
          <cell r="H48">
            <v>15000000</v>
          </cell>
          <cell r="J48">
            <v>1</v>
          </cell>
          <cell r="K48">
            <v>15000000</v>
          </cell>
          <cell r="L48">
            <v>15000000</v>
          </cell>
        </row>
        <row r="50">
          <cell r="H50">
            <v>113547000</v>
          </cell>
          <cell r="L50">
            <v>113547000</v>
          </cell>
        </row>
        <row r="53">
          <cell r="F53">
            <v>1072</v>
          </cell>
          <cell r="G53">
            <v>229500</v>
          </cell>
          <cell r="H53">
            <v>246024000</v>
          </cell>
          <cell r="J53">
            <v>1072</v>
          </cell>
          <cell r="K53">
            <v>229500</v>
          </cell>
          <cell r="L53">
            <v>246024000</v>
          </cell>
        </row>
        <row r="54">
          <cell r="F54">
            <v>992</v>
          </cell>
          <cell r="G54">
            <v>40000</v>
          </cell>
          <cell r="H54">
            <v>39680000</v>
          </cell>
          <cell r="J54">
            <v>992</v>
          </cell>
          <cell r="K54">
            <v>40000</v>
          </cell>
          <cell r="L54">
            <v>39680000</v>
          </cell>
        </row>
        <row r="55">
          <cell r="F55">
            <v>42</v>
          </cell>
          <cell r="G55">
            <v>97000</v>
          </cell>
          <cell r="H55">
            <v>4074000</v>
          </cell>
          <cell r="J55">
            <v>42</v>
          </cell>
          <cell r="K55">
            <v>97000</v>
          </cell>
          <cell r="L55">
            <v>4074000</v>
          </cell>
        </row>
        <row r="56">
          <cell r="F56">
            <v>42</v>
          </cell>
          <cell r="G56">
            <v>70000</v>
          </cell>
          <cell r="H56">
            <v>2940000</v>
          </cell>
          <cell r="J56">
            <v>42</v>
          </cell>
          <cell r="K56">
            <v>70000</v>
          </cell>
          <cell r="L56">
            <v>2940000</v>
          </cell>
        </row>
        <row r="57">
          <cell r="F57">
            <v>1</v>
          </cell>
          <cell r="G57">
            <v>40934000</v>
          </cell>
          <cell r="H57">
            <v>40934000</v>
          </cell>
          <cell r="J57">
            <v>1</v>
          </cell>
          <cell r="K57">
            <v>40934000</v>
          </cell>
          <cell r="L57">
            <v>40934000</v>
          </cell>
        </row>
        <row r="58">
          <cell r="F58">
            <v>1</v>
          </cell>
          <cell r="G58">
            <v>27149000</v>
          </cell>
          <cell r="H58">
            <v>27149000</v>
          </cell>
          <cell r="J58">
            <v>1</v>
          </cell>
          <cell r="K58">
            <v>27149000</v>
          </cell>
          <cell r="L58">
            <v>27149000</v>
          </cell>
        </row>
        <row r="60">
          <cell r="H60">
            <v>360801000</v>
          </cell>
          <cell r="L60">
            <v>360801000</v>
          </cell>
        </row>
        <row r="64">
          <cell r="F64">
            <v>40</v>
          </cell>
          <cell r="G64">
            <v>240000</v>
          </cell>
          <cell r="H64">
            <v>9600000</v>
          </cell>
          <cell r="J64">
            <v>40</v>
          </cell>
          <cell r="K64">
            <v>240000</v>
          </cell>
          <cell r="L64">
            <v>9600000</v>
          </cell>
        </row>
        <row r="65">
          <cell r="F65">
            <v>40</v>
          </cell>
          <cell r="G65">
            <v>150000</v>
          </cell>
          <cell r="H65">
            <v>6000000</v>
          </cell>
          <cell r="J65">
            <v>40</v>
          </cell>
          <cell r="K65">
            <v>150000</v>
          </cell>
          <cell r="L65">
            <v>6000000</v>
          </cell>
        </row>
        <row r="66">
          <cell r="F66">
            <v>40</v>
          </cell>
          <cell r="G66">
            <v>303200</v>
          </cell>
          <cell r="H66">
            <v>12128000</v>
          </cell>
          <cell r="J66">
            <v>40</v>
          </cell>
          <cell r="K66">
            <v>303200</v>
          </cell>
          <cell r="L66">
            <v>12128000</v>
          </cell>
        </row>
        <row r="67">
          <cell r="F67">
            <v>40</v>
          </cell>
          <cell r="G67">
            <v>1299456</v>
          </cell>
          <cell r="H67">
            <v>51978240</v>
          </cell>
          <cell r="J67">
            <v>40</v>
          </cell>
          <cell r="K67">
            <v>1299456</v>
          </cell>
          <cell r="L67">
            <v>51978240</v>
          </cell>
        </row>
        <row r="69">
          <cell r="H69">
            <v>79706240</v>
          </cell>
          <cell r="L69">
            <v>79706240</v>
          </cell>
        </row>
        <row r="72">
          <cell r="F72">
            <v>1</v>
          </cell>
          <cell r="G72">
            <v>1471400</v>
          </cell>
          <cell r="H72">
            <v>1471400</v>
          </cell>
          <cell r="J72">
            <v>1</v>
          </cell>
          <cell r="K72">
            <v>866600</v>
          </cell>
          <cell r="L72">
            <v>1471400</v>
          </cell>
        </row>
        <row r="73">
          <cell r="F73">
            <v>40</v>
          </cell>
          <cell r="G73">
            <v>528000</v>
          </cell>
          <cell r="H73">
            <v>21120000</v>
          </cell>
          <cell r="J73">
            <v>40</v>
          </cell>
          <cell r="K73">
            <v>528000</v>
          </cell>
          <cell r="L73">
            <v>21120000</v>
          </cell>
        </row>
        <row r="75">
          <cell r="H75">
            <v>22591400</v>
          </cell>
          <cell r="L75">
            <v>22591400</v>
          </cell>
        </row>
        <row r="78">
          <cell r="F78">
            <v>4</v>
          </cell>
          <cell r="G78">
            <v>50000</v>
          </cell>
          <cell r="H78">
            <v>200000</v>
          </cell>
          <cell r="J78">
            <v>4</v>
          </cell>
          <cell r="K78">
            <v>50000</v>
          </cell>
          <cell r="L78">
            <v>200000</v>
          </cell>
        </row>
        <row r="79">
          <cell r="F79">
            <v>1</v>
          </cell>
          <cell r="G79">
            <v>27300000</v>
          </cell>
          <cell r="H79">
            <v>27300000</v>
          </cell>
          <cell r="J79">
            <v>1</v>
          </cell>
          <cell r="K79">
            <v>27300000</v>
          </cell>
          <cell r="L79">
            <v>27300000</v>
          </cell>
        </row>
        <row r="81">
          <cell r="H81">
            <v>27500000</v>
          </cell>
          <cell r="L81">
            <v>27500000</v>
          </cell>
        </row>
        <row r="84">
          <cell r="F84">
            <v>1</v>
          </cell>
          <cell r="G84">
            <v>6800000</v>
          </cell>
          <cell r="H84">
            <v>6800000</v>
          </cell>
          <cell r="J84">
            <v>1</v>
          </cell>
          <cell r="K84">
            <v>0</v>
          </cell>
          <cell r="L84">
            <v>6800000</v>
          </cell>
        </row>
        <row r="85">
          <cell r="F85">
            <v>616</v>
          </cell>
          <cell r="G85">
            <v>25000</v>
          </cell>
          <cell r="H85">
            <v>15400000</v>
          </cell>
          <cell r="J85">
            <v>616</v>
          </cell>
          <cell r="K85">
            <v>25000</v>
          </cell>
          <cell r="L85">
            <v>15400000</v>
          </cell>
        </row>
        <row r="86">
          <cell r="F86">
            <v>40</v>
          </cell>
          <cell r="G86">
            <v>60000</v>
          </cell>
          <cell r="H86">
            <v>2400000</v>
          </cell>
          <cell r="J86">
            <v>40</v>
          </cell>
          <cell r="K86">
            <v>60000</v>
          </cell>
          <cell r="L86">
            <v>2400000</v>
          </cell>
        </row>
        <row r="87">
          <cell r="F87">
            <v>40</v>
          </cell>
          <cell r="G87">
            <v>470500</v>
          </cell>
          <cell r="H87">
            <v>18820000</v>
          </cell>
          <cell r="J87">
            <v>40</v>
          </cell>
          <cell r="K87">
            <v>470500</v>
          </cell>
          <cell r="L87">
            <v>18820000</v>
          </cell>
        </row>
        <row r="88">
          <cell r="F88">
            <v>40</v>
          </cell>
          <cell r="G88">
            <v>500000</v>
          </cell>
          <cell r="H88">
            <v>20000000</v>
          </cell>
          <cell r="J88">
            <v>40</v>
          </cell>
          <cell r="K88">
            <v>500000</v>
          </cell>
          <cell r="L88">
            <v>20000000</v>
          </cell>
        </row>
        <row r="89">
          <cell r="F89">
            <v>1</v>
          </cell>
          <cell r="G89">
            <v>4000000</v>
          </cell>
          <cell r="H89">
            <v>4000000</v>
          </cell>
          <cell r="J89">
            <v>1</v>
          </cell>
          <cell r="K89">
            <v>0</v>
          </cell>
          <cell r="L89">
            <v>4000000</v>
          </cell>
        </row>
        <row r="91">
          <cell r="H91">
            <v>67420000</v>
          </cell>
          <cell r="L91">
            <v>67420000</v>
          </cell>
        </row>
        <row r="94">
          <cell r="F94">
            <v>616</v>
          </cell>
          <cell r="G94">
            <v>25000</v>
          </cell>
          <cell r="H94">
            <v>15400000</v>
          </cell>
          <cell r="J94">
            <v>616</v>
          </cell>
          <cell r="K94">
            <v>25000</v>
          </cell>
          <cell r="L94">
            <v>15400000</v>
          </cell>
        </row>
        <row r="96">
          <cell r="H96">
            <v>15400000</v>
          </cell>
          <cell r="L96">
            <v>15400000</v>
          </cell>
        </row>
        <row r="99">
          <cell r="F99">
            <v>1</v>
          </cell>
          <cell r="G99">
            <v>7727999.9999999991</v>
          </cell>
          <cell r="H99">
            <v>7727999.9999999991</v>
          </cell>
          <cell r="J99">
            <v>1</v>
          </cell>
          <cell r="K99">
            <v>7727999.9999999991</v>
          </cell>
          <cell r="L99">
            <v>7727999.9999999991</v>
          </cell>
        </row>
        <row r="100">
          <cell r="F100">
            <v>24</v>
          </cell>
          <cell r="G100">
            <v>1512000</v>
          </cell>
          <cell r="H100">
            <v>36288000</v>
          </cell>
          <cell r="J100">
            <v>24</v>
          </cell>
          <cell r="K100">
            <v>1512000</v>
          </cell>
          <cell r="L100">
            <v>36288000</v>
          </cell>
        </row>
        <row r="101">
          <cell r="F101">
            <v>24</v>
          </cell>
          <cell r="G101">
            <v>428000</v>
          </cell>
          <cell r="H101">
            <v>10272000</v>
          </cell>
          <cell r="J101">
            <v>24</v>
          </cell>
          <cell r="K101">
            <v>428000</v>
          </cell>
          <cell r="L101">
            <v>10272000</v>
          </cell>
        </row>
        <row r="103">
          <cell r="H103">
            <v>54288000</v>
          </cell>
          <cell r="L103">
            <v>54288000</v>
          </cell>
        </row>
        <row r="106">
          <cell r="F106">
            <v>1</v>
          </cell>
          <cell r="G106">
            <v>31561000</v>
          </cell>
          <cell r="H106">
            <v>31561000</v>
          </cell>
          <cell r="J106">
            <v>1</v>
          </cell>
          <cell r="K106">
            <v>31561000</v>
          </cell>
          <cell r="L106">
            <v>31561000</v>
          </cell>
        </row>
        <row r="107">
          <cell r="F107">
            <v>1</v>
          </cell>
          <cell r="G107">
            <v>9359999.9999999981</v>
          </cell>
          <cell r="H107">
            <v>9359999.9999999981</v>
          </cell>
          <cell r="J107">
            <v>1</v>
          </cell>
          <cell r="K107">
            <v>9359999.9999999981</v>
          </cell>
          <cell r="L107">
            <v>9359999.9999999981</v>
          </cell>
        </row>
        <row r="108">
          <cell r="F108">
            <v>40</v>
          </cell>
          <cell r="G108">
            <v>119800</v>
          </cell>
          <cell r="H108">
            <v>4792000</v>
          </cell>
          <cell r="J108">
            <v>40</v>
          </cell>
          <cell r="K108">
            <v>119800</v>
          </cell>
          <cell r="L108">
            <v>4792000</v>
          </cell>
        </row>
        <row r="110">
          <cell r="H110">
            <v>45713000</v>
          </cell>
          <cell r="L110">
            <v>45713000</v>
          </cell>
        </row>
        <row r="113">
          <cell r="F113">
            <v>40</v>
          </cell>
          <cell r="G113">
            <v>500000</v>
          </cell>
          <cell r="H113">
            <v>20000000</v>
          </cell>
          <cell r="J113">
            <v>40</v>
          </cell>
          <cell r="K113">
            <v>500000</v>
          </cell>
          <cell r="L113">
            <v>20000000</v>
          </cell>
        </row>
        <row r="115">
          <cell r="H115">
            <v>20000000</v>
          </cell>
          <cell r="L115">
            <v>20000000</v>
          </cell>
        </row>
        <row r="118">
          <cell r="F118">
            <v>40</v>
          </cell>
          <cell r="G118">
            <v>1500000</v>
          </cell>
          <cell r="H118">
            <v>60000000</v>
          </cell>
          <cell r="J118">
            <v>40</v>
          </cell>
          <cell r="K118">
            <v>1500000</v>
          </cell>
          <cell r="L118">
            <v>60000000</v>
          </cell>
        </row>
        <row r="120">
          <cell r="H120">
            <v>60000000</v>
          </cell>
          <cell r="L120">
            <v>60000000</v>
          </cell>
        </row>
        <row r="123">
          <cell r="F123">
            <v>1</v>
          </cell>
          <cell r="G123">
            <v>13154400</v>
          </cell>
          <cell r="H123">
            <v>13154400</v>
          </cell>
          <cell r="J123">
            <v>1</v>
          </cell>
          <cell r="K123">
            <v>13154400</v>
          </cell>
          <cell r="L123">
            <v>13154400</v>
          </cell>
        </row>
        <row r="125">
          <cell r="H125">
            <v>13154400</v>
          </cell>
          <cell r="L125">
            <v>13154400</v>
          </cell>
        </row>
        <row r="127">
          <cell r="H127">
            <v>2951835540</v>
          </cell>
          <cell r="L127">
            <v>2951835540</v>
          </cell>
        </row>
      </sheetData>
      <sheetData sheetId="12" refreshError="1"/>
      <sheetData sheetId="1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사원가계산서"/>
      <sheetName val="총괄내역서"/>
      <sheetName val="내역서"/>
      <sheetName val="수목표준대가"/>
      <sheetName val="시설구조일위대가 "/>
      <sheetName val="기초대가"/>
      <sheetName val="단가조사표"/>
      <sheetName val="지주,비료"/>
      <sheetName val="수량산출서"/>
      <sheetName val="Sheet3"/>
      <sheetName val="Sheet2 (4)"/>
      <sheetName val="Sheet2 (5)"/>
      <sheetName val="Sheet2 (6)"/>
      <sheetName val="겉장"/>
      <sheetName val="기성검사원"/>
      <sheetName val="표지"/>
      <sheetName val="갑지"/>
      <sheetName val="원가"/>
      <sheetName val="건축"/>
      <sheetName val="토목"/>
      <sheetName val="현장관리비"/>
      <sheetName val="건축내역"/>
      <sheetName val="코드표"/>
      <sheetName val="노무단가"/>
      <sheetName val="노임단가"/>
      <sheetName val="견적서"/>
      <sheetName val="노무비"/>
      <sheetName val="설계내역(당초)"/>
      <sheetName val="변경도급"/>
      <sheetName val="냉천부속동"/>
      <sheetName val="실행대비"/>
      <sheetName val="공조기"/>
      <sheetName val="내역"/>
      <sheetName val="단가표"/>
      <sheetName val="수목데이타 "/>
      <sheetName val="제출내역 (2)"/>
      <sheetName val="BID"/>
      <sheetName val="96노임기준"/>
      <sheetName val="진주방향"/>
      <sheetName val="마산방향"/>
      <sheetName val="마산방향철근집계"/>
      <sheetName val="토공사"/>
      <sheetName val="남대문빌딩"/>
      <sheetName val="경산"/>
      <sheetName val="6공구(당초)"/>
      <sheetName val="노임이"/>
      <sheetName val="철탑"/>
      <sheetName val="제철"/>
      <sheetName val="견"/>
      <sheetName val="자재단가"/>
      <sheetName val="하수급견적대비"/>
      <sheetName val="비탈면보호공수량산출"/>
      <sheetName val="1.내역(청.하역장전등)"/>
      <sheetName val="참조자료"/>
      <sheetName val="입찰안"/>
      <sheetName val="경비"/>
      <sheetName val="골조시행"/>
      <sheetName val="노단"/>
      <sheetName val="TRE TABLE"/>
      <sheetName val="집계표"/>
      <sheetName val="데이타"/>
      <sheetName val="설계명세서"/>
      <sheetName val="품셈표"/>
      <sheetName val="공통가설"/>
      <sheetName val="시중노임(공사)"/>
      <sheetName val="중기사용료산출근거"/>
      <sheetName val="단가 및 재료비"/>
      <sheetName val="남양주부대"/>
      <sheetName val="일위대가"/>
      <sheetName val="토사(PE)"/>
      <sheetName val="돈암사업"/>
      <sheetName val="변경품셈총괄"/>
      <sheetName val="일위대가표 "/>
      <sheetName val="A"/>
      <sheetName val="개소별수량산출"/>
      <sheetName val="Customer Databas"/>
      <sheetName val="2.냉난방설비공사"/>
      <sheetName val="7.자동제어공사"/>
      <sheetName val="종배수관(신)"/>
      <sheetName val="자료입력"/>
      <sheetName val="피벗테이블데이터분석"/>
      <sheetName val="적용단위길이"/>
      <sheetName val="수량산출"/>
      <sheetName val="토적집계"/>
      <sheetName val="36단가"/>
      <sheetName val="36수량"/>
      <sheetName val="지급자재"/>
      <sheetName val="49단가"/>
      <sheetName val="49산출"/>
      <sheetName val="납부서"/>
      <sheetName val="총괄표"/>
      <sheetName val="기초일위"/>
      <sheetName val="시설일위"/>
      <sheetName val="조명일위"/>
      <sheetName val="9811"/>
      <sheetName val="종배수관면벽신"/>
      <sheetName val="저수호안내역(변경예정)"/>
      <sheetName val="비교1"/>
      <sheetName val="SORCE1"/>
      <sheetName val="법면"/>
      <sheetName val="부대공"/>
      <sheetName val="구조물공"/>
      <sheetName val="중기일위대가"/>
      <sheetName val="포장공"/>
      <sheetName val="토공"/>
      <sheetName val="배수공1"/>
      <sheetName val="노임"/>
      <sheetName val="ⴭⴭⴭⴭⴭ"/>
      <sheetName val="인부노임"/>
      <sheetName val="철콘공사"/>
      <sheetName val="일반관리비"/>
      <sheetName val="대비"/>
      <sheetName val="일위대가표"/>
      <sheetName val="을지"/>
      <sheetName val="설계서을"/>
      <sheetName val="2000년1차"/>
      <sheetName val="우수받이"/>
      <sheetName val="토공A"/>
      <sheetName val="기계경비(시간당)"/>
      <sheetName val="램머"/>
      <sheetName val="예산명세서"/>
      <sheetName val="실행내역 "/>
      <sheetName val="내역분기"/>
      <sheetName val="청천내"/>
      <sheetName val="간선계산"/>
      <sheetName val="대로근거"/>
      <sheetName val="중로근거"/>
      <sheetName val="주소록"/>
      <sheetName val="차수"/>
      <sheetName val="견적업체"/>
      <sheetName val="wall"/>
      <sheetName val="Front"/>
      <sheetName val="내역서(기계)"/>
      <sheetName val="호프"/>
      <sheetName val="업체별기성내역"/>
      <sheetName val="올림픽미술관"/>
      <sheetName val="단가산출2"/>
      <sheetName val="단가산출1"/>
      <sheetName val="설계내역"/>
      <sheetName val="제안서입력"/>
      <sheetName val="절감계산"/>
      <sheetName val="보할"/>
      <sheetName val="금융비용"/>
      <sheetName val="2.대외공문"/>
      <sheetName val="인원계획-미화"/>
      <sheetName val="본문"/>
      <sheetName val="기본DATA"/>
      <sheetName val="배수공"/>
      <sheetName val="수금계획"/>
      <sheetName val="시실누(모) "/>
      <sheetName val="현우실적"/>
      <sheetName val="인건비"/>
      <sheetName val="단위당일위대가"/>
      <sheetName val="단위수량"/>
      <sheetName val="Config"/>
      <sheetName val="R&amp;D"/>
      <sheetName val="제경비율"/>
      <sheetName val="구조물공1"/>
      <sheetName val="DATA 입력란"/>
      <sheetName val="1. 설계조건 2.단면가정 3. 하중계산"/>
      <sheetName val="시설구조일위대가_"/>
      <sheetName val="Sheet2_(4)"/>
      <sheetName val="Sheet2_(5)"/>
      <sheetName val="Sheet2_(6)"/>
      <sheetName val="수목데이타_"/>
      <sheetName val="단가_및_재료비"/>
      <sheetName val="시설구조일위대가_1"/>
      <sheetName val="Sheet2_(4)1"/>
      <sheetName val="Sheet2_(5)1"/>
      <sheetName val="Sheet2_(6)1"/>
      <sheetName val="수목데이타_1"/>
      <sheetName val="단가_및_재료비1"/>
      <sheetName val="변경1총괄"/>
      <sheetName val="일위"/>
      <sheetName val="단가"/>
      <sheetName val="기안"/>
      <sheetName val="기본단가"/>
      <sheetName val="사급자재"/>
      <sheetName val="노집"/>
      <sheetName val="재집"/>
      <sheetName val="수목데이타"/>
      <sheetName val="공사비증감"/>
      <sheetName val="#REF"/>
      <sheetName val="설계"/>
      <sheetName val="토공계산서(부체도로)"/>
      <sheetName val="산출금액내역"/>
      <sheetName val="내역서01"/>
      <sheetName val="효성CB 1P기초"/>
      <sheetName val="내역(토목)"/>
      <sheetName val=" 내역"/>
      <sheetName val="날개벽"/>
      <sheetName val="01"/>
      <sheetName val="기계내역"/>
      <sheetName val="투찰추정"/>
      <sheetName val="준검 내역서"/>
      <sheetName val="공사요율"/>
      <sheetName val="소비자가"/>
      <sheetName val="경비2내역"/>
      <sheetName val="열린교실"/>
      <sheetName val="2003상반기노임기준"/>
      <sheetName val="MATERIAL"/>
      <sheetName val="수량인공"/>
      <sheetName val="공조기휀"/>
      <sheetName val="AHU집계"/>
      <sheetName val="갑지(요약)"/>
      <sheetName val="11.닥트설치공사(bm)"/>
      <sheetName val="회로내역(승인)"/>
      <sheetName val="Sheet1"/>
      <sheetName val="주방"/>
      <sheetName val="터파기및재료"/>
      <sheetName val="관급자재대"/>
      <sheetName val="소일위대가코드표"/>
      <sheetName val="급여조견표"/>
      <sheetName val="정공공사"/>
      <sheetName val="중기조종사 단위단가"/>
      <sheetName val="98수문일위"/>
      <sheetName val="FRP PIPING 일위대가"/>
      <sheetName val="상반기손익차2총괄"/>
      <sheetName val="유림골조"/>
      <sheetName val="보도공제면적"/>
      <sheetName val="개요"/>
      <sheetName val="현장관리"/>
      <sheetName val="단가조사"/>
      <sheetName val="06 일위대가목록"/>
      <sheetName val="을"/>
      <sheetName val="수곡내역"/>
      <sheetName val="98지급계획"/>
      <sheetName val="TEL"/>
      <sheetName val="대여현황"/>
      <sheetName val="hvac(제어동)"/>
      <sheetName val="변경내역"/>
      <sheetName val="6호기"/>
      <sheetName val="소방기계"/>
      <sheetName val="차액보증"/>
      <sheetName val="건축공사 집계표"/>
      <sheetName val="골조"/>
      <sheetName val="AL공사(원)"/>
      <sheetName val="공사개요"/>
      <sheetName val="현장청취복명서"/>
      <sheetName val="정부노임단가"/>
      <sheetName val="단가산출"/>
      <sheetName val="반응조"/>
      <sheetName val="DB"/>
      <sheetName val="1.설계기준"/>
      <sheetName val="전산망"/>
      <sheetName val="금액내역서"/>
      <sheetName val="현장관리비 산출내역"/>
      <sheetName val="자료"/>
      <sheetName val="admin"/>
      <sheetName val="주공기준"/>
      <sheetName val="기본1"/>
      <sheetName val="수정일위대가"/>
      <sheetName val="단가(전기)"/>
      <sheetName val="산출기준자료"/>
      <sheetName val="참조"/>
      <sheetName val="하자항목"/>
      <sheetName val="부대공Ⅱ"/>
      <sheetName val="DATE"/>
      <sheetName val="단면가정"/>
      <sheetName val="설비"/>
      <sheetName val="COST"/>
      <sheetName val="Sheet9"/>
      <sheetName val="기초목"/>
      <sheetName val="원가계산서"/>
      <sheetName val="건설기계사용료"/>
      <sheetName val="말뚝지지력산정"/>
      <sheetName val="공정집계_국별"/>
      <sheetName val="횡배수관"/>
      <sheetName val="교통대책내역"/>
      <sheetName val="Sheet15"/>
      <sheetName val="공사설명서외"/>
      <sheetName val="2설계 (웅촌고연)"/>
      <sheetName val="난간벽단위"/>
    </sheetNames>
    <sheetDataSet>
      <sheetData sheetId="0"/>
      <sheetData sheetId="1"/>
      <sheetData sheetId="2"/>
      <sheetData sheetId="3" refreshError="1">
        <row r="2">
          <cell r="J2" t="str">
            <v>금 액</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월별입출금액"/>
      <sheetName val="통장출금액"/>
      <sheetName val="Sheet1"/>
      <sheetName val="대여금회수"/>
      <sheetName val="수금황"/>
      <sheetName val="사업개요"/>
      <sheetName val="당조 손익"/>
      <sheetName val="실제손익"/>
      <sheetName val="CF"/>
      <sheetName val="수목표준대가"/>
      <sheetName val="현장관리비"/>
      <sheetName val="창신보고1"/>
    </sheetNames>
    <sheetDataSet>
      <sheetData sheetId="0"/>
      <sheetData sheetId="1">
        <row r="192">
          <cell r="A192" t="str">
            <v>'95.10.06</v>
          </cell>
          <cell r="B192">
            <v>5000000</v>
          </cell>
          <cell r="E192">
            <v>5000000</v>
          </cell>
          <cell r="G192" t="str">
            <v>#기간('95.10.4 - '95.11.10)</v>
          </cell>
          <cell r="K192" t="str">
            <v>이경희</v>
          </cell>
        </row>
        <row r="193">
          <cell r="A193" t="str">
            <v>'95.10.04</v>
          </cell>
          <cell r="B193">
            <v>110000000</v>
          </cell>
          <cell r="C193">
            <v>100000000</v>
          </cell>
          <cell r="E193">
            <v>10000000</v>
          </cell>
          <cell r="G193" t="str">
            <v>- 5.7억 상환, 두산대여0.3억,원천세1.5억납부</v>
          </cell>
          <cell r="K193" t="str">
            <v>대여금상환,임종헌,황호연</v>
          </cell>
        </row>
        <row r="194">
          <cell r="A194" t="str">
            <v>'95.09.30</v>
          </cell>
          <cell r="B194">
            <v>303000000</v>
          </cell>
          <cell r="C194">
            <v>200000000</v>
          </cell>
          <cell r="E194">
            <v>103000000</v>
          </cell>
          <cell r="K194" t="str">
            <v>대여금상환,김학경,안대환,김이철28,000천원,권윤오10,000천원</v>
          </cell>
        </row>
        <row r="195">
          <cell r="A195" t="str">
            <v>'95.09.29</v>
          </cell>
          <cell r="B195">
            <v>7000000</v>
          </cell>
          <cell r="E195">
            <v>7000000</v>
          </cell>
          <cell r="K195" t="str">
            <v>안귀만</v>
          </cell>
        </row>
        <row r="196">
          <cell r="A196" t="str">
            <v>'95.09.25</v>
          </cell>
          <cell r="B196">
            <v>45000000</v>
          </cell>
          <cell r="E196">
            <v>45000000</v>
          </cell>
          <cell r="K196" t="str">
            <v>안해준</v>
          </cell>
        </row>
        <row r="197">
          <cell r="A197" t="str">
            <v>'95.09.22</v>
          </cell>
          <cell r="B197">
            <v>62000000</v>
          </cell>
          <cell r="E197">
            <v>62000000</v>
          </cell>
          <cell r="J197"/>
          <cell r="K197" t="str">
            <v>제일은행통장 입금,김이철(농협)</v>
          </cell>
        </row>
        <row r="198">
          <cell r="A198" t="str">
            <v>'95.09.14</v>
          </cell>
          <cell r="B198">
            <v>5000000</v>
          </cell>
          <cell r="E198">
            <v>5000000</v>
          </cell>
          <cell r="K198" t="str">
            <v>임광수</v>
          </cell>
        </row>
        <row r="199">
          <cell r="A199" t="str">
            <v>'95.09.11</v>
          </cell>
          <cell r="B199">
            <v>5000000</v>
          </cell>
          <cell r="E199">
            <v>5000000</v>
          </cell>
          <cell r="K199" t="str">
            <v>차국현</v>
          </cell>
        </row>
        <row r="200">
          <cell r="A200" t="str">
            <v>'95.09.04</v>
          </cell>
          <cell r="B200">
            <v>5000000</v>
          </cell>
          <cell r="E200">
            <v>5000000</v>
          </cell>
          <cell r="K200" t="str">
            <v>김세은</v>
          </cell>
        </row>
        <row r="201">
          <cell r="A201" t="str">
            <v>'95.09.01</v>
          </cell>
          <cell r="B201">
            <v>60000000</v>
          </cell>
          <cell r="E201">
            <v>60000000</v>
          </cell>
          <cell r="K201" t="str">
            <v>황광보</v>
          </cell>
        </row>
        <row r="202">
          <cell r="A202" t="str">
            <v>'95.08.26</v>
          </cell>
          <cell r="B202">
            <v>5000000</v>
          </cell>
          <cell r="E202">
            <v>5000000</v>
          </cell>
          <cell r="K202" t="str">
            <v>이성근</v>
          </cell>
        </row>
        <row r="203">
          <cell r="A203" t="str">
            <v>'95.08.24</v>
          </cell>
          <cell r="B203">
            <v>20000000</v>
          </cell>
          <cell r="E203">
            <v>20000000</v>
          </cell>
          <cell r="K203" t="str">
            <v>김이철</v>
          </cell>
        </row>
        <row r="204">
          <cell r="A204" t="str">
            <v>'95.08.18</v>
          </cell>
          <cell r="B204">
            <v>60000000</v>
          </cell>
          <cell r="E204">
            <v>60000000</v>
          </cell>
          <cell r="K204" t="str">
            <v>김용윤(농협)</v>
          </cell>
        </row>
        <row r="205">
          <cell r="A205" t="str">
            <v>'95.08.10</v>
          </cell>
          <cell r="B205">
            <v>10000000</v>
          </cell>
          <cell r="E205">
            <v>10000000</v>
          </cell>
          <cell r="K205" t="str">
            <v>유동호</v>
          </cell>
        </row>
        <row r="206">
          <cell r="A206" t="str">
            <v>'95.08.01</v>
          </cell>
          <cell r="B206">
            <v>45000000</v>
          </cell>
          <cell r="E206">
            <v>45000000</v>
          </cell>
          <cell r="K206" t="str">
            <v>조명선(제일25,신한20)</v>
          </cell>
        </row>
        <row r="207">
          <cell r="A207" t="str">
            <v>'95.07.28</v>
          </cell>
          <cell r="B207">
            <v>50000000</v>
          </cell>
          <cell r="E207">
            <v>50000000</v>
          </cell>
          <cell r="K207" t="str">
            <v>이상화10,000천원,강만재40,000천원</v>
          </cell>
        </row>
        <row r="208">
          <cell r="A208" t="str">
            <v>'95.07.14</v>
          </cell>
          <cell r="B208">
            <v>30000000</v>
          </cell>
          <cell r="E208">
            <v>30000000</v>
          </cell>
          <cell r="K208" t="str">
            <v>박대용</v>
          </cell>
        </row>
        <row r="209">
          <cell r="A209" t="str">
            <v>'95.07.03</v>
          </cell>
          <cell r="B209">
            <v>60000000</v>
          </cell>
          <cell r="E209">
            <v>60000000</v>
          </cell>
          <cell r="K209" t="str">
            <v>박호용</v>
          </cell>
        </row>
        <row r="210">
          <cell r="A210" t="str">
            <v>'95.06.30</v>
          </cell>
          <cell r="B210">
            <v>40000000</v>
          </cell>
          <cell r="E210">
            <v>40000000</v>
          </cell>
          <cell r="K210" t="str">
            <v>하근철</v>
          </cell>
        </row>
        <row r="211">
          <cell r="A211" t="str">
            <v>'95.06.23</v>
          </cell>
          <cell r="B211">
            <v>10000000</v>
          </cell>
          <cell r="E211">
            <v>10000000</v>
          </cell>
          <cell r="K211" t="str">
            <v>김창민</v>
          </cell>
        </row>
        <row r="212">
          <cell r="A212" t="str">
            <v>'95.06.22</v>
          </cell>
          <cell r="B212">
            <v>10000000</v>
          </cell>
          <cell r="E212">
            <v>10000000</v>
          </cell>
          <cell r="K212" t="str">
            <v>김병석</v>
          </cell>
        </row>
        <row r="213">
          <cell r="A213" t="str">
            <v>'95.06.16</v>
          </cell>
          <cell r="B213">
            <v>13485000</v>
          </cell>
          <cell r="F213">
            <v>46985</v>
          </cell>
          <cell r="H213">
            <v>13485000</v>
          </cell>
          <cell r="K213" t="str">
            <v>컴아트참고(카다로그제작)</v>
          </cell>
        </row>
        <row r="214">
          <cell r="A214" t="str">
            <v>'95.06.08</v>
          </cell>
          <cell r="B214">
            <v>100000000</v>
          </cell>
          <cell r="C214">
            <v>100000000</v>
          </cell>
          <cell r="K214" t="str">
            <v>대여금상환</v>
          </cell>
        </row>
        <row r="215">
          <cell r="A215" t="str">
            <v>'95.06.07</v>
          </cell>
          <cell r="B215">
            <v>33500000</v>
          </cell>
          <cell r="G215">
            <v>33500000</v>
          </cell>
          <cell r="K215" t="str">
            <v>진입도로(곽신지,세입자)</v>
          </cell>
        </row>
        <row r="216">
          <cell r="A216" t="str">
            <v>'95.05.17</v>
          </cell>
          <cell r="B216">
            <v>45000000</v>
          </cell>
          <cell r="E216">
            <v>45000000</v>
          </cell>
          <cell r="F216">
            <v>26500</v>
          </cell>
          <cell r="K216" t="str">
            <v>유태일</v>
          </cell>
        </row>
        <row r="217">
          <cell r="A217" t="str">
            <v>'95.05.13</v>
          </cell>
          <cell r="B217">
            <v>21500000</v>
          </cell>
          <cell r="G217">
            <v>21500000</v>
          </cell>
          <cell r="K217" t="str">
            <v>진입도로(곽신지)</v>
          </cell>
        </row>
        <row r="218">
          <cell r="A218" t="str">
            <v>'95.05.10</v>
          </cell>
          <cell r="B218">
            <v>65000000</v>
          </cell>
          <cell r="E218">
            <v>60000000</v>
          </cell>
          <cell r="G218">
            <v>5000000</v>
          </cell>
          <cell r="K218" t="str">
            <v>진입도로(곽신지),나재환환불</v>
          </cell>
        </row>
        <row r="219">
          <cell r="A219" t="str">
            <v>'95.05.03</v>
          </cell>
          <cell r="B219">
            <v>30000000</v>
          </cell>
          <cell r="E219">
            <v>30000000</v>
          </cell>
          <cell r="K219" t="str">
            <v>김영환</v>
          </cell>
        </row>
        <row r="220">
          <cell r="A220" t="str">
            <v>'95.04.27</v>
          </cell>
          <cell r="B220">
            <v>10000000</v>
          </cell>
          <cell r="F220">
            <v>130885.731</v>
          </cell>
          <cell r="G220">
            <v>10000000</v>
          </cell>
          <cell r="K220" t="str">
            <v>진입도로(김용매)</v>
          </cell>
        </row>
        <row r="221">
          <cell r="A221" t="str">
            <v>'95.04.24</v>
          </cell>
          <cell r="B221">
            <v>60000000</v>
          </cell>
          <cell r="E221">
            <v>60000000</v>
          </cell>
          <cell r="K221" t="str">
            <v>김재혁45,000천원,임형순15,000천원</v>
          </cell>
        </row>
        <row r="222">
          <cell r="A222" t="str">
            <v>'95.04.21</v>
          </cell>
          <cell r="B222">
            <v>50000000</v>
          </cell>
          <cell r="C222">
            <v>50000000</v>
          </cell>
          <cell r="K222" t="str">
            <v>대여금상환</v>
          </cell>
        </row>
        <row r="223">
          <cell r="A223" t="str">
            <v>'95.04.20</v>
          </cell>
          <cell r="B223">
            <v>10000000</v>
          </cell>
          <cell r="E223">
            <v>10000000</v>
          </cell>
          <cell r="K223" t="str">
            <v>박재우</v>
          </cell>
        </row>
        <row r="224">
          <cell r="A224" t="str">
            <v>'95.04.17</v>
          </cell>
          <cell r="B224">
            <v>45000000</v>
          </cell>
          <cell r="E224">
            <v>45000000</v>
          </cell>
          <cell r="K224" t="str">
            <v>신민평</v>
          </cell>
        </row>
        <row r="225">
          <cell r="A225" t="str">
            <v>'95.04.13</v>
          </cell>
          <cell r="B225">
            <v>400000000</v>
          </cell>
          <cell r="C225">
            <v>400000000</v>
          </cell>
          <cell r="K225" t="str">
            <v>대여금상환</v>
          </cell>
        </row>
        <row r="226">
          <cell r="A226" t="str">
            <v>'95.04.07</v>
          </cell>
          <cell r="B226">
            <v>315825</v>
          </cell>
          <cell r="E226">
            <v>315825</v>
          </cell>
          <cell r="K226" t="str">
            <v>안영익      (아래내용)국맹수40,000김재철32,500천원(제일)</v>
          </cell>
        </row>
        <row r="227">
          <cell r="A227" t="str">
            <v>'95.04.06</v>
          </cell>
          <cell r="B227">
            <v>319000000</v>
          </cell>
          <cell r="C227">
            <v>100000000</v>
          </cell>
          <cell r="E227">
            <v>219000000</v>
          </cell>
          <cell r="K227" t="str">
            <v>196,500천중50,000천상환.나머지대출초과자상환/대여상환50,000천</v>
          </cell>
        </row>
        <row r="228">
          <cell r="A228" t="str">
            <v>'95.04.04</v>
          </cell>
          <cell r="B228">
            <v>1670885731</v>
          </cell>
          <cell r="C228">
            <v>1550000000</v>
          </cell>
          <cell r="D228" t="str">
            <v>신한</v>
          </cell>
          <cell r="G228">
            <v>120885731</v>
          </cell>
          <cell r="H228" t="str">
            <v>사학</v>
          </cell>
          <cell r="K228" t="str">
            <v>1,650,000천원중 100,000천사학토지대금/토지대금이자(사학)20,885,731원</v>
          </cell>
        </row>
        <row r="229">
          <cell r="A229" t="str">
            <v>'95.03.29</v>
          </cell>
          <cell r="B229">
            <v>40000000</v>
          </cell>
          <cell r="E229">
            <v>40000000</v>
          </cell>
          <cell r="K229" t="str">
            <v>이홍구</v>
          </cell>
        </row>
        <row r="230">
          <cell r="A230" t="str">
            <v>'95.03.15</v>
          </cell>
          <cell r="B230">
            <v>72500000</v>
          </cell>
          <cell r="E230">
            <v>72500000</v>
          </cell>
          <cell r="K230" t="str">
            <v>조병선40,000천원,박항석32,500천원</v>
          </cell>
        </row>
        <row r="231">
          <cell r="A231" t="str">
            <v>'95.03.14</v>
          </cell>
          <cell r="B231">
            <v>45000000</v>
          </cell>
          <cell r="E231">
            <v>45000000</v>
          </cell>
          <cell r="K231" t="str">
            <v>송종일</v>
          </cell>
        </row>
        <row r="232">
          <cell r="A232" t="str">
            <v>'95.03.03</v>
          </cell>
          <cell r="B232">
            <v>45000000</v>
          </cell>
          <cell r="E232">
            <v>45000000</v>
          </cell>
          <cell r="K232" t="str">
            <v>김종식</v>
          </cell>
        </row>
        <row r="233">
          <cell r="A233" t="str">
            <v>'95.02.27</v>
          </cell>
          <cell r="B233">
            <v>200000000</v>
          </cell>
          <cell r="C233">
            <v>200000000</v>
          </cell>
          <cell r="K233" t="str">
            <v>대여금상환</v>
          </cell>
        </row>
        <row r="234">
          <cell r="A234" t="str">
            <v>'95.02.25</v>
          </cell>
          <cell r="B234">
            <v>44800000</v>
          </cell>
          <cell r="F234">
            <v>44800</v>
          </cell>
          <cell r="G234">
            <v>44800000</v>
          </cell>
          <cell r="K234" t="str">
            <v>진입도로(107-3)</v>
          </cell>
        </row>
        <row r="235">
          <cell r="A235" t="str">
            <v>'95.02.24</v>
          </cell>
          <cell r="B235">
            <v>45000000</v>
          </cell>
          <cell r="E235">
            <v>45000000</v>
          </cell>
          <cell r="K235" t="str">
            <v>장광호</v>
          </cell>
        </row>
        <row r="236">
          <cell r="A236" t="str">
            <v>'95.02.21</v>
          </cell>
          <cell r="B236">
            <v>3700000</v>
          </cell>
          <cell r="E236">
            <v>3700000</v>
          </cell>
          <cell r="K236" t="str">
            <v>심병채</v>
          </cell>
        </row>
        <row r="237">
          <cell r="A237" t="str">
            <v>'95.02.16</v>
          </cell>
          <cell r="B237">
            <v>2800000</v>
          </cell>
          <cell r="E237">
            <v>2800000</v>
          </cell>
          <cell r="K237" t="str">
            <v>곽명영</v>
          </cell>
        </row>
        <row r="238">
          <cell r="A238" t="str">
            <v>'95.02.10</v>
          </cell>
          <cell r="B238">
            <v>30000000</v>
          </cell>
          <cell r="E238">
            <v>30000000</v>
          </cell>
          <cell r="K238" t="str">
            <v>정근호</v>
          </cell>
        </row>
        <row r="239">
          <cell r="A239" t="str">
            <v>'95.01.27</v>
          </cell>
          <cell r="B239">
            <v>26806650</v>
          </cell>
          <cell r="F239">
            <v>50693.85</v>
          </cell>
          <cell r="G239">
            <v>26806650</v>
          </cell>
          <cell r="K239" t="str">
            <v>토지대잔금(사학),윤승로1.3</v>
          </cell>
        </row>
        <row r="240">
          <cell r="A240" t="str">
            <v>'95.01.25</v>
          </cell>
          <cell r="B240">
            <v>48887200</v>
          </cell>
          <cell r="E240">
            <v>45000000</v>
          </cell>
          <cell r="G240">
            <v>3887200</v>
          </cell>
          <cell r="K240" t="str">
            <v>이훈환불, 진입로소유권이전비용</v>
          </cell>
        </row>
        <row r="241">
          <cell r="A241" t="str">
            <v>'95.01.18</v>
          </cell>
          <cell r="B241">
            <v>3700000</v>
          </cell>
          <cell r="E241">
            <v>3700000</v>
          </cell>
          <cell r="K241" t="str">
            <v>고광찬</v>
          </cell>
        </row>
        <row r="242">
          <cell r="A242" t="str">
            <v>'95.01.14</v>
          </cell>
          <cell r="B242">
            <v>20000000</v>
          </cell>
          <cell r="G242">
            <v>20000000</v>
          </cell>
          <cell r="K242" t="str">
            <v>진입로비용(김용매)</v>
          </cell>
        </row>
        <row r="243">
          <cell r="A243" t="str">
            <v>'95.01.12</v>
          </cell>
          <cell r="B243">
            <v>10000000</v>
          </cell>
          <cell r="E243">
            <v>10000000</v>
          </cell>
          <cell r="K243" t="str">
            <v>유호윤</v>
          </cell>
        </row>
        <row r="244">
          <cell r="A244" t="str">
            <v>'95.01.11</v>
          </cell>
          <cell r="B244">
            <v>340000000</v>
          </cell>
          <cell r="C244">
            <v>300000000</v>
          </cell>
          <cell r="E244">
            <v>40000000</v>
          </cell>
          <cell r="K244" t="str">
            <v>대여금상환,김찬옥</v>
          </cell>
        </row>
        <row r="245">
          <cell r="A245" t="str">
            <v>'95.01.10</v>
          </cell>
          <cell r="B245">
            <v>6500000</v>
          </cell>
          <cell r="E245">
            <v>6500000</v>
          </cell>
          <cell r="K245" t="str">
            <v>박형석, 송대용</v>
          </cell>
        </row>
        <row r="246">
          <cell r="A246" t="str">
            <v>'94.12.30</v>
          </cell>
          <cell r="B246">
            <v>122859806</v>
          </cell>
          <cell r="E246">
            <v>6200000</v>
          </cell>
          <cell r="F246">
            <v>2152859.8059999999</v>
          </cell>
          <cell r="G246">
            <v>116659806</v>
          </cell>
          <cell r="K246" t="str">
            <v>박형석,윤덕호,토지대잔금(사학)</v>
          </cell>
        </row>
        <row r="247">
          <cell r="A247" t="str">
            <v>'94.12.28</v>
          </cell>
          <cell r="B247">
            <v>27200000</v>
          </cell>
          <cell r="G247">
            <v>27200000</v>
          </cell>
          <cell r="K247" t="str">
            <v>토지대잔금(불하)</v>
          </cell>
        </row>
        <row r="248">
          <cell r="A248" t="str">
            <v>'94.12.27</v>
          </cell>
          <cell r="B248">
            <v>210000000</v>
          </cell>
          <cell r="G248">
            <v>210000000</v>
          </cell>
          <cell r="K248" t="str">
            <v>진입로 부지</v>
          </cell>
        </row>
        <row r="249">
          <cell r="A249" t="str">
            <v>'94.12.26</v>
          </cell>
          <cell r="B249">
            <v>619000000</v>
          </cell>
          <cell r="E249">
            <v>20000000</v>
          </cell>
          <cell r="G249">
            <v>599000000</v>
          </cell>
          <cell r="K249" t="str">
            <v>진입로 부지, 공삼용환불</v>
          </cell>
        </row>
        <row r="250">
          <cell r="A250" t="str">
            <v>'94.12.20</v>
          </cell>
          <cell r="B250">
            <v>40000000</v>
          </cell>
          <cell r="E250">
            <v>40000000</v>
          </cell>
          <cell r="K250" t="str">
            <v>이기훈</v>
          </cell>
        </row>
        <row r="251">
          <cell r="A251" t="str">
            <v>'94.12.19</v>
          </cell>
          <cell r="B251">
            <v>62500000</v>
          </cell>
          <cell r="E251">
            <v>62500000</v>
          </cell>
          <cell r="K251" t="str">
            <v>최기자, 김원동</v>
          </cell>
        </row>
        <row r="252">
          <cell r="A252" t="str">
            <v>'94.12.15</v>
          </cell>
          <cell r="B252">
            <v>1200000000</v>
          </cell>
          <cell r="G252">
            <v>1200000000</v>
          </cell>
          <cell r="K252" t="str">
            <v>토지대(사학)</v>
          </cell>
        </row>
        <row r="253">
          <cell r="A253" t="str">
            <v>'94.12.08</v>
          </cell>
          <cell r="B253">
            <v>25000000</v>
          </cell>
          <cell r="E253">
            <v>25000000</v>
          </cell>
          <cell r="K253" t="str">
            <v>최정식</v>
          </cell>
        </row>
        <row r="254">
          <cell r="A254" t="str">
            <v>'94.11.30</v>
          </cell>
          <cell r="B254">
            <v>320000000</v>
          </cell>
          <cell r="E254">
            <v>56000000</v>
          </cell>
          <cell r="F254">
            <v>579000</v>
          </cell>
          <cell r="G254">
            <v>264000000</v>
          </cell>
          <cell r="K254" t="str">
            <v>진입도로,이승수,윤광준,김효순,변한숙</v>
          </cell>
        </row>
        <row r="255">
          <cell r="A255" t="str">
            <v>'94.11.29</v>
          </cell>
          <cell r="B255">
            <v>70000000</v>
          </cell>
          <cell r="C255">
            <v>40000000</v>
          </cell>
          <cell r="E255">
            <v>30000000</v>
          </cell>
          <cell r="K255" t="str">
            <v>본사40,000천원, 이재천30,000천원</v>
          </cell>
        </row>
        <row r="256">
          <cell r="A256" t="str">
            <v>'94.11.25</v>
          </cell>
          <cell r="B256">
            <v>315000000</v>
          </cell>
          <cell r="G256">
            <v>315000000</v>
          </cell>
          <cell r="K256" t="str">
            <v>진입도로부지</v>
          </cell>
        </row>
        <row r="257">
          <cell r="A257" t="str">
            <v>'94.11.21</v>
          </cell>
          <cell r="B257">
            <v>47500000</v>
          </cell>
          <cell r="E257">
            <v>47500000</v>
          </cell>
          <cell r="K257" t="str">
            <v>이각순30,000천원,강정애17,500천원</v>
          </cell>
        </row>
        <row r="258">
          <cell r="A258" t="str">
            <v>'94.11.09</v>
          </cell>
          <cell r="B258">
            <v>10000000</v>
          </cell>
          <cell r="E258">
            <v>10000000</v>
          </cell>
          <cell r="K258" t="str">
            <v>이학률</v>
          </cell>
        </row>
        <row r="259">
          <cell r="A259" t="str">
            <v>'94.11.04</v>
          </cell>
          <cell r="B259">
            <v>2500000</v>
          </cell>
          <cell r="E259">
            <v>2500000</v>
          </cell>
          <cell r="K259" t="str">
            <v>우찬제</v>
          </cell>
        </row>
        <row r="260">
          <cell r="A260" t="str">
            <v>'94.10.25</v>
          </cell>
          <cell r="B260">
            <v>120000000</v>
          </cell>
          <cell r="E260">
            <v>30000000</v>
          </cell>
          <cell r="F260">
            <v>90000</v>
          </cell>
          <cell r="G260">
            <v>90000000</v>
          </cell>
          <cell r="K260" t="str">
            <v>우찬제30,000천원,진입로부지</v>
          </cell>
        </row>
        <row r="261">
          <cell r="A261" t="str">
            <v>'94.10.07</v>
          </cell>
          <cell r="B261">
            <v>30000000</v>
          </cell>
          <cell r="E261">
            <v>30000000</v>
          </cell>
          <cell r="K261" t="str">
            <v>최무용</v>
          </cell>
        </row>
        <row r="262">
          <cell r="A262" t="str">
            <v>'94.09.26</v>
          </cell>
          <cell r="B262">
            <v>30000000</v>
          </cell>
          <cell r="E262">
            <v>30000000</v>
          </cell>
          <cell r="K262" t="str">
            <v>최승훈</v>
          </cell>
        </row>
        <row r="263">
          <cell r="A263" t="str">
            <v>'94.09.10</v>
          </cell>
          <cell r="B263">
            <v>40000000</v>
          </cell>
          <cell r="E263">
            <v>40000000</v>
          </cell>
          <cell r="K263" t="str">
            <v>정귀연</v>
          </cell>
        </row>
        <row r="264">
          <cell r="A264" t="str">
            <v>'94.09.08</v>
          </cell>
          <cell r="B264">
            <v>20000000</v>
          </cell>
          <cell r="E264">
            <v>20000000</v>
          </cell>
          <cell r="K264" t="str">
            <v>김창균</v>
          </cell>
        </row>
        <row r="265">
          <cell r="A265" t="str">
            <v>'94.09.07</v>
          </cell>
          <cell r="B265">
            <v>10000000</v>
          </cell>
          <cell r="E265">
            <v>10000000</v>
          </cell>
          <cell r="K265" t="str">
            <v>정명수</v>
          </cell>
        </row>
        <row r="266">
          <cell r="A266" t="str">
            <v>'94.09.06</v>
          </cell>
          <cell r="B266">
            <v>30000000</v>
          </cell>
          <cell r="E266">
            <v>30000000</v>
          </cell>
          <cell r="K266" t="str">
            <v>최병영</v>
          </cell>
        </row>
        <row r="267">
          <cell r="A267" t="str">
            <v>'94.08.25</v>
          </cell>
          <cell r="B267">
            <v>60000000</v>
          </cell>
          <cell r="F267">
            <v>60000</v>
          </cell>
          <cell r="G267">
            <v>60000000</v>
          </cell>
          <cell r="K267" t="str">
            <v>진입도로</v>
          </cell>
        </row>
        <row r="268">
          <cell r="A268" t="str">
            <v>'94.08.22</v>
          </cell>
          <cell r="B268">
            <v>65000000</v>
          </cell>
          <cell r="E268">
            <v>65000000</v>
          </cell>
          <cell r="K268" t="str">
            <v>오병진32,500천원,이수범32,500천원</v>
          </cell>
        </row>
        <row r="269">
          <cell r="A269" t="str">
            <v>'94.08.03</v>
          </cell>
          <cell r="B269">
            <v>330000000</v>
          </cell>
          <cell r="C269">
            <v>300000000</v>
          </cell>
          <cell r="E269">
            <v>30000000</v>
          </cell>
          <cell r="K269" t="str">
            <v>대여금상환,윤영복 환불</v>
          </cell>
        </row>
        <row r="270">
          <cell r="A270" t="str">
            <v>'94.08.02</v>
          </cell>
          <cell r="B270">
            <v>30000000</v>
          </cell>
          <cell r="E270">
            <v>30000000</v>
          </cell>
          <cell r="K270" t="str">
            <v>박우찬</v>
          </cell>
        </row>
        <row r="271">
          <cell r="A271" t="str">
            <v>'94.07.27</v>
          </cell>
          <cell r="B271">
            <v>3000000</v>
          </cell>
          <cell r="E271">
            <v>3000000</v>
          </cell>
          <cell r="K271" t="str">
            <v>구정회</v>
          </cell>
        </row>
        <row r="272">
          <cell r="A272" t="str">
            <v>'94.07.25</v>
          </cell>
          <cell r="B272">
            <v>10000000</v>
          </cell>
          <cell r="E272">
            <v>10000000</v>
          </cell>
          <cell r="K272" t="str">
            <v>안영태</v>
          </cell>
        </row>
        <row r="273">
          <cell r="A273" t="str">
            <v>'94.07.21</v>
          </cell>
          <cell r="B273">
            <v>12700000</v>
          </cell>
          <cell r="E273">
            <v>12700000</v>
          </cell>
          <cell r="K273" t="str">
            <v>김찬식</v>
          </cell>
        </row>
        <row r="274">
          <cell r="A274" t="str">
            <v>'94.07.11</v>
          </cell>
          <cell r="B274">
            <v>31688000</v>
          </cell>
          <cell r="F274">
            <v>31688</v>
          </cell>
          <cell r="J274">
            <v>31688000</v>
          </cell>
          <cell r="K274" t="str">
            <v>감정평가수수료</v>
          </cell>
        </row>
        <row r="275">
          <cell r="A275" t="str">
            <v>'94.07.04</v>
          </cell>
          <cell r="B275">
            <v>28000000</v>
          </cell>
          <cell r="C275"/>
          <cell r="E275">
            <v>28000000</v>
          </cell>
          <cell r="K275" t="str">
            <v>황기서</v>
          </cell>
        </row>
        <row r="276">
          <cell r="A276" t="str">
            <v>'94.06.28</v>
          </cell>
          <cell r="B276">
            <v>20000000</v>
          </cell>
          <cell r="E276">
            <v>20000000</v>
          </cell>
          <cell r="K276" t="str">
            <v>김이철</v>
          </cell>
        </row>
        <row r="277">
          <cell r="A277" t="str">
            <v>'94.06.23</v>
          </cell>
          <cell r="B277">
            <v>120000000</v>
          </cell>
          <cell r="C277">
            <v>100000000</v>
          </cell>
          <cell r="E277">
            <v>20000000</v>
          </cell>
          <cell r="K277" t="str">
            <v>대여금 상환,김이철</v>
          </cell>
        </row>
        <row r="278">
          <cell r="A278" t="str">
            <v>'94.06.20</v>
          </cell>
          <cell r="B278">
            <v>32500000</v>
          </cell>
          <cell r="E278">
            <v>32500000</v>
          </cell>
          <cell r="K278" t="str">
            <v>반재봉15,000천원,최영길17,500천원</v>
          </cell>
        </row>
        <row r="279">
          <cell r="A279" t="str">
            <v>'94.06.13</v>
          </cell>
          <cell r="B279">
            <v>17500000</v>
          </cell>
          <cell r="E279">
            <v>17500000</v>
          </cell>
          <cell r="K279" t="str">
            <v>서계문</v>
          </cell>
        </row>
        <row r="280">
          <cell r="A280" t="str">
            <v>'94.06.08</v>
          </cell>
          <cell r="B280">
            <v>20000000</v>
          </cell>
          <cell r="E280">
            <v>20000000</v>
          </cell>
          <cell r="K280" t="str">
            <v>최명식</v>
          </cell>
        </row>
        <row r="281">
          <cell r="A281" t="str">
            <v>'94.06.03</v>
          </cell>
          <cell r="B281">
            <v>100000000</v>
          </cell>
          <cell r="C281">
            <v>100000000</v>
          </cell>
          <cell r="K281" t="str">
            <v>대여금상환</v>
          </cell>
        </row>
        <row r="282">
          <cell r="A282" t="str">
            <v>'94.06.02</v>
          </cell>
          <cell r="B282">
            <v>0</v>
          </cell>
          <cell r="E282"/>
          <cell r="K282"/>
        </row>
        <row r="283">
          <cell r="A283" t="str">
            <v>'94.05.30</v>
          </cell>
          <cell r="B283">
            <v>30000000</v>
          </cell>
          <cell r="E283">
            <v>30000000</v>
          </cell>
          <cell r="K283" t="str">
            <v>나재환</v>
          </cell>
        </row>
        <row r="284">
          <cell r="A284" t="str">
            <v>'94.05.26</v>
          </cell>
          <cell r="B284">
            <v>2500000</v>
          </cell>
          <cell r="E284">
            <v>2500000</v>
          </cell>
          <cell r="K284" t="str">
            <v>이영주</v>
          </cell>
        </row>
        <row r="285">
          <cell r="A285" t="str">
            <v>'94.05.17</v>
          </cell>
          <cell r="B285">
            <v>30000000</v>
          </cell>
          <cell r="E285">
            <v>30000000</v>
          </cell>
          <cell r="K285" t="str">
            <v>양순봉</v>
          </cell>
        </row>
        <row r="286">
          <cell r="A286" t="str">
            <v>'94.05.11</v>
          </cell>
          <cell r="B286">
            <v>20000000</v>
          </cell>
          <cell r="E286">
            <v>20000000</v>
          </cell>
          <cell r="K286" t="str">
            <v>유향옥(농협)</v>
          </cell>
        </row>
        <row r="287">
          <cell r="A287" t="str">
            <v>'94.05.10</v>
          </cell>
          <cell r="B287">
            <v>100000000</v>
          </cell>
          <cell r="C287">
            <v>100000000</v>
          </cell>
          <cell r="K287" t="str">
            <v>대여금상환</v>
          </cell>
        </row>
        <row r="288">
          <cell r="A288" t="str">
            <v>'94.05.09</v>
          </cell>
          <cell r="B288">
            <v>2500000</v>
          </cell>
          <cell r="E288">
            <v>2500000</v>
          </cell>
          <cell r="K288" t="str">
            <v>차종우</v>
          </cell>
        </row>
        <row r="289">
          <cell r="A289" t="str">
            <v>'94.05.06</v>
          </cell>
          <cell r="B289">
            <v>100000000</v>
          </cell>
          <cell r="C289">
            <v>100000000</v>
          </cell>
          <cell r="K289" t="str">
            <v>대여금상환</v>
          </cell>
        </row>
        <row r="290">
          <cell r="A290" t="str">
            <v>'94.05.04</v>
          </cell>
          <cell r="B290">
            <v>15000000</v>
          </cell>
          <cell r="E290">
            <v>15000000</v>
          </cell>
          <cell r="K290" t="str">
            <v>송영준</v>
          </cell>
        </row>
        <row r="291">
          <cell r="A291" t="str">
            <v>'94.05.02</v>
          </cell>
          <cell r="B291">
            <v>147500000</v>
          </cell>
          <cell r="C291">
            <v>100000000</v>
          </cell>
          <cell r="E291">
            <v>47500000</v>
          </cell>
          <cell r="K291" t="str">
            <v>대여금상환,유용삼,유근숙,김종호,라금욱</v>
          </cell>
        </row>
        <row r="292">
          <cell r="A292" t="str">
            <v>'94.04.30</v>
          </cell>
          <cell r="B292">
            <v>100000000</v>
          </cell>
          <cell r="C292">
            <v>100000000</v>
          </cell>
          <cell r="K292" t="str">
            <v>대여금상환</v>
          </cell>
        </row>
        <row r="293">
          <cell r="A293" t="str">
            <v>'94.04.29</v>
          </cell>
          <cell r="B293">
            <v>152500000</v>
          </cell>
          <cell r="C293">
            <v>100000000</v>
          </cell>
          <cell r="E293">
            <v>52500000</v>
          </cell>
          <cell r="K293" t="str">
            <v>대여금상환,강성훈20,000.심영석32,500천원</v>
          </cell>
        </row>
        <row r="294">
          <cell r="A294" t="str">
            <v>'94.04.27</v>
          </cell>
          <cell r="B294">
            <v>300000000</v>
          </cell>
          <cell r="C294">
            <v>300000000</v>
          </cell>
          <cell r="K294" t="str">
            <v>대여금상환</v>
          </cell>
        </row>
        <row r="295">
          <cell r="A295" t="str">
            <v>'94.04.25</v>
          </cell>
          <cell r="B295">
            <v>102500000</v>
          </cell>
          <cell r="C295">
            <v>100000000</v>
          </cell>
          <cell r="E295">
            <v>2500000</v>
          </cell>
          <cell r="K295" t="str">
            <v>대여금상환, 곽성호</v>
          </cell>
        </row>
        <row r="296">
          <cell r="A296" t="str">
            <v>'94.04.21</v>
          </cell>
          <cell r="B296">
            <v>100000000</v>
          </cell>
          <cell r="C296">
            <v>100000000</v>
          </cell>
          <cell r="K296" t="str">
            <v>대여금상환</v>
          </cell>
        </row>
        <row r="297">
          <cell r="A297" t="str">
            <v>'94.04.20</v>
          </cell>
          <cell r="B297">
            <v>300000000</v>
          </cell>
          <cell r="C297">
            <v>300000000</v>
          </cell>
          <cell r="K297" t="str">
            <v>대여금상환</v>
          </cell>
        </row>
        <row r="298">
          <cell r="A298" t="str">
            <v>'94.04.18</v>
          </cell>
          <cell r="B298">
            <v>180500000</v>
          </cell>
          <cell r="C298">
            <v>100000000</v>
          </cell>
          <cell r="E298">
            <v>80500000</v>
          </cell>
          <cell r="K298" t="str">
            <v>대여금상환,어유선,김석수,김기훈,이동희</v>
          </cell>
        </row>
        <row r="299">
          <cell r="A299" t="str">
            <v>'94.04.11</v>
          </cell>
          <cell r="B299">
            <v>59510000</v>
          </cell>
          <cell r="E299">
            <v>59510000</v>
          </cell>
          <cell r="K299" t="str">
            <v>홍석식,전영주</v>
          </cell>
        </row>
        <row r="300">
          <cell r="A300" t="str">
            <v>'94.04.07</v>
          </cell>
          <cell r="B300">
            <v>117500000</v>
          </cell>
          <cell r="C300">
            <v>100000000</v>
          </cell>
          <cell r="E300">
            <v>17500000</v>
          </cell>
          <cell r="K300" t="str">
            <v>대여금상환,이태종15,000,유성문2,500천원</v>
          </cell>
        </row>
        <row r="301">
          <cell r="A301" t="str">
            <v>'94.04.06</v>
          </cell>
          <cell r="B301">
            <v>265000000</v>
          </cell>
          <cell r="C301">
            <v>250000000</v>
          </cell>
          <cell r="E301">
            <v>15000000</v>
          </cell>
          <cell r="K301" t="str">
            <v>대여금상환,김광호15,000천원</v>
          </cell>
        </row>
        <row r="302">
          <cell r="A302" t="str">
            <v>'94.04.01</v>
          </cell>
          <cell r="B302">
            <v>200000000</v>
          </cell>
          <cell r="C302">
            <v>200000000</v>
          </cell>
          <cell r="K302" t="str">
            <v>대여금상환</v>
          </cell>
        </row>
        <row r="303">
          <cell r="A303" t="str">
            <v>'94.03.31</v>
          </cell>
          <cell r="B303">
            <v>646428464</v>
          </cell>
          <cell r="F303">
            <v>4246428.4639999997</v>
          </cell>
          <cell r="G303">
            <v>646428464</v>
          </cell>
          <cell r="K303" t="str">
            <v>사학</v>
          </cell>
        </row>
        <row r="304">
          <cell r="A304" t="str">
            <v>'94.03.30</v>
          </cell>
          <cell r="B304">
            <v>1400000000</v>
          </cell>
          <cell r="C304"/>
          <cell r="G304">
            <v>1400000000</v>
          </cell>
          <cell r="K304" t="str">
            <v>사학</v>
          </cell>
        </row>
        <row r="305">
          <cell r="A305" t="str">
            <v>'94.03.29</v>
          </cell>
          <cell r="B305">
            <v>500000000</v>
          </cell>
          <cell r="C305"/>
          <cell r="G305">
            <v>500000000</v>
          </cell>
          <cell r="K305" t="str">
            <v>사학</v>
          </cell>
        </row>
        <row r="306">
          <cell r="A306" t="str">
            <v>'94.03.28</v>
          </cell>
          <cell r="B306">
            <v>417500000</v>
          </cell>
          <cell r="C306"/>
          <cell r="E306">
            <v>17500000</v>
          </cell>
          <cell r="G306">
            <v>400000000</v>
          </cell>
          <cell r="K306" t="str">
            <v>사학,김정권17,500천원</v>
          </cell>
        </row>
        <row r="307">
          <cell r="A307" t="str">
            <v>'94.03.22</v>
          </cell>
          <cell r="B307">
            <v>722500000</v>
          </cell>
          <cell r="C307"/>
          <cell r="E307">
            <v>22500000</v>
          </cell>
          <cell r="G307">
            <v>700000000</v>
          </cell>
          <cell r="K307" t="str">
            <v>사학,박성심.우정희5,000천원,김혜영15,000천원,이필재2,500천원</v>
          </cell>
        </row>
        <row r="308">
          <cell r="A308" t="str">
            <v>'94.03.21</v>
          </cell>
          <cell r="B308">
            <v>25000000</v>
          </cell>
          <cell r="E308">
            <v>25000000</v>
          </cell>
          <cell r="K308" t="str">
            <v>김정욱.유현철5,000천원,유연상20,000천원</v>
          </cell>
        </row>
        <row r="309">
          <cell r="A309" t="str">
            <v>'94.03.16</v>
          </cell>
          <cell r="B309">
            <v>600000000</v>
          </cell>
          <cell r="C309"/>
          <cell r="G309">
            <v>600000000</v>
          </cell>
          <cell r="K309" t="str">
            <v>사학</v>
          </cell>
        </row>
        <row r="310">
          <cell r="A310" t="str">
            <v>'94.03.14</v>
          </cell>
          <cell r="B310">
            <v>40000000</v>
          </cell>
          <cell r="E310">
            <v>40000000</v>
          </cell>
          <cell r="K310" t="str">
            <v>박복순.김재구20,000천원,구경모17,500천원,이은용2,500천원</v>
          </cell>
        </row>
        <row r="311">
          <cell r="A311" t="str">
            <v>'94.03.08</v>
          </cell>
          <cell r="B311">
            <v>5500000</v>
          </cell>
          <cell r="E311">
            <v>5500000</v>
          </cell>
          <cell r="K311" t="str">
            <v>한상만2,500.정재열3,000천원</v>
          </cell>
        </row>
        <row r="312">
          <cell r="A312" t="str">
            <v>'94.03.07</v>
          </cell>
          <cell r="B312">
            <v>7500000</v>
          </cell>
          <cell r="E312">
            <v>7500000</v>
          </cell>
          <cell r="K312" t="str">
            <v>김유근.김평수5,000천원,홍경모2,500천원</v>
          </cell>
        </row>
        <row r="313">
          <cell r="A313" t="str">
            <v>'94.03.03</v>
          </cell>
          <cell r="B313">
            <v>24000000</v>
          </cell>
          <cell r="E313">
            <v>24000000</v>
          </cell>
          <cell r="K313" t="str">
            <v>박명균,이철재,김동현,조감연</v>
          </cell>
        </row>
        <row r="314">
          <cell r="A314" t="str">
            <v>'94.03.02</v>
          </cell>
          <cell r="B314">
            <v>205500000</v>
          </cell>
          <cell r="C314">
            <v>200000000</v>
          </cell>
          <cell r="E314">
            <v>5500000</v>
          </cell>
          <cell r="K314" t="str">
            <v>대여금상환,이재완,송돈헌</v>
          </cell>
        </row>
        <row r="315">
          <cell r="A315" t="str">
            <v>'94.02.04</v>
          </cell>
          <cell r="B315">
            <v>500000000</v>
          </cell>
          <cell r="C315">
            <v>500000000</v>
          </cell>
          <cell r="K315" t="str">
            <v>대여금상환</v>
          </cell>
        </row>
        <row r="316">
          <cell r="A316" t="str">
            <v>'94.02.02</v>
          </cell>
          <cell r="B316">
            <v>2500000</v>
          </cell>
          <cell r="E316">
            <v>2500000</v>
          </cell>
          <cell r="K316" t="str">
            <v>이효득</v>
          </cell>
        </row>
        <row r="317">
          <cell r="A317" t="str">
            <v>'94.01.31</v>
          </cell>
          <cell r="B317">
            <v>5500000</v>
          </cell>
          <cell r="E317">
            <v>5500000</v>
          </cell>
          <cell r="K317" t="str">
            <v>박은선,이웅수</v>
          </cell>
        </row>
        <row r="318">
          <cell r="A318" t="str">
            <v>'94.01.25</v>
          </cell>
          <cell r="B318">
            <v>10500000</v>
          </cell>
          <cell r="C318">
            <v>5000000</v>
          </cell>
          <cell r="E318">
            <v>5500000</v>
          </cell>
          <cell r="K318" t="str">
            <v>대여금상환,김의호,서인순</v>
          </cell>
        </row>
        <row r="319">
          <cell r="A319" t="str">
            <v>'94.01.24</v>
          </cell>
          <cell r="B319">
            <v>711000000</v>
          </cell>
          <cell r="C319"/>
          <cell r="E319">
            <v>11000000</v>
          </cell>
          <cell r="F319">
            <v>772079.25</v>
          </cell>
          <cell r="G319">
            <v>700000000</v>
          </cell>
          <cell r="K319" t="str">
            <v>사학,이명우,정종희,황한규,서순예</v>
          </cell>
        </row>
        <row r="320">
          <cell r="A320" t="str">
            <v>'94.01.13</v>
          </cell>
          <cell r="B320">
            <v>3000000</v>
          </cell>
          <cell r="E320">
            <v>3000000</v>
          </cell>
          <cell r="K320" t="str">
            <v>정헌선</v>
          </cell>
        </row>
        <row r="321">
          <cell r="A321" t="str">
            <v>'94.01.12</v>
          </cell>
          <cell r="B321">
            <v>2500000</v>
          </cell>
          <cell r="E321">
            <v>2500000</v>
          </cell>
          <cell r="K321" t="str">
            <v>김정남</v>
          </cell>
        </row>
        <row r="322">
          <cell r="A322" t="str">
            <v>'94.01.11</v>
          </cell>
          <cell r="B322">
            <v>2500000</v>
          </cell>
          <cell r="E322">
            <v>2500000</v>
          </cell>
          <cell r="K322" t="str">
            <v>김정현</v>
          </cell>
        </row>
        <row r="323">
          <cell r="A323" t="str">
            <v>'94.01.07</v>
          </cell>
          <cell r="B323">
            <v>3000000</v>
          </cell>
          <cell r="E323">
            <v>3000000</v>
          </cell>
          <cell r="K323" t="str">
            <v>김봉환</v>
          </cell>
        </row>
        <row r="324">
          <cell r="A324" t="str">
            <v>'94.01.06</v>
          </cell>
          <cell r="B324">
            <v>79579250</v>
          </cell>
          <cell r="C324"/>
          <cell r="E324">
            <v>7500000</v>
          </cell>
          <cell r="G324">
            <v>72079250</v>
          </cell>
          <cell r="K324" t="str">
            <v>사학(제일47,000천원,동화25,079.250천원),김수일2,500천원,윤덕호2,500천원,허영금2.50천원</v>
          </cell>
        </row>
        <row r="325">
          <cell r="A325" t="str">
            <v>'93.12.30</v>
          </cell>
          <cell r="B325">
            <v>178500000</v>
          </cell>
          <cell r="E325">
            <v>8500000</v>
          </cell>
          <cell r="F325">
            <v>170000</v>
          </cell>
          <cell r="G325">
            <v>170000000</v>
          </cell>
          <cell r="K325" t="str">
            <v>사학,김종철,김일식,허영근</v>
          </cell>
        </row>
        <row r="326">
          <cell r="A326" t="str">
            <v>'93.12.29</v>
          </cell>
          <cell r="B326">
            <v>2500000</v>
          </cell>
          <cell r="E326">
            <v>2500000</v>
          </cell>
          <cell r="K326" t="str">
            <v>이승호</v>
          </cell>
        </row>
        <row r="327">
          <cell r="A327" t="str">
            <v>'93.12.13</v>
          </cell>
          <cell r="B327">
            <v>22000000</v>
          </cell>
          <cell r="C327">
            <v>22000000</v>
          </cell>
          <cell r="E327">
            <v>0</v>
          </cell>
          <cell r="K327" t="str">
            <v>공삼영,백건균</v>
          </cell>
        </row>
        <row r="328">
          <cell r="A328" t="str">
            <v>'93.12.08</v>
          </cell>
          <cell r="B328">
            <v>13000000</v>
          </cell>
          <cell r="C328">
            <v>13000000</v>
          </cell>
          <cell r="E328"/>
          <cell r="K328" t="str">
            <v>대여금상환</v>
          </cell>
        </row>
        <row r="329">
          <cell r="A329" t="str">
            <v>'93.11.23</v>
          </cell>
          <cell r="B329">
            <v>20000000</v>
          </cell>
          <cell r="E329">
            <v>20000000</v>
          </cell>
          <cell r="K329" t="str">
            <v>이기남</v>
          </cell>
        </row>
        <row r="330">
          <cell r="A330" t="str">
            <v>'93.11.18</v>
          </cell>
          <cell r="B330">
            <v>30000000</v>
          </cell>
          <cell r="E330">
            <v>30000000</v>
          </cell>
          <cell r="K330" t="str">
            <v>은연수,이덕우</v>
          </cell>
        </row>
        <row r="331">
          <cell r="A331" t="str">
            <v>'93.11.10</v>
          </cell>
          <cell r="B331">
            <v>15000000</v>
          </cell>
          <cell r="E331">
            <v>15000000</v>
          </cell>
          <cell r="K331" t="str">
            <v>김재호</v>
          </cell>
        </row>
        <row r="332">
          <cell r="A332" t="str">
            <v>'93.10.14</v>
          </cell>
          <cell r="B332">
            <v>39000000</v>
          </cell>
          <cell r="C332">
            <v>39000000</v>
          </cell>
          <cell r="K332" t="str">
            <v>대여금상환(제일15,000,동아24,000천원)</v>
          </cell>
        </row>
        <row r="333">
          <cell r="A333" t="str">
            <v>'93.10.06</v>
          </cell>
          <cell r="B333">
            <v>56500000</v>
          </cell>
          <cell r="C333">
            <v>26500000</v>
          </cell>
          <cell r="E333">
            <v>30000000</v>
          </cell>
          <cell r="K333" t="str">
            <v>대여금상환,정병찬,송종면</v>
          </cell>
        </row>
        <row r="334">
          <cell r="A334" t="str">
            <v>'93.10.04</v>
          </cell>
          <cell r="B334">
            <v>15000000</v>
          </cell>
          <cell r="E334">
            <v>15000000</v>
          </cell>
          <cell r="K334" t="str">
            <v>민형기</v>
          </cell>
        </row>
        <row r="335">
          <cell r="A335" t="str">
            <v>'93.09.27</v>
          </cell>
          <cell r="B335">
            <v>65000000</v>
          </cell>
          <cell r="C335">
            <v>65000000</v>
          </cell>
          <cell r="K335" t="str">
            <v>대여금상환</v>
          </cell>
        </row>
        <row r="336">
          <cell r="A336" t="str">
            <v>'93.09.16</v>
          </cell>
          <cell r="B336">
            <v>38000000</v>
          </cell>
          <cell r="C336">
            <v>38000000</v>
          </cell>
          <cell r="K336" t="str">
            <v>대여금상환</v>
          </cell>
        </row>
        <row r="337">
          <cell r="A337" t="str">
            <v>'93.09.13</v>
          </cell>
          <cell r="B337">
            <v>50000000</v>
          </cell>
          <cell r="C337">
            <v>50000000</v>
          </cell>
          <cell r="K337" t="str">
            <v>대여금상환</v>
          </cell>
        </row>
        <row r="338">
          <cell r="A338" t="str">
            <v>'93.09.08</v>
          </cell>
          <cell r="B338">
            <v>15000000</v>
          </cell>
          <cell r="C338">
            <v>15000000</v>
          </cell>
          <cell r="K338" t="str">
            <v>대여금상환</v>
          </cell>
        </row>
        <row r="339">
          <cell r="A339" t="str">
            <v>'93.09.03</v>
          </cell>
          <cell r="B339">
            <v>48000000</v>
          </cell>
          <cell r="C339">
            <v>48000000</v>
          </cell>
          <cell r="K339" t="str">
            <v>대여금상환</v>
          </cell>
        </row>
        <row r="340">
          <cell r="A340" t="str">
            <v>'93.09.02</v>
          </cell>
          <cell r="B340">
            <v>47600000</v>
          </cell>
          <cell r="C340">
            <v>42600000</v>
          </cell>
          <cell r="E340">
            <v>5000000</v>
          </cell>
          <cell r="K340" t="str">
            <v>대여금상환(제일34,000천원,축협8,600천원),최금자</v>
          </cell>
        </row>
        <row r="341">
          <cell r="A341" t="str">
            <v>'93.09.01</v>
          </cell>
          <cell r="B341">
            <v>866900000</v>
          </cell>
          <cell r="C341">
            <v>866900000</v>
          </cell>
          <cell r="K341" t="str">
            <v>대여금상환(제일685,000천원,축협181,400천원)</v>
          </cell>
        </row>
        <row r="342">
          <cell r="A342" t="str">
            <v>'93.08.31</v>
          </cell>
          <cell r="B342">
            <v>1248000000</v>
          </cell>
          <cell r="C342">
            <v>1248000000</v>
          </cell>
          <cell r="K342" t="str">
            <v>대여금상환</v>
          </cell>
        </row>
        <row r="343">
          <cell r="A343" t="str">
            <v>'93.08.02</v>
          </cell>
          <cell r="B343">
            <v>20000000</v>
          </cell>
          <cell r="C343">
            <v>20000000</v>
          </cell>
        </row>
        <row r="344">
          <cell r="A344" t="str">
            <v>'93.07.06</v>
          </cell>
          <cell r="B344">
            <v>10000000</v>
          </cell>
          <cell r="C344">
            <v>10000000</v>
          </cell>
        </row>
        <row r="345">
          <cell r="A345" t="str">
            <v>'93.05.14</v>
          </cell>
          <cell r="B345">
            <v>35000000</v>
          </cell>
          <cell r="E345">
            <v>35000000</v>
          </cell>
          <cell r="K345" t="str">
            <v>최금환15,000천원,최성환20,000천원</v>
          </cell>
        </row>
        <row r="346">
          <cell r="A346" t="str">
            <v>'93.04.30</v>
          </cell>
          <cell r="B346">
            <v>15000000</v>
          </cell>
          <cell r="C346">
            <v>15000000</v>
          </cell>
        </row>
        <row r="347">
          <cell r="A347" t="str">
            <v>'93.04.28</v>
          </cell>
          <cell r="B347">
            <v>10000000</v>
          </cell>
          <cell r="C347">
            <v>10000000</v>
          </cell>
        </row>
        <row r="348">
          <cell r="A348" t="str">
            <v>'93.04.22</v>
          </cell>
          <cell r="B348">
            <v>5000000</v>
          </cell>
          <cell r="C348">
            <v>5000000</v>
          </cell>
        </row>
        <row r="349">
          <cell r="A349"/>
          <cell r="C349">
            <v>26240000000</v>
          </cell>
          <cell r="E349">
            <v>4636877985</v>
          </cell>
          <cell r="F349">
            <v>9757689.7659999989</v>
          </cell>
          <cell r="G349">
            <v>8478100121</v>
          </cell>
          <cell r="H349">
            <v>118861606</v>
          </cell>
          <cell r="I349">
            <v>1064549330</v>
          </cell>
          <cell r="J349">
            <v>96178709</v>
          </cell>
        </row>
        <row r="350">
          <cell r="C350">
            <v>31360811781</v>
          </cell>
          <cell r="G350">
            <v>9757689766</v>
          </cell>
        </row>
      </sheetData>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종집계"/>
      <sheetName val="건축집계"/>
      <sheetName val="실행예산 (2)"/>
      <sheetName val="실행예산"/>
      <sheetName val="현장관리비"/>
      <sheetName val="원미내역"/>
      <sheetName val="현장추가분"/>
      <sheetName val="공통가설"/>
      <sheetName val="VXXX"/>
      <sheetName val="VXXXXX"/>
      <sheetName val="II손익관리"/>
      <sheetName val="1.종합손익(도급)"/>
      <sheetName val="1.종합손익(주택,개발)"/>
      <sheetName val="2.실행예산"/>
      <sheetName val="2.2과부족"/>
      <sheetName val="2.3원가절감"/>
      <sheetName val="8.외주비집행현황"/>
      <sheetName val="9.자재비"/>
      <sheetName val="10.현장집행"/>
      <sheetName val="3.추가원가"/>
      <sheetName val="3.추가원가 (2)"/>
      <sheetName val="4.사전공사"/>
      <sheetName val="5.추정공사비"/>
      <sheetName val="6.금융비용"/>
      <sheetName val="7.공사비집행현황(총괄)"/>
      <sheetName val="11.1생산성"/>
      <sheetName val="인력대비(정직)"/>
      <sheetName val="11.2인원산출"/>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점수계산1-2"/>
      <sheetName val="콤보박스와 리스트박스의 연결"/>
      <sheetName val="부동산"/>
      <sheetName val="WONMI"/>
      <sheetName val="통장출금액"/>
      <sheetName val="손익"/>
      <sheetName val="현금흐름"/>
      <sheetName val="전체"/>
      <sheetName val="일용노임단가"/>
      <sheetName val="참조자료"/>
      <sheetName val="관로내역원"/>
      <sheetName val="견적서"/>
      <sheetName val="의왕내역"/>
      <sheetName val="Mc1"/>
      <sheetName val="금관"/>
      <sheetName val="백화"/>
      <sheetName val="노임단가"/>
      <sheetName val="b_balju-단가단가단가"/>
      <sheetName val="평가데이터"/>
      <sheetName val="청천내"/>
      <sheetName val="내역5"/>
      <sheetName val="1차사업FS"/>
      <sheetName val="TOT"/>
      <sheetName val="일별1"/>
      <sheetName val="982월원안"/>
      <sheetName val="수목표준대가"/>
    </sheetNames>
    <sheetDataSet>
      <sheetData sheetId="0"/>
      <sheetData sheetId="1"/>
      <sheetData sheetId="2"/>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사개요"/>
      <sheetName val="공기기준"/>
      <sheetName val="당초비교"/>
      <sheetName val="산출근거"/>
      <sheetName val="조정원가"/>
      <sheetName val="조정집계"/>
      <sheetName val="건축원가"/>
      <sheetName val="VXXX"/>
      <sheetName val="VXXXXX"/>
      <sheetName val="II손익관리"/>
      <sheetName val="1.종합손익(도급)"/>
      <sheetName val="1.종합손익(주택,개발)"/>
      <sheetName val="2.실행예산"/>
      <sheetName val="2.2과부족"/>
      <sheetName val="2.3원가절감"/>
      <sheetName val="8.외주비집행현황"/>
      <sheetName val="9.자재비"/>
      <sheetName val="10.현장집행"/>
      <sheetName val="3.추가원가"/>
      <sheetName val="3.추가원가 (2)"/>
      <sheetName val="4.사전공사"/>
      <sheetName val="5.추정공사비"/>
      <sheetName val="6.금융비용"/>
      <sheetName val="7.공사비집행현황(총괄)"/>
      <sheetName val="11.1생산성"/>
      <sheetName val="인력대비(정직)"/>
      <sheetName val="11.2인원산출"/>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산출-설비"/>
      <sheetName val="유리"/>
      <sheetName val="익산"/>
      <sheetName val="Baby일위대가"/>
      <sheetName val="rs94"/>
      <sheetName val="내역"/>
      <sheetName val="공통가설"/>
      <sheetName val="기초부하"/>
      <sheetName val=" 냉각수펌프"/>
      <sheetName val="PAC"/>
      <sheetName val="급수 (LPM)"/>
      <sheetName val="직노"/>
      <sheetName val="RE9604"/>
      <sheetName val="내역서"/>
      <sheetName val="통장출금액"/>
      <sheetName val="일위대가"/>
      <sheetName val="4-10"/>
      <sheetName val="연결관단위"/>
      <sheetName val="물가시세"/>
      <sheetName val="내역5"/>
      <sheetName val="저"/>
      <sheetName val="터파기및재료"/>
      <sheetName val="용산1(해보)"/>
      <sheetName val="건축공사실행"/>
      <sheetName val="외주"/>
      <sheetName val="KYEOUSAN"/>
      <sheetName val="sst,stl창호"/>
      <sheetName val="Sheet1"/>
      <sheetName val="철거산출근거"/>
      <sheetName val="노임단가"/>
      <sheetName val="차액보증"/>
      <sheetName val="단가조사"/>
      <sheetName val="입찰안"/>
      <sheetName val="토목내역서 (도급단가)"/>
      <sheetName val="BOQ(전체)"/>
      <sheetName val="일위대가(가설)"/>
      <sheetName val="콤보박스와 리스트박스의 연결"/>
      <sheetName val="경산"/>
      <sheetName val="5사남"/>
      <sheetName val="분양가"/>
      <sheetName val="안전시설내역서"/>
      <sheetName val="신규DEP"/>
      <sheetName val="간접비"/>
      <sheetName val="노무비"/>
      <sheetName val="anaysis_sheet"/>
      <sheetName val="1_종합손익(도급)"/>
      <sheetName val="1_종합손익(주택,개발)"/>
      <sheetName val="2_실행예산"/>
      <sheetName val="2_2과부족"/>
      <sheetName val="2_3원가절감"/>
      <sheetName val="8_외주비집행현황"/>
      <sheetName val="9_자재비"/>
      <sheetName val="10_현장집행"/>
      <sheetName val="3_추가원가"/>
      <sheetName val="3_추가원가_(2)"/>
      <sheetName val="4_사전공사"/>
      <sheetName val="5_추정공사비"/>
      <sheetName val="6_금융비용"/>
      <sheetName val="7_공사비집행현황(총괄)"/>
      <sheetName val="11_1생산성"/>
      <sheetName val="11_2인원산출"/>
      <sheetName val="수입"/>
      <sheetName val="차수"/>
      <sheetName val="월별손익"/>
      <sheetName val="현장관리비"/>
      <sheetName val="020114"/>
      <sheetName val="0111월"/>
      <sheetName val="호프"/>
      <sheetName val="고정자산"/>
      <sheetName val="월별수입"/>
      <sheetName val="매출원가추정"/>
      <sheetName val="매출추정"/>
      <sheetName val="가정"/>
      <sheetName val="982월원안"/>
      <sheetName val="01"/>
      <sheetName val="갑지1"/>
      <sheetName val="계측기"/>
      <sheetName val="시장성초안camera"/>
      <sheetName val="돈권명번"/>
      <sheetName val="당사"/>
      <sheetName val="예산총괄표"/>
      <sheetName val="구리토평1전기"/>
      <sheetName val="기본가정및수지분석"/>
      <sheetName val="대차대조-보고"/>
      <sheetName val="건축2"/>
      <sheetName val="COL"/>
      <sheetName val="경비공통"/>
      <sheetName val="기초데이타"/>
      <sheetName val="견적내역"/>
      <sheetName val="품셈"/>
      <sheetName val="2002년도"/>
      <sheetName val="1_종합손익(도급)1"/>
      <sheetName val="1_종합손익(주택,개발)1"/>
      <sheetName val="2_실행예산1"/>
      <sheetName val="2_2과부족1"/>
      <sheetName val="2_3원가절감1"/>
      <sheetName val="8_외주비집행현황1"/>
      <sheetName val="9_자재비1"/>
      <sheetName val="10_현장집행1"/>
      <sheetName val="3_추가원가1"/>
      <sheetName val="3_추가원가_(2)1"/>
      <sheetName val="4_사전공사1"/>
      <sheetName val="5_추정공사비1"/>
      <sheetName val="6_금융비용1"/>
      <sheetName val="7_공사비집행현황(총괄)1"/>
      <sheetName val="11_1생산성1"/>
      <sheetName val="11_2인원산출1"/>
      <sheetName val="콤보박스와_리스트박스의_연결"/>
      <sheetName val="_냉각수펌프"/>
      <sheetName val="급수_(LPM)"/>
      <sheetName val="토목내역서_(도급단가)"/>
    </sheetNames>
    <sheetDataSet>
      <sheetData sheetId="0"/>
      <sheetData sheetId="1"/>
      <sheetData sheetId="2"/>
      <sheetData sheetId="3"/>
      <sheetData sheetId="4"/>
      <sheetData sheetId="5"/>
      <sheetData sheetId="6"/>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사개요"/>
      <sheetName val="공기기준"/>
      <sheetName val="건축공사실행"/>
      <sheetName val="창호1"/>
      <sheetName val="VXXX"/>
      <sheetName val="VXXXXX"/>
      <sheetName val="II손익관리"/>
      <sheetName val="1.종합손익(도급)"/>
      <sheetName val="1.종합손익(주택,개발)"/>
      <sheetName val="2.실행예산"/>
      <sheetName val="2.2과부족"/>
      <sheetName val="2.3원가절감"/>
      <sheetName val="8.외주비집행현황"/>
      <sheetName val="9.자재비"/>
      <sheetName val="10.현장집행"/>
      <sheetName val="3.추가원가"/>
      <sheetName val="3.추가원가 (2)"/>
      <sheetName val="4.사전공사"/>
      <sheetName val="5.추정공사비"/>
      <sheetName val="6.금융비용"/>
      <sheetName val="7.공사비집행현황(총괄)"/>
      <sheetName val="11.1생산성"/>
      <sheetName val="인력대비(정직)"/>
      <sheetName val="11.2인원산출"/>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건축원가"/>
      <sheetName val="직노"/>
      <sheetName val="공통가설"/>
      <sheetName val="저"/>
      <sheetName val="일반전기C"/>
      <sheetName val="Baby일위대가"/>
      <sheetName val="토목내역"/>
      <sheetName val="연결관암거"/>
      <sheetName val="터파기및재료"/>
      <sheetName val="별표"/>
      <sheetName val="Sheet1"/>
      <sheetName val="급수"/>
      <sheetName val="일위대가"/>
      <sheetName val="노임단가"/>
      <sheetName val="목표세부명세"/>
      <sheetName val="행당원가"/>
      <sheetName val="통장출금액"/>
      <sheetName val="철거산출근거"/>
      <sheetName val="내역서"/>
      <sheetName val="단가"/>
      <sheetName val="1_종합손익(도급)"/>
      <sheetName val="1_종합손익(주택,개발)"/>
      <sheetName val="2_실행예산"/>
      <sheetName val="2_2과부족"/>
      <sheetName val="2_3원가절감"/>
      <sheetName val="8_외주비집행현황"/>
      <sheetName val="9_자재비"/>
      <sheetName val="10_현장집행"/>
      <sheetName val="3_추가원가"/>
      <sheetName val="3_추가원가_(2)"/>
      <sheetName val="4_사전공사"/>
      <sheetName val="5_추정공사비"/>
      <sheetName val="6_금융비용"/>
      <sheetName val="7_공사비집행현황(총괄)"/>
      <sheetName val="11_1생산성"/>
      <sheetName val="11_2인원산출"/>
      <sheetName val="단가조사서"/>
      <sheetName val=" 냉각수펌프"/>
      <sheetName val="현장관리비"/>
      <sheetName val="내역서2안"/>
      <sheetName val="내역"/>
      <sheetName val="1차 내역서"/>
      <sheetName val="골조시행"/>
      <sheetName val="금액내역서"/>
      <sheetName val="#REF"/>
      <sheetName val="일위대가(건축)"/>
      <sheetName val="설계도1"/>
      <sheetName val="차액보증"/>
      <sheetName val="Sheeࡴ40"/>
      <sheetName val="Total"/>
      <sheetName val="부대내역"/>
      <sheetName val="1-1"/>
      <sheetName val="Breakdown"/>
      <sheetName val="UnitRate"/>
      <sheetName val="외주비"/>
      <sheetName val="경산"/>
      <sheetName val="전력"/>
      <sheetName val="Sheet2"/>
      <sheetName val="ELECTRIC"/>
      <sheetName val="CTEMCOST"/>
      <sheetName val="도봉2지구"/>
      <sheetName val="여흥"/>
      <sheetName val="BOQ(전체)"/>
      <sheetName val="가로등내역서"/>
      <sheetName val="노임"/>
      <sheetName val="1안"/>
      <sheetName val="산출-설비"/>
      <sheetName val="Mc1"/>
      <sheetName val="총괄집계표"/>
      <sheetName val="구분자"/>
      <sheetName val="Sheet15"/>
      <sheetName val="물량표"/>
      <sheetName val="적용건축"/>
      <sheetName val="입력값1"/>
      <sheetName val="토공집계표"/>
      <sheetName val="예가표"/>
      <sheetName val="교각1"/>
      <sheetName val="일반공사"/>
      <sheetName val="일위대가(가설)"/>
      <sheetName val="토적계산서"/>
      <sheetName val="열린교실"/>
      <sheetName val="공사예산하조서(O.K)"/>
      <sheetName val="증감대비"/>
      <sheetName val="2공구산출내역"/>
      <sheetName val="단가조사"/>
      <sheetName val="wall"/>
      <sheetName val="의왕내역"/>
      <sheetName val="대전-교대(A1-A2)"/>
      <sheetName val="건축도급단가"/>
      <sheetName val="실행단가"/>
      <sheetName val="Sheet4"/>
      <sheetName val="기계설비"/>
      <sheetName val="전체"/>
      <sheetName val="원가"/>
      <sheetName val="명단"/>
      <sheetName val="일위대가내역"/>
      <sheetName val="외주"/>
      <sheetName val="WEIGHT LIST"/>
      <sheetName val="산#2-1 (2)"/>
      <sheetName val="내역서(삼호)"/>
      <sheetName val="설계"/>
      <sheetName val="1_종합손익(도급)1"/>
      <sheetName val="1_종합손익(주택,개발)1"/>
      <sheetName val="2_실행예산1"/>
      <sheetName val="2_2과부족1"/>
      <sheetName val="2_3원가절감1"/>
      <sheetName val="8_외주비집행현황1"/>
      <sheetName val="9_자재비1"/>
      <sheetName val="10_현장집행1"/>
      <sheetName val="3_추가원가1"/>
      <sheetName val="3_추가원가_(2)1"/>
      <sheetName val="4_사전공사1"/>
      <sheetName val="5_추정공사비1"/>
      <sheetName val="6_금융비용1"/>
      <sheetName val="7_공사비집행현황(총괄)1"/>
      <sheetName val="11_1생산성1"/>
      <sheetName val="11_2인원산출1"/>
      <sheetName val="_냉각수펌프"/>
      <sheetName val="계측기"/>
      <sheetName val="unit 4"/>
      <sheetName val="Sheet3"/>
      <sheetName val="도급내역서"/>
      <sheetName val="70%"/>
      <sheetName val="기자재비"/>
      <sheetName val="투찰가"/>
      <sheetName val="실행내역"/>
      <sheetName val="토목"/>
      <sheetName val="전선 및 전선관"/>
      <sheetName val="Tool"/>
      <sheetName val="견적서"/>
      <sheetName val="J直材4"/>
      <sheetName val="정부노임단가"/>
      <sheetName val="쌍송교"/>
      <sheetName val="산출내역서"/>
      <sheetName val="기초부하"/>
      <sheetName val="PAC"/>
      <sheetName val="기초자료"/>
      <sheetName val="수목표준대가"/>
      <sheetName val="이름"/>
      <sheetName val="급여표"/>
      <sheetName val="직원투입계획"/>
      <sheetName val="1차사업FS"/>
      <sheetName val="내역5"/>
      <sheetName val="사업수지"/>
      <sheetName val="DATA"/>
      <sheetName val="데이타"/>
      <sheetName val="5사남"/>
      <sheetName val="유치원내역"/>
      <sheetName val="건축내역"/>
      <sheetName val="수입"/>
      <sheetName val="입찰안"/>
      <sheetName val="COVER"/>
      <sheetName val="간접비"/>
      <sheetName val="부대공"/>
      <sheetName val="포장공"/>
      <sheetName val="토공"/>
      <sheetName val="일반전기(을지)"/>
      <sheetName val="패널"/>
      <sheetName val="P-1"/>
      <sheetName val="그림"/>
      <sheetName val="구성1"/>
      <sheetName val="구성2"/>
      <sheetName val="구성3"/>
      <sheetName val="구성4"/>
      <sheetName val="그림2"/>
      <sheetName val="데리네이타현황"/>
      <sheetName val="분전반"/>
      <sheetName val="건장설비"/>
      <sheetName val="교통대책내역"/>
      <sheetName val="(4-2)열관류값-2"/>
      <sheetName val="NYS"/>
      <sheetName val="일위대가단가표"/>
      <sheetName val="BSD (2)"/>
      <sheetName val="갑지(추정)"/>
      <sheetName val="Sheet5"/>
      <sheetName val="도급FORM"/>
      <sheetName val="자재목록"/>
      <sheetName val="입력"/>
      <sheetName val="가CP"/>
      <sheetName val="22단가"/>
      <sheetName val="22인공"/>
      <sheetName val="단중표"/>
      <sheetName val="문학간접"/>
      <sheetName val="간접"/>
      <sheetName val="전기변내역"/>
      <sheetName val="Base"/>
      <sheetName val="실행철강하도"/>
      <sheetName val="일위대가표"/>
      <sheetName val="구리토평1전기"/>
      <sheetName val="공조기휀"/>
      <sheetName val="AHU집계"/>
      <sheetName val="예산내역"/>
      <sheetName val="총괄수지표"/>
      <sheetName val="분전함신설"/>
      <sheetName val="접지1종"/>
      <sheetName val="목록"/>
      <sheetName val="Macro1"/>
      <sheetName val="오산갈곳"/>
      <sheetName val="공정표"/>
      <sheetName val="급명"/>
      <sheetName val="(포장)BOQ-실적공사"/>
      <sheetName val="도시가스현황"/>
      <sheetName val="A LINE"/>
      <sheetName val="SUMMARY"/>
      <sheetName val="PAINT"/>
      <sheetName val="견적내역"/>
      <sheetName val="SILICATE"/>
      <sheetName val="총괄표"/>
      <sheetName val="EJ"/>
      <sheetName val="냉천부속동"/>
      <sheetName val="BEND LOSS"/>
      <sheetName val="asd"/>
      <sheetName val="측량노임단가"/>
      <sheetName val="승용"/>
      <sheetName val="대전노은1차_조적_집계표"/>
      <sheetName val="수량산출"/>
      <sheetName val="수목데이타 "/>
      <sheetName val="신공"/>
      <sheetName val="연습"/>
      <sheetName val="cctv"/>
      <sheetName val="을"/>
      <sheetName val="001"/>
      <sheetName val="N賃率-職"/>
      <sheetName val="인부노임"/>
      <sheetName val="토공(도면)"/>
      <sheetName val="기성고"/>
      <sheetName val="BID"/>
      <sheetName val="A조"/>
      <sheetName val="돈암사업"/>
      <sheetName val="공내역"/>
      <sheetName val="BOX날개벽"/>
      <sheetName val="램머"/>
      <sheetName val="기계경비(시간당)"/>
      <sheetName val="현장관리비 "/>
      <sheetName val="계약내역(2)"/>
      <sheetName val="산출근거"/>
      <sheetName val="익산"/>
      <sheetName val="아파트건축"/>
      <sheetName val="RE9604"/>
      <sheetName val="1차_내역서"/>
      <sheetName val="공사예산하조서(O_K)"/>
      <sheetName val="rs94"/>
      <sheetName val="02.설비등급기준표"/>
      <sheetName val="기계내역"/>
      <sheetName val="프랜트면허"/>
      <sheetName val="고등학교"/>
      <sheetName val="노임이"/>
      <sheetName val="CON'C"/>
      <sheetName val="관로내역원"/>
      <sheetName val="환산"/>
      <sheetName val="내역(100%)"/>
      <sheetName val="사업부배부A"/>
      <sheetName val="참고"/>
      <sheetName val="분양가"/>
      <sheetName val="수량산출서"/>
      <sheetName val="기둥(원형)"/>
      <sheetName val="기초공"/>
      <sheetName val="수량산출근거(본선)"/>
      <sheetName val="내   역"/>
      <sheetName val="일위_파일"/>
      <sheetName val="COST"/>
      <sheetName val="노무비"/>
      <sheetName val="납부서"/>
      <sheetName val="JUCKEYK"/>
      <sheetName val="COL"/>
      <sheetName val="배수공"/>
      <sheetName val="분류표"/>
      <sheetName val="차수"/>
      <sheetName val="샷시제품"/>
      <sheetName val="1_종합손익(도급)2"/>
      <sheetName val="1_종합손익(주택,개발)2"/>
      <sheetName val="2_실행예산2"/>
      <sheetName val="2_2과부족2"/>
      <sheetName val="2_3원가절감2"/>
      <sheetName val="8_외주비집행현황2"/>
      <sheetName val="9_자재비2"/>
      <sheetName val="10_현장집행2"/>
      <sheetName val="3_추가원가2"/>
      <sheetName val="3_추가원가_(2)2"/>
      <sheetName val="4_사전공사2"/>
      <sheetName val="5_추정공사비2"/>
      <sheetName val="6_금융비용2"/>
      <sheetName val="7_공사비집행현황(총괄)2"/>
      <sheetName val="11_1생산성2"/>
      <sheetName val="11_2인원산출2"/>
      <sheetName val="_냉각수펌프1"/>
      <sheetName val="전선_및_전선관"/>
      <sheetName val="WEIGHT_LIST"/>
      <sheetName val="산#2-1_(2)"/>
      <sheetName val="물량내역서"/>
      <sheetName val="PI"/>
      <sheetName val="기초목"/>
      <sheetName val="database"/>
      <sheetName val="현장경비"/>
      <sheetName val="6호기"/>
      <sheetName val="식재인부"/>
      <sheetName val="A"/>
      <sheetName val="Sheet1 (2)"/>
      <sheetName val="시중노임(공사)"/>
      <sheetName val="전기외주내역"/>
      <sheetName val="물건조서"/>
      <sheetName val="sst,stl창호"/>
      <sheetName val="을지"/>
      <sheetName val="전국현황"/>
      <sheetName val="용산1(해보)"/>
      <sheetName val="BOX복구단위수량"/>
      <sheetName val="토공사(흙막이)"/>
      <sheetName val="배관BM(일반)"/>
      <sheetName val="월별손익"/>
      <sheetName val="020114"/>
      <sheetName val="0111월"/>
      <sheetName val="호프"/>
      <sheetName val="고정자산"/>
      <sheetName val="월별수입"/>
      <sheetName val="매출원가추정"/>
      <sheetName val="매출추정"/>
      <sheetName val="가정"/>
      <sheetName val="982월원안"/>
      <sheetName val="01"/>
      <sheetName val="설비2차"/>
      <sheetName val="건축부하"/>
      <sheetName val="김포IO"/>
      <sheetName val="TANK견적대지"/>
      <sheetName val="실행갑지"/>
      <sheetName val="조직공사중"/>
      <sheetName val="실행"/>
      <sheetName val="총괄갑 "/>
      <sheetName val="BSD_(2)"/>
      <sheetName val="unit_4"/>
      <sheetName val="수목데이타_"/>
      <sheetName val="BEND_LOSS"/>
      <sheetName val="현장관리비_"/>
      <sheetName val="내___역"/>
      <sheetName val="1차_내역서1"/>
      <sheetName val="공사예산하조서(O_K)1"/>
      <sheetName val="요율"/>
      <sheetName val="자재대"/>
      <sheetName val="단가표"/>
      <sheetName val="ABUT수량-A1"/>
      <sheetName val="재집"/>
      <sheetName val="직재"/>
      <sheetName val="부재리스트"/>
      <sheetName val="계정"/>
      <sheetName val="설계서"/>
      <sheetName val="덤프트럭계수"/>
      <sheetName val="b_balju"/>
      <sheetName val="토공사"/>
      <sheetName val="일위(설)"/>
      <sheetName val="APT"/>
      <sheetName val="기술조건"/>
      <sheetName val="대비"/>
      <sheetName val="단위중량"/>
      <sheetName val="KEY"/>
      <sheetName val="출자한도1031"/>
      <sheetName val="예산명세서"/>
      <sheetName val="하부철근수량"/>
      <sheetName val="96노임기준"/>
      <sheetName val="9811"/>
      <sheetName val="설계예시"/>
      <sheetName val="예산총괄표"/>
      <sheetName val="횡배수관집현황(2공구)"/>
      <sheetName val="CONCRETE"/>
      <sheetName val="토목내역서 (도급단가)"/>
      <sheetName val="총괄"/>
      <sheetName val="날개벽수량표"/>
      <sheetName val="2월"/>
      <sheetName val="안산기계장치"/>
      <sheetName val="공통가설공사"/>
      <sheetName val="2002하반기노임기준"/>
      <sheetName val="시설물일위"/>
      <sheetName val="1가설캠프"/>
      <sheetName val="대표자"/>
      <sheetName val="D-3109"/>
      <sheetName val="국영"/>
      <sheetName val="경상직원"/>
      <sheetName val="조직도"/>
      <sheetName val="도급견적가"/>
      <sheetName val="단가산출서"/>
      <sheetName val="변경내역"/>
      <sheetName val="개요"/>
      <sheetName val=""/>
      <sheetName val="돈권명번"/>
      <sheetName val="설계내역서"/>
      <sheetName val="간접비내역-1"/>
      <sheetName val="소운반"/>
      <sheetName val="집수정단면도 (2)"/>
      <sheetName val="리스(CIF)산출"/>
      <sheetName val="제2호단위수량"/>
      <sheetName val="카렌스센터계량기설치공사"/>
      <sheetName val="단가산출"/>
      <sheetName val="출고현황"/>
      <sheetName val="06 일위대가목록"/>
      <sheetName val="급수 (LPM)"/>
      <sheetName val="배수량"/>
      <sheetName val="견적가"/>
      <sheetName val="개산공사비"/>
      <sheetName val="조명시설"/>
      <sheetName val="교각토공"/>
      <sheetName val="원가 (2)"/>
      <sheetName val="토공(우물통,기타) "/>
      <sheetName val="간접비계산"/>
      <sheetName val="일단의 주택지"/>
      <sheetName val="99총공사내역서"/>
      <sheetName val="직접비"/>
      <sheetName val="1.설계조건"/>
      <sheetName val="2.하중산정"/>
      <sheetName val="내역1공구"/>
      <sheetName val="수공기"/>
      <sheetName val="1_종합손익(도급)3"/>
      <sheetName val="1_종합손익(주택,개발)3"/>
      <sheetName val="2_실행예산3"/>
      <sheetName val="2_2과부족3"/>
      <sheetName val="2_3원가절감3"/>
      <sheetName val="8_외주비집행현황3"/>
      <sheetName val="9_자재비3"/>
      <sheetName val="10_현장집행3"/>
      <sheetName val="3_추가원가3"/>
      <sheetName val="3_추가원가_(2)3"/>
      <sheetName val="4_사전공사3"/>
      <sheetName val="5_추정공사비3"/>
      <sheetName val="6_금융비용3"/>
      <sheetName val="7_공사비집행현황(총괄)3"/>
      <sheetName val="11_1생산성3"/>
      <sheetName val="11_2인원산출3"/>
      <sheetName val="_냉각수펌프2"/>
      <sheetName val="WEIGHT_LIST1"/>
      <sheetName val="산#2-1_(2)1"/>
      <sheetName val="전선_및_전선관1"/>
      <sheetName val="unit_41"/>
      <sheetName val="BSD_(2)1"/>
      <sheetName val="수목데이타_1"/>
      <sheetName val="A_LINE"/>
      <sheetName val="BEND_LOSS1"/>
      <sheetName val="현장관리비_1"/>
      <sheetName val="02_설비등급기준표"/>
      <sheetName val="내___역1"/>
      <sheetName val="Sheet1_(2)"/>
      <sheetName val="총괄갑_"/>
      <sheetName val="집수정단면도_(2)"/>
      <sheetName val="5흙막이"/>
      <sheetName val="공사용침사지집계"/>
      <sheetName val="Macro3"/>
      <sheetName val="자  재"/>
      <sheetName val="건축외주"/>
      <sheetName val="JA8-4"/>
      <sheetName val="견적"/>
      <sheetName val="금융비용"/>
      <sheetName val="일위대가(1)"/>
      <sheetName val="1,2공구원가계산서"/>
      <sheetName val="1공구산출내역서"/>
      <sheetName val="일용노임단가"/>
      <sheetName val="연돌일위집계"/>
      <sheetName val="코드"/>
      <sheetName val="연결임시"/>
      <sheetName val="9509"/>
      <sheetName val="표지"/>
      <sheetName val="내역1"/>
      <sheetName val="자료"/>
      <sheetName val="시장성초안camera"/>
      <sheetName val="전기공사일위대가"/>
      <sheetName val="일위(시설)"/>
      <sheetName val="캔개발배경"/>
      <sheetName val="시장"/>
      <sheetName val="일정표"/>
      <sheetName val="조도계산서 (도서)"/>
      <sheetName val="견적서1"/>
      <sheetName val="견적갑지"/>
      <sheetName val="5-2.하현재"/>
      <sheetName val="날개벽"/>
      <sheetName val="구조물공1"/>
      <sheetName val="배수및구조물공1"/>
      <sheetName val="건축"/>
      <sheetName val="갑지"/>
      <sheetName val="갈현동"/>
      <sheetName val="준검 내역서"/>
      <sheetName val="계획집계"/>
      <sheetName val="기본자료입력"/>
      <sheetName val="DANGA"/>
      <sheetName val="기초데이타"/>
      <sheetName val="실행예산대비 발주내역1차"/>
      <sheetName val="단가 및 재료비"/>
      <sheetName val="중기사용료산출근거"/>
      <sheetName val="data2"/>
      <sheetName val="경북"/>
      <sheetName val="외상매출금현황-수정분 A2"/>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sheetData sheetId="377"/>
      <sheetData sheetId="378"/>
      <sheetData sheetId="379"/>
      <sheetData sheetId="380"/>
      <sheetData sheetId="38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sheetData sheetId="398"/>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2.대외공문"/>
      <sheetName val="소상 &quot;1&quot;"/>
      <sheetName val="남양시작동010313100%"/>
      <sheetName val="Code"/>
      <sheetName val="카렌스센터계량기설치공사"/>
      <sheetName val="입력"/>
      <sheetName val="RD제품개발투자비(매가)"/>
      <sheetName val="95MAKER"/>
      <sheetName val="주행"/>
      <sheetName val="내역서 제출"/>
      <sheetName val="골조시행"/>
      <sheetName val="#REF!"/>
      <sheetName val="본사현황"/>
      <sheetName val="공통가설"/>
      <sheetName val="밋션별"/>
      <sheetName val="차수"/>
      <sheetName val="협조전"/>
      <sheetName val="신규DEP"/>
      <sheetName val="지급자재"/>
      <sheetName val="대차대조표"/>
      <sheetName val="수리결과"/>
      <sheetName val="기본단가표"/>
      <sheetName val="5사남"/>
      <sheetName val="추천서"/>
      <sheetName val="현금경비중역"/>
      <sheetName val="대외공문"/>
      <sheetName val="기계설비"/>
      <sheetName val="건축공사실행"/>
      <sheetName val="영업.일1"/>
      <sheetName val="을지"/>
      <sheetName val="R&amp;D"/>
      <sheetName val="HCCE01"/>
      <sheetName val="대가목록"/>
      <sheetName val="인사자료총집계"/>
      <sheetName val="승용"/>
      <sheetName val="2공구산출내역"/>
      <sheetName val="Sheet1"/>
      <sheetName val="골재"/>
      <sheetName val="건축원가"/>
      <sheetName val="일위대가표"/>
      <sheetName val="DATA1"/>
      <sheetName val="총괄"/>
      <sheetName val="정공공사"/>
      <sheetName val="설계"/>
      <sheetName val="내역"/>
      <sheetName val="96수출"/>
      <sheetName val="원본"/>
      <sheetName val="2월"/>
      <sheetName val="계정"/>
      <sheetName val="2_대외공문"/>
      <sheetName val="소상_&quot;1&quot;"/>
      <sheetName val="내역서_제출"/>
      <sheetName val="PI"/>
      <sheetName val="DATE"/>
      <sheetName val="실행대비"/>
      <sheetName val="일위대가(가설)"/>
      <sheetName val="입찰안"/>
      <sheetName val="TOT"/>
      <sheetName val="재료율"/>
      <sheetName val="BEND LOSS"/>
      <sheetName val="Baby일위대가"/>
      <sheetName val="dog"/>
      <sheetName val="일반공사"/>
      <sheetName val="남양시작동자105노65기1.3화1.2"/>
      <sheetName val="정기적금"/>
      <sheetName val="수량산출"/>
      <sheetName val="저"/>
      <sheetName val="unit 4"/>
      <sheetName val="제안서"/>
      <sheetName val="행정표준(1)"/>
      <sheetName val="행정표준(2)"/>
      <sheetName val="차량별점검"/>
      <sheetName val="2_대외공문1"/>
      <sheetName val="소상_&quot;1&quot;1"/>
      <sheetName val="내역서_제출1"/>
      <sheetName val="영업_일1"/>
      <sheetName val="BEND_LOSS"/>
      <sheetName val="관람석제출"/>
      <sheetName val="기계공사"/>
      <sheetName val="세목별"/>
      <sheetName val="98지급계획"/>
      <sheetName val="수입"/>
      <sheetName val="월별수입"/>
      <sheetName val="항목(1)"/>
      <sheetName val="BOOK4"/>
      <sheetName val="원가"/>
      <sheetName val="3"/>
      <sheetName val="청산공사"/>
      <sheetName val="626TD"/>
      <sheetName val="직노"/>
      <sheetName val="DATA"/>
      <sheetName val="해외"/>
      <sheetName val="총괄표"/>
      <sheetName val="업무분장"/>
      <sheetName val="Sheet5"/>
      <sheetName val="실행철강하도"/>
      <sheetName val="터파기및재료"/>
      <sheetName val="남양구조시험동"/>
      <sheetName val="N賃率-職"/>
      <sheetName val="진도현황"/>
      <sheetName val="생산"/>
      <sheetName val="UNIT"/>
      <sheetName val="10월"/>
      <sheetName val="Menu_Link"/>
      <sheetName val="시험연구비상각"/>
      <sheetName val="을-ATYPE"/>
      <sheetName val="구조물수량집계"/>
      <sheetName val="내역대비표(코크스)"/>
      <sheetName val="A LINE"/>
      <sheetName val="갑지(추정)"/>
      <sheetName val="사업부배부A"/>
      <sheetName val="도급양식"/>
      <sheetName val="부표총괄"/>
      <sheetName val="CAUDIT"/>
      <sheetName val="EACT10"/>
      <sheetName val="손익차9월2"/>
      <sheetName val="프로젝트"/>
      <sheetName val="길어깨(현황)"/>
      <sheetName val="5.세운W-A"/>
      <sheetName val="구리토평1전기"/>
      <sheetName val="노임"/>
      <sheetName val="매출"/>
      <sheetName val="인원01"/>
      <sheetName val="투찰가"/>
      <sheetName val="노무비"/>
      <sheetName val="장기미등록"/>
      <sheetName val="내역서"/>
      <sheetName val="설계내역서"/>
      <sheetName val="main"/>
      <sheetName val="자재선정"/>
      <sheetName val="tggwan(mac)"/>
      <sheetName val="약전닥트"/>
      <sheetName val="건축부하"/>
      <sheetName val="FA설치명세"/>
      <sheetName val="FD"/>
      <sheetName val="일위"/>
      <sheetName val="대구은행"/>
      <sheetName val="조명시설"/>
      <sheetName val="II손익관리"/>
      <sheetName val="세부내역(3월)"/>
      <sheetName val="세부내역 (6)"/>
      <sheetName val="세부내역 (2)"/>
      <sheetName val="세부내역 (3)"/>
      <sheetName val="세부내역 (4)"/>
      <sheetName val="세부내역 (5)"/>
      <sheetName val="집계표"/>
      <sheetName val="전기"/>
      <sheetName val="처리단락"/>
      <sheetName val="변경내용"/>
      <sheetName val="회의비등"/>
      <sheetName val="접대비"/>
      <sheetName val="교통비"/>
      <sheetName val="핸드폰"/>
      <sheetName val="당숙직"/>
      <sheetName val="영수증1"/>
      <sheetName val="영수증2"/>
      <sheetName val="정산서"/>
      <sheetName val="전표철"/>
      <sheetName val="Sheet2"/>
      <sheetName val="Sheet3"/>
      <sheetName val="2,3"/>
      <sheetName val="3,4"/>
      <sheetName val="7,8"/>
      <sheetName val="9,10"/>
      <sheetName val="11월회의"/>
      <sheetName val="12월"/>
      <sheetName val="11월생산성"/>
      <sheetName val="0000"/>
      <sheetName val="실적이관"/>
      <sheetName val="완성검사증재발급(분실)"/>
      <sheetName val="호출기반납협조"/>
      <sheetName val="호출기"/>
      <sheetName val="선급금전표착오정정"/>
      <sheetName val="완성검사증재발급"/>
      <sheetName val="정보제공자변경"/>
      <sheetName val="임시운행증재발급(울산)"/>
      <sheetName val="요금후납"/>
      <sheetName val="추가예산-요금후납"/>
      <sheetName val="추가예산-판촉"/>
      <sheetName val="추가예산(기본형)"/>
      <sheetName val="Sheet12"/>
      <sheetName val="Sheet13"/>
      <sheetName val="Sheet14"/>
      <sheetName val="Sheet15"/>
      <sheetName val="Sheet16"/>
      <sheetName val="지역본부별 실적"/>
      <sheetName val="거점별"/>
      <sheetName val="지점-대리점"/>
      <sheetName val="back-data"/>
      <sheetName val="INPUT"/>
      <sheetName val="일별1"/>
      <sheetName val="기안지"/>
      <sheetName val="양수장(기계)"/>
      <sheetName val="인지대"/>
      <sheetName val="Macro1"/>
      <sheetName val="예정(3)"/>
      <sheetName val="터널조도"/>
      <sheetName val="파이프류"/>
      <sheetName val="공사개요"/>
      <sheetName val="매입세율"/>
      <sheetName val="견적990322"/>
      <sheetName val="단위세대물량"/>
      <sheetName val="97년추정손익계산서"/>
      <sheetName val="뒤차축소"/>
      <sheetName val="교통비 (2)"/>
      <sheetName val="인지마감"/>
      <sheetName val="전표증빙"/>
      <sheetName val="간이사업자"/>
      <sheetName val="투자-국내2"/>
      <sheetName val="점수계산1-2"/>
      <sheetName val="전문품의"/>
      <sheetName val="출장거리"/>
      <sheetName val="토목주소"/>
      <sheetName val="프랜트면허"/>
      <sheetName val="대공종"/>
      <sheetName val="산출"/>
      <sheetName val="DAT(목표)"/>
      <sheetName val="45,46"/>
      <sheetName val="선경개요"/>
      <sheetName val="engline"/>
      <sheetName val="외주현황.wq1"/>
      <sheetName val="Sheet9"/>
      <sheetName val="3.3검토국"/>
      <sheetName val="SANTAMO"/>
      <sheetName val="도"/>
      <sheetName val="말뚝지지력산정"/>
      <sheetName val="M6KK06018"/>
      <sheetName val="자체실적1Q"/>
      <sheetName val="대총괄"/>
      <sheetName val="현장관리비데이타"/>
      <sheetName val="준검 내역서"/>
      <sheetName val="도급견적가"/>
      <sheetName val="인부신상자료"/>
      <sheetName val="현장관리비내역 "/>
      <sheetName val="견적"/>
      <sheetName val="용산3(영광)"/>
      <sheetName val="샤워실위생"/>
      <sheetName val="원가계산서"/>
      <sheetName val="RCF CLAIMED"/>
      <sheetName val="일위대가"/>
      <sheetName val="Macro(전동기)"/>
      <sheetName val="Ref"/>
      <sheetName val="EP0618"/>
      <sheetName val="건축원가계산서"/>
      <sheetName val="Sheet1 (2)"/>
      <sheetName val="4"/>
      <sheetName val="결재갑지"/>
      <sheetName val="개요"/>
      <sheetName val="부재리스트"/>
      <sheetName val="하자보증보험료"/>
      <sheetName val="울산시산표"/>
      <sheetName val="노무비단가"/>
      <sheetName val="Total"/>
      <sheetName val="공통가설공사"/>
      <sheetName val="조건"/>
      <sheetName val="15"/>
      <sheetName val="1.종합손익(도급)"/>
      <sheetName val="영업외손익등"/>
      <sheetName val="평3"/>
      <sheetName val="공사대장"/>
      <sheetName val="H-PILE수량집계"/>
      <sheetName val="부하계산서"/>
      <sheetName val="COMPRESSOR"/>
      <sheetName val="단가"/>
      <sheetName val="인원계획-미화"/>
      <sheetName val="시멘트"/>
      <sheetName val="월별(급여)"/>
      <sheetName val="공종목록표"/>
      <sheetName val="파일의이용"/>
      <sheetName val="현장관리비"/>
      <sheetName val="result"/>
      <sheetName val="차액보증"/>
      <sheetName val="노임단가"/>
      <sheetName val="표지"/>
      <sheetName val="기중"/>
      <sheetName val="일위2"/>
      <sheetName val="토목내역서 (도급단가)"/>
      <sheetName val="건축기성"/>
      <sheetName val="지수"/>
      <sheetName val="Y-3WIRE.변경"/>
      <sheetName val="평형공사비"/>
      <sheetName val="METAL 자재 원가"/>
      <sheetName val="경비"/>
      <sheetName val="충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출조건"/>
      <sheetName val="제출표지"/>
      <sheetName val="경상내역"/>
      <sheetName val="경상직원"/>
      <sheetName val="xxxxxx"/>
      <sheetName val="1.견적의뢰"/>
      <sheetName val="부대입찰공문"/>
      <sheetName val="부대입찰업체"/>
      <sheetName val="2.견적업체"/>
      <sheetName val="2.입찰안내"/>
      <sheetName val="3.실행결의"/>
      <sheetName val="5.경상직원"/>
      <sheetName val="4.경상내역"/>
      <sheetName val="6.경상기준"/>
      <sheetName val="7.FAX1"/>
      <sheetName val="부대확약"/>
      <sheetName val="표지 저가,고가"/>
      <sheetName val="총괄원가.고가 (2)"/>
      <sheetName val="총괄원가.고가"/>
      <sheetName val="하도급집계.고가 "/>
      <sheetName val="하도원총.고가"/>
      <sheetName val="지급자재(분양분)저"/>
      <sheetName val="지급자재(임대분)저"/>
      <sheetName val="지급자재(분양분)저CF"/>
      <sheetName val="지급자재(임대분)저CF"/>
      <sheetName val="지급자재(분양분)저R"/>
      <sheetName val="지급자재(임대분)저R"/>
      <sheetName val="지급자재(분양분)고"/>
      <sheetName val="지급자재(임대분)고"/>
      <sheetName val="지급자재(분양분)고CF"/>
      <sheetName val="지급자재(임대분)고CF"/>
      <sheetName val="지급자재(분양분)고R"/>
      <sheetName val="지급자재(임대분)고R"/>
      <sheetName val="지급자재(토목)저"/>
      <sheetName val="지급자재(토목)고"/>
      <sheetName val="잡"/>
      <sheetName val="#REF"/>
      <sheetName val="정공공사"/>
      <sheetName val="수리결과"/>
      <sheetName val="실행"/>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시료종류"/>
    </sheetNames>
    <sheetDataSet>
      <sheetData sheetId="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정기보고순서"/>
      <sheetName val="개선(혁신)"/>
      <sheetName val="물류비"/>
      <sheetName val="추가예산"/>
      <sheetName val="99"/>
      <sheetName val="00"/>
      <sheetName val="수금"/>
      <sheetName val="제조판매2"/>
      <sheetName val="현금화"/>
      <sheetName val="5.경상직원"/>
      <sheetName val="1유리"/>
      <sheetName val="6호기"/>
      <sheetName val="여과지동"/>
      <sheetName val="기초자료"/>
      <sheetName val="8월차잔"/>
      <sheetName val="입찰안"/>
      <sheetName val="지우지말것"/>
      <sheetName val="실행"/>
      <sheetName val="내역서"/>
      <sheetName val="CAUDIT"/>
      <sheetName val="플랜트 설치"/>
      <sheetName val="안양동교 1안"/>
      <sheetName val="자재단가"/>
      <sheetName val="집계표"/>
      <sheetName val="Anam Fab PL"/>
      <sheetName val="Schedules"/>
      <sheetName val="공통가설"/>
      <sheetName val="#REF"/>
      <sheetName val="건축개요"/>
      <sheetName val="회사정보"/>
      <sheetName val="수지"/>
      <sheetName val="원가계산서"/>
      <sheetName val="TEMP1"/>
      <sheetName val="TEMP2"/>
      <sheetName val="BS"/>
      <sheetName val="PL"/>
      <sheetName val="CTEMCOST"/>
      <sheetName val="국내조달(통합-1)"/>
      <sheetName val="일위대가"/>
      <sheetName val="인사자료총집계"/>
      <sheetName val="관리본부10"/>
      <sheetName val="인천제철"/>
      <sheetName val="유림총괄"/>
      <sheetName val="수입"/>
      <sheetName val="은행"/>
      <sheetName val="내역"/>
      <sheetName val="물량표"/>
      <sheetName val="연습"/>
      <sheetName val="실행철강하도"/>
      <sheetName val="플랜트_설치"/>
      <sheetName val="안양동교_1안"/>
      <sheetName val="Anam_Fab_PL"/>
      <sheetName val="차액보증"/>
      <sheetName val="다곡2교"/>
      <sheetName val="2.주요계수총괄"/>
      <sheetName val="목차"/>
      <sheetName val="가설건물"/>
      <sheetName val="간지"/>
      <sheetName val="중기일위대가"/>
      <sheetName val="노임단가"/>
      <sheetName val="산출근거"/>
      <sheetName val="Sheet2"/>
      <sheetName val="득점현황"/>
      <sheetName val="손익"/>
      <sheetName val="조직도"/>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통가설"/>
      <sheetName val="공종집계"/>
      <sheetName val="건축집계"/>
      <sheetName val="실행예산 (2)"/>
      <sheetName val="실행예산"/>
      <sheetName val="현장관리비"/>
      <sheetName val="원미내역"/>
      <sheetName val="현장추가분"/>
      <sheetName val="VXXX"/>
      <sheetName val="VXXXXX"/>
      <sheetName val="II손익관리"/>
      <sheetName val="1.종합손익(도급)"/>
      <sheetName val="1.종합손익(주택,개발)"/>
      <sheetName val="2.실행예산"/>
      <sheetName val="2.2과부족"/>
      <sheetName val="2.3원가절감"/>
      <sheetName val="8.외주비집행현황"/>
      <sheetName val="9.자재비"/>
      <sheetName val="10.현장집행"/>
      <sheetName val="3.추가원가"/>
      <sheetName val="3.추가원가 (2)"/>
      <sheetName val="4.사전공사"/>
      <sheetName val="5.추정공사비"/>
      <sheetName val="6.금융비용"/>
      <sheetName val="7.공사비집행현황(총괄)"/>
      <sheetName val="11.1생산성"/>
      <sheetName val="인력대비(정직)"/>
      <sheetName val="11.2인원산출"/>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추가예산"/>
      <sheetName val="집계표"/>
      <sheetName val="신갈"/>
      <sheetName val="예산"/>
      <sheetName val="#REF"/>
      <sheetName val="자재단가"/>
      <sheetName val="차수"/>
      <sheetName val="총괄내역서"/>
      <sheetName val="노무,재료"/>
      <sheetName val="입찰견적보고서"/>
      <sheetName val="ABUT수량-A1"/>
      <sheetName val="유림총괄"/>
      <sheetName val="공사비집계"/>
      <sheetName val="현장별"/>
      <sheetName val="WONMI"/>
      <sheetName val="제잡비"/>
      <sheetName val="일위대가"/>
      <sheetName val="전체"/>
      <sheetName val="설비"/>
      <sheetName val="기초단가"/>
      <sheetName val="여과지동"/>
      <sheetName val="기초자료"/>
      <sheetName val="실행철강하도"/>
      <sheetName val="총괄집계표"/>
    </sheetNames>
    <sheetDataSet>
      <sheetData sheetId="0"/>
      <sheetData sheetId="1"/>
      <sheetData sheetId="2"/>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목차"/>
      <sheetName val="개요"/>
      <sheetName val="전제"/>
      <sheetName val="매출"/>
      <sheetName val="전사.사업"/>
      <sheetName val="손익증감"/>
      <sheetName val="CF차입"/>
      <sheetName val="ROIC"/>
      <sheetName val="매출 설비"/>
      <sheetName val="재고자산"/>
      <sheetName val="인원G"/>
      <sheetName val="주요비용"/>
      <sheetName val="구조조정"/>
      <sheetName val="1유리"/>
      <sheetName val="II손익관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3">
          <cell r="A3" t="str">
            <v>1.유리병 판매 영역 확대로 매출 63억 증대</v>
          </cell>
        </row>
        <row r="4">
          <cell r="A4" t="str">
            <v xml:space="preserve"> [책임중역  김  필순]</v>
          </cell>
        </row>
        <row r="5">
          <cell r="A5" t="str">
            <v>주  요   Action   Plan</v>
          </cell>
          <cell r="B5" t="str">
            <v xml:space="preserve"> 목  표</v>
          </cell>
          <cell r="C5" t="str">
            <v>실적/전망</v>
          </cell>
          <cell r="D5" t="str">
            <v>달성율</v>
          </cell>
          <cell r="E5" t="str">
            <v>Gap 발생원인 및 대책</v>
          </cell>
        </row>
        <row r="6">
          <cell r="A6" t="str">
            <v xml:space="preserve"> 1. Amber 잉여 CAPA 해소를 통한 경쟁사 침투</v>
          </cell>
          <cell r="B6" t="str">
            <v xml:space="preserve">   29억</v>
          </cell>
          <cell r="C6" t="str">
            <v xml:space="preserve">   17억</v>
          </cell>
          <cell r="D6">
            <v>0.56999999999999995</v>
          </cell>
          <cell r="E6" t="str">
            <v>. 동아제약 : 박카스 신병수요 감소로</v>
          </cell>
        </row>
        <row r="7">
          <cell r="A7" t="str">
            <v xml:space="preserve">  [상반기 실적] 삼정톤(일화),비전(LG)외 </v>
          </cell>
          <cell r="B7" t="str">
            <v xml:space="preserve">    4억</v>
          </cell>
          <cell r="C7" t="str">
            <v xml:space="preserve">    8억</v>
          </cell>
          <cell r="D7">
            <v>2</v>
          </cell>
          <cell r="E7" t="str">
            <v xml:space="preserve">             자체 생산분으로 충당</v>
          </cell>
        </row>
        <row r="8">
          <cell r="A8" t="str">
            <v xml:space="preserve">  공통드링크등</v>
          </cell>
          <cell r="E8" t="str">
            <v>. 하이트,카스 : 생산요청이 있었으나</v>
          </cell>
        </row>
        <row r="9">
          <cell r="E9" t="str">
            <v xml:space="preserve">  당사 DOUBLE LINE 부족(수출품생산)</v>
          </cell>
        </row>
        <row r="10">
          <cell r="A10" t="str">
            <v xml:space="preserve">  [하반기 전망] 드링크(삼정톤,비전,공통D-120,</v>
          </cell>
          <cell r="B10" t="str">
            <v xml:space="preserve">   25억</v>
          </cell>
          <cell r="C10" t="str">
            <v xml:space="preserve">    9억</v>
          </cell>
          <cell r="D10">
            <v>0.36</v>
          </cell>
          <cell r="E10" t="str">
            <v xml:space="preserve">  으로 납품 보류</v>
          </cell>
        </row>
        <row r="11">
          <cell r="A11" t="str">
            <v xml:space="preserve">  신성D-100),참기름(오뚜기, 신동방)</v>
          </cell>
        </row>
        <row r="13">
          <cell r="A13" t="str">
            <v xml:space="preserve"> 2. 신규거래처 개척</v>
          </cell>
          <cell r="B13" t="str">
            <v xml:space="preserve">   12억</v>
          </cell>
          <cell r="C13" t="str">
            <v xml:space="preserve">   33억</v>
          </cell>
          <cell r="D13">
            <v>2.75</v>
          </cell>
        </row>
        <row r="14">
          <cell r="A14" t="str">
            <v xml:space="preserve">  [상반기 실적] 화이브미니(동아오츠카),태웅</v>
          </cell>
          <cell r="B14" t="str">
            <v xml:space="preserve">    2억</v>
          </cell>
          <cell r="C14" t="str">
            <v xml:space="preserve">   10억</v>
          </cell>
          <cell r="D14">
            <v>5</v>
          </cell>
        </row>
        <row r="15">
          <cell r="A15" t="str">
            <v xml:space="preserve">   식품(드링크),김치(한국농수산),공통쥬스</v>
          </cell>
        </row>
        <row r="16">
          <cell r="A16" t="str">
            <v xml:space="preserve">   (한국야쿠르트), 상아제약 등)</v>
          </cell>
        </row>
        <row r="17">
          <cell r="A17" t="str">
            <v xml:space="preserve">  [하반기 전망] 상반기 개척업체, PRO D-100</v>
          </cell>
          <cell r="B17" t="str">
            <v xml:space="preserve">   10억</v>
          </cell>
          <cell r="C17" t="str">
            <v xml:space="preserve">   23억</v>
          </cell>
          <cell r="D17">
            <v>2.2999999999999998</v>
          </cell>
        </row>
        <row r="18">
          <cell r="A18" t="str">
            <v xml:space="preserve">   (일화),공통쥬스 180(삼진인삼 등)</v>
          </cell>
        </row>
        <row r="20">
          <cell r="A20" t="str">
            <v xml:space="preserve"> 3. 이중거래처 납품율 제고</v>
          </cell>
          <cell r="B20" t="str">
            <v xml:space="preserve">   12억</v>
          </cell>
          <cell r="C20" t="str">
            <v xml:space="preserve">   16억</v>
          </cell>
          <cell r="D20">
            <v>1.33</v>
          </cell>
        </row>
        <row r="21">
          <cell r="A21" t="str">
            <v xml:space="preserve">  해태쥬스 180 경량화로 태평양대비 납품율 제고</v>
          </cell>
        </row>
        <row r="22">
          <cell r="A22" t="str">
            <v xml:space="preserve"> (60% → 90%이상) </v>
          </cell>
        </row>
        <row r="23">
          <cell r="A23" t="str">
            <v xml:space="preserve">  [상반기 실적] 납품율 92%(32% 증가 : 15백만본)</v>
          </cell>
          <cell r="B23" t="str">
            <v xml:space="preserve">    6억</v>
          </cell>
          <cell r="C23" t="str">
            <v xml:space="preserve">    9억</v>
          </cell>
          <cell r="D23">
            <v>1.5</v>
          </cell>
        </row>
        <row r="24">
          <cell r="A24" t="str">
            <v xml:space="preserve">  [하반기 전망] 납품율 90%(30% 증가 : 12백만본)</v>
          </cell>
          <cell r="B24" t="str">
            <v xml:space="preserve">    6억</v>
          </cell>
          <cell r="C24" t="str">
            <v xml:space="preserve">    7억</v>
          </cell>
          <cell r="D24">
            <v>1.17</v>
          </cell>
        </row>
        <row r="26">
          <cell r="A26" t="str">
            <v xml:space="preserve"> 4. 소주거래선 다변화</v>
          </cell>
          <cell r="B26" t="str">
            <v xml:space="preserve">   10억</v>
          </cell>
          <cell r="C26" t="str">
            <v xml:space="preserve">   12억</v>
          </cell>
          <cell r="D26">
            <v>1.2</v>
          </cell>
        </row>
        <row r="27">
          <cell r="A27" t="str">
            <v xml:space="preserve">  [상반기 실적] 고급주300(무학,금복주,선양),</v>
          </cell>
          <cell r="B27" t="str">
            <v xml:space="preserve">    5억</v>
          </cell>
          <cell r="C27" t="str">
            <v xml:space="preserve">    6억</v>
          </cell>
          <cell r="D27">
            <v>1.2</v>
          </cell>
        </row>
        <row r="28">
          <cell r="A28" t="str">
            <v xml:space="preserve">  화이트(무학)</v>
          </cell>
        </row>
        <row r="29">
          <cell r="A29" t="str">
            <v xml:space="preserve">  [하반기 전망] 화이트(무학),저도주(진로),</v>
          </cell>
          <cell r="B29" t="str">
            <v xml:space="preserve">    5억</v>
          </cell>
          <cell r="C29" t="str">
            <v xml:space="preserve">    6억</v>
          </cell>
          <cell r="D29">
            <v>1.2</v>
          </cell>
        </row>
        <row r="30">
          <cell r="A30" t="str">
            <v xml:space="preserve">  참소주(금복주)</v>
          </cell>
        </row>
        <row r="31">
          <cell r="A31" t="str">
            <v>상반기 실적 계</v>
          </cell>
          <cell r="B31" t="str">
            <v xml:space="preserve">   17억</v>
          </cell>
          <cell r="C31" t="str">
            <v xml:space="preserve">   33억</v>
          </cell>
          <cell r="D31">
            <v>1.94</v>
          </cell>
        </row>
        <row r="32">
          <cell r="A32" t="str">
            <v>연 간 전 망 계</v>
          </cell>
          <cell r="B32" t="str">
            <v xml:space="preserve">   63억</v>
          </cell>
          <cell r="C32" t="str">
            <v xml:space="preserve">   78억</v>
          </cell>
          <cell r="D32">
            <v>1.24</v>
          </cell>
        </row>
      </sheetData>
      <sheetData sheetId="1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전체"/>
      <sheetName val="표지"/>
      <sheetName val="갑지 "/>
      <sheetName val="원가계산서(1차) "/>
      <sheetName val="원가계산서 (2차)"/>
      <sheetName val="총괄집계"/>
      <sheetName val="건축집계표"/>
      <sheetName val="공통가설"/>
      <sheetName val="건축집계(공종별)"/>
      <sheetName val="건축공사(청)"/>
      <sheetName val="건축공사(의)"/>
      <sheetName val="건축공사(경)"/>
      <sheetName val="품질시험비"/>
      <sheetName val="토목공사"/>
      <sheetName val="조경"/>
      <sheetName val="기계집계표 "/>
      <sheetName val="현장관리비"/>
      <sheetName val="조직도"/>
      <sheetName val="인력계획"/>
      <sheetName val="간지"/>
      <sheetName val="갑지"/>
      <sheetName val="VXXX"/>
      <sheetName val="VXXXXX"/>
      <sheetName val="II손익관리"/>
      <sheetName val="1.종합손익(도급)"/>
      <sheetName val="1.종합손익(주택,개발)"/>
      <sheetName val="2.실행예산"/>
      <sheetName val="2.2과부족"/>
      <sheetName val="2.3원가절감"/>
      <sheetName val="8.외주비집행현황"/>
      <sheetName val="9.자재비"/>
      <sheetName val="10.현장집행"/>
      <sheetName val="3.추가원가"/>
      <sheetName val="3.추가원가 (2)"/>
      <sheetName val="4.사전공사"/>
      <sheetName val="5.추정공사비"/>
      <sheetName val="6.금융비용"/>
      <sheetName val="7.공사비집행현황(총괄)"/>
      <sheetName val="11.1생산성"/>
      <sheetName val="인력대비(정직)"/>
      <sheetName val="11.2인원산출"/>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총괄갑지"/>
      <sheetName val="A갑지"/>
      <sheetName val="0001"/>
      <sheetName val="0002"/>
      <sheetName val="B갑지"/>
      <sheetName val="0003"/>
      <sheetName val="0004"/>
      <sheetName val="1유리"/>
      <sheetName val="001"/>
      <sheetName val="#REF"/>
      <sheetName val="노임단가"/>
      <sheetName val="단가조사서"/>
      <sheetName val="ITB COST"/>
      <sheetName val="98지급계획"/>
      <sheetName val="자재co"/>
      <sheetName val="CM 1"/>
      <sheetName val="일위대가목록"/>
      <sheetName val="산출내역서"/>
      <sheetName val="실행(1)"/>
      <sheetName val="집계표"/>
      <sheetName val="b_balju"/>
      <sheetName val="원가계산서"/>
      <sheetName val="플랜트 설치"/>
      <sheetName val="토목내역"/>
      <sheetName val="내역"/>
      <sheetName val="건축"/>
      <sheetName val="F_D SEC. PROP"/>
      <sheetName val="1.우편집중내역서"/>
      <sheetName val="퍼스트"/>
      <sheetName val="토목주소"/>
      <sheetName val="자재단가비교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9604"/>
      <sheetName val="콘도손익"/>
      <sheetName val="장림"/>
      <sheetName val="장림전제"/>
      <sheetName val="Sheet2"/>
      <sheetName val="Sheet3"/>
      <sheetName val="VXXX"/>
      <sheetName val="VXXXXX"/>
      <sheetName val="II손익관리"/>
      <sheetName val="1.종합손익(도급)"/>
      <sheetName val="1.종합손익(주택,개발)"/>
      <sheetName val="2.실행예산"/>
      <sheetName val="2.2과부족"/>
      <sheetName val="2.3원가절감"/>
      <sheetName val="8.외주비집행현황"/>
      <sheetName val="9.자재비"/>
      <sheetName val="10.현장집행"/>
      <sheetName val="3.추가원가"/>
      <sheetName val="3.추가원가 (2)"/>
      <sheetName val="4.사전공사"/>
      <sheetName val="5.추정공사비"/>
      <sheetName val="6.금융비용"/>
      <sheetName val="7.공사비집행현황(총괄)"/>
      <sheetName val="11.1생산성"/>
      <sheetName val="인력대비(정직)"/>
      <sheetName val="11.2인원산출"/>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전체"/>
      <sheetName val="1유리"/>
    </sheetNames>
    <sheetDataSet>
      <sheetData sheetId="0" refreshError="1"/>
      <sheetData sheetId="1"/>
      <sheetData sheetId="2"/>
      <sheetData sheetId="3"/>
      <sheetData sheetId="4"/>
      <sheetData sheetId="5"/>
      <sheetData sheetId="6" refreshError="1"/>
      <sheetData sheetId="7"/>
      <sheetData sheetId="8">
        <row r="11">
          <cell r="C11" t="str">
            <v xml:space="preserve">   II. 손 익 관 리</v>
          </cell>
        </row>
        <row r="16">
          <cell r="C16" t="str">
            <v>1. 종합 손익분석</v>
          </cell>
        </row>
        <row r="18">
          <cell r="C18" t="str">
            <v>2. 실행예산대비 공사비 집행실적</v>
          </cell>
        </row>
        <row r="20">
          <cell r="C20" t="str">
            <v>3.추가원가 집행실적</v>
          </cell>
        </row>
        <row r="22">
          <cell r="C22" t="str">
            <v>4. 사전공사 집행실적</v>
          </cell>
        </row>
        <row r="24">
          <cell r="C24" t="str">
            <v>5. 추정공사비 내역</v>
          </cell>
        </row>
        <row r="26">
          <cell r="C26" t="str">
            <v>6. 금융비용 산출</v>
          </cell>
        </row>
        <row r="28">
          <cell r="C28" t="str">
            <v>7. 공사비 집행현황(총괄)</v>
          </cell>
        </row>
        <row r="30">
          <cell r="C30" t="str">
            <v>8. 외주비 집행현황</v>
          </cell>
        </row>
        <row r="32">
          <cell r="C32" t="str">
            <v>9. 자재비 집행현황</v>
          </cell>
        </row>
        <row r="34">
          <cell r="C34" t="str">
            <v>10. 현장 집행 현황</v>
          </cell>
        </row>
        <row r="36">
          <cell r="C36" t="str">
            <v>11. 생산성 분석</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VVa"/>
      <sheetName val="표지"/>
      <sheetName val="목차"/>
      <sheetName val="개요"/>
      <sheetName val="연혁"/>
      <sheetName val="조직"/>
      <sheetName val="정직"/>
      <sheetName val="현채"/>
      <sheetName val="원가"/>
      <sheetName val="추가"/>
      <sheetName val="사전"/>
      <sheetName val="시재"/>
      <sheetName val="부채"/>
      <sheetName val="미금"/>
      <sheetName val="투입"/>
      <sheetName val="초과"/>
      <sheetName val="공정(1)"/>
      <sheetName val="공정(2)"/>
      <sheetName val="품질"/>
      <sheetName val="안전"/>
      <sheetName val="안전(2)"/>
      <sheetName val="환경"/>
      <sheetName val="인허"/>
      <sheetName val="수주"/>
      <sheetName val="미결"/>
      <sheetName val="자재"/>
      <sheetName val="가설"/>
      <sheetName val="개별"/>
      <sheetName val="집기"/>
      <sheetName val="장비 (2)"/>
      <sheetName val="OA"/>
      <sheetName val="무전"/>
      <sheetName val="발주"/>
      <sheetName val="미발"/>
      <sheetName val="기성"/>
      <sheetName val="직원"/>
      <sheetName val="연락"/>
      <sheetName val="거래"/>
      <sheetName val="문서"/>
      <sheetName val="II손익관리"/>
      <sheetName val="준검 내역서"/>
      <sheetName val="전체수량집계"/>
      <sheetName val="추가예산"/>
      <sheetName val="SHEET PILE단가"/>
      <sheetName val="2.대외공문"/>
      <sheetName val="실행철강하도"/>
      <sheetName val="단가조사-1"/>
      <sheetName val="단가조사-2"/>
      <sheetName val="집계표"/>
      <sheetName val="조명시설"/>
      <sheetName val="수리결과"/>
      <sheetName val="파이프류"/>
      <sheetName val="원가계산서"/>
      <sheetName val="전체"/>
      <sheetName val="하자 Check"/>
      <sheetName val="FAB별"/>
      <sheetName val="공문"/>
      <sheetName val="일위대가목록"/>
      <sheetName val="총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공"/>
      <sheetName val="대성"/>
      <sheetName val="대원"/>
      <sheetName val="쌍용"/>
      <sheetName val="쌍용(토목)"/>
      <sheetName val="영진"/>
      <sheetName val="용호"/>
      <sheetName val="울산"/>
      <sheetName val="한라"/>
      <sheetName val="한진"/>
      <sheetName val="신우"/>
      <sheetName val="동양"/>
      <sheetName val="타설현황 정리"/>
      <sheetName val="구조물별타설현황"/>
      <sheetName val="반입자재 검수요청서"/>
      <sheetName val="시험계획"/>
      <sheetName val="사인지"/>
      <sheetName val="APT동별"/>
      <sheetName val="시험실적('24, 25년)"/>
      <sheetName val="02_레미콘 품질검사대장(o)"/>
      <sheetName val="물성1"/>
      <sheetName val="물성2"/>
      <sheetName val="물성3"/>
      <sheetName val="03_레미콘 점검표(O)"/>
      <sheetName val="강도1"/>
      <sheetName val="강도(봉함)"/>
      <sheetName val="강도2"/>
      <sheetName val="강도3"/>
      <sheetName val="CSI 자동입력"/>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7">
          <cell r="G7">
            <v>2403010100</v>
          </cell>
          <cell r="H7" t="str">
            <v>CIP</v>
          </cell>
          <cell r="I7">
            <v>240301</v>
          </cell>
          <cell r="J7" t="str">
            <v>CIP말뚝타설</v>
          </cell>
          <cell r="K7">
            <v>20</v>
          </cell>
          <cell r="L7">
            <v>20</v>
          </cell>
          <cell r="M7">
            <v>2415</v>
          </cell>
          <cell r="N7" t="str">
            <v>대공</v>
          </cell>
          <cell r="O7" t="str">
            <v>직접타설</v>
          </cell>
          <cell r="P7">
            <v>830</v>
          </cell>
          <cell r="Q7">
            <v>1356</v>
          </cell>
          <cell r="R7">
            <v>160</v>
          </cell>
          <cell r="S7">
            <v>44</v>
          </cell>
          <cell r="T7">
            <v>25</v>
          </cell>
          <cell r="U7">
            <v>188</v>
          </cell>
          <cell r="V7"/>
          <cell r="W7" t="str">
            <v>박순홍</v>
          </cell>
          <cell r="X7" t="str">
            <v>(인)</v>
          </cell>
          <cell r="Y7" t="str">
            <v>박순홍</v>
          </cell>
          <cell r="Z7" t="str">
            <v>(인)</v>
          </cell>
          <cell r="AA7" t="str">
            <v>박상갑</v>
          </cell>
          <cell r="AB7" t="str">
            <v>(인)</v>
          </cell>
          <cell r="AC7" t="str">
            <v>박상갑</v>
          </cell>
          <cell r="AD7" t="str">
            <v>(인)</v>
          </cell>
          <cell r="AE7">
            <v>161.19999999999999</v>
          </cell>
          <cell r="AF7" t="str">
            <v>동절기</v>
          </cell>
          <cell r="AG7">
            <v>0</v>
          </cell>
          <cell r="AH7">
            <v>0</v>
          </cell>
        </row>
        <row r="8">
          <cell r="G8">
            <v>2403010200</v>
          </cell>
          <cell r="H8" t="str">
            <v>CIP</v>
          </cell>
          <cell r="I8">
            <v>240301</v>
          </cell>
          <cell r="J8" t="str">
            <v>CIP캡빔</v>
          </cell>
          <cell r="K8">
            <v>5</v>
          </cell>
          <cell r="L8">
            <v>5</v>
          </cell>
          <cell r="M8">
            <v>2118</v>
          </cell>
          <cell r="N8" t="str">
            <v>대공</v>
          </cell>
          <cell r="O8" t="str">
            <v>직접타설</v>
          </cell>
          <cell r="P8">
            <v>1215</v>
          </cell>
          <cell r="Q8">
            <v>1335</v>
          </cell>
          <cell r="R8">
            <v>180</v>
          </cell>
          <cell r="S8">
            <v>47</v>
          </cell>
          <cell r="T8">
            <v>48</v>
          </cell>
          <cell r="U8">
            <v>172</v>
          </cell>
          <cell r="V8"/>
          <cell r="W8" t="str">
            <v>박순홍</v>
          </cell>
          <cell r="X8" t="str">
            <v>(인)</v>
          </cell>
          <cell r="Y8" t="str">
            <v>박순홍</v>
          </cell>
          <cell r="Z8" t="str">
            <v>(인)</v>
          </cell>
          <cell r="AA8" t="str">
            <v>이홍걸</v>
          </cell>
          <cell r="AB8" t="str">
            <v>(인)</v>
          </cell>
          <cell r="AC8" t="str">
            <v>박상갑</v>
          </cell>
          <cell r="AD8" t="str">
            <v>(인)</v>
          </cell>
          <cell r="AE8">
            <v>181.2</v>
          </cell>
          <cell r="AF8" t="str">
            <v>동절기</v>
          </cell>
          <cell r="AG8">
            <v>0</v>
          </cell>
          <cell r="AH8">
            <v>0</v>
          </cell>
        </row>
        <row r="9">
          <cell r="G9">
            <v>2403040101</v>
          </cell>
          <cell r="H9" t="str">
            <v>CIP</v>
          </cell>
          <cell r="I9">
            <v>240304</v>
          </cell>
          <cell r="J9" t="str">
            <v>CIP말뚝타설</v>
          </cell>
          <cell r="K9">
            <v>12</v>
          </cell>
          <cell r="L9">
            <v>12</v>
          </cell>
          <cell r="M9">
            <v>2415</v>
          </cell>
          <cell r="N9" t="str">
            <v>대공</v>
          </cell>
          <cell r="O9" t="str">
            <v>직접타설</v>
          </cell>
          <cell r="P9">
            <v>935</v>
          </cell>
          <cell r="Q9">
            <v>1030</v>
          </cell>
          <cell r="R9">
            <v>150</v>
          </cell>
          <cell r="S9">
            <v>44</v>
          </cell>
          <cell r="T9">
            <v>25</v>
          </cell>
          <cell r="U9">
            <v>195</v>
          </cell>
          <cell r="V9"/>
          <cell r="W9" t="str">
            <v>박순홍</v>
          </cell>
          <cell r="X9" t="str">
            <v>(인)</v>
          </cell>
          <cell r="Y9" t="str">
            <v>박순홍</v>
          </cell>
          <cell r="Z9" t="str">
            <v>(인)</v>
          </cell>
          <cell r="AA9" t="str">
            <v>박상갑</v>
          </cell>
          <cell r="AB9" t="str">
            <v>(인)</v>
          </cell>
          <cell r="AC9" t="str">
            <v>박상갑</v>
          </cell>
          <cell r="AD9" t="str">
            <v>(인)</v>
          </cell>
          <cell r="AE9">
            <v>171</v>
          </cell>
          <cell r="AF9" t="str">
            <v>동절기</v>
          </cell>
          <cell r="AG9">
            <v>1</v>
          </cell>
          <cell r="AH9">
            <v>1</v>
          </cell>
          <cell r="AI9">
            <v>2319</v>
          </cell>
          <cell r="AJ9">
            <v>2340</v>
          </cell>
          <cell r="AK9">
            <v>178600</v>
          </cell>
          <cell r="AL9">
            <v>3395</v>
          </cell>
          <cell r="AM9">
            <v>3381</v>
          </cell>
          <cell r="AN9">
            <v>3421</v>
          </cell>
          <cell r="AO9">
            <v>3362</v>
          </cell>
          <cell r="AP9">
            <v>3412</v>
          </cell>
          <cell r="AQ9">
            <v>3407</v>
          </cell>
          <cell r="AR9">
            <v>3413</v>
          </cell>
          <cell r="AS9">
            <v>3462</v>
          </cell>
          <cell r="AT9">
            <v>264600</v>
          </cell>
        </row>
        <row r="10">
          <cell r="G10">
            <v>2403040201</v>
          </cell>
          <cell r="H10" t="str">
            <v>106동</v>
          </cell>
          <cell r="I10">
            <v>240304</v>
          </cell>
          <cell r="J10" t="str">
            <v>106동 E/V 기초</v>
          </cell>
          <cell r="K10">
            <v>48</v>
          </cell>
          <cell r="L10">
            <v>48</v>
          </cell>
          <cell r="M10">
            <v>2415</v>
          </cell>
          <cell r="N10" t="str">
            <v>용호</v>
          </cell>
          <cell r="O10" t="str">
            <v>펌프카(1대)</v>
          </cell>
          <cell r="P10">
            <v>1059</v>
          </cell>
          <cell r="Q10">
            <v>1156</v>
          </cell>
          <cell r="R10">
            <v>160</v>
          </cell>
          <cell r="S10">
            <v>44</v>
          </cell>
          <cell r="T10">
            <v>77</v>
          </cell>
          <cell r="U10">
            <v>188</v>
          </cell>
          <cell r="V10"/>
          <cell r="W10" t="str">
            <v>박순홍</v>
          </cell>
          <cell r="X10" t="str">
            <v>(인)</v>
          </cell>
          <cell r="Y10" t="str">
            <v>박순홍</v>
          </cell>
          <cell r="Z10" t="str">
            <v>(인)</v>
          </cell>
          <cell r="AA10" t="str">
            <v>이홍걸</v>
          </cell>
          <cell r="AB10" t="str">
            <v>(인)</v>
          </cell>
          <cell r="AC10" t="str">
            <v>정창인</v>
          </cell>
          <cell r="AD10" t="str">
            <v>(인)</v>
          </cell>
          <cell r="AE10">
            <v>189.6</v>
          </cell>
          <cell r="AF10" t="str">
            <v>표준</v>
          </cell>
          <cell r="AG10">
            <v>1</v>
          </cell>
          <cell r="AH10">
            <v>1</v>
          </cell>
          <cell r="AI10">
            <v>2330</v>
          </cell>
          <cell r="AJ10">
            <v>2317</v>
          </cell>
          <cell r="AK10">
            <v>184600</v>
          </cell>
          <cell r="AL10">
            <v>3256</v>
          </cell>
          <cell r="AM10">
            <v>3192</v>
          </cell>
          <cell r="AN10">
            <v>3274</v>
          </cell>
          <cell r="AO10">
            <v>3301</v>
          </cell>
          <cell r="AP10">
            <v>3276</v>
          </cell>
          <cell r="AQ10">
            <v>3314</v>
          </cell>
          <cell r="AR10">
            <v>3212</v>
          </cell>
          <cell r="AS10">
            <v>3209</v>
          </cell>
          <cell r="AT10">
            <v>255400</v>
          </cell>
        </row>
        <row r="11">
          <cell r="G11">
            <v>2403040301</v>
          </cell>
          <cell r="H11" t="str">
            <v>106동</v>
          </cell>
          <cell r="I11">
            <v>240304</v>
          </cell>
          <cell r="J11" t="str">
            <v>106동 주변주차장, 근린생활시설 버림</v>
          </cell>
          <cell r="K11">
            <v>162</v>
          </cell>
          <cell r="L11">
            <v>162</v>
          </cell>
          <cell r="M11">
            <v>1812</v>
          </cell>
          <cell r="N11" t="str">
            <v>용호</v>
          </cell>
          <cell r="O11" t="str">
            <v>펌프카(1대)</v>
          </cell>
          <cell r="P11">
            <v>1300</v>
          </cell>
          <cell r="Q11">
            <v>1628</v>
          </cell>
          <cell r="R11">
            <v>120</v>
          </cell>
          <cell r="S11">
            <v>41</v>
          </cell>
          <cell r="T11">
            <v>77</v>
          </cell>
          <cell r="U11">
            <v>195</v>
          </cell>
          <cell r="V11"/>
          <cell r="W11" t="str">
            <v>박순홍</v>
          </cell>
          <cell r="X11" t="str">
            <v>(인)</v>
          </cell>
          <cell r="Y11" t="str">
            <v>박순홍</v>
          </cell>
          <cell r="Z11" t="str">
            <v>(인)</v>
          </cell>
          <cell r="AA11" t="str">
            <v>이홍걸</v>
          </cell>
          <cell r="AB11" t="str">
            <v>(인)</v>
          </cell>
          <cell r="AC11" t="str">
            <v>정창인</v>
          </cell>
          <cell r="AD11" t="str">
            <v>(인)</v>
          </cell>
          <cell r="AE11">
            <v>175.9</v>
          </cell>
          <cell r="AF11" t="str">
            <v>동절기</v>
          </cell>
          <cell r="AG11">
            <v>1</v>
          </cell>
          <cell r="AH11">
            <v>1</v>
          </cell>
          <cell r="AI11">
            <v>1716</v>
          </cell>
          <cell r="AJ11">
            <v>1757</v>
          </cell>
          <cell r="AK11">
            <v>140600</v>
          </cell>
          <cell r="AL11">
            <v>2342</v>
          </cell>
          <cell r="AM11">
            <v>2292</v>
          </cell>
          <cell r="AN11">
            <v>2362</v>
          </cell>
          <cell r="AO11">
            <v>2292</v>
          </cell>
          <cell r="AP11">
            <v>2302</v>
          </cell>
          <cell r="AQ11">
            <v>2312</v>
          </cell>
          <cell r="AR11">
            <v>2312</v>
          </cell>
          <cell r="AS11">
            <v>2217</v>
          </cell>
          <cell r="AT11">
            <v>185600</v>
          </cell>
        </row>
        <row r="12">
          <cell r="G12">
            <v>2403040302</v>
          </cell>
          <cell r="H12" t="str">
            <v>106동</v>
          </cell>
          <cell r="I12">
            <v>240304</v>
          </cell>
          <cell r="J12" t="str">
            <v>106동 주변주차장, 근린생활시설 버림</v>
          </cell>
          <cell r="K12">
            <v>162</v>
          </cell>
          <cell r="L12">
            <v>162</v>
          </cell>
          <cell r="M12">
            <v>1812</v>
          </cell>
          <cell r="N12" t="str">
            <v>용호</v>
          </cell>
          <cell r="O12" t="str">
            <v>펌프카(1대)</v>
          </cell>
          <cell r="P12">
            <v>1300</v>
          </cell>
          <cell r="Q12">
            <v>1628</v>
          </cell>
          <cell r="R12">
            <v>125</v>
          </cell>
          <cell r="S12">
            <v>38</v>
          </cell>
          <cell r="T12">
            <v>56</v>
          </cell>
          <cell r="U12">
            <v>189</v>
          </cell>
          <cell r="V12"/>
          <cell r="W12" t="str">
            <v>박순홍</v>
          </cell>
          <cell r="X12" t="str">
            <v>(인)</v>
          </cell>
          <cell r="Y12" t="str">
            <v>박순홍</v>
          </cell>
          <cell r="Z12" t="str">
            <v>(인)</v>
          </cell>
          <cell r="AA12" t="str">
            <v>이홍걸</v>
          </cell>
          <cell r="AB12" t="str">
            <v>(인)</v>
          </cell>
          <cell r="AC12" t="str">
            <v>정창인</v>
          </cell>
          <cell r="AD12" t="str">
            <v>(인)</v>
          </cell>
          <cell r="AE12">
            <v>171.4</v>
          </cell>
          <cell r="AF12" t="str">
            <v>동절기</v>
          </cell>
          <cell r="AG12">
            <v>2</v>
          </cell>
          <cell r="AH12">
            <v>0</v>
          </cell>
        </row>
        <row r="13">
          <cell r="G13">
            <v>2403040401</v>
          </cell>
          <cell r="H13" t="str">
            <v>105동</v>
          </cell>
          <cell r="I13">
            <v>240304</v>
          </cell>
          <cell r="J13" t="str">
            <v>105동 우수저수조 피트 바닥</v>
          </cell>
          <cell r="K13">
            <v>42</v>
          </cell>
          <cell r="L13">
            <v>42</v>
          </cell>
          <cell r="M13">
            <v>3018</v>
          </cell>
          <cell r="N13" t="str">
            <v>용호</v>
          </cell>
          <cell r="O13" t="str">
            <v>펌프카(1대)</v>
          </cell>
          <cell r="P13">
            <v>958</v>
          </cell>
          <cell r="Q13">
            <v>1045</v>
          </cell>
          <cell r="R13">
            <v>190</v>
          </cell>
          <cell r="S13">
            <v>48</v>
          </cell>
          <cell r="T13">
            <v>78</v>
          </cell>
          <cell r="U13">
            <v>202</v>
          </cell>
          <cell r="V13"/>
          <cell r="W13" t="str">
            <v>박순홍</v>
          </cell>
          <cell r="X13" t="str">
            <v>(인)</v>
          </cell>
          <cell r="Y13" t="str">
            <v>박순홍</v>
          </cell>
          <cell r="Z13" t="str">
            <v>(인)</v>
          </cell>
          <cell r="AA13" t="str">
            <v>이홍걸</v>
          </cell>
          <cell r="AB13" t="str">
            <v>(인)</v>
          </cell>
          <cell r="AC13" t="str">
            <v>최상옥</v>
          </cell>
          <cell r="AD13" t="str">
            <v>(인)</v>
          </cell>
          <cell r="AE13">
            <v>185.3</v>
          </cell>
          <cell r="AF13" t="str">
            <v>표준</v>
          </cell>
          <cell r="AG13">
            <v>1</v>
          </cell>
          <cell r="AH13">
            <v>1</v>
          </cell>
          <cell r="AI13">
            <v>2969</v>
          </cell>
          <cell r="AJ13">
            <v>2943</v>
          </cell>
          <cell r="AK13">
            <v>225800</v>
          </cell>
          <cell r="AL13">
            <v>3975</v>
          </cell>
          <cell r="AM13">
            <v>4036</v>
          </cell>
          <cell r="AN13">
            <v>3974</v>
          </cell>
          <cell r="AO13">
            <v>4062</v>
          </cell>
          <cell r="AP13">
            <v>3923</v>
          </cell>
          <cell r="AQ13">
            <v>3876</v>
          </cell>
          <cell r="AR13">
            <v>3926</v>
          </cell>
          <cell r="AS13">
            <v>4013</v>
          </cell>
          <cell r="AT13">
            <v>317200</v>
          </cell>
        </row>
        <row r="14">
          <cell r="G14">
            <v>2403040500</v>
          </cell>
          <cell r="H14" t="str">
            <v>CIP</v>
          </cell>
          <cell r="I14">
            <v>240304</v>
          </cell>
          <cell r="J14" t="str">
            <v>CIP캡빔</v>
          </cell>
          <cell r="K14">
            <v>4</v>
          </cell>
          <cell r="L14">
            <v>4</v>
          </cell>
          <cell r="M14">
            <v>2118</v>
          </cell>
          <cell r="N14" t="str">
            <v>대공</v>
          </cell>
          <cell r="O14" t="str">
            <v>직접타설</v>
          </cell>
          <cell r="P14">
            <v>1327</v>
          </cell>
          <cell r="Q14">
            <v>1357</v>
          </cell>
          <cell r="R14">
            <v>175</v>
          </cell>
          <cell r="S14">
            <v>42</v>
          </cell>
          <cell r="T14">
            <v>39</v>
          </cell>
          <cell r="U14">
            <v>181</v>
          </cell>
          <cell r="V14"/>
          <cell r="W14" t="str">
            <v>박순홍</v>
          </cell>
          <cell r="X14" t="str">
            <v>(인)</v>
          </cell>
          <cell r="Y14" t="str">
            <v>박순홍</v>
          </cell>
          <cell r="Z14" t="str">
            <v>(인)</v>
          </cell>
          <cell r="AA14" t="str">
            <v>박상갑</v>
          </cell>
          <cell r="AB14" t="str">
            <v>(인)</v>
          </cell>
          <cell r="AC14" t="str">
            <v>박상갑</v>
          </cell>
          <cell r="AD14" t="str">
            <v>(인)</v>
          </cell>
          <cell r="AE14">
            <v>189.6</v>
          </cell>
          <cell r="AF14" t="str">
            <v>동절기</v>
          </cell>
          <cell r="AG14">
            <v>0</v>
          </cell>
          <cell r="AH14">
            <v>0</v>
          </cell>
        </row>
        <row r="15">
          <cell r="G15">
            <v>2403070100</v>
          </cell>
          <cell r="H15" t="str">
            <v>CIP</v>
          </cell>
          <cell r="I15">
            <v>240307</v>
          </cell>
          <cell r="J15" t="str">
            <v>CIP말뚝타설</v>
          </cell>
          <cell r="K15">
            <v>24</v>
          </cell>
          <cell r="L15">
            <v>24</v>
          </cell>
          <cell r="M15">
            <v>2415</v>
          </cell>
          <cell r="N15" t="str">
            <v>대공</v>
          </cell>
          <cell r="O15" t="str">
            <v>직접타설</v>
          </cell>
          <cell r="P15">
            <v>925</v>
          </cell>
          <cell r="Q15">
            <v>1525</v>
          </cell>
          <cell r="R15">
            <v>160</v>
          </cell>
          <cell r="S15">
            <v>40</v>
          </cell>
          <cell r="T15">
            <v>62</v>
          </cell>
          <cell r="U15">
            <v>181</v>
          </cell>
          <cell r="V15"/>
          <cell r="W15" t="str">
            <v>박순홍</v>
          </cell>
          <cell r="X15" t="str">
            <v>(인)</v>
          </cell>
          <cell r="Y15" t="str">
            <v>박순홍</v>
          </cell>
          <cell r="Z15" t="str">
            <v>(인)</v>
          </cell>
          <cell r="AA15" t="str">
            <v>박상갑</v>
          </cell>
          <cell r="AB15" t="str">
            <v>(인)</v>
          </cell>
          <cell r="AC15" t="str">
            <v>박상갑</v>
          </cell>
          <cell r="AD15" t="str">
            <v>(인)</v>
          </cell>
          <cell r="AE15">
            <v>175.4</v>
          </cell>
          <cell r="AF15" t="str">
            <v>동절기</v>
          </cell>
          <cell r="AG15">
            <v>0</v>
          </cell>
          <cell r="AH15">
            <v>0</v>
          </cell>
        </row>
        <row r="16">
          <cell r="G16">
            <v>2403080101</v>
          </cell>
          <cell r="H16" t="str">
            <v>105동</v>
          </cell>
          <cell r="I16">
            <v>240308</v>
          </cell>
          <cell r="J16" t="str">
            <v>근린생활시설, 105동 주변주차장 기초</v>
          </cell>
          <cell r="K16">
            <v>600</v>
          </cell>
          <cell r="L16">
            <v>600</v>
          </cell>
          <cell r="M16">
            <v>2415</v>
          </cell>
          <cell r="N16" t="str">
            <v>대공</v>
          </cell>
          <cell r="O16" t="str">
            <v>펌프카(1대)</v>
          </cell>
          <cell r="P16">
            <v>745</v>
          </cell>
          <cell r="Q16">
            <v>1400</v>
          </cell>
          <cell r="R16">
            <v>160</v>
          </cell>
          <cell r="S16">
            <v>41</v>
          </cell>
          <cell r="T16">
            <v>53</v>
          </cell>
          <cell r="U16">
            <v>173</v>
          </cell>
          <cell r="V16"/>
          <cell r="W16" t="str">
            <v>박순홍</v>
          </cell>
          <cell r="X16" t="str">
            <v>(인)</v>
          </cell>
          <cell r="Y16" t="str">
            <v>박순홍</v>
          </cell>
          <cell r="Z16" t="str">
            <v>(인)</v>
          </cell>
          <cell r="AA16" t="str">
            <v>이홍걸</v>
          </cell>
          <cell r="AB16" t="str">
            <v>(인)</v>
          </cell>
          <cell r="AC16" t="str">
            <v>정창인</v>
          </cell>
          <cell r="AD16" t="str">
            <v>(인)</v>
          </cell>
          <cell r="AE16">
            <v>173.6</v>
          </cell>
          <cell r="AF16" t="str">
            <v>표준</v>
          </cell>
          <cell r="AG16">
            <v>1</v>
          </cell>
          <cell r="AH16">
            <v>1</v>
          </cell>
          <cell r="AI16">
            <v>2347</v>
          </cell>
          <cell r="AJ16">
            <v>2350</v>
          </cell>
          <cell r="AK16">
            <v>180800</v>
          </cell>
          <cell r="AL16">
            <v>3361</v>
          </cell>
          <cell r="AM16">
            <v>3427</v>
          </cell>
          <cell r="AN16">
            <v>3413</v>
          </cell>
          <cell r="AO16">
            <v>3417</v>
          </cell>
          <cell r="AP16">
            <v>3294</v>
          </cell>
          <cell r="AQ16">
            <v>3304</v>
          </cell>
          <cell r="AR16">
            <v>3317</v>
          </cell>
          <cell r="AS16">
            <v>3420</v>
          </cell>
          <cell r="AT16">
            <v>258600</v>
          </cell>
        </row>
        <row r="17">
          <cell r="G17">
            <v>2403080102</v>
          </cell>
          <cell r="H17" t="str">
            <v>105동</v>
          </cell>
          <cell r="I17">
            <v>240308</v>
          </cell>
          <cell r="J17" t="str">
            <v>근린생활시설, 105동 주변주차장 기초</v>
          </cell>
          <cell r="K17">
            <v>600</v>
          </cell>
          <cell r="L17">
            <v>600</v>
          </cell>
          <cell r="M17">
            <v>2415</v>
          </cell>
          <cell r="N17" t="str">
            <v>대공</v>
          </cell>
          <cell r="O17" t="str">
            <v>펌프카(1대)</v>
          </cell>
          <cell r="P17">
            <v>745</v>
          </cell>
          <cell r="Q17">
            <v>1400</v>
          </cell>
          <cell r="R17">
            <v>160</v>
          </cell>
          <cell r="S17">
            <v>42</v>
          </cell>
          <cell r="T17">
            <v>38</v>
          </cell>
          <cell r="U17">
            <v>146</v>
          </cell>
          <cell r="V17"/>
          <cell r="W17" t="str">
            <v>박순홍</v>
          </cell>
          <cell r="X17" t="str">
            <v>(인)</v>
          </cell>
          <cell r="Y17" t="str">
            <v>박순홍</v>
          </cell>
          <cell r="Z17" t="str">
            <v>(인)</v>
          </cell>
          <cell r="AA17" t="str">
            <v>이홍걸</v>
          </cell>
          <cell r="AB17" t="str">
            <v>(인)</v>
          </cell>
          <cell r="AC17" t="str">
            <v>정창인</v>
          </cell>
          <cell r="AD17" t="str">
            <v>(인)</v>
          </cell>
          <cell r="AE17">
            <v>173.7</v>
          </cell>
          <cell r="AF17" t="str">
            <v>표준</v>
          </cell>
          <cell r="AG17">
            <v>2</v>
          </cell>
          <cell r="AH17">
            <v>0</v>
          </cell>
        </row>
        <row r="18">
          <cell r="G18">
            <v>2403080103</v>
          </cell>
          <cell r="H18" t="str">
            <v>105동</v>
          </cell>
          <cell r="I18">
            <v>240308</v>
          </cell>
          <cell r="J18" t="str">
            <v>근린생활시설, 105동 주변주차장 기초</v>
          </cell>
          <cell r="K18">
            <v>600</v>
          </cell>
          <cell r="L18">
            <v>600</v>
          </cell>
          <cell r="M18">
            <v>2415</v>
          </cell>
          <cell r="N18" t="str">
            <v>대공</v>
          </cell>
          <cell r="O18" t="str">
            <v>펌프카(1대)</v>
          </cell>
          <cell r="P18">
            <v>745</v>
          </cell>
          <cell r="Q18">
            <v>1400</v>
          </cell>
          <cell r="R18">
            <v>165</v>
          </cell>
          <cell r="S18">
            <v>49</v>
          </cell>
          <cell r="T18">
            <v>37</v>
          </cell>
          <cell r="U18">
            <v>166</v>
          </cell>
          <cell r="V18"/>
          <cell r="W18" t="str">
            <v>박순홍</v>
          </cell>
          <cell r="X18" t="str">
            <v>(인)</v>
          </cell>
          <cell r="Y18" t="str">
            <v>박순홍</v>
          </cell>
          <cell r="Z18" t="str">
            <v>(인)</v>
          </cell>
          <cell r="AA18" t="str">
            <v>이홍걸</v>
          </cell>
          <cell r="AB18" t="str">
            <v>(인)</v>
          </cell>
          <cell r="AC18" t="str">
            <v>정창인</v>
          </cell>
          <cell r="AD18" t="str">
            <v>(인)</v>
          </cell>
          <cell r="AE18">
            <v>173</v>
          </cell>
          <cell r="AF18" t="str">
            <v>표준</v>
          </cell>
          <cell r="AG18">
            <v>3</v>
          </cell>
          <cell r="AH18">
            <v>0</v>
          </cell>
        </row>
        <row r="19">
          <cell r="G19">
            <v>2403080104</v>
          </cell>
          <cell r="H19" t="str">
            <v>105동</v>
          </cell>
          <cell r="I19">
            <v>240308</v>
          </cell>
          <cell r="J19" t="str">
            <v>근린생활시설, 105동 주변주차장 기초</v>
          </cell>
          <cell r="K19">
            <v>600</v>
          </cell>
          <cell r="L19">
            <v>600</v>
          </cell>
          <cell r="M19">
            <v>2415</v>
          </cell>
          <cell r="N19" t="str">
            <v>대공</v>
          </cell>
          <cell r="O19" t="str">
            <v>펌프카(1대)</v>
          </cell>
          <cell r="P19">
            <v>745</v>
          </cell>
          <cell r="Q19">
            <v>1400</v>
          </cell>
          <cell r="R19">
            <v>160</v>
          </cell>
          <cell r="S19">
            <v>37</v>
          </cell>
          <cell r="T19">
            <v>64</v>
          </cell>
          <cell r="U19">
            <v>214</v>
          </cell>
          <cell r="V19"/>
          <cell r="W19" t="str">
            <v>박순홍</v>
          </cell>
          <cell r="X19" t="str">
            <v>(인)</v>
          </cell>
          <cell r="Y19" t="str">
            <v>박순홍</v>
          </cell>
          <cell r="Z19" t="str">
            <v>(인)</v>
          </cell>
          <cell r="AA19" t="str">
            <v>이홍걸</v>
          </cell>
          <cell r="AB19" t="str">
            <v>(인)</v>
          </cell>
          <cell r="AC19" t="str">
            <v>정창인</v>
          </cell>
          <cell r="AD19" t="str">
            <v>(인)</v>
          </cell>
          <cell r="AE19">
            <v>184.5</v>
          </cell>
          <cell r="AF19" t="str">
            <v>표준</v>
          </cell>
          <cell r="AG19">
            <v>4</v>
          </cell>
          <cell r="AH19">
            <v>1</v>
          </cell>
          <cell r="AL19">
            <v>3328</v>
          </cell>
          <cell r="AM19">
            <v>3348</v>
          </cell>
          <cell r="AN19">
            <v>3298</v>
          </cell>
          <cell r="AO19">
            <v>3327</v>
          </cell>
          <cell r="AP19">
            <v>3192</v>
          </cell>
          <cell r="AQ19">
            <v>3341</v>
          </cell>
          <cell r="AR19">
            <v>3293</v>
          </cell>
          <cell r="AS19">
            <v>3307</v>
          </cell>
          <cell r="AT19">
            <v>262600</v>
          </cell>
        </row>
        <row r="20">
          <cell r="G20">
            <v>2403080105</v>
          </cell>
          <cell r="H20" t="str">
            <v>105동</v>
          </cell>
          <cell r="I20">
            <v>240308</v>
          </cell>
          <cell r="J20" t="str">
            <v>근린생활시설, 105동 주변주차장 기초</v>
          </cell>
          <cell r="K20">
            <v>600</v>
          </cell>
          <cell r="L20">
            <v>600</v>
          </cell>
          <cell r="M20">
            <v>2415</v>
          </cell>
          <cell r="N20" t="str">
            <v>대공</v>
          </cell>
          <cell r="O20" t="str">
            <v>펌프카(1대)</v>
          </cell>
          <cell r="P20">
            <v>745</v>
          </cell>
          <cell r="Q20">
            <v>1400</v>
          </cell>
          <cell r="R20">
            <v>165</v>
          </cell>
          <cell r="S20">
            <v>49</v>
          </cell>
          <cell r="T20">
            <v>83</v>
          </cell>
          <cell r="U20">
            <v>199</v>
          </cell>
          <cell r="V20"/>
          <cell r="W20" t="str">
            <v>박순홍</v>
          </cell>
          <cell r="X20" t="str">
            <v>(인)</v>
          </cell>
          <cell r="Y20" t="str">
            <v>박순홍</v>
          </cell>
          <cell r="Z20" t="str">
            <v>(인)</v>
          </cell>
          <cell r="AA20" t="str">
            <v>이홍걸</v>
          </cell>
          <cell r="AB20" t="str">
            <v>(인)</v>
          </cell>
          <cell r="AC20" t="str">
            <v>정창인</v>
          </cell>
          <cell r="AD20" t="str">
            <v>(인)</v>
          </cell>
          <cell r="AE20">
            <v>185.3</v>
          </cell>
          <cell r="AF20" t="str">
            <v>표준</v>
          </cell>
          <cell r="AG20">
            <v>5</v>
          </cell>
          <cell r="AH20">
            <v>0</v>
          </cell>
        </row>
        <row r="21">
          <cell r="G21">
            <v>2403080201</v>
          </cell>
          <cell r="H21" t="str">
            <v>CIP</v>
          </cell>
          <cell r="I21">
            <v>240308</v>
          </cell>
          <cell r="J21" t="str">
            <v>CIP말뚝타설</v>
          </cell>
          <cell r="K21">
            <v>24</v>
          </cell>
          <cell r="L21">
            <v>24</v>
          </cell>
          <cell r="M21">
            <v>2415</v>
          </cell>
          <cell r="N21" t="str">
            <v>대공</v>
          </cell>
          <cell r="O21" t="str">
            <v>직접타설</v>
          </cell>
          <cell r="P21">
            <v>830</v>
          </cell>
          <cell r="Q21">
            <v>1354</v>
          </cell>
          <cell r="R21">
            <v>170</v>
          </cell>
          <cell r="S21">
            <v>46</v>
          </cell>
          <cell r="T21">
            <v>38</v>
          </cell>
          <cell r="U21">
            <v>167</v>
          </cell>
          <cell r="V21"/>
          <cell r="W21" t="str">
            <v>박순홍</v>
          </cell>
          <cell r="X21" t="str">
            <v>(인)</v>
          </cell>
          <cell r="Y21" t="str">
            <v>박순홍</v>
          </cell>
          <cell r="Z21" t="str">
            <v>(인)</v>
          </cell>
          <cell r="AA21" t="str">
            <v>박상갑</v>
          </cell>
          <cell r="AB21" t="str">
            <v>(인)</v>
          </cell>
          <cell r="AC21" t="str">
            <v>박상갑</v>
          </cell>
          <cell r="AD21" t="str">
            <v>(인)</v>
          </cell>
          <cell r="AE21">
            <v>177.5</v>
          </cell>
          <cell r="AF21" t="str">
            <v>동절기</v>
          </cell>
          <cell r="AG21">
            <v>1</v>
          </cell>
          <cell r="AH21">
            <v>1</v>
          </cell>
          <cell r="AI21">
            <v>2289</v>
          </cell>
          <cell r="AJ21">
            <v>2281</v>
          </cell>
          <cell r="AK21">
            <v>182600</v>
          </cell>
          <cell r="AL21">
            <v>3267</v>
          </cell>
          <cell r="AM21">
            <v>3371</v>
          </cell>
          <cell r="AN21">
            <v>3364</v>
          </cell>
          <cell r="AO21">
            <v>3418</v>
          </cell>
          <cell r="AP21">
            <v>3366</v>
          </cell>
          <cell r="AQ21">
            <v>3243</v>
          </cell>
          <cell r="AR21">
            <v>3217</v>
          </cell>
          <cell r="AS21">
            <v>3351</v>
          </cell>
          <cell r="AT21">
            <v>3427</v>
          </cell>
        </row>
        <row r="22">
          <cell r="G22">
            <v>2403110100</v>
          </cell>
          <cell r="H22" t="str">
            <v>CIP</v>
          </cell>
          <cell r="I22">
            <v>240311</v>
          </cell>
          <cell r="J22" t="str">
            <v>CIP말뚝타설</v>
          </cell>
          <cell r="K22">
            <v>30</v>
          </cell>
          <cell r="L22">
            <v>30</v>
          </cell>
          <cell r="M22">
            <v>2415</v>
          </cell>
          <cell r="N22" t="str">
            <v>대공</v>
          </cell>
          <cell r="O22" t="str">
            <v>직접타설</v>
          </cell>
          <cell r="P22">
            <v>833</v>
          </cell>
          <cell r="Q22">
            <v>1610</v>
          </cell>
          <cell r="R22">
            <v>170</v>
          </cell>
          <cell r="S22">
            <v>42</v>
          </cell>
          <cell r="T22">
            <v>35</v>
          </cell>
          <cell r="U22">
            <v>182</v>
          </cell>
          <cell r="V22"/>
          <cell r="W22" t="str">
            <v>박순홍</v>
          </cell>
          <cell r="X22" t="str">
            <v>(인)</v>
          </cell>
          <cell r="Y22" t="str">
            <v>박순홍</v>
          </cell>
          <cell r="Z22" t="str">
            <v>(인)</v>
          </cell>
          <cell r="AA22" t="str">
            <v>박상갑</v>
          </cell>
          <cell r="AB22" t="str">
            <v>(인)</v>
          </cell>
          <cell r="AC22" t="str">
            <v>박상갑</v>
          </cell>
          <cell r="AD22" t="str">
            <v>(인)</v>
          </cell>
          <cell r="AE22">
            <v>180.5</v>
          </cell>
          <cell r="AF22" t="str">
            <v>동절기</v>
          </cell>
          <cell r="AG22">
            <v>0</v>
          </cell>
          <cell r="AH22">
            <v>0</v>
          </cell>
        </row>
        <row r="23">
          <cell r="G23">
            <v>2403110200</v>
          </cell>
          <cell r="H23" t="str">
            <v>CIP</v>
          </cell>
          <cell r="I23">
            <v>240311</v>
          </cell>
          <cell r="J23" t="str">
            <v>CIP캡빔</v>
          </cell>
          <cell r="K23">
            <v>16</v>
          </cell>
          <cell r="L23">
            <v>16</v>
          </cell>
          <cell r="M23">
            <v>2118</v>
          </cell>
          <cell r="N23" t="str">
            <v>대공</v>
          </cell>
          <cell r="O23" t="str">
            <v>직접타설</v>
          </cell>
          <cell r="P23">
            <v>900</v>
          </cell>
          <cell r="Q23">
            <v>950</v>
          </cell>
          <cell r="R23">
            <v>180</v>
          </cell>
          <cell r="S23">
            <v>42</v>
          </cell>
          <cell r="T23">
            <v>97</v>
          </cell>
          <cell r="U23">
            <v>179</v>
          </cell>
          <cell r="V23"/>
          <cell r="W23" t="str">
            <v>박순홍</v>
          </cell>
          <cell r="X23" t="str">
            <v>(인)</v>
          </cell>
          <cell r="Y23" t="str">
            <v>박순홍</v>
          </cell>
          <cell r="Z23" t="str">
            <v>(인)</v>
          </cell>
          <cell r="AA23" t="str">
            <v>박상갑</v>
          </cell>
          <cell r="AB23" t="str">
            <v>(인)</v>
          </cell>
          <cell r="AC23" t="str">
            <v>박상갑</v>
          </cell>
          <cell r="AD23" t="str">
            <v>(인)</v>
          </cell>
          <cell r="AE23">
            <v>188</v>
          </cell>
          <cell r="AF23" t="str">
            <v>동절기</v>
          </cell>
          <cell r="AG23">
            <v>0</v>
          </cell>
          <cell r="AH23">
            <v>0</v>
          </cell>
        </row>
        <row r="24">
          <cell r="G24">
            <v>2403110301</v>
          </cell>
          <cell r="H24" t="str">
            <v>106동</v>
          </cell>
          <cell r="I24">
            <v>240311</v>
          </cell>
          <cell r="J24" t="str">
            <v>근린생활시설, 106동 주변주차장 기초</v>
          </cell>
          <cell r="K24">
            <v>540</v>
          </cell>
          <cell r="L24">
            <v>540</v>
          </cell>
          <cell r="M24">
            <v>2415</v>
          </cell>
          <cell r="N24" t="str">
            <v>동양</v>
          </cell>
          <cell r="O24" t="str">
            <v>펌프카(1대)</v>
          </cell>
          <cell r="P24">
            <v>747</v>
          </cell>
          <cell r="Q24">
            <v>1407</v>
          </cell>
          <cell r="R24">
            <v>155</v>
          </cell>
          <cell r="S24">
            <v>40</v>
          </cell>
          <cell r="T24">
            <v>49</v>
          </cell>
          <cell r="U24">
            <v>169</v>
          </cell>
          <cell r="V24"/>
          <cell r="W24" t="str">
            <v>박순홍</v>
          </cell>
          <cell r="X24" t="str">
            <v>(인)</v>
          </cell>
          <cell r="Y24" t="str">
            <v>박순홍</v>
          </cell>
          <cell r="Z24" t="str">
            <v>(인)</v>
          </cell>
          <cell r="AA24" t="str">
            <v>정창인</v>
          </cell>
          <cell r="AB24" t="str">
            <v>(인)</v>
          </cell>
          <cell r="AC24" t="str">
            <v>정창인</v>
          </cell>
          <cell r="AD24" t="str">
            <v>(인)</v>
          </cell>
          <cell r="AE24">
            <v>189.1</v>
          </cell>
          <cell r="AF24" t="str">
            <v>표준</v>
          </cell>
          <cell r="AG24">
            <v>1</v>
          </cell>
          <cell r="AH24">
            <v>1</v>
          </cell>
          <cell r="AI24">
            <v>2317</v>
          </cell>
          <cell r="AJ24">
            <v>2394</v>
          </cell>
          <cell r="AK24">
            <v>185600</v>
          </cell>
          <cell r="AL24">
            <v>3347</v>
          </cell>
          <cell r="AM24">
            <v>3360</v>
          </cell>
          <cell r="AN24">
            <v>3412</v>
          </cell>
          <cell r="AO24">
            <v>3287</v>
          </cell>
          <cell r="AP24">
            <v>3327</v>
          </cell>
          <cell r="AQ24">
            <v>3384</v>
          </cell>
          <cell r="AR24">
            <v>3361</v>
          </cell>
          <cell r="AS24">
            <v>3344</v>
          </cell>
          <cell r="AT24">
            <v>257800</v>
          </cell>
        </row>
        <row r="25">
          <cell r="G25">
            <v>2403110302</v>
          </cell>
          <cell r="H25" t="str">
            <v>106동</v>
          </cell>
          <cell r="I25">
            <v>240311</v>
          </cell>
          <cell r="J25" t="str">
            <v>근린생활시설, 106동 주변주차장 기초</v>
          </cell>
          <cell r="K25">
            <v>540</v>
          </cell>
          <cell r="L25">
            <v>540</v>
          </cell>
          <cell r="M25">
            <v>2415</v>
          </cell>
          <cell r="N25" t="str">
            <v>동양</v>
          </cell>
          <cell r="O25" t="str">
            <v>펌프카(1대)</v>
          </cell>
          <cell r="P25">
            <v>747</v>
          </cell>
          <cell r="Q25">
            <v>1407</v>
          </cell>
          <cell r="R25">
            <v>160</v>
          </cell>
          <cell r="S25">
            <v>35</v>
          </cell>
          <cell r="T25">
            <v>51</v>
          </cell>
          <cell r="U25">
            <v>192</v>
          </cell>
          <cell r="V25"/>
          <cell r="W25" t="str">
            <v>박순홍</v>
          </cell>
          <cell r="X25" t="str">
            <v>(인)</v>
          </cell>
          <cell r="Y25" t="str">
            <v>박순홍</v>
          </cell>
          <cell r="Z25" t="str">
            <v>(인)</v>
          </cell>
          <cell r="AA25" t="str">
            <v>정창인</v>
          </cell>
          <cell r="AB25" t="str">
            <v>(인)</v>
          </cell>
          <cell r="AC25" t="str">
            <v>정창인</v>
          </cell>
          <cell r="AD25" t="str">
            <v>(인)</v>
          </cell>
          <cell r="AE25">
            <v>187</v>
          </cell>
          <cell r="AF25" t="str">
            <v>표준</v>
          </cell>
          <cell r="AG25">
            <v>2</v>
          </cell>
          <cell r="AH25">
            <v>0</v>
          </cell>
        </row>
        <row r="26">
          <cell r="G26">
            <v>2403110303</v>
          </cell>
          <cell r="H26" t="str">
            <v>106동</v>
          </cell>
          <cell r="I26">
            <v>240311</v>
          </cell>
          <cell r="J26" t="str">
            <v>근린생활시설, 106동 주변주차장 기초</v>
          </cell>
          <cell r="K26">
            <v>540</v>
          </cell>
          <cell r="L26">
            <v>540</v>
          </cell>
          <cell r="M26">
            <v>2415</v>
          </cell>
          <cell r="N26" t="str">
            <v>동양</v>
          </cell>
          <cell r="O26" t="str">
            <v>펌프카(1대)</v>
          </cell>
          <cell r="P26">
            <v>747</v>
          </cell>
          <cell r="Q26">
            <v>1407</v>
          </cell>
          <cell r="R26">
            <v>165</v>
          </cell>
          <cell r="S26">
            <v>39</v>
          </cell>
          <cell r="T26">
            <v>24</v>
          </cell>
          <cell r="U26">
            <v>197</v>
          </cell>
          <cell r="V26"/>
          <cell r="W26" t="str">
            <v>박순홍</v>
          </cell>
          <cell r="X26" t="str">
            <v>(인)</v>
          </cell>
          <cell r="Y26" t="str">
            <v>박순홍</v>
          </cell>
          <cell r="Z26" t="str">
            <v>(인)</v>
          </cell>
          <cell r="AA26" t="str">
            <v>정창인</v>
          </cell>
          <cell r="AB26" t="str">
            <v>(인)</v>
          </cell>
          <cell r="AC26" t="str">
            <v>정창인</v>
          </cell>
          <cell r="AD26" t="str">
            <v>(인)</v>
          </cell>
          <cell r="AE26">
            <v>179.8</v>
          </cell>
          <cell r="AF26" t="str">
            <v>표준</v>
          </cell>
          <cell r="AG26">
            <v>3</v>
          </cell>
          <cell r="AH26">
            <v>0</v>
          </cell>
        </row>
        <row r="27">
          <cell r="G27">
            <v>2403110304</v>
          </cell>
          <cell r="H27" t="str">
            <v>106동</v>
          </cell>
          <cell r="I27">
            <v>240311</v>
          </cell>
          <cell r="J27" t="str">
            <v>근린생활시설, 106동 주변주차장 기초</v>
          </cell>
          <cell r="K27">
            <v>540</v>
          </cell>
          <cell r="L27">
            <v>540</v>
          </cell>
          <cell r="M27">
            <v>2415</v>
          </cell>
          <cell r="N27" t="str">
            <v>동양</v>
          </cell>
          <cell r="O27" t="str">
            <v>펌프카(1대)</v>
          </cell>
          <cell r="P27">
            <v>747</v>
          </cell>
          <cell r="Q27">
            <v>1407</v>
          </cell>
          <cell r="R27">
            <v>160</v>
          </cell>
          <cell r="S27">
            <v>44</v>
          </cell>
          <cell r="T27">
            <v>17</v>
          </cell>
          <cell r="U27">
            <v>194</v>
          </cell>
          <cell r="V27"/>
          <cell r="W27" t="str">
            <v>박순홍</v>
          </cell>
          <cell r="X27" t="str">
            <v>(인)</v>
          </cell>
          <cell r="Y27" t="str">
            <v>박순홍</v>
          </cell>
          <cell r="Z27" t="str">
            <v>(인)</v>
          </cell>
          <cell r="AA27" t="str">
            <v>정창인</v>
          </cell>
          <cell r="AB27" t="str">
            <v>(인)</v>
          </cell>
          <cell r="AC27" t="str">
            <v>정창인</v>
          </cell>
          <cell r="AD27" t="str">
            <v>(인)</v>
          </cell>
          <cell r="AE27">
            <v>181.1</v>
          </cell>
          <cell r="AF27" t="str">
            <v>표준</v>
          </cell>
          <cell r="AG27">
            <v>4</v>
          </cell>
          <cell r="AH27">
            <v>1</v>
          </cell>
          <cell r="AL27">
            <v>3287</v>
          </cell>
          <cell r="AM27">
            <v>3339</v>
          </cell>
          <cell r="AN27">
            <v>3411</v>
          </cell>
          <cell r="AO27">
            <v>3374</v>
          </cell>
          <cell r="AP27">
            <v>3366</v>
          </cell>
          <cell r="AQ27">
            <v>3274</v>
          </cell>
          <cell r="AR27">
            <v>3274</v>
          </cell>
          <cell r="AS27">
            <v>3366</v>
          </cell>
          <cell r="AT27">
            <v>261600</v>
          </cell>
        </row>
        <row r="28">
          <cell r="G28">
            <v>2403110305</v>
          </cell>
          <cell r="H28" t="str">
            <v>106동</v>
          </cell>
          <cell r="I28">
            <v>240311</v>
          </cell>
          <cell r="J28" t="str">
            <v>근린생활시설, 106동 주변주차장 기초</v>
          </cell>
          <cell r="K28">
            <v>540</v>
          </cell>
          <cell r="L28">
            <v>540</v>
          </cell>
          <cell r="M28">
            <v>2415</v>
          </cell>
          <cell r="N28" t="str">
            <v>동양</v>
          </cell>
          <cell r="O28" t="str">
            <v>펌프카(1대)</v>
          </cell>
          <cell r="P28">
            <v>747</v>
          </cell>
          <cell r="Q28">
            <v>1407</v>
          </cell>
          <cell r="R28">
            <v>160</v>
          </cell>
          <cell r="S28">
            <v>47</v>
          </cell>
          <cell r="T28">
            <v>19</v>
          </cell>
          <cell r="U28">
            <v>176</v>
          </cell>
          <cell r="V28"/>
          <cell r="W28" t="str">
            <v>박순홍</v>
          </cell>
          <cell r="X28" t="str">
            <v>(인)</v>
          </cell>
          <cell r="Y28" t="str">
            <v>박순홍</v>
          </cell>
          <cell r="Z28" t="str">
            <v>(인)</v>
          </cell>
          <cell r="AA28" t="str">
            <v>정창인</v>
          </cell>
          <cell r="AB28" t="str">
            <v>(인)</v>
          </cell>
          <cell r="AC28" t="str">
            <v>정창인</v>
          </cell>
          <cell r="AD28" t="str">
            <v>(인)</v>
          </cell>
          <cell r="AE28">
            <v>183.9</v>
          </cell>
          <cell r="AF28" t="str">
            <v>표준</v>
          </cell>
          <cell r="AG28">
            <v>5</v>
          </cell>
          <cell r="AH28">
            <v>0</v>
          </cell>
        </row>
        <row r="29">
          <cell r="G29">
            <v>2403110401</v>
          </cell>
          <cell r="H29" t="str">
            <v>106동</v>
          </cell>
          <cell r="I29">
            <v>240311</v>
          </cell>
          <cell r="J29" t="str">
            <v>근린생활시설, 106동 주변주차장 기초</v>
          </cell>
          <cell r="K29">
            <v>930</v>
          </cell>
          <cell r="L29">
            <v>930</v>
          </cell>
          <cell r="M29">
            <v>2415</v>
          </cell>
          <cell r="N29" t="str">
            <v>용호</v>
          </cell>
          <cell r="O29" t="str">
            <v>펌프카(1대)</v>
          </cell>
          <cell r="P29">
            <v>745</v>
          </cell>
          <cell r="Q29">
            <v>1628</v>
          </cell>
          <cell r="R29">
            <v>170</v>
          </cell>
          <cell r="S29">
            <v>47</v>
          </cell>
          <cell r="T29">
            <v>43</v>
          </cell>
          <cell r="U29">
            <v>172</v>
          </cell>
          <cell r="V29"/>
          <cell r="W29" t="str">
            <v>박순홍</v>
          </cell>
          <cell r="X29" t="str">
            <v>(인)</v>
          </cell>
          <cell r="Y29" t="str">
            <v>박순홍</v>
          </cell>
          <cell r="Z29" t="str">
            <v>(인)</v>
          </cell>
          <cell r="AA29" t="str">
            <v>정창인</v>
          </cell>
          <cell r="AB29" t="str">
            <v>(인)</v>
          </cell>
          <cell r="AC29" t="str">
            <v>정창인</v>
          </cell>
          <cell r="AD29" t="str">
            <v>(인)</v>
          </cell>
          <cell r="AE29">
            <v>179.8</v>
          </cell>
          <cell r="AF29" t="str">
            <v>표준</v>
          </cell>
          <cell r="AG29">
            <v>1</v>
          </cell>
          <cell r="AH29">
            <v>1</v>
          </cell>
          <cell r="AI29">
            <v>2329</v>
          </cell>
          <cell r="AJ29">
            <v>2401</v>
          </cell>
          <cell r="AK29">
            <v>183400</v>
          </cell>
          <cell r="AL29">
            <v>3291</v>
          </cell>
          <cell r="AM29">
            <v>3268</v>
          </cell>
          <cell r="AN29">
            <v>3372</v>
          </cell>
          <cell r="AO29">
            <v>3312</v>
          </cell>
          <cell r="AP29">
            <v>3308</v>
          </cell>
          <cell r="AQ29">
            <v>3401</v>
          </cell>
          <cell r="AR29">
            <v>3491</v>
          </cell>
          <cell r="AS29">
            <v>3262</v>
          </cell>
          <cell r="AT29">
            <v>260800</v>
          </cell>
        </row>
        <row r="30">
          <cell r="G30">
            <v>2403110402</v>
          </cell>
          <cell r="H30" t="str">
            <v>106동</v>
          </cell>
          <cell r="I30">
            <v>240311</v>
          </cell>
          <cell r="J30" t="str">
            <v>근린생활시설, 106동 주변주차장 기초</v>
          </cell>
          <cell r="K30">
            <v>930</v>
          </cell>
          <cell r="L30">
            <v>930</v>
          </cell>
          <cell r="M30">
            <v>2415</v>
          </cell>
          <cell r="N30" t="str">
            <v>용호</v>
          </cell>
          <cell r="O30" t="str">
            <v>펌프카(1대)</v>
          </cell>
          <cell r="P30">
            <v>745</v>
          </cell>
          <cell r="Q30">
            <v>1628</v>
          </cell>
          <cell r="R30">
            <v>165</v>
          </cell>
          <cell r="S30">
            <v>44</v>
          </cell>
          <cell r="T30">
            <v>25</v>
          </cell>
          <cell r="U30">
            <v>178</v>
          </cell>
          <cell r="V30"/>
          <cell r="W30" t="str">
            <v>박순홍</v>
          </cell>
          <cell r="X30" t="str">
            <v>(인)</v>
          </cell>
          <cell r="Y30" t="str">
            <v>박순홍</v>
          </cell>
          <cell r="Z30" t="str">
            <v>(인)</v>
          </cell>
          <cell r="AA30" t="str">
            <v>정창인</v>
          </cell>
          <cell r="AB30" t="str">
            <v>(인)</v>
          </cell>
          <cell r="AC30" t="str">
            <v>정창인</v>
          </cell>
          <cell r="AD30" t="str">
            <v>(인)</v>
          </cell>
          <cell r="AE30">
            <v>180.5</v>
          </cell>
          <cell r="AF30" t="str">
            <v>표준</v>
          </cell>
          <cell r="AG30">
            <v>2</v>
          </cell>
          <cell r="AH30">
            <v>0</v>
          </cell>
        </row>
        <row r="31">
          <cell r="G31">
            <v>2403110403</v>
          </cell>
          <cell r="H31" t="str">
            <v>106동</v>
          </cell>
          <cell r="I31">
            <v>240311</v>
          </cell>
          <cell r="J31" t="str">
            <v>근린생활시설, 106동 주변주차장 기초</v>
          </cell>
          <cell r="K31">
            <v>930</v>
          </cell>
          <cell r="L31">
            <v>930</v>
          </cell>
          <cell r="M31">
            <v>2415</v>
          </cell>
          <cell r="N31" t="str">
            <v>용호</v>
          </cell>
          <cell r="O31" t="str">
            <v>펌프카(1대)</v>
          </cell>
          <cell r="P31">
            <v>745</v>
          </cell>
          <cell r="Q31">
            <v>1628</v>
          </cell>
          <cell r="R31">
            <v>160</v>
          </cell>
          <cell r="S31">
            <v>42</v>
          </cell>
          <cell r="T31">
            <v>30</v>
          </cell>
          <cell r="U31">
            <v>189</v>
          </cell>
          <cell r="V31"/>
          <cell r="W31" t="str">
            <v>박순홍</v>
          </cell>
          <cell r="X31" t="str">
            <v>(인)</v>
          </cell>
          <cell r="Y31" t="str">
            <v>박순홍</v>
          </cell>
          <cell r="Z31" t="str">
            <v>(인)</v>
          </cell>
          <cell r="AA31" t="str">
            <v>정창인</v>
          </cell>
          <cell r="AB31" t="str">
            <v>(인)</v>
          </cell>
          <cell r="AC31" t="str">
            <v>정창인</v>
          </cell>
          <cell r="AD31" t="str">
            <v>(인)</v>
          </cell>
          <cell r="AE31">
            <v>167.6</v>
          </cell>
          <cell r="AF31" t="str">
            <v>표준</v>
          </cell>
          <cell r="AG31">
            <v>3</v>
          </cell>
          <cell r="AH31">
            <v>0</v>
          </cell>
        </row>
        <row r="32">
          <cell r="G32">
            <v>2403110404</v>
          </cell>
          <cell r="H32" t="str">
            <v>106동</v>
          </cell>
          <cell r="I32">
            <v>240311</v>
          </cell>
          <cell r="J32" t="str">
            <v>근린생활시설, 106동 주변주차장 기초</v>
          </cell>
          <cell r="K32">
            <v>930</v>
          </cell>
          <cell r="L32">
            <v>930</v>
          </cell>
          <cell r="M32">
            <v>2415</v>
          </cell>
          <cell r="N32" t="str">
            <v>용호</v>
          </cell>
          <cell r="O32" t="str">
            <v>펌프카(1대)</v>
          </cell>
          <cell r="P32">
            <v>745</v>
          </cell>
          <cell r="Q32">
            <v>1628</v>
          </cell>
          <cell r="R32">
            <v>155</v>
          </cell>
          <cell r="S32">
            <v>37</v>
          </cell>
          <cell r="T32">
            <v>30</v>
          </cell>
          <cell r="U32">
            <v>194</v>
          </cell>
          <cell r="V32"/>
          <cell r="W32" t="str">
            <v>박순홍</v>
          </cell>
          <cell r="X32" t="str">
            <v>(인)</v>
          </cell>
          <cell r="Y32" t="str">
            <v>박순홍</v>
          </cell>
          <cell r="Z32" t="str">
            <v>(인)</v>
          </cell>
          <cell r="AA32" t="str">
            <v>정창인</v>
          </cell>
          <cell r="AB32" t="str">
            <v>(인)</v>
          </cell>
          <cell r="AC32" t="str">
            <v>정창인</v>
          </cell>
          <cell r="AD32" t="str">
            <v>(인)</v>
          </cell>
          <cell r="AE32">
            <v>188</v>
          </cell>
          <cell r="AF32" t="str">
            <v>표준</v>
          </cell>
          <cell r="AG32">
            <v>4</v>
          </cell>
          <cell r="AH32">
            <v>1</v>
          </cell>
          <cell r="AL32">
            <v>3296</v>
          </cell>
          <cell r="AM32">
            <v>3224</v>
          </cell>
          <cell r="AN32">
            <v>3319</v>
          </cell>
          <cell r="AO32">
            <v>3364</v>
          </cell>
          <cell r="AP32">
            <v>3356</v>
          </cell>
          <cell r="AQ32">
            <v>3277</v>
          </cell>
          <cell r="AR32">
            <v>3318</v>
          </cell>
          <cell r="AS32">
            <v>3364</v>
          </cell>
          <cell r="AT32">
            <v>252400</v>
          </cell>
        </row>
        <row r="33">
          <cell r="G33">
            <v>2403110405</v>
          </cell>
          <cell r="H33" t="str">
            <v>106동</v>
          </cell>
          <cell r="I33">
            <v>240311</v>
          </cell>
          <cell r="J33" t="str">
            <v>근린생활시설, 106동 주변주차장 기초</v>
          </cell>
          <cell r="K33">
            <v>930</v>
          </cell>
          <cell r="L33">
            <v>930</v>
          </cell>
          <cell r="M33">
            <v>2415</v>
          </cell>
          <cell r="N33" t="str">
            <v>용호</v>
          </cell>
          <cell r="O33" t="str">
            <v>펌프카(1대)</v>
          </cell>
          <cell r="P33">
            <v>745</v>
          </cell>
          <cell r="Q33">
            <v>1628</v>
          </cell>
          <cell r="R33">
            <v>170</v>
          </cell>
          <cell r="S33">
            <v>40</v>
          </cell>
          <cell r="T33">
            <v>32</v>
          </cell>
          <cell r="U33">
            <v>172</v>
          </cell>
          <cell r="V33"/>
          <cell r="W33" t="str">
            <v>박순홍</v>
          </cell>
          <cell r="X33" t="str">
            <v>(인)</v>
          </cell>
          <cell r="Y33" t="str">
            <v>박순홍</v>
          </cell>
          <cell r="Z33" t="str">
            <v>(인)</v>
          </cell>
          <cell r="AA33" t="str">
            <v>정창인</v>
          </cell>
          <cell r="AB33" t="str">
            <v>(인)</v>
          </cell>
          <cell r="AC33" t="str">
            <v>정창인</v>
          </cell>
          <cell r="AD33" t="str">
            <v>(인)</v>
          </cell>
          <cell r="AE33">
            <v>189.1</v>
          </cell>
          <cell r="AF33" t="str">
            <v>표준</v>
          </cell>
          <cell r="AG33">
            <v>5</v>
          </cell>
          <cell r="AH33">
            <v>0</v>
          </cell>
        </row>
        <row r="34">
          <cell r="G34">
            <v>2403110406</v>
          </cell>
          <cell r="H34" t="str">
            <v>106동</v>
          </cell>
          <cell r="I34">
            <v>240311</v>
          </cell>
          <cell r="J34" t="str">
            <v>근린생활시설, 106동 주변주차장 기초</v>
          </cell>
          <cell r="K34">
            <v>930</v>
          </cell>
          <cell r="L34">
            <v>930</v>
          </cell>
          <cell r="M34">
            <v>2415</v>
          </cell>
          <cell r="N34" t="str">
            <v>용호</v>
          </cell>
          <cell r="O34" t="str">
            <v>펌프카(1대)</v>
          </cell>
          <cell r="P34">
            <v>745</v>
          </cell>
          <cell r="Q34">
            <v>1628</v>
          </cell>
          <cell r="R34">
            <v>170</v>
          </cell>
          <cell r="S34">
            <v>39</v>
          </cell>
          <cell r="T34">
            <v>35</v>
          </cell>
          <cell r="U34">
            <v>194</v>
          </cell>
          <cell r="V34"/>
          <cell r="W34" t="str">
            <v>박순홍</v>
          </cell>
          <cell r="X34" t="str">
            <v>(인)</v>
          </cell>
          <cell r="Y34" t="str">
            <v>박순홍</v>
          </cell>
          <cell r="Z34" t="str">
            <v>(인)</v>
          </cell>
          <cell r="AA34" t="str">
            <v>정창인</v>
          </cell>
          <cell r="AB34" t="str">
            <v>(인)</v>
          </cell>
          <cell r="AC34" t="str">
            <v>정창인</v>
          </cell>
          <cell r="AD34" t="str">
            <v>(인)</v>
          </cell>
          <cell r="AE34">
            <v>188</v>
          </cell>
          <cell r="AF34" t="str">
            <v>표준</v>
          </cell>
          <cell r="AG34">
            <v>6</v>
          </cell>
          <cell r="AH34">
            <v>0</v>
          </cell>
        </row>
        <row r="35">
          <cell r="G35">
            <v>2403110407</v>
          </cell>
          <cell r="H35" t="str">
            <v>106동</v>
          </cell>
          <cell r="I35">
            <v>240311</v>
          </cell>
          <cell r="J35" t="str">
            <v>근린생활시설, 106동 주변주차장 기초</v>
          </cell>
          <cell r="K35">
            <v>930</v>
          </cell>
          <cell r="L35">
            <v>930</v>
          </cell>
          <cell r="M35">
            <v>2415</v>
          </cell>
          <cell r="N35" t="str">
            <v>용호</v>
          </cell>
          <cell r="O35" t="str">
            <v>펌프카(1대)</v>
          </cell>
          <cell r="P35">
            <v>745</v>
          </cell>
          <cell r="Q35">
            <v>1628</v>
          </cell>
          <cell r="R35">
            <v>160</v>
          </cell>
          <cell r="S35">
            <v>37</v>
          </cell>
          <cell r="T35">
            <v>58</v>
          </cell>
          <cell r="U35">
            <v>161</v>
          </cell>
          <cell r="V35"/>
          <cell r="W35" t="str">
            <v>박순홍</v>
          </cell>
          <cell r="X35" t="str">
            <v>(인)</v>
          </cell>
          <cell r="Y35" t="str">
            <v>박순홍</v>
          </cell>
          <cell r="Z35" t="str">
            <v>(인)</v>
          </cell>
          <cell r="AA35" t="str">
            <v>정창인</v>
          </cell>
          <cell r="AB35" t="str">
            <v>(인)</v>
          </cell>
          <cell r="AC35" t="str">
            <v>정창인</v>
          </cell>
          <cell r="AD35" t="str">
            <v>(인)</v>
          </cell>
          <cell r="AE35">
            <v>189.1</v>
          </cell>
          <cell r="AF35" t="str">
            <v>표준</v>
          </cell>
          <cell r="AG35">
            <v>7</v>
          </cell>
          <cell r="AH35">
            <v>1</v>
          </cell>
          <cell r="AL35">
            <v>3329</v>
          </cell>
          <cell r="AM35">
            <v>3334</v>
          </cell>
          <cell r="AN35">
            <v>3317</v>
          </cell>
          <cell r="AO35">
            <v>3324</v>
          </cell>
          <cell r="AP35">
            <v>3298</v>
          </cell>
          <cell r="AQ35">
            <v>3244</v>
          </cell>
          <cell r="AR35">
            <v>3274</v>
          </cell>
          <cell r="AS35">
            <v>3316</v>
          </cell>
          <cell r="AT35">
            <v>260800</v>
          </cell>
        </row>
        <row r="36">
          <cell r="G36">
            <v>2403110408</v>
          </cell>
          <cell r="H36" t="str">
            <v>106동</v>
          </cell>
          <cell r="I36">
            <v>240311</v>
          </cell>
          <cell r="J36" t="str">
            <v>근린생활시설, 106동 주변주차장 기초</v>
          </cell>
          <cell r="K36">
            <v>930</v>
          </cell>
          <cell r="L36">
            <v>930</v>
          </cell>
          <cell r="M36">
            <v>2415</v>
          </cell>
          <cell r="N36" t="str">
            <v>용호</v>
          </cell>
          <cell r="O36" t="str">
            <v>펌프카(1대)</v>
          </cell>
          <cell r="P36">
            <v>745</v>
          </cell>
          <cell r="Q36">
            <v>1628</v>
          </cell>
          <cell r="R36">
            <v>160</v>
          </cell>
          <cell r="S36">
            <v>35</v>
          </cell>
          <cell r="T36">
            <v>40</v>
          </cell>
          <cell r="U36">
            <v>175</v>
          </cell>
          <cell r="V36"/>
          <cell r="W36" t="str">
            <v>박순홍</v>
          </cell>
          <cell r="X36" t="str">
            <v>(인)</v>
          </cell>
          <cell r="Y36" t="str">
            <v>박순홍</v>
          </cell>
          <cell r="Z36" t="str">
            <v>(인)</v>
          </cell>
          <cell r="AA36" t="str">
            <v>정창인</v>
          </cell>
          <cell r="AB36" t="str">
            <v>(인)</v>
          </cell>
          <cell r="AC36" t="str">
            <v>정창인</v>
          </cell>
          <cell r="AD36" t="str">
            <v>(인)</v>
          </cell>
          <cell r="AE36">
            <v>182.3</v>
          </cell>
          <cell r="AF36" t="str">
            <v>표준</v>
          </cell>
          <cell r="AG36">
            <v>8</v>
          </cell>
          <cell r="AH36">
            <v>0</v>
          </cell>
        </row>
        <row r="37">
          <cell r="G37">
            <v>2403110501</v>
          </cell>
          <cell r="H37" t="str">
            <v>102동</v>
          </cell>
          <cell r="I37">
            <v>240311</v>
          </cell>
          <cell r="J37" t="str">
            <v>102동 버림</v>
          </cell>
          <cell r="K37">
            <v>210</v>
          </cell>
          <cell r="L37">
            <v>210</v>
          </cell>
          <cell r="M37">
            <v>1812</v>
          </cell>
          <cell r="N37" t="str">
            <v>한진</v>
          </cell>
          <cell r="O37" t="str">
            <v>펌프카(1대)</v>
          </cell>
          <cell r="P37">
            <v>1040</v>
          </cell>
          <cell r="Q37">
            <v>1724</v>
          </cell>
          <cell r="R37">
            <v>140</v>
          </cell>
          <cell r="S37">
            <v>40</v>
          </cell>
          <cell r="T37">
            <v>15</v>
          </cell>
          <cell r="U37">
            <v>194</v>
          </cell>
          <cell r="V37"/>
          <cell r="W37" t="str">
            <v>박순홍</v>
          </cell>
          <cell r="X37" t="str">
            <v>(인)</v>
          </cell>
          <cell r="Y37" t="str">
            <v>박순홍</v>
          </cell>
          <cell r="Z37" t="str">
            <v>(인)</v>
          </cell>
          <cell r="AA37" t="str">
            <v>이홍걸</v>
          </cell>
          <cell r="AB37" t="str">
            <v>(인)</v>
          </cell>
          <cell r="AC37" t="str">
            <v>이홍걸</v>
          </cell>
          <cell r="AD37" t="str">
            <v>(인)</v>
          </cell>
          <cell r="AE37">
            <v>167.5</v>
          </cell>
          <cell r="AF37" t="str">
            <v>표준</v>
          </cell>
          <cell r="AG37">
            <v>1</v>
          </cell>
          <cell r="AH37">
            <v>1</v>
          </cell>
          <cell r="AI37">
            <v>1648</v>
          </cell>
          <cell r="AJ37">
            <v>1627</v>
          </cell>
          <cell r="AK37">
            <v>130000</v>
          </cell>
          <cell r="AL37">
            <v>2413</v>
          </cell>
          <cell r="AM37">
            <v>2345</v>
          </cell>
          <cell r="AN37">
            <v>2338</v>
          </cell>
          <cell r="AO37">
            <v>2287</v>
          </cell>
          <cell r="AP37">
            <v>2384</v>
          </cell>
          <cell r="AQ37">
            <v>2360</v>
          </cell>
          <cell r="AR37">
            <v>2370</v>
          </cell>
          <cell r="AS37">
            <v>2253</v>
          </cell>
          <cell r="AT37">
            <v>171800</v>
          </cell>
        </row>
        <row r="38">
          <cell r="G38">
            <v>2403110502</v>
          </cell>
          <cell r="H38" t="str">
            <v>102동</v>
          </cell>
          <cell r="I38">
            <v>240311</v>
          </cell>
          <cell r="J38" t="str">
            <v>102동 버림</v>
          </cell>
          <cell r="K38">
            <v>210</v>
          </cell>
          <cell r="L38">
            <v>210</v>
          </cell>
          <cell r="M38">
            <v>1812</v>
          </cell>
          <cell r="N38" t="str">
            <v>한진</v>
          </cell>
          <cell r="O38" t="str">
            <v>펌프카(1대)</v>
          </cell>
          <cell r="P38">
            <v>1040</v>
          </cell>
          <cell r="Q38">
            <v>1724</v>
          </cell>
          <cell r="R38">
            <v>135</v>
          </cell>
          <cell r="S38">
            <v>43</v>
          </cell>
          <cell r="T38">
            <v>53</v>
          </cell>
          <cell r="U38">
            <v>150</v>
          </cell>
          <cell r="V38"/>
          <cell r="W38" t="str">
            <v>박순홍</v>
          </cell>
          <cell r="X38" t="str">
            <v>(인)</v>
          </cell>
          <cell r="Y38" t="str">
            <v>박순홍</v>
          </cell>
          <cell r="Z38" t="str">
            <v>(인)</v>
          </cell>
          <cell r="AA38" t="str">
            <v>이홍걸</v>
          </cell>
          <cell r="AB38" t="str">
            <v>(인)</v>
          </cell>
          <cell r="AC38" t="str">
            <v>이홍걸</v>
          </cell>
          <cell r="AD38" t="str">
            <v>(인)</v>
          </cell>
          <cell r="AE38">
            <v>179.8</v>
          </cell>
          <cell r="AF38" t="str">
            <v>표준</v>
          </cell>
          <cell r="AG38">
            <v>2</v>
          </cell>
          <cell r="AH38">
            <v>0</v>
          </cell>
        </row>
        <row r="39">
          <cell r="G39">
            <v>2403120101</v>
          </cell>
          <cell r="H39" t="str">
            <v xml:space="preserve"> CIP</v>
          </cell>
          <cell r="I39">
            <v>240312</v>
          </cell>
          <cell r="J39" t="str">
            <v>CIP말뚝타설</v>
          </cell>
          <cell r="K39">
            <v>20</v>
          </cell>
          <cell r="L39">
            <v>20</v>
          </cell>
          <cell r="M39">
            <v>2415</v>
          </cell>
          <cell r="N39" t="str">
            <v>대공</v>
          </cell>
          <cell r="O39" t="str">
            <v>직접타설</v>
          </cell>
          <cell r="P39">
            <v>913</v>
          </cell>
          <cell r="Q39">
            <v>1320</v>
          </cell>
          <cell r="R39">
            <v>150</v>
          </cell>
          <cell r="S39">
            <v>39</v>
          </cell>
          <cell r="T39">
            <v>34</v>
          </cell>
          <cell r="U39">
            <v>181</v>
          </cell>
          <cell r="V39"/>
          <cell r="W39" t="str">
            <v>박순홍</v>
          </cell>
          <cell r="X39" t="str">
            <v>(인)</v>
          </cell>
          <cell r="Y39" t="str">
            <v>박순홍</v>
          </cell>
          <cell r="Z39" t="str">
            <v>(인)</v>
          </cell>
          <cell r="AA39" t="str">
            <v>박상갑</v>
          </cell>
          <cell r="AB39" t="str">
            <v>(인)</v>
          </cell>
          <cell r="AC39" t="str">
            <v>박상갑</v>
          </cell>
          <cell r="AD39" t="str">
            <v>(인)</v>
          </cell>
          <cell r="AE39">
            <v>172</v>
          </cell>
          <cell r="AF39" t="str">
            <v>동절기</v>
          </cell>
          <cell r="AG39">
            <v>1</v>
          </cell>
          <cell r="AH39">
            <v>1</v>
          </cell>
          <cell r="AI39">
            <v>2374</v>
          </cell>
          <cell r="AJ39">
            <v>2329</v>
          </cell>
          <cell r="AK39">
            <v>187800</v>
          </cell>
          <cell r="AL39">
            <v>3427</v>
          </cell>
          <cell r="AM39">
            <v>3357</v>
          </cell>
          <cell r="AN39">
            <v>3362</v>
          </cell>
          <cell r="AO39">
            <v>3478</v>
          </cell>
          <cell r="AP39">
            <v>3429</v>
          </cell>
          <cell r="AQ39">
            <v>3436</v>
          </cell>
          <cell r="AR39">
            <v>3396</v>
          </cell>
          <cell r="AS39">
            <v>3314</v>
          </cell>
          <cell r="AT39">
            <v>266600</v>
          </cell>
        </row>
        <row r="40">
          <cell r="G40">
            <v>2403130100</v>
          </cell>
          <cell r="H40" t="str">
            <v xml:space="preserve"> CIP</v>
          </cell>
          <cell r="I40">
            <v>240313</v>
          </cell>
          <cell r="J40" t="str">
            <v>CIP말뚝타설</v>
          </cell>
          <cell r="K40">
            <v>18</v>
          </cell>
          <cell r="L40">
            <v>18</v>
          </cell>
          <cell r="M40">
            <v>2415</v>
          </cell>
          <cell r="N40" t="str">
            <v>대공</v>
          </cell>
          <cell r="O40" t="str">
            <v>직접타설</v>
          </cell>
          <cell r="P40">
            <v>837</v>
          </cell>
          <cell r="Q40">
            <v>1405</v>
          </cell>
          <cell r="R40">
            <v>160</v>
          </cell>
          <cell r="S40">
            <v>42</v>
          </cell>
          <cell r="T40">
            <v>16</v>
          </cell>
          <cell r="U40">
            <v>178</v>
          </cell>
          <cell r="V40"/>
          <cell r="W40" t="str">
            <v>박순홍</v>
          </cell>
          <cell r="X40" t="str">
            <v>(인)</v>
          </cell>
          <cell r="Y40" t="str">
            <v>박순홍</v>
          </cell>
          <cell r="Z40" t="str">
            <v>(인)</v>
          </cell>
          <cell r="AA40" t="str">
            <v>박상갑</v>
          </cell>
          <cell r="AB40" t="str">
            <v>(인)</v>
          </cell>
          <cell r="AC40" t="str">
            <v>박상갑</v>
          </cell>
          <cell r="AD40" t="str">
            <v>(인)</v>
          </cell>
          <cell r="AE40">
            <v>172.2</v>
          </cell>
          <cell r="AF40" t="str">
            <v>동절기</v>
          </cell>
          <cell r="AG40">
            <v>0</v>
          </cell>
          <cell r="AH40">
            <v>0</v>
          </cell>
        </row>
        <row r="41">
          <cell r="G41">
            <v>2403140100</v>
          </cell>
          <cell r="H41" t="str">
            <v xml:space="preserve"> CIP</v>
          </cell>
          <cell r="I41">
            <v>240314</v>
          </cell>
          <cell r="J41" t="str">
            <v>CIP말뚝타설</v>
          </cell>
          <cell r="K41">
            <v>20</v>
          </cell>
          <cell r="L41">
            <v>20</v>
          </cell>
          <cell r="M41">
            <v>2415</v>
          </cell>
          <cell r="N41" t="str">
            <v>대공</v>
          </cell>
          <cell r="O41" t="str">
            <v>직접타설</v>
          </cell>
          <cell r="P41">
            <v>820</v>
          </cell>
          <cell r="Q41">
            <v>1443</v>
          </cell>
          <cell r="R41">
            <v>150</v>
          </cell>
          <cell r="S41">
            <v>38</v>
          </cell>
          <cell r="T41">
            <v>65</v>
          </cell>
          <cell r="U41">
            <v>162</v>
          </cell>
          <cell r="V41"/>
          <cell r="W41" t="str">
            <v>박순홍</v>
          </cell>
          <cell r="X41" t="str">
            <v>(인)</v>
          </cell>
          <cell r="Y41" t="str">
            <v>박순홍</v>
          </cell>
          <cell r="Z41" t="str">
            <v>(인)</v>
          </cell>
          <cell r="AA41" t="str">
            <v>박상갑</v>
          </cell>
          <cell r="AB41" t="str">
            <v>(인)</v>
          </cell>
          <cell r="AC41" t="str">
            <v>박상갑</v>
          </cell>
          <cell r="AD41" t="str">
            <v>(인)</v>
          </cell>
          <cell r="AE41">
            <v>175.4</v>
          </cell>
          <cell r="AF41" t="str">
            <v>동절기</v>
          </cell>
          <cell r="AG41">
            <v>0</v>
          </cell>
          <cell r="AH41">
            <v>0</v>
          </cell>
        </row>
        <row r="42">
          <cell r="G42">
            <v>2403150101</v>
          </cell>
          <cell r="H42" t="str">
            <v>102동</v>
          </cell>
          <cell r="I42">
            <v>240315</v>
          </cell>
          <cell r="J42" t="str">
            <v>102동 E/V 및 T/C(#4) 기초</v>
          </cell>
          <cell r="K42">
            <v>200</v>
          </cell>
          <cell r="L42">
            <v>204</v>
          </cell>
          <cell r="M42">
            <v>2415</v>
          </cell>
          <cell r="N42" t="str">
            <v>신우</v>
          </cell>
          <cell r="O42" t="str">
            <v>펌프카(1대)</v>
          </cell>
          <cell r="P42">
            <v>757</v>
          </cell>
          <cell r="Q42">
            <v>1103</v>
          </cell>
          <cell r="R42">
            <v>165</v>
          </cell>
          <cell r="S42">
            <v>45</v>
          </cell>
          <cell r="T42">
            <v>42</v>
          </cell>
          <cell r="U42">
            <v>154</v>
          </cell>
          <cell r="V42"/>
          <cell r="W42" t="str">
            <v>박순홍</v>
          </cell>
          <cell r="X42" t="str">
            <v>(인)</v>
          </cell>
          <cell r="Y42" t="str">
            <v>박순홍</v>
          </cell>
          <cell r="Z42" t="str">
            <v>(인)</v>
          </cell>
          <cell r="AA42" t="str">
            <v>이홍걸</v>
          </cell>
          <cell r="AB42" t="str">
            <v>(인)</v>
          </cell>
          <cell r="AC42" t="str">
            <v>이홍걸</v>
          </cell>
          <cell r="AD42" t="str">
            <v>(인)</v>
          </cell>
          <cell r="AE42">
            <v>181.2</v>
          </cell>
          <cell r="AF42" t="str">
            <v>표준</v>
          </cell>
          <cell r="AG42">
            <v>1</v>
          </cell>
          <cell r="AH42">
            <v>1</v>
          </cell>
          <cell r="AI42">
            <v>2022</v>
          </cell>
          <cell r="AJ42">
            <v>2164</v>
          </cell>
          <cell r="AK42">
            <v>162400</v>
          </cell>
          <cell r="AL42">
            <v>3333</v>
          </cell>
          <cell r="AM42">
            <v>3302</v>
          </cell>
          <cell r="AN42">
            <v>3409</v>
          </cell>
          <cell r="AO42">
            <v>3406</v>
          </cell>
          <cell r="AP42">
            <v>3416</v>
          </cell>
          <cell r="AQ42">
            <v>3394</v>
          </cell>
          <cell r="AR42">
            <v>3264</v>
          </cell>
          <cell r="AS42">
            <v>3396</v>
          </cell>
          <cell r="AT42">
            <v>257400</v>
          </cell>
        </row>
        <row r="43">
          <cell r="G43">
            <v>2403150102</v>
          </cell>
          <cell r="H43" t="str">
            <v>102동</v>
          </cell>
          <cell r="I43">
            <v>240315</v>
          </cell>
          <cell r="J43" t="str">
            <v>102동 E/V 및 T/C(#4) 기초</v>
          </cell>
          <cell r="K43">
            <v>200</v>
          </cell>
          <cell r="L43">
            <v>204</v>
          </cell>
          <cell r="M43">
            <v>2415</v>
          </cell>
          <cell r="N43" t="str">
            <v>신우</v>
          </cell>
          <cell r="O43" t="str">
            <v>펌프카(1대)</v>
          </cell>
          <cell r="P43">
            <v>757</v>
          </cell>
          <cell r="Q43">
            <v>1103</v>
          </cell>
          <cell r="R43">
            <v>170</v>
          </cell>
          <cell r="S43">
            <v>51</v>
          </cell>
          <cell r="T43">
            <v>36</v>
          </cell>
          <cell r="U43">
            <v>181</v>
          </cell>
          <cell r="V43"/>
          <cell r="W43" t="str">
            <v>박순홍</v>
          </cell>
          <cell r="X43" t="str">
            <v>(인)</v>
          </cell>
          <cell r="Y43" t="str">
            <v>박순홍</v>
          </cell>
          <cell r="Z43" t="str">
            <v>(인)</v>
          </cell>
          <cell r="AA43" t="str">
            <v>이홍걸</v>
          </cell>
          <cell r="AB43" t="str">
            <v>(인)</v>
          </cell>
          <cell r="AC43" t="str">
            <v>이홍걸</v>
          </cell>
          <cell r="AD43" t="str">
            <v>(인)</v>
          </cell>
          <cell r="AE43">
            <v>184.5</v>
          </cell>
          <cell r="AF43" t="str">
            <v>표준</v>
          </cell>
          <cell r="AG43">
            <v>2</v>
          </cell>
          <cell r="AH43">
            <v>0</v>
          </cell>
        </row>
        <row r="44">
          <cell r="G44">
            <v>2403150201</v>
          </cell>
          <cell r="H44" t="str">
            <v>111동</v>
          </cell>
          <cell r="I44">
            <v>240315</v>
          </cell>
          <cell r="J44" t="str">
            <v>111동 주변주차장 및 TC(#6) 버림</v>
          </cell>
          <cell r="K44">
            <v>240</v>
          </cell>
          <cell r="L44">
            <v>246</v>
          </cell>
          <cell r="M44">
            <v>1812</v>
          </cell>
          <cell r="N44" t="str">
            <v>신우</v>
          </cell>
          <cell r="O44" t="str">
            <v>펌프카(1대)</v>
          </cell>
          <cell r="P44">
            <v>1219</v>
          </cell>
          <cell r="Q44">
            <v>1740</v>
          </cell>
          <cell r="R44">
            <v>120</v>
          </cell>
          <cell r="S44">
            <v>43</v>
          </cell>
          <cell r="T44">
            <v>25</v>
          </cell>
          <cell r="U44">
            <v>192</v>
          </cell>
          <cell r="V44"/>
          <cell r="W44" t="str">
            <v>박순홍</v>
          </cell>
          <cell r="X44" t="str">
            <v>(인)</v>
          </cell>
          <cell r="Y44" t="str">
            <v>박순홍</v>
          </cell>
          <cell r="Z44" t="str">
            <v>(인)</v>
          </cell>
          <cell r="AA44" t="str">
            <v>정창인</v>
          </cell>
          <cell r="AB44" t="str">
            <v>(인)</v>
          </cell>
          <cell r="AC44" t="str">
            <v>정창인</v>
          </cell>
          <cell r="AD44" t="str">
            <v>(인)</v>
          </cell>
          <cell r="AE44">
            <v>175.4</v>
          </cell>
          <cell r="AF44" t="str">
            <v>동절기</v>
          </cell>
          <cell r="AG44">
            <v>1</v>
          </cell>
          <cell r="AH44">
            <v>1</v>
          </cell>
          <cell r="AI44">
            <v>1537</v>
          </cell>
          <cell r="AJ44">
            <v>1520</v>
          </cell>
          <cell r="AK44">
            <v>124800</v>
          </cell>
          <cell r="AL44">
            <v>2376</v>
          </cell>
          <cell r="AM44">
            <v>2439</v>
          </cell>
          <cell r="AN44">
            <v>2393</v>
          </cell>
          <cell r="AO44">
            <v>2402</v>
          </cell>
          <cell r="AP44">
            <v>2371</v>
          </cell>
          <cell r="AQ44">
            <v>2412</v>
          </cell>
          <cell r="AR44">
            <v>2403</v>
          </cell>
          <cell r="AS44">
            <v>2297</v>
          </cell>
          <cell r="AT44">
            <v>185600</v>
          </cell>
        </row>
        <row r="45">
          <cell r="G45">
            <v>2403150202</v>
          </cell>
          <cell r="H45" t="str">
            <v>111동</v>
          </cell>
          <cell r="I45">
            <v>240315</v>
          </cell>
          <cell r="J45" t="str">
            <v>111동 주변주차장 및 TC(#6) 버림</v>
          </cell>
          <cell r="K45">
            <v>240</v>
          </cell>
          <cell r="L45">
            <v>246</v>
          </cell>
          <cell r="M45">
            <v>1812</v>
          </cell>
          <cell r="N45" t="str">
            <v>신우</v>
          </cell>
          <cell r="O45" t="str">
            <v>펌프카(1대)</v>
          </cell>
          <cell r="P45">
            <v>1219</v>
          </cell>
          <cell r="Q45">
            <v>1740</v>
          </cell>
          <cell r="R45">
            <v>130</v>
          </cell>
          <cell r="S45">
            <v>44</v>
          </cell>
          <cell r="T45">
            <v>36</v>
          </cell>
          <cell r="U45">
            <v>211</v>
          </cell>
          <cell r="V45"/>
          <cell r="W45" t="str">
            <v>박순홍</v>
          </cell>
          <cell r="X45" t="str">
            <v>(인)</v>
          </cell>
          <cell r="Y45" t="str">
            <v>박순홍</v>
          </cell>
          <cell r="Z45" t="str">
            <v>(인)</v>
          </cell>
          <cell r="AA45" t="str">
            <v>정창인</v>
          </cell>
          <cell r="AB45" t="str">
            <v>(인)</v>
          </cell>
          <cell r="AC45" t="str">
            <v>정창인</v>
          </cell>
          <cell r="AD45" t="str">
            <v>(인)</v>
          </cell>
          <cell r="AE45">
            <v>171.4</v>
          </cell>
          <cell r="AF45" t="str">
            <v>동절기</v>
          </cell>
          <cell r="AG45">
            <v>2</v>
          </cell>
          <cell r="AH45">
            <v>0</v>
          </cell>
        </row>
        <row r="46">
          <cell r="G46">
            <v>2403150203</v>
          </cell>
          <cell r="H46" t="str">
            <v>111동</v>
          </cell>
          <cell r="I46">
            <v>240315</v>
          </cell>
          <cell r="J46" t="str">
            <v>111동 주변주차장 및 TC(#6) 버림</v>
          </cell>
          <cell r="K46">
            <v>240</v>
          </cell>
          <cell r="L46">
            <v>246</v>
          </cell>
          <cell r="M46">
            <v>1812</v>
          </cell>
          <cell r="N46" t="str">
            <v>신우</v>
          </cell>
          <cell r="O46" t="str">
            <v>펌프카(1대)</v>
          </cell>
          <cell r="P46">
            <v>1219</v>
          </cell>
          <cell r="Q46">
            <v>1740</v>
          </cell>
          <cell r="R46">
            <v>125</v>
          </cell>
          <cell r="S46">
            <v>48</v>
          </cell>
          <cell r="T46">
            <v>36</v>
          </cell>
          <cell r="U46">
            <v>205</v>
          </cell>
          <cell r="V46"/>
          <cell r="W46" t="str">
            <v>박순홍</v>
          </cell>
          <cell r="X46" t="str">
            <v>(인)</v>
          </cell>
          <cell r="Y46" t="str">
            <v>박순홍</v>
          </cell>
          <cell r="Z46" t="str">
            <v>(인)</v>
          </cell>
          <cell r="AA46" t="str">
            <v>정창인</v>
          </cell>
          <cell r="AB46" t="str">
            <v>(인)</v>
          </cell>
          <cell r="AC46" t="str">
            <v>정창인</v>
          </cell>
          <cell r="AD46" t="str">
            <v>(인)</v>
          </cell>
          <cell r="AE46">
            <v>171</v>
          </cell>
          <cell r="AF46" t="str">
            <v>동절기</v>
          </cell>
          <cell r="AG46">
            <v>3</v>
          </cell>
          <cell r="AH46">
            <v>0</v>
          </cell>
        </row>
        <row r="47">
          <cell r="G47">
            <v>2403150301</v>
          </cell>
          <cell r="H47" t="str">
            <v xml:space="preserve"> CIP</v>
          </cell>
          <cell r="I47">
            <v>240315</v>
          </cell>
          <cell r="J47" t="str">
            <v>CIP말뚝타설</v>
          </cell>
          <cell r="K47">
            <v>4</v>
          </cell>
          <cell r="L47">
            <v>4</v>
          </cell>
          <cell r="M47">
            <v>2415</v>
          </cell>
          <cell r="N47" t="str">
            <v>대공</v>
          </cell>
          <cell r="O47" t="str">
            <v>직접타설</v>
          </cell>
          <cell r="P47">
            <v>840</v>
          </cell>
          <cell r="Q47">
            <v>910</v>
          </cell>
          <cell r="R47">
            <v>160</v>
          </cell>
          <cell r="S47">
            <v>53</v>
          </cell>
          <cell r="T47">
            <v>30</v>
          </cell>
          <cell r="U47">
            <v>169</v>
          </cell>
          <cell r="V47"/>
          <cell r="W47" t="str">
            <v>박순홍</v>
          </cell>
          <cell r="X47" t="str">
            <v>(인)</v>
          </cell>
          <cell r="Y47" t="str">
            <v>박순홍</v>
          </cell>
          <cell r="Z47" t="str">
            <v>(인)</v>
          </cell>
          <cell r="AA47" t="str">
            <v>박상갑</v>
          </cell>
          <cell r="AB47" t="str">
            <v>(인)</v>
          </cell>
          <cell r="AC47" t="str">
            <v>박상갑</v>
          </cell>
          <cell r="AD47" t="str">
            <v>(인)</v>
          </cell>
          <cell r="AE47">
            <v>177.5</v>
          </cell>
          <cell r="AF47" t="str">
            <v>동절기</v>
          </cell>
          <cell r="AG47">
            <v>1</v>
          </cell>
          <cell r="AH47">
            <v>1</v>
          </cell>
          <cell r="AI47">
            <v>2362</v>
          </cell>
          <cell r="AJ47">
            <v>2404</v>
          </cell>
          <cell r="AK47">
            <v>187000</v>
          </cell>
          <cell r="AL47">
            <v>3333</v>
          </cell>
          <cell r="AM47">
            <v>3272</v>
          </cell>
          <cell r="AN47">
            <v>3226</v>
          </cell>
          <cell r="AO47">
            <v>3358</v>
          </cell>
          <cell r="AP47">
            <v>3297</v>
          </cell>
          <cell r="AQ47">
            <v>3421</v>
          </cell>
          <cell r="AR47">
            <v>3531</v>
          </cell>
          <cell r="AS47">
            <v>3277</v>
          </cell>
          <cell r="AT47">
            <v>263800</v>
          </cell>
        </row>
        <row r="48">
          <cell r="G48">
            <v>2403150400</v>
          </cell>
          <cell r="H48" t="str">
            <v xml:space="preserve"> CIP</v>
          </cell>
          <cell r="I48">
            <v>240315</v>
          </cell>
          <cell r="J48" t="str">
            <v>CIP캡빔</v>
          </cell>
          <cell r="K48">
            <v>16</v>
          </cell>
          <cell r="L48">
            <v>16</v>
          </cell>
          <cell r="M48">
            <v>2118</v>
          </cell>
          <cell r="N48" t="str">
            <v>대공</v>
          </cell>
          <cell r="O48" t="str">
            <v>직접타설</v>
          </cell>
          <cell r="P48">
            <v>904</v>
          </cell>
          <cell r="Q48">
            <v>1154</v>
          </cell>
          <cell r="R48">
            <v>180</v>
          </cell>
          <cell r="S48">
            <v>54</v>
          </cell>
          <cell r="T48">
            <v>17</v>
          </cell>
          <cell r="U48">
            <v>169</v>
          </cell>
          <cell r="V48"/>
          <cell r="W48" t="str">
            <v>박순홍</v>
          </cell>
          <cell r="X48" t="str">
            <v>(인)</v>
          </cell>
          <cell r="Y48" t="str">
            <v>박순홍</v>
          </cell>
          <cell r="Z48" t="str">
            <v>(인)</v>
          </cell>
          <cell r="AA48" t="str">
            <v>박상갑</v>
          </cell>
          <cell r="AB48" t="str">
            <v>(인)</v>
          </cell>
          <cell r="AC48" t="str">
            <v>박상갑</v>
          </cell>
          <cell r="AD48" t="str">
            <v>(인)</v>
          </cell>
          <cell r="AE48">
            <v>185.3</v>
          </cell>
          <cell r="AF48" t="str">
            <v>동절기</v>
          </cell>
          <cell r="AG48">
            <v>0</v>
          </cell>
          <cell r="AH48">
            <v>0</v>
          </cell>
        </row>
        <row r="49">
          <cell r="G49">
            <v>2403180101</v>
          </cell>
          <cell r="H49" t="str">
            <v>107동</v>
          </cell>
          <cell r="I49">
            <v>240318</v>
          </cell>
          <cell r="J49" t="str">
            <v>107동 및 주변주차장 버림</v>
          </cell>
          <cell r="K49">
            <v>72</v>
          </cell>
          <cell r="L49">
            <v>72</v>
          </cell>
          <cell r="M49">
            <v>1812</v>
          </cell>
          <cell r="N49" t="str">
            <v>용호</v>
          </cell>
          <cell r="O49" t="str">
            <v>펌프카(1대)</v>
          </cell>
          <cell r="P49">
            <v>1605</v>
          </cell>
          <cell r="Q49">
            <v>1706</v>
          </cell>
          <cell r="R49">
            <v>120</v>
          </cell>
          <cell r="S49">
            <v>47</v>
          </cell>
          <cell r="T49">
            <v>55</v>
          </cell>
          <cell r="U49">
            <v>191</v>
          </cell>
          <cell r="V49"/>
          <cell r="W49" t="str">
            <v>박순홍</v>
          </cell>
          <cell r="X49" t="str">
            <v>(인)</v>
          </cell>
          <cell r="Y49" t="str">
            <v>박순홍</v>
          </cell>
          <cell r="Z49" t="str">
            <v>(인)</v>
          </cell>
          <cell r="AA49" t="str">
            <v>정창인</v>
          </cell>
          <cell r="AB49" t="str">
            <v>(인)</v>
          </cell>
          <cell r="AC49" t="str">
            <v>정창인</v>
          </cell>
          <cell r="AD49" t="str">
            <v>(인)</v>
          </cell>
          <cell r="AE49">
            <v>160.4</v>
          </cell>
          <cell r="AF49" t="str">
            <v>표준</v>
          </cell>
          <cell r="AG49">
            <v>1</v>
          </cell>
          <cell r="AH49">
            <v>1</v>
          </cell>
          <cell r="AI49">
            <v>1555</v>
          </cell>
          <cell r="AJ49">
            <v>1537</v>
          </cell>
          <cell r="AK49">
            <v>125200</v>
          </cell>
          <cell r="AL49">
            <v>2470</v>
          </cell>
          <cell r="AM49">
            <v>2342</v>
          </cell>
          <cell r="AN49">
            <v>2396</v>
          </cell>
          <cell r="AO49">
            <v>2410</v>
          </cell>
          <cell r="AP49">
            <v>2408</v>
          </cell>
          <cell r="AQ49">
            <v>2377</v>
          </cell>
          <cell r="AR49">
            <v>2396</v>
          </cell>
          <cell r="AS49">
            <v>2342</v>
          </cell>
          <cell r="AT49">
            <v>191000</v>
          </cell>
        </row>
        <row r="50">
          <cell r="G50">
            <v>2403180201</v>
          </cell>
          <cell r="H50" t="str">
            <v>107동</v>
          </cell>
          <cell r="I50">
            <v>240318</v>
          </cell>
          <cell r="J50" t="str">
            <v>107동 및 주변주차장 버림</v>
          </cell>
          <cell r="K50">
            <v>78</v>
          </cell>
          <cell r="L50">
            <v>78</v>
          </cell>
          <cell r="M50">
            <v>1812</v>
          </cell>
          <cell r="N50" t="str">
            <v>대공</v>
          </cell>
          <cell r="O50" t="str">
            <v>펌프카(1대)</v>
          </cell>
          <cell r="P50">
            <v>1513</v>
          </cell>
          <cell r="Q50">
            <v>1659</v>
          </cell>
          <cell r="R50">
            <v>110</v>
          </cell>
          <cell r="S50">
            <v>47</v>
          </cell>
          <cell r="T50">
            <v>74</v>
          </cell>
          <cell r="U50">
            <v>178</v>
          </cell>
          <cell r="V50"/>
          <cell r="W50" t="str">
            <v>박순홍</v>
          </cell>
          <cell r="X50" t="str">
            <v>(인)</v>
          </cell>
          <cell r="Y50" t="str">
            <v>박순홍</v>
          </cell>
          <cell r="Z50" t="str">
            <v>(인)</v>
          </cell>
          <cell r="AA50" t="str">
            <v>정창인</v>
          </cell>
          <cell r="AB50" t="str">
            <v>(인)</v>
          </cell>
          <cell r="AC50" t="str">
            <v>정창인</v>
          </cell>
          <cell r="AD50" t="str">
            <v>(인)</v>
          </cell>
          <cell r="AE50">
            <v>164.1</v>
          </cell>
          <cell r="AF50" t="str">
            <v>표준</v>
          </cell>
          <cell r="AG50">
            <v>1</v>
          </cell>
          <cell r="AH50">
            <v>1</v>
          </cell>
          <cell r="AI50">
            <v>1512</v>
          </cell>
          <cell r="AJ50">
            <v>1572</v>
          </cell>
          <cell r="AK50">
            <v>120200</v>
          </cell>
          <cell r="AL50">
            <v>2388</v>
          </cell>
          <cell r="AM50">
            <v>2426</v>
          </cell>
          <cell r="AN50">
            <v>2403</v>
          </cell>
          <cell r="AO50">
            <v>2372</v>
          </cell>
          <cell r="AP50">
            <v>2377</v>
          </cell>
          <cell r="AQ50">
            <v>2379</v>
          </cell>
          <cell r="AR50">
            <v>2433</v>
          </cell>
          <cell r="AS50">
            <v>2361</v>
          </cell>
          <cell r="AT50">
            <v>188200</v>
          </cell>
        </row>
        <row r="51">
          <cell r="G51">
            <v>2403180300</v>
          </cell>
          <cell r="H51" t="str">
            <v>CIP</v>
          </cell>
          <cell r="I51">
            <v>240318</v>
          </cell>
          <cell r="J51" t="str">
            <v>CIP말뚝타설</v>
          </cell>
          <cell r="K51">
            <v>12</v>
          </cell>
          <cell r="L51">
            <v>12</v>
          </cell>
          <cell r="M51">
            <v>2415</v>
          </cell>
          <cell r="N51" t="str">
            <v>대공</v>
          </cell>
          <cell r="O51" t="str">
            <v>직접타설</v>
          </cell>
          <cell r="P51">
            <v>1039</v>
          </cell>
          <cell r="Q51">
            <v>1505</v>
          </cell>
          <cell r="R51">
            <v>175</v>
          </cell>
          <cell r="S51">
            <v>44</v>
          </cell>
          <cell r="T51">
            <v>20</v>
          </cell>
          <cell r="U51">
            <v>167</v>
          </cell>
          <cell r="V51"/>
          <cell r="W51" t="str">
            <v>박순홍</v>
          </cell>
          <cell r="X51" t="str">
            <v>(인)</v>
          </cell>
          <cell r="Y51" t="str">
            <v>박순홍</v>
          </cell>
          <cell r="Z51" t="str">
            <v>(인)</v>
          </cell>
          <cell r="AA51" t="str">
            <v>박상갑</v>
          </cell>
          <cell r="AB51" t="str">
            <v>(인)</v>
          </cell>
          <cell r="AC51" t="str">
            <v>박상갑</v>
          </cell>
          <cell r="AD51" t="str">
            <v>(인)</v>
          </cell>
          <cell r="AE51">
            <v>175.9</v>
          </cell>
          <cell r="AF51" t="str">
            <v>표준</v>
          </cell>
          <cell r="AG51">
            <v>0</v>
          </cell>
          <cell r="AH51">
            <v>0</v>
          </cell>
        </row>
        <row r="52">
          <cell r="G52">
            <v>2403180401</v>
          </cell>
          <cell r="H52" t="str">
            <v>103동</v>
          </cell>
          <cell r="I52">
            <v>240318</v>
          </cell>
          <cell r="J52" t="str">
            <v>103동 주변주차장 지붕층(1차)</v>
          </cell>
          <cell r="K52">
            <v>550</v>
          </cell>
          <cell r="L52">
            <v>552</v>
          </cell>
          <cell r="M52">
            <v>3015</v>
          </cell>
          <cell r="N52" t="str">
            <v>쌍용</v>
          </cell>
          <cell r="O52" t="str">
            <v>펌프카(1대)</v>
          </cell>
          <cell r="P52">
            <v>850</v>
          </cell>
          <cell r="Q52">
            <v>1624</v>
          </cell>
          <cell r="R52">
            <v>165</v>
          </cell>
          <cell r="S52">
            <v>35</v>
          </cell>
          <cell r="T52">
            <v>30</v>
          </cell>
          <cell r="U52">
            <v>182</v>
          </cell>
          <cell r="V52"/>
          <cell r="W52" t="str">
            <v>박순홍</v>
          </cell>
          <cell r="X52" t="str">
            <v>(인)</v>
          </cell>
          <cell r="Y52" t="str">
            <v>박순홍</v>
          </cell>
          <cell r="Z52" t="str">
            <v>(인)</v>
          </cell>
          <cell r="AA52" t="str">
            <v>이홍걸</v>
          </cell>
          <cell r="AB52" t="str">
            <v>(인)</v>
          </cell>
          <cell r="AC52" t="str">
            <v>이홍걸</v>
          </cell>
          <cell r="AD52" t="str">
            <v>(인)</v>
          </cell>
          <cell r="AE52">
            <v>175.9</v>
          </cell>
          <cell r="AF52" t="str">
            <v>표준</v>
          </cell>
          <cell r="AG52">
            <v>1</v>
          </cell>
          <cell r="AH52">
            <v>1</v>
          </cell>
          <cell r="AI52">
            <v>2439</v>
          </cell>
          <cell r="AJ52">
            <v>2417</v>
          </cell>
          <cell r="AK52">
            <v>195600</v>
          </cell>
          <cell r="AL52">
            <v>3593</v>
          </cell>
          <cell r="AM52">
            <v>3448</v>
          </cell>
          <cell r="AN52">
            <v>3537</v>
          </cell>
          <cell r="AO52">
            <v>3477</v>
          </cell>
          <cell r="AP52">
            <v>3467</v>
          </cell>
          <cell r="AQ52">
            <v>3503</v>
          </cell>
          <cell r="AR52">
            <v>3466</v>
          </cell>
          <cell r="AS52">
            <v>3471</v>
          </cell>
          <cell r="AT52">
            <v>271600</v>
          </cell>
        </row>
        <row r="53">
          <cell r="G53">
            <v>2403180402</v>
          </cell>
          <cell r="H53" t="str">
            <v>103동</v>
          </cell>
          <cell r="I53">
            <v>240318</v>
          </cell>
          <cell r="J53" t="str">
            <v>103동 주변주차장 지붕층(1차)</v>
          </cell>
          <cell r="K53">
            <v>550</v>
          </cell>
          <cell r="L53">
            <v>552</v>
          </cell>
          <cell r="M53">
            <v>3015</v>
          </cell>
          <cell r="N53" t="str">
            <v>쌍용</v>
          </cell>
          <cell r="O53" t="str">
            <v>펌프카(1대)</v>
          </cell>
          <cell r="P53">
            <v>850</v>
          </cell>
          <cell r="Q53">
            <v>1624</v>
          </cell>
          <cell r="R53">
            <v>160</v>
          </cell>
          <cell r="S53">
            <v>46</v>
          </cell>
          <cell r="T53">
            <v>15</v>
          </cell>
          <cell r="U53">
            <v>174</v>
          </cell>
          <cell r="V53"/>
          <cell r="W53" t="str">
            <v>박순홍</v>
          </cell>
          <cell r="X53" t="str">
            <v>(인)</v>
          </cell>
          <cell r="Y53" t="str">
            <v>박순홍</v>
          </cell>
          <cell r="Z53" t="str">
            <v>(인)</v>
          </cell>
          <cell r="AA53" t="str">
            <v>이홍걸</v>
          </cell>
          <cell r="AB53" t="str">
            <v>(인)</v>
          </cell>
          <cell r="AC53" t="str">
            <v>이홍걸</v>
          </cell>
          <cell r="AD53" t="str">
            <v>(인)</v>
          </cell>
          <cell r="AE53">
            <v>177.5</v>
          </cell>
          <cell r="AF53" t="str">
            <v>표준</v>
          </cell>
          <cell r="AG53">
            <v>2</v>
          </cell>
          <cell r="AH53">
            <v>0</v>
          </cell>
        </row>
        <row r="54">
          <cell r="G54">
            <v>2403180403</v>
          </cell>
          <cell r="H54" t="str">
            <v>103동</v>
          </cell>
          <cell r="I54">
            <v>240318</v>
          </cell>
          <cell r="J54" t="str">
            <v>103동 주변주차장 지붕층(1차)</v>
          </cell>
          <cell r="K54">
            <v>550</v>
          </cell>
          <cell r="L54">
            <v>552</v>
          </cell>
          <cell r="M54">
            <v>3015</v>
          </cell>
          <cell r="N54" t="str">
            <v>쌍용</v>
          </cell>
          <cell r="O54" t="str">
            <v>펌프카(1대)</v>
          </cell>
          <cell r="P54">
            <v>850</v>
          </cell>
          <cell r="Q54">
            <v>1624</v>
          </cell>
          <cell r="R54">
            <v>160</v>
          </cell>
          <cell r="S54">
            <v>48</v>
          </cell>
          <cell r="T54">
            <v>48</v>
          </cell>
          <cell r="U54">
            <v>170</v>
          </cell>
          <cell r="V54"/>
          <cell r="W54" t="str">
            <v>박순홍</v>
          </cell>
          <cell r="X54" t="str">
            <v>(인)</v>
          </cell>
          <cell r="Y54" t="str">
            <v>박순홍</v>
          </cell>
          <cell r="Z54" t="str">
            <v>(인)</v>
          </cell>
          <cell r="AA54" t="str">
            <v>이홍걸</v>
          </cell>
          <cell r="AB54" t="str">
            <v>(인)</v>
          </cell>
          <cell r="AC54" t="str">
            <v>이홍걸</v>
          </cell>
          <cell r="AD54" t="str">
            <v>(인)</v>
          </cell>
          <cell r="AE54">
            <v>178.3</v>
          </cell>
          <cell r="AF54" t="str">
            <v>표준</v>
          </cell>
          <cell r="AG54">
            <v>3</v>
          </cell>
          <cell r="AH54">
            <v>0</v>
          </cell>
        </row>
        <row r="55">
          <cell r="G55">
            <v>2403180404</v>
          </cell>
          <cell r="H55" t="str">
            <v>103동</v>
          </cell>
          <cell r="I55">
            <v>240318</v>
          </cell>
          <cell r="J55" t="str">
            <v>103동 주변주차장 지붕층(1차)</v>
          </cell>
          <cell r="K55">
            <v>550</v>
          </cell>
          <cell r="L55">
            <v>552</v>
          </cell>
          <cell r="M55">
            <v>3015</v>
          </cell>
          <cell r="N55" t="str">
            <v>쌍용</v>
          </cell>
          <cell r="O55" t="str">
            <v>펌프카(1대)</v>
          </cell>
          <cell r="P55">
            <v>850</v>
          </cell>
          <cell r="Q55">
            <v>1624</v>
          </cell>
          <cell r="R55">
            <v>170</v>
          </cell>
          <cell r="S55">
            <v>43</v>
          </cell>
          <cell r="T55">
            <v>51</v>
          </cell>
          <cell r="U55">
            <v>161</v>
          </cell>
          <cell r="V55"/>
          <cell r="W55" t="str">
            <v>박순홍</v>
          </cell>
          <cell r="X55" t="str">
            <v>(인)</v>
          </cell>
          <cell r="Y55" t="str">
            <v>박순홍</v>
          </cell>
          <cell r="Z55" t="str">
            <v>(인)</v>
          </cell>
          <cell r="AA55" t="str">
            <v>이홍걸</v>
          </cell>
          <cell r="AB55" t="str">
            <v>(인)</v>
          </cell>
          <cell r="AC55" t="str">
            <v>이홍걸</v>
          </cell>
          <cell r="AD55" t="str">
            <v>(인)</v>
          </cell>
          <cell r="AE55">
            <v>184.5</v>
          </cell>
          <cell r="AF55" t="str">
            <v>표준</v>
          </cell>
          <cell r="AG55">
            <v>4</v>
          </cell>
          <cell r="AH55">
            <v>1</v>
          </cell>
          <cell r="AL55">
            <v>3430</v>
          </cell>
          <cell r="AM55">
            <v>3379</v>
          </cell>
          <cell r="AN55">
            <v>3396</v>
          </cell>
          <cell r="AO55">
            <v>3367</v>
          </cell>
          <cell r="AP55">
            <v>3403</v>
          </cell>
          <cell r="AQ55">
            <v>3416</v>
          </cell>
          <cell r="AR55">
            <v>3394</v>
          </cell>
          <cell r="AS55">
            <v>3362</v>
          </cell>
          <cell r="AT55">
            <v>271400</v>
          </cell>
        </row>
        <row r="56">
          <cell r="G56">
            <v>2403180405</v>
          </cell>
          <cell r="H56" t="str">
            <v>103동</v>
          </cell>
          <cell r="I56">
            <v>240318</v>
          </cell>
          <cell r="J56" t="str">
            <v>103동 주변주차장 지붕층(1차)</v>
          </cell>
          <cell r="K56">
            <v>550</v>
          </cell>
          <cell r="L56">
            <v>552</v>
          </cell>
          <cell r="M56">
            <v>3015</v>
          </cell>
          <cell r="N56" t="str">
            <v>쌍용</v>
          </cell>
          <cell r="O56" t="str">
            <v>펌프카(1대)</v>
          </cell>
          <cell r="P56">
            <v>850</v>
          </cell>
          <cell r="Q56">
            <v>1624</v>
          </cell>
          <cell r="R56">
            <v>170</v>
          </cell>
          <cell r="S56">
            <v>41</v>
          </cell>
          <cell r="T56">
            <v>17</v>
          </cell>
          <cell r="U56">
            <v>152</v>
          </cell>
          <cell r="V56"/>
          <cell r="W56" t="str">
            <v>박순홍</v>
          </cell>
          <cell r="X56" t="str">
            <v>(인)</v>
          </cell>
          <cell r="Y56" t="str">
            <v>박순홍</v>
          </cell>
          <cell r="Z56" t="str">
            <v>(인)</v>
          </cell>
          <cell r="AA56" t="str">
            <v>이홍걸</v>
          </cell>
          <cell r="AB56" t="str">
            <v>(인)</v>
          </cell>
          <cell r="AC56" t="str">
            <v>이홍걸</v>
          </cell>
          <cell r="AD56" t="str">
            <v>(인)</v>
          </cell>
          <cell r="AE56">
            <v>181.2</v>
          </cell>
          <cell r="AF56" t="str">
            <v>표준</v>
          </cell>
          <cell r="AG56">
            <v>5</v>
          </cell>
          <cell r="AH56">
            <v>0</v>
          </cell>
        </row>
        <row r="57">
          <cell r="G57">
            <v>2403180501</v>
          </cell>
          <cell r="H57" t="str">
            <v>103동</v>
          </cell>
          <cell r="I57">
            <v>240318</v>
          </cell>
          <cell r="J57" t="str">
            <v>103동 주변주차장 지붕층(1차)</v>
          </cell>
          <cell r="K57">
            <v>220</v>
          </cell>
          <cell r="L57">
            <v>222</v>
          </cell>
          <cell r="M57">
            <v>2715</v>
          </cell>
          <cell r="N57" t="str">
            <v>쌍용</v>
          </cell>
          <cell r="O57" t="str">
            <v>펌프카(1대)</v>
          </cell>
          <cell r="P57">
            <v>1355</v>
          </cell>
          <cell r="Q57">
            <v>1746</v>
          </cell>
          <cell r="R57">
            <v>160</v>
          </cell>
          <cell r="S57">
            <v>42</v>
          </cell>
          <cell r="T57">
            <v>13</v>
          </cell>
          <cell r="U57">
            <v>208</v>
          </cell>
          <cell r="V57"/>
          <cell r="W57" t="str">
            <v>박순홍</v>
          </cell>
          <cell r="X57" t="str">
            <v>(인)</v>
          </cell>
          <cell r="Y57" t="str">
            <v>박순홍</v>
          </cell>
          <cell r="Z57" t="str">
            <v>(인)</v>
          </cell>
          <cell r="AA57" t="str">
            <v>이홍걸</v>
          </cell>
          <cell r="AB57" t="str">
            <v>(인)</v>
          </cell>
          <cell r="AC57" t="str">
            <v>이홍걸</v>
          </cell>
          <cell r="AD57" t="str">
            <v>(인)</v>
          </cell>
          <cell r="AE57">
            <v>178.3</v>
          </cell>
          <cell r="AF57" t="str">
            <v>표준</v>
          </cell>
          <cell r="AG57">
            <v>1</v>
          </cell>
          <cell r="AH57">
            <v>1</v>
          </cell>
          <cell r="AI57">
            <v>2172</v>
          </cell>
          <cell r="AJ57">
            <v>2104</v>
          </cell>
          <cell r="AK57">
            <v>2121</v>
          </cell>
          <cell r="AL57">
            <v>3116</v>
          </cell>
          <cell r="AM57">
            <v>3022</v>
          </cell>
          <cell r="AN57">
            <v>3077</v>
          </cell>
          <cell r="AO57">
            <v>3104</v>
          </cell>
          <cell r="AP57">
            <v>3079</v>
          </cell>
          <cell r="AQ57">
            <v>3094</v>
          </cell>
          <cell r="AR57">
            <v>3064</v>
          </cell>
          <cell r="AS57">
            <v>3107</v>
          </cell>
          <cell r="AT57">
            <v>244000</v>
          </cell>
        </row>
        <row r="58">
          <cell r="G58">
            <v>2403180502</v>
          </cell>
          <cell r="H58" t="str">
            <v>103동</v>
          </cell>
          <cell r="I58">
            <v>240318</v>
          </cell>
          <cell r="J58" t="str">
            <v>103동 주변주차장 지붕층(1차)</v>
          </cell>
          <cell r="K58">
            <v>220</v>
          </cell>
          <cell r="L58">
            <v>222</v>
          </cell>
          <cell r="M58">
            <v>2715</v>
          </cell>
          <cell r="N58" t="str">
            <v>쌍용</v>
          </cell>
          <cell r="O58" t="str">
            <v>펌프카(1대)</v>
          </cell>
          <cell r="P58">
            <v>1355</v>
          </cell>
          <cell r="Q58">
            <v>1746</v>
          </cell>
          <cell r="R58">
            <v>155</v>
          </cell>
          <cell r="S58">
            <v>44</v>
          </cell>
          <cell r="T58">
            <v>16</v>
          </cell>
          <cell r="U58">
            <v>231</v>
          </cell>
          <cell r="V58"/>
          <cell r="W58" t="str">
            <v>박순홍</v>
          </cell>
          <cell r="X58" t="str">
            <v>(인)</v>
          </cell>
          <cell r="Y58" t="str">
            <v>박순홍</v>
          </cell>
          <cell r="Z58" t="str">
            <v>(인)</v>
          </cell>
          <cell r="AA58" t="str">
            <v>이홍걸</v>
          </cell>
          <cell r="AB58" t="str">
            <v>(인)</v>
          </cell>
          <cell r="AC58" t="str">
            <v>이홍걸</v>
          </cell>
          <cell r="AD58" t="str">
            <v>(인)</v>
          </cell>
          <cell r="AE58">
            <v>177.5</v>
          </cell>
          <cell r="AF58" t="str">
            <v>표준</v>
          </cell>
          <cell r="AG58">
            <v>2</v>
          </cell>
          <cell r="AH58">
            <v>0</v>
          </cell>
        </row>
        <row r="59">
          <cell r="G59">
            <v>2403190100</v>
          </cell>
          <cell r="H59" t="str">
            <v>103동</v>
          </cell>
          <cell r="I59">
            <v>240319</v>
          </cell>
          <cell r="J59" t="str">
            <v>103동 주변주차장 지붕층(1차)</v>
          </cell>
          <cell r="K59">
            <v>9</v>
          </cell>
          <cell r="L59">
            <v>9</v>
          </cell>
          <cell r="M59">
            <v>2715</v>
          </cell>
          <cell r="N59" t="str">
            <v>쌍용</v>
          </cell>
          <cell r="O59" t="str">
            <v>직접타설</v>
          </cell>
          <cell r="P59">
            <v>754</v>
          </cell>
          <cell r="Q59">
            <v>1005</v>
          </cell>
          <cell r="R59">
            <v>170</v>
          </cell>
          <cell r="S59">
            <v>48</v>
          </cell>
          <cell r="T59">
            <v>31</v>
          </cell>
          <cell r="U59">
            <v>175</v>
          </cell>
          <cell r="V59"/>
          <cell r="W59" t="str">
            <v>박순홍</v>
          </cell>
          <cell r="X59" t="str">
            <v>(인)</v>
          </cell>
          <cell r="Y59" t="str">
            <v>박순홍</v>
          </cell>
          <cell r="Z59" t="str">
            <v>(인)</v>
          </cell>
          <cell r="AA59" t="str">
            <v>이홍걸</v>
          </cell>
          <cell r="AB59" t="str">
            <v>(인)</v>
          </cell>
          <cell r="AC59" t="str">
            <v>이홍걸</v>
          </cell>
          <cell r="AD59" t="str">
            <v>(인)</v>
          </cell>
          <cell r="AE59">
            <v>178.2</v>
          </cell>
          <cell r="AF59" t="str">
            <v>표준</v>
          </cell>
          <cell r="AG59">
            <v>0</v>
          </cell>
          <cell r="AH59">
            <v>0</v>
          </cell>
        </row>
        <row r="60">
          <cell r="G60">
            <v>2403200101</v>
          </cell>
          <cell r="H60" t="str">
            <v>113동</v>
          </cell>
          <cell r="I60">
            <v>240320</v>
          </cell>
          <cell r="J60" t="str">
            <v>113동 주변주차장 기초</v>
          </cell>
          <cell r="K60">
            <v>120</v>
          </cell>
          <cell r="L60">
            <v>120</v>
          </cell>
          <cell r="M60">
            <v>2415</v>
          </cell>
          <cell r="N60" t="str">
            <v>한진</v>
          </cell>
          <cell r="O60" t="str">
            <v>펌프카(1대)</v>
          </cell>
          <cell r="P60">
            <v>758</v>
          </cell>
          <cell r="Q60">
            <v>1015</v>
          </cell>
          <cell r="R60">
            <v>160</v>
          </cell>
          <cell r="S60">
            <v>53</v>
          </cell>
          <cell r="T60">
            <v>41</v>
          </cell>
          <cell r="U60">
            <v>172</v>
          </cell>
          <cell r="V60"/>
          <cell r="W60" t="str">
            <v>박순홍</v>
          </cell>
          <cell r="X60" t="str">
            <v>(인)</v>
          </cell>
          <cell r="Y60" t="str">
            <v>박순홍</v>
          </cell>
          <cell r="Z60" t="str">
            <v>(인)</v>
          </cell>
          <cell r="AA60" t="str">
            <v>장덕만</v>
          </cell>
          <cell r="AB60" t="str">
            <v>(인)</v>
          </cell>
          <cell r="AC60" t="str">
            <v>장덕만</v>
          </cell>
          <cell r="AD60" t="str">
            <v>(인)</v>
          </cell>
          <cell r="AE60">
            <v>178.3</v>
          </cell>
          <cell r="AF60" t="str">
            <v>표준</v>
          </cell>
          <cell r="AG60">
            <v>1</v>
          </cell>
          <cell r="AH60">
            <v>1</v>
          </cell>
          <cell r="AI60">
            <v>2373</v>
          </cell>
          <cell r="AJ60">
            <v>2312</v>
          </cell>
          <cell r="AK60">
            <v>186400</v>
          </cell>
          <cell r="AL60">
            <v>3432</v>
          </cell>
          <cell r="AM60">
            <v>3343</v>
          </cell>
          <cell r="AN60">
            <v>3376</v>
          </cell>
          <cell r="AO60">
            <v>3326</v>
          </cell>
          <cell r="AP60">
            <v>3327</v>
          </cell>
          <cell r="AQ60">
            <v>3401</v>
          </cell>
          <cell r="AR60">
            <v>3327</v>
          </cell>
          <cell r="AS60">
            <v>3296</v>
          </cell>
          <cell r="AT60">
            <v>270200</v>
          </cell>
        </row>
        <row r="61">
          <cell r="G61">
            <v>2403200201</v>
          </cell>
          <cell r="H61" t="str">
            <v>105동 외</v>
          </cell>
          <cell r="I61">
            <v>240320</v>
          </cell>
          <cell r="J61" t="str">
            <v>5~6동 주차장, 7~13동 주변주차장 버림</v>
          </cell>
          <cell r="K61">
            <v>120</v>
          </cell>
          <cell r="L61">
            <v>127</v>
          </cell>
          <cell r="M61">
            <v>1812</v>
          </cell>
          <cell r="N61" t="str">
            <v>한진</v>
          </cell>
          <cell r="O61" t="str">
            <v>펌프카(1대)</v>
          </cell>
          <cell r="P61">
            <v>1039</v>
          </cell>
          <cell r="Q61">
            <v>1515</v>
          </cell>
          <cell r="R61">
            <v>140</v>
          </cell>
          <cell r="S61">
            <v>46</v>
          </cell>
          <cell r="T61">
            <v>17</v>
          </cell>
          <cell r="U61">
            <v>165</v>
          </cell>
          <cell r="V61"/>
          <cell r="W61" t="str">
            <v>박순홍</v>
          </cell>
          <cell r="X61" t="str">
            <v>(인)</v>
          </cell>
          <cell r="Y61" t="str">
            <v>박순홍</v>
          </cell>
          <cell r="Z61" t="str">
            <v>(인)</v>
          </cell>
          <cell r="AA61" t="str">
            <v>장덕만</v>
          </cell>
          <cell r="AB61" t="str">
            <v>(인)</v>
          </cell>
          <cell r="AC61" t="str">
            <v>정창인</v>
          </cell>
          <cell r="AD61" t="str">
            <v>(인)</v>
          </cell>
          <cell r="AE61">
            <v>175.9</v>
          </cell>
          <cell r="AF61" t="str">
            <v>표준</v>
          </cell>
          <cell r="AG61">
            <v>1</v>
          </cell>
          <cell r="AH61">
            <v>1</v>
          </cell>
          <cell r="AI61">
            <v>1612</v>
          </cell>
          <cell r="AJ61">
            <v>1702</v>
          </cell>
          <cell r="AK61">
            <v>131800</v>
          </cell>
          <cell r="AL61">
            <v>2263</v>
          </cell>
          <cell r="AM61">
            <v>2291</v>
          </cell>
          <cell r="AN61">
            <v>2381</v>
          </cell>
          <cell r="AO61">
            <v>2267</v>
          </cell>
          <cell r="AP61">
            <v>2307</v>
          </cell>
          <cell r="AQ61">
            <v>2312</v>
          </cell>
          <cell r="AR61">
            <v>2362</v>
          </cell>
          <cell r="AS61">
            <v>2292</v>
          </cell>
          <cell r="AT61">
            <v>183400</v>
          </cell>
        </row>
        <row r="62">
          <cell r="G62">
            <v>2403200202</v>
          </cell>
          <cell r="H62" t="str">
            <v>105동 외</v>
          </cell>
          <cell r="I62">
            <v>240320</v>
          </cell>
          <cell r="J62" t="str">
            <v>5~6동 주차장, 7~13동 주변주차장 버림</v>
          </cell>
          <cell r="K62">
            <v>120</v>
          </cell>
          <cell r="L62">
            <v>127</v>
          </cell>
          <cell r="M62">
            <v>1812</v>
          </cell>
          <cell r="N62" t="str">
            <v>한진</v>
          </cell>
          <cell r="O62" t="str">
            <v>펌프카(1대)</v>
          </cell>
          <cell r="P62">
            <v>1039</v>
          </cell>
          <cell r="Q62">
            <v>1515</v>
          </cell>
          <cell r="R62">
            <v>130</v>
          </cell>
          <cell r="S62">
            <v>47</v>
          </cell>
          <cell r="T62">
            <v>28</v>
          </cell>
          <cell r="U62">
            <v>170</v>
          </cell>
          <cell r="V62"/>
          <cell r="W62" t="str">
            <v>박순홍</v>
          </cell>
          <cell r="X62" t="str">
            <v>(인)</v>
          </cell>
          <cell r="Y62" t="str">
            <v>박순홍</v>
          </cell>
          <cell r="Z62" t="str">
            <v>(인)</v>
          </cell>
          <cell r="AA62" t="str">
            <v>장덕만</v>
          </cell>
          <cell r="AB62" t="str">
            <v>(인)</v>
          </cell>
          <cell r="AC62" t="str">
            <v>정창인</v>
          </cell>
          <cell r="AD62" t="str">
            <v>(인)</v>
          </cell>
          <cell r="AE62">
            <v>177.5</v>
          </cell>
          <cell r="AF62" t="str">
            <v>표준</v>
          </cell>
          <cell r="AG62">
            <v>2</v>
          </cell>
          <cell r="AH62">
            <v>0</v>
          </cell>
        </row>
        <row r="63">
          <cell r="G63">
            <v>2403200301</v>
          </cell>
          <cell r="H63" t="str">
            <v>CIP</v>
          </cell>
          <cell r="I63">
            <v>240320</v>
          </cell>
          <cell r="J63" t="str">
            <v>CIP말뚝타설</v>
          </cell>
          <cell r="K63">
            <v>8</v>
          </cell>
          <cell r="L63">
            <v>8</v>
          </cell>
          <cell r="M63">
            <v>2415</v>
          </cell>
          <cell r="N63" t="str">
            <v>대공</v>
          </cell>
          <cell r="O63" t="str">
            <v>직접타설</v>
          </cell>
          <cell r="P63">
            <v>805</v>
          </cell>
          <cell r="Q63">
            <v>935</v>
          </cell>
          <cell r="R63">
            <v>165</v>
          </cell>
          <cell r="S63">
            <v>47</v>
          </cell>
          <cell r="T63">
            <v>106</v>
          </cell>
          <cell r="U63">
            <v>162</v>
          </cell>
          <cell r="V63"/>
          <cell r="W63" t="str">
            <v>박순홍</v>
          </cell>
          <cell r="X63" t="str">
            <v>(인)</v>
          </cell>
          <cell r="Y63" t="str">
            <v>박순홍</v>
          </cell>
          <cell r="Z63" t="str">
            <v>(인)</v>
          </cell>
          <cell r="AA63" t="str">
            <v>박상갑</v>
          </cell>
          <cell r="AB63" t="str">
            <v>(인)</v>
          </cell>
          <cell r="AC63" t="str">
            <v>박상갑</v>
          </cell>
          <cell r="AD63" t="str">
            <v>(인)</v>
          </cell>
          <cell r="AE63">
            <v>177.5</v>
          </cell>
          <cell r="AF63" t="str">
            <v>표준</v>
          </cell>
          <cell r="AG63">
            <v>1</v>
          </cell>
          <cell r="AH63">
            <v>1</v>
          </cell>
          <cell r="AI63">
            <v>2345</v>
          </cell>
          <cell r="AJ63">
            <v>2376</v>
          </cell>
          <cell r="AK63">
            <v>195000</v>
          </cell>
          <cell r="AL63">
            <v>3462</v>
          </cell>
          <cell r="AM63">
            <v>3394</v>
          </cell>
          <cell r="AN63">
            <v>3410</v>
          </cell>
          <cell r="AO63">
            <v>3378</v>
          </cell>
          <cell r="AP63">
            <v>3402</v>
          </cell>
          <cell r="AQ63">
            <v>3362</v>
          </cell>
          <cell r="AR63">
            <v>3387</v>
          </cell>
          <cell r="AS63">
            <v>3401</v>
          </cell>
          <cell r="AT63">
            <v>270000</v>
          </cell>
        </row>
        <row r="64">
          <cell r="G64">
            <v>2403210100</v>
          </cell>
          <cell r="H64" t="str">
            <v>CIP</v>
          </cell>
          <cell r="I64">
            <v>240321</v>
          </cell>
          <cell r="J64" t="str">
            <v>CIP말뚝타설</v>
          </cell>
          <cell r="K64">
            <v>6</v>
          </cell>
          <cell r="L64">
            <v>6</v>
          </cell>
          <cell r="M64">
            <v>2415</v>
          </cell>
          <cell r="N64" t="str">
            <v>대공</v>
          </cell>
          <cell r="O64" t="str">
            <v>직접타설</v>
          </cell>
          <cell r="P64">
            <v>1350</v>
          </cell>
          <cell r="Q64">
            <v>1425</v>
          </cell>
          <cell r="R64">
            <v>155</v>
          </cell>
          <cell r="S64">
            <v>46</v>
          </cell>
          <cell r="T64">
            <v>63</v>
          </cell>
          <cell r="U64">
            <v>172</v>
          </cell>
          <cell r="V64"/>
          <cell r="W64" t="str">
            <v>박순홍</v>
          </cell>
          <cell r="X64" t="str">
            <v>(인)</v>
          </cell>
          <cell r="Y64" t="str">
            <v>박순홍</v>
          </cell>
          <cell r="Z64" t="str">
            <v>(인)</v>
          </cell>
          <cell r="AA64" t="str">
            <v>이홍걸</v>
          </cell>
          <cell r="AB64" t="str">
            <v>(인)</v>
          </cell>
          <cell r="AC64" t="str">
            <v>박상갑</v>
          </cell>
          <cell r="AD64" t="str">
            <v>(인)</v>
          </cell>
          <cell r="AE64">
            <v>184.5</v>
          </cell>
          <cell r="AF64" t="str">
            <v>표준</v>
          </cell>
          <cell r="AG64">
            <v>0</v>
          </cell>
          <cell r="AH64">
            <v>0</v>
          </cell>
        </row>
        <row r="65">
          <cell r="G65">
            <v>2403210201</v>
          </cell>
          <cell r="H65" t="str">
            <v>102동</v>
          </cell>
          <cell r="I65">
            <v>240321</v>
          </cell>
          <cell r="J65" t="str">
            <v>102동 및 주변주차장 기초</v>
          </cell>
          <cell r="K65">
            <v>618</v>
          </cell>
          <cell r="L65">
            <v>618</v>
          </cell>
          <cell r="M65">
            <v>2415</v>
          </cell>
          <cell r="N65" t="str">
            <v>동양</v>
          </cell>
          <cell r="O65" t="str">
            <v>펌프카(1대)</v>
          </cell>
          <cell r="P65">
            <v>735</v>
          </cell>
          <cell r="Q65">
            <v>1503</v>
          </cell>
          <cell r="R65">
            <v>165</v>
          </cell>
          <cell r="S65">
            <v>43</v>
          </cell>
          <cell r="T65">
            <v>12</v>
          </cell>
          <cell r="U65">
            <v>162</v>
          </cell>
          <cell r="V65"/>
          <cell r="W65" t="str">
            <v>박순홍</v>
          </cell>
          <cell r="X65" t="str">
            <v>(인)</v>
          </cell>
          <cell r="Y65" t="str">
            <v>박순홍</v>
          </cell>
          <cell r="Z65" t="str">
            <v>(인)</v>
          </cell>
          <cell r="AA65" t="str">
            <v>이홍걸</v>
          </cell>
          <cell r="AB65" t="str">
            <v>(인)</v>
          </cell>
          <cell r="AC65" t="str">
            <v>이홍걸</v>
          </cell>
          <cell r="AD65" t="str">
            <v>(인)</v>
          </cell>
          <cell r="AE65">
            <v>172</v>
          </cell>
          <cell r="AF65" t="str">
            <v>표준</v>
          </cell>
          <cell r="AG65">
            <v>1</v>
          </cell>
          <cell r="AH65">
            <v>1</v>
          </cell>
          <cell r="AI65">
            <v>2375</v>
          </cell>
          <cell r="AJ65">
            <v>2302</v>
          </cell>
          <cell r="AK65">
            <v>179400</v>
          </cell>
          <cell r="AL65">
            <v>3312</v>
          </cell>
          <cell r="AM65">
            <v>3284</v>
          </cell>
          <cell r="AN65">
            <v>3316</v>
          </cell>
          <cell r="AO65">
            <v>3402</v>
          </cell>
          <cell r="AP65">
            <v>3416</v>
          </cell>
          <cell r="AQ65">
            <v>3394</v>
          </cell>
          <cell r="AR65">
            <v>3410</v>
          </cell>
          <cell r="AS65">
            <v>3402</v>
          </cell>
          <cell r="AT65">
            <v>265400</v>
          </cell>
        </row>
        <row r="66">
          <cell r="G66">
            <v>2403210202</v>
          </cell>
          <cell r="H66" t="str">
            <v>102동</v>
          </cell>
          <cell r="I66">
            <v>240321</v>
          </cell>
          <cell r="J66" t="str">
            <v>102동 및 주변주차장 기초</v>
          </cell>
          <cell r="K66">
            <v>618</v>
          </cell>
          <cell r="L66">
            <v>618</v>
          </cell>
          <cell r="M66">
            <v>2415</v>
          </cell>
          <cell r="N66" t="str">
            <v>동양</v>
          </cell>
          <cell r="O66" t="str">
            <v>펌프카(1대)</v>
          </cell>
          <cell r="P66">
            <v>735</v>
          </cell>
          <cell r="Q66">
            <v>1503</v>
          </cell>
          <cell r="R66">
            <v>160</v>
          </cell>
          <cell r="S66">
            <v>46</v>
          </cell>
          <cell r="T66">
            <v>28</v>
          </cell>
          <cell r="U66">
            <v>170</v>
          </cell>
          <cell r="V66"/>
          <cell r="W66" t="str">
            <v>박순홍</v>
          </cell>
          <cell r="X66" t="str">
            <v>(인)</v>
          </cell>
          <cell r="Y66" t="str">
            <v>박순홍</v>
          </cell>
          <cell r="Z66" t="str">
            <v>(인)</v>
          </cell>
          <cell r="AA66" t="str">
            <v>이홍걸</v>
          </cell>
          <cell r="AB66" t="str">
            <v>(인)</v>
          </cell>
          <cell r="AC66" t="str">
            <v>이홍걸</v>
          </cell>
          <cell r="AD66" t="str">
            <v>(인)</v>
          </cell>
          <cell r="AE66">
            <v>171.6</v>
          </cell>
          <cell r="AF66" t="str">
            <v>표준</v>
          </cell>
          <cell r="AG66">
            <v>2</v>
          </cell>
          <cell r="AH66">
            <v>0</v>
          </cell>
        </row>
        <row r="67">
          <cell r="G67">
            <v>2403210203</v>
          </cell>
          <cell r="H67" t="str">
            <v>102동</v>
          </cell>
          <cell r="I67">
            <v>240321</v>
          </cell>
          <cell r="J67" t="str">
            <v>102동 및 주변주차장 기초</v>
          </cell>
          <cell r="K67">
            <v>618</v>
          </cell>
          <cell r="L67">
            <v>618</v>
          </cell>
          <cell r="M67">
            <v>2415</v>
          </cell>
          <cell r="N67" t="str">
            <v>동양</v>
          </cell>
          <cell r="O67" t="str">
            <v>펌프카(1대)</v>
          </cell>
          <cell r="P67">
            <v>735</v>
          </cell>
          <cell r="Q67">
            <v>1503</v>
          </cell>
          <cell r="R67">
            <v>165</v>
          </cell>
          <cell r="S67">
            <v>48</v>
          </cell>
          <cell r="T67">
            <v>38</v>
          </cell>
          <cell r="U67">
            <v>165</v>
          </cell>
          <cell r="V67"/>
          <cell r="W67" t="str">
            <v>박순홍</v>
          </cell>
          <cell r="X67" t="str">
            <v>(인)</v>
          </cell>
          <cell r="Y67" t="str">
            <v>박순홍</v>
          </cell>
          <cell r="Z67" t="str">
            <v>(인)</v>
          </cell>
          <cell r="AA67" t="str">
            <v>이홍걸</v>
          </cell>
          <cell r="AB67" t="str">
            <v>(인)</v>
          </cell>
          <cell r="AC67" t="str">
            <v>이홍걸</v>
          </cell>
          <cell r="AD67" t="str">
            <v>(인)</v>
          </cell>
          <cell r="AE67">
            <v>171.4</v>
          </cell>
          <cell r="AF67" t="str">
            <v>표준</v>
          </cell>
          <cell r="AG67">
            <v>3</v>
          </cell>
          <cell r="AH67">
            <v>0</v>
          </cell>
        </row>
        <row r="68">
          <cell r="G68">
            <v>2403210204</v>
          </cell>
          <cell r="H68" t="str">
            <v>102동</v>
          </cell>
          <cell r="I68">
            <v>240321</v>
          </cell>
          <cell r="J68" t="str">
            <v>102동 및 주변주차장 기초</v>
          </cell>
          <cell r="K68">
            <v>618</v>
          </cell>
          <cell r="L68">
            <v>618</v>
          </cell>
          <cell r="M68">
            <v>2415</v>
          </cell>
          <cell r="N68" t="str">
            <v>동양</v>
          </cell>
          <cell r="O68" t="str">
            <v>펌프카(1대)</v>
          </cell>
          <cell r="P68">
            <v>735</v>
          </cell>
          <cell r="Q68">
            <v>1503</v>
          </cell>
          <cell r="R68">
            <v>160</v>
          </cell>
          <cell r="S68">
            <v>47</v>
          </cell>
          <cell r="T68">
            <v>27</v>
          </cell>
          <cell r="U68">
            <v>213</v>
          </cell>
          <cell r="V68"/>
          <cell r="W68" t="str">
            <v>박순홍</v>
          </cell>
          <cell r="X68" t="str">
            <v>(인)</v>
          </cell>
          <cell r="Y68" t="str">
            <v>박순홍</v>
          </cell>
          <cell r="Z68" t="str">
            <v>(인)</v>
          </cell>
          <cell r="AA68" t="str">
            <v>이홍걸</v>
          </cell>
          <cell r="AB68" t="str">
            <v>(인)</v>
          </cell>
          <cell r="AC68" t="str">
            <v>이홍걸</v>
          </cell>
          <cell r="AD68" t="str">
            <v>(인)</v>
          </cell>
          <cell r="AE68">
            <v>182.9</v>
          </cell>
          <cell r="AF68" t="str">
            <v>표준</v>
          </cell>
          <cell r="AG68">
            <v>4</v>
          </cell>
          <cell r="AH68">
            <v>1</v>
          </cell>
          <cell r="AL68">
            <v>3363</v>
          </cell>
          <cell r="AM68">
            <v>3312</v>
          </cell>
          <cell r="AN68">
            <v>3314</v>
          </cell>
          <cell r="AO68">
            <v>3406</v>
          </cell>
          <cell r="AP68">
            <v>3278</v>
          </cell>
          <cell r="AQ68">
            <v>3292</v>
          </cell>
          <cell r="AR68">
            <v>3301</v>
          </cell>
          <cell r="AS68">
            <v>3217</v>
          </cell>
          <cell r="AT68">
            <v>258800</v>
          </cell>
        </row>
        <row r="69">
          <cell r="G69">
            <v>2403210205</v>
          </cell>
          <cell r="H69" t="str">
            <v>102동</v>
          </cell>
          <cell r="I69">
            <v>240321</v>
          </cell>
          <cell r="J69" t="str">
            <v>102동 및 주변주차장 기초</v>
          </cell>
          <cell r="K69">
            <v>618</v>
          </cell>
          <cell r="L69">
            <v>618</v>
          </cell>
          <cell r="M69">
            <v>2415</v>
          </cell>
          <cell r="N69" t="str">
            <v>동양</v>
          </cell>
          <cell r="O69" t="str">
            <v>펌프카(1대)</v>
          </cell>
          <cell r="P69">
            <v>735</v>
          </cell>
          <cell r="Q69">
            <v>1503</v>
          </cell>
          <cell r="R69">
            <v>160</v>
          </cell>
          <cell r="S69">
            <v>46</v>
          </cell>
          <cell r="T69">
            <v>32</v>
          </cell>
          <cell r="U69">
            <v>209</v>
          </cell>
          <cell r="V69"/>
          <cell r="W69" t="str">
            <v>박순홍</v>
          </cell>
          <cell r="X69" t="str">
            <v>(인)</v>
          </cell>
          <cell r="Y69" t="str">
            <v>박순홍</v>
          </cell>
          <cell r="Z69" t="str">
            <v>(인)</v>
          </cell>
          <cell r="AA69" t="str">
            <v>이홍걸</v>
          </cell>
          <cell r="AB69" t="str">
            <v>(인)</v>
          </cell>
          <cell r="AC69" t="str">
            <v>이홍걸</v>
          </cell>
          <cell r="AD69" t="str">
            <v>(인)</v>
          </cell>
          <cell r="AE69">
            <v>181.8</v>
          </cell>
          <cell r="AF69" t="str">
            <v>표준</v>
          </cell>
          <cell r="AG69">
            <v>5</v>
          </cell>
          <cell r="AH69">
            <v>0</v>
          </cell>
        </row>
        <row r="70">
          <cell r="G70">
            <v>2403210206</v>
          </cell>
          <cell r="H70" t="str">
            <v>102동</v>
          </cell>
          <cell r="I70">
            <v>240321</v>
          </cell>
          <cell r="J70" t="str">
            <v>102동 및 주변주차장 기초</v>
          </cell>
          <cell r="K70">
            <v>618</v>
          </cell>
          <cell r="L70">
            <v>618</v>
          </cell>
          <cell r="M70">
            <v>2415</v>
          </cell>
          <cell r="N70" t="str">
            <v>동양</v>
          </cell>
          <cell r="O70" t="str">
            <v>펌프카(1대)</v>
          </cell>
          <cell r="P70">
            <v>735</v>
          </cell>
          <cell r="Q70">
            <v>1503</v>
          </cell>
          <cell r="R70">
            <v>170</v>
          </cell>
          <cell r="S70">
            <v>42</v>
          </cell>
          <cell r="T70">
            <v>40</v>
          </cell>
          <cell r="U70">
            <v>206</v>
          </cell>
          <cell r="V70"/>
          <cell r="W70" t="str">
            <v>박순홍</v>
          </cell>
          <cell r="X70" t="str">
            <v>(인)</v>
          </cell>
          <cell r="Y70" t="str">
            <v>박순홍</v>
          </cell>
          <cell r="Z70" t="str">
            <v>(인)</v>
          </cell>
          <cell r="AA70" t="str">
            <v>이홍걸</v>
          </cell>
          <cell r="AB70" t="str">
            <v>(인)</v>
          </cell>
          <cell r="AC70" t="str">
            <v>이홍걸</v>
          </cell>
          <cell r="AD70" t="str">
            <v>(인)</v>
          </cell>
          <cell r="AE70">
            <v>181.9</v>
          </cell>
          <cell r="AF70" t="str">
            <v>표준</v>
          </cell>
          <cell r="AG70">
            <v>6</v>
          </cell>
          <cell r="AH70">
            <v>0</v>
          </cell>
        </row>
        <row r="71">
          <cell r="G71">
            <v>2403210301</v>
          </cell>
          <cell r="H71" t="str">
            <v>102동</v>
          </cell>
          <cell r="I71">
            <v>240321</v>
          </cell>
          <cell r="J71" t="str">
            <v>102동 및 주변주차장 기초</v>
          </cell>
          <cell r="K71">
            <v>780</v>
          </cell>
          <cell r="L71">
            <v>780</v>
          </cell>
          <cell r="M71">
            <v>2415</v>
          </cell>
          <cell r="N71" t="str">
            <v>용호</v>
          </cell>
          <cell r="O71" t="str">
            <v>펌프카(1대)</v>
          </cell>
          <cell r="P71">
            <v>721</v>
          </cell>
          <cell r="Q71">
            <v>1507</v>
          </cell>
          <cell r="R71">
            <v>170</v>
          </cell>
          <cell r="S71">
            <v>42</v>
          </cell>
          <cell r="T71">
            <v>74</v>
          </cell>
          <cell r="U71">
            <v>158</v>
          </cell>
          <cell r="V71"/>
          <cell r="W71" t="str">
            <v>박순홍</v>
          </cell>
          <cell r="X71" t="str">
            <v>(인)</v>
          </cell>
          <cell r="Y71" t="str">
            <v>박순홍</v>
          </cell>
          <cell r="Z71" t="str">
            <v>(인)</v>
          </cell>
          <cell r="AA71" t="str">
            <v>최상옥</v>
          </cell>
          <cell r="AB71" t="str">
            <v>(인)</v>
          </cell>
          <cell r="AC71" t="str">
            <v>이홍걸</v>
          </cell>
          <cell r="AD71" t="str">
            <v>(인)</v>
          </cell>
          <cell r="AE71">
            <v>170.2</v>
          </cell>
          <cell r="AF71" t="str">
            <v>표준</v>
          </cell>
          <cell r="AG71">
            <v>1</v>
          </cell>
          <cell r="AH71">
            <v>1</v>
          </cell>
          <cell r="AI71">
            <v>2304</v>
          </cell>
          <cell r="AJ71">
            <v>2372</v>
          </cell>
          <cell r="AK71">
            <v>189000</v>
          </cell>
          <cell r="AL71">
            <v>3417</v>
          </cell>
          <cell r="AM71">
            <v>3295</v>
          </cell>
          <cell r="AN71">
            <v>3317</v>
          </cell>
          <cell r="AO71">
            <v>3406</v>
          </cell>
          <cell r="AP71">
            <v>3477</v>
          </cell>
          <cell r="AQ71">
            <v>3402</v>
          </cell>
          <cell r="AR71">
            <v>3433</v>
          </cell>
          <cell r="AS71">
            <v>3417</v>
          </cell>
          <cell r="AT71">
            <v>264000</v>
          </cell>
        </row>
        <row r="72">
          <cell r="G72">
            <v>2403210302</v>
          </cell>
          <cell r="H72" t="str">
            <v>102동</v>
          </cell>
          <cell r="I72">
            <v>240321</v>
          </cell>
          <cell r="J72" t="str">
            <v>102동 및 주변주차장 기초</v>
          </cell>
          <cell r="K72">
            <v>780</v>
          </cell>
          <cell r="L72">
            <v>780</v>
          </cell>
          <cell r="M72">
            <v>2415</v>
          </cell>
          <cell r="N72" t="str">
            <v>용호</v>
          </cell>
          <cell r="O72" t="str">
            <v>펌프카(1대)</v>
          </cell>
          <cell r="P72">
            <v>721</v>
          </cell>
          <cell r="Q72">
            <v>1507</v>
          </cell>
          <cell r="R72">
            <v>170</v>
          </cell>
          <cell r="S72">
            <v>44</v>
          </cell>
          <cell r="T72">
            <v>31</v>
          </cell>
          <cell r="U72">
            <v>163</v>
          </cell>
          <cell r="V72"/>
          <cell r="W72" t="str">
            <v>박순홍</v>
          </cell>
          <cell r="X72" t="str">
            <v>(인)</v>
          </cell>
          <cell r="Y72" t="str">
            <v>박순홍</v>
          </cell>
          <cell r="Z72" t="str">
            <v>(인)</v>
          </cell>
          <cell r="AA72" t="str">
            <v>최상옥</v>
          </cell>
          <cell r="AB72" t="str">
            <v>(인)</v>
          </cell>
          <cell r="AC72" t="str">
            <v>이홍걸</v>
          </cell>
          <cell r="AD72" t="str">
            <v>(인)</v>
          </cell>
          <cell r="AE72">
            <v>181.8</v>
          </cell>
          <cell r="AF72" t="str">
            <v>표준</v>
          </cell>
          <cell r="AG72">
            <v>2</v>
          </cell>
          <cell r="AH72">
            <v>0</v>
          </cell>
        </row>
        <row r="73">
          <cell r="G73">
            <v>2403210303</v>
          </cell>
          <cell r="H73" t="str">
            <v>102동</v>
          </cell>
          <cell r="I73">
            <v>240321</v>
          </cell>
          <cell r="J73" t="str">
            <v>102동 및 주변주차장 기초</v>
          </cell>
          <cell r="K73">
            <v>780</v>
          </cell>
          <cell r="L73">
            <v>780</v>
          </cell>
          <cell r="M73">
            <v>2415</v>
          </cell>
          <cell r="N73" t="str">
            <v>용호</v>
          </cell>
          <cell r="O73" t="str">
            <v>펌프카(1대)</v>
          </cell>
          <cell r="P73">
            <v>721</v>
          </cell>
          <cell r="Q73">
            <v>1507</v>
          </cell>
          <cell r="R73">
            <v>160</v>
          </cell>
          <cell r="S73">
            <v>48</v>
          </cell>
          <cell r="T73">
            <v>24</v>
          </cell>
          <cell r="U73">
            <v>167</v>
          </cell>
          <cell r="V73"/>
          <cell r="W73" t="str">
            <v>박순홍</v>
          </cell>
          <cell r="X73" t="str">
            <v>(인)</v>
          </cell>
          <cell r="Y73" t="str">
            <v>박순홍</v>
          </cell>
          <cell r="Z73" t="str">
            <v>(인)</v>
          </cell>
          <cell r="AA73" t="str">
            <v>최상옥</v>
          </cell>
          <cell r="AB73" t="str">
            <v>(인)</v>
          </cell>
          <cell r="AC73" t="str">
            <v>이홍걸</v>
          </cell>
          <cell r="AD73" t="str">
            <v>(인)</v>
          </cell>
          <cell r="AE73">
            <v>173.6</v>
          </cell>
          <cell r="AF73" t="str">
            <v>표준</v>
          </cell>
          <cell r="AG73">
            <v>3</v>
          </cell>
          <cell r="AH73">
            <v>0</v>
          </cell>
        </row>
        <row r="74">
          <cell r="G74">
            <v>2403210304</v>
          </cell>
          <cell r="H74" t="str">
            <v>102동</v>
          </cell>
          <cell r="I74">
            <v>240321</v>
          </cell>
          <cell r="J74" t="str">
            <v>102동 및 주변주차장 기초</v>
          </cell>
          <cell r="K74">
            <v>780</v>
          </cell>
          <cell r="L74">
            <v>780</v>
          </cell>
          <cell r="M74">
            <v>2415</v>
          </cell>
          <cell r="N74" t="str">
            <v>용호</v>
          </cell>
          <cell r="O74" t="str">
            <v>펌프카(1대)</v>
          </cell>
          <cell r="P74">
            <v>721</v>
          </cell>
          <cell r="Q74">
            <v>1507</v>
          </cell>
          <cell r="R74">
            <v>160</v>
          </cell>
          <cell r="S74">
            <v>47</v>
          </cell>
          <cell r="T74">
            <v>35</v>
          </cell>
          <cell r="U74">
            <v>173</v>
          </cell>
          <cell r="V74"/>
          <cell r="W74" t="str">
            <v>박순홍</v>
          </cell>
          <cell r="X74" t="str">
            <v>(인)</v>
          </cell>
          <cell r="Y74" t="str">
            <v>박순홍</v>
          </cell>
          <cell r="Z74" t="str">
            <v>(인)</v>
          </cell>
          <cell r="AA74" t="str">
            <v>이홍걸</v>
          </cell>
          <cell r="AB74" t="str">
            <v>(인)</v>
          </cell>
          <cell r="AC74" t="str">
            <v>이홍걸</v>
          </cell>
          <cell r="AD74" t="str">
            <v>(인)</v>
          </cell>
          <cell r="AE74">
            <v>181.9</v>
          </cell>
          <cell r="AF74" t="str">
            <v>표준</v>
          </cell>
          <cell r="AG74">
            <v>4</v>
          </cell>
          <cell r="AH74">
            <v>1</v>
          </cell>
          <cell r="AL74">
            <v>3297</v>
          </cell>
          <cell r="AM74">
            <v>3374</v>
          </cell>
          <cell r="AN74">
            <v>3402</v>
          </cell>
          <cell r="AO74">
            <v>3417</v>
          </cell>
          <cell r="AP74">
            <v>3396</v>
          </cell>
          <cell r="AQ74">
            <v>3410</v>
          </cell>
          <cell r="AR74">
            <v>3277</v>
          </cell>
          <cell r="AS74">
            <v>3309</v>
          </cell>
          <cell r="AT74">
            <v>263200</v>
          </cell>
        </row>
        <row r="75">
          <cell r="G75">
            <v>2403210305</v>
          </cell>
          <cell r="H75" t="str">
            <v>102동</v>
          </cell>
          <cell r="I75">
            <v>240321</v>
          </cell>
          <cell r="J75" t="str">
            <v>102동 및 주변주차장 기초</v>
          </cell>
          <cell r="K75">
            <v>780</v>
          </cell>
          <cell r="L75">
            <v>780</v>
          </cell>
          <cell r="M75">
            <v>2415</v>
          </cell>
          <cell r="N75" t="str">
            <v>용호</v>
          </cell>
          <cell r="O75" t="str">
            <v>펌프카(1대)</v>
          </cell>
          <cell r="P75">
            <v>721</v>
          </cell>
          <cell r="Q75">
            <v>1507</v>
          </cell>
          <cell r="R75">
            <v>160</v>
          </cell>
          <cell r="S75">
            <v>50</v>
          </cell>
          <cell r="T75">
            <v>26</v>
          </cell>
          <cell r="U75">
            <v>171</v>
          </cell>
          <cell r="V75"/>
          <cell r="W75" t="str">
            <v>박순홍</v>
          </cell>
          <cell r="X75" t="str">
            <v>(인)</v>
          </cell>
          <cell r="Y75" t="str">
            <v>박순홍</v>
          </cell>
          <cell r="Z75" t="str">
            <v>(인)</v>
          </cell>
          <cell r="AA75" t="str">
            <v>이홍걸</v>
          </cell>
          <cell r="AB75" t="str">
            <v>(인)</v>
          </cell>
          <cell r="AC75" t="str">
            <v>이홍걸</v>
          </cell>
          <cell r="AD75" t="str">
            <v>(인)</v>
          </cell>
          <cell r="AE75">
            <v>173.6</v>
          </cell>
          <cell r="AF75" t="str">
            <v>표준</v>
          </cell>
          <cell r="AG75">
            <v>5</v>
          </cell>
          <cell r="AH75">
            <v>0</v>
          </cell>
        </row>
        <row r="76">
          <cell r="G76">
            <v>2403210306</v>
          </cell>
          <cell r="H76" t="str">
            <v>102동</v>
          </cell>
          <cell r="I76">
            <v>240321</v>
          </cell>
          <cell r="J76" t="str">
            <v>102동 및 주변주차장 기초</v>
          </cell>
          <cell r="K76">
            <v>780</v>
          </cell>
          <cell r="L76">
            <v>780</v>
          </cell>
          <cell r="M76">
            <v>2415</v>
          </cell>
          <cell r="N76" t="str">
            <v>용호</v>
          </cell>
          <cell r="O76" t="str">
            <v>펌프카(1대)</v>
          </cell>
          <cell r="P76">
            <v>721</v>
          </cell>
          <cell r="Q76">
            <v>1507</v>
          </cell>
          <cell r="R76">
            <v>170</v>
          </cell>
          <cell r="S76">
            <v>48</v>
          </cell>
          <cell r="T76">
            <v>33</v>
          </cell>
          <cell r="U76">
            <v>175</v>
          </cell>
          <cell r="V76"/>
          <cell r="W76" t="str">
            <v>박순홍</v>
          </cell>
          <cell r="X76" t="str">
            <v>(인)</v>
          </cell>
          <cell r="Y76" t="str">
            <v>박순홍</v>
          </cell>
          <cell r="Z76" t="str">
            <v>(인)</v>
          </cell>
          <cell r="AA76" t="str">
            <v>이홍걸</v>
          </cell>
          <cell r="AB76" t="str">
            <v>(인)</v>
          </cell>
          <cell r="AC76" t="str">
            <v>이홍걸</v>
          </cell>
          <cell r="AD76" t="str">
            <v>(인)</v>
          </cell>
          <cell r="AE76">
            <v>175.4</v>
          </cell>
          <cell r="AF76" t="str">
            <v>표준</v>
          </cell>
          <cell r="AG76">
            <v>6</v>
          </cell>
          <cell r="AH76">
            <v>0</v>
          </cell>
        </row>
        <row r="77">
          <cell r="G77">
            <v>2403210307</v>
          </cell>
          <cell r="H77" t="str">
            <v>102동</v>
          </cell>
          <cell r="I77">
            <v>240321</v>
          </cell>
          <cell r="J77" t="str">
            <v>102동 및 주변주차장 기초</v>
          </cell>
          <cell r="K77">
            <v>780</v>
          </cell>
          <cell r="L77">
            <v>780</v>
          </cell>
          <cell r="M77">
            <v>2415</v>
          </cell>
          <cell r="N77" t="str">
            <v>용호</v>
          </cell>
          <cell r="O77" t="str">
            <v>펌프카(1대)</v>
          </cell>
          <cell r="P77">
            <v>721</v>
          </cell>
          <cell r="Q77">
            <v>1507</v>
          </cell>
          <cell r="R77">
            <v>155</v>
          </cell>
          <cell r="S77">
            <v>38</v>
          </cell>
          <cell r="T77">
            <v>40</v>
          </cell>
          <cell r="U77">
            <v>201</v>
          </cell>
          <cell r="V77"/>
          <cell r="W77" t="str">
            <v>박순홍</v>
          </cell>
          <cell r="X77" t="str">
            <v>(인)</v>
          </cell>
          <cell r="Y77" t="str">
            <v>박순홍</v>
          </cell>
          <cell r="Z77" t="str">
            <v>(인)</v>
          </cell>
          <cell r="AA77" t="str">
            <v>이홍걸</v>
          </cell>
          <cell r="AB77" t="str">
            <v>(인)</v>
          </cell>
          <cell r="AC77" t="str">
            <v>이홍걸</v>
          </cell>
          <cell r="AD77" t="str">
            <v>(인)</v>
          </cell>
          <cell r="AE77">
            <v>174.7</v>
          </cell>
          <cell r="AF77" t="str">
            <v>표준</v>
          </cell>
          <cell r="AG77">
            <v>7</v>
          </cell>
          <cell r="AH77">
            <v>1</v>
          </cell>
          <cell r="AL77">
            <v>3353</v>
          </cell>
          <cell r="AM77">
            <v>3328</v>
          </cell>
          <cell r="AN77">
            <v>3296</v>
          </cell>
          <cell r="AO77">
            <v>3348</v>
          </cell>
          <cell r="AP77">
            <v>3367</v>
          </cell>
          <cell r="AQ77">
            <v>3406</v>
          </cell>
          <cell r="AR77">
            <v>3413</v>
          </cell>
          <cell r="AS77">
            <v>3407</v>
          </cell>
          <cell r="AT77">
            <v>260800</v>
          </cell>
        </row>
        <row r="78">
          <cell r="G78">
            <v>2403210401</v>
          </cell>
          <cell r="H78" t="str">
            <v>102동, 111동</v>
          </cell>
          <cell r="I78">
            <v>240321</v>
          </cell>
          <cell r="J78" t="str">
            <v>102동, 주변주차장 및 111동 E/V 기초</v>
          </cell>
          <cell r="K78">
            <v>630</v>
          </cell>
          <cell r="L78">
            <v>630</v>
          </cell>
          <cell r="M78">
            <v>2415</v>
          </cell>
          <cell r="N78" t="str">
            <v>대성</v>
          </cell>
          <cell r="O78" t="str">
            <v>펌프카(1대)</v>
          </cell>
          <cell r="P78">
            <v>745</v>
          </cell>
          <cell r="Q78">
            <v>1750</v>
          </cell>
          <cell r="R78">
            <v>160</v>
          </cell>
          <cell r="S78">
            <v>41</v>
          </cell>
          <cell r="T78">
            <v>64</v>
          </cell>
          <cell r="U78">
            <v>163</v>
          </cell>
          <cell r="V78"/>
          <cell r="W78" t="str">
            <v>박순홍</v>
          </cell>
          <cell r="X78" t="str">
            <v>(인)</v>
          </cell>
          <cell r="Y78" t="str">
            <v>박순홍</v>
          </cell>
          <cell r="Z78" t="str">
            <v>(인)</v>
          </cell>
          <cell r="AA78" t="str">
            <v>이홍걸</v>
          </cell>
          <cell r="AB78" t="str">
            <v>(인)</v>
          </cell>
          <cell r="AC78" t="str">
            <v>이홍걸</v>
          </cell>
          <cell r="AD78" t="str">
            <v>(인)</v>
          </cell>
          <cell r="AE78">
            <v>173.6</v>
          </cell>
          <cell r="AF78" t="str">
            <v>표준</v>
          </cell>
          <cell r="AG78">
            <v>1</v>
          </cell>
          <cell r="AH78">
            <v>1</v>
          </cell>
          <cell r="AI78">
            <v>2021</v>
          </cell>
          <cell r="AJ78">
            <v>1978</v>
          </cell>
          <cell r="AK78">
            <v>160800</v>
          </cell>
          <cell r="AL78">
            <v>2915</v>
          </cell>
          <cell r="AM78">
            <v>2915</v>
          </cell>
          <cell r="AN78">
            <v>2907</v>
          </cell>
          <cell r="AO78">
            <v>2876</v>
          </cell>
          <cell r="AP78">
            <v>2896</v>
          </cell>
          <cell r="AQ78">
            <v>2904</v>
          </cell>
          <cell r="AR78">
            <v>2867</v>
          </cell>
          <cell r="AS78">
            <v>2903</v>
          </cell>
          <cell r="AT78">
            <v>230800</v>
          </cell>
        </row>
        <row r="79">
          <cell r="G79">
            <v>2403210402</v>
          </cell>
          <cell r="H79" t="str">
            <v>102동, 111동</v>
          </cell>
          <cell r="I79">
            <v>240321</v>
          </cell>
          <cell r="J79" t="str">
            <v>102동, 주변주차장 및 111동 E/V 기초</v>
          </cell>
          <cell r="K79">
            <v>630</v>
          </cell>
          <cell r="L79">
            <v>630</v>
          </cell>
          <cell r="M79">
            <v>2415</v>
          </cell>
          <cell r="N79" t="str">
            <v>대성</v>
          </cell>
          <cell r="O79" t="str">
            <v>펌프카(1대)</v>
          </cell>
          <cell r="P79">
            <v>745</v>
          </cell>
          <cell r="Q79">
            <v>1750</v>
          </cell>
          <cell r="R79">
            <v>170</v>
          </cell>
          <cell r="S79">
            <v>42</v>
          </cell>
          <cell r="T79">
            <v>16</v>
          </cell>
          <cell r="U79">
            <v>159</v>
          </cell>
          <cell r="V79"/>
          <cell r="W79" t="str">
            <v>박순홍</v>
          </cell>
          <cell r="X79" t="str">
            <v>(인)</v>
          </cell>
          <cell r="Y79" t="str">
            <v>박순홍</v>
          </cell>
          <cell r="Z79" t="str">
            <v>(인)</v>
          </cell>
          <cell r="AA79" t="str">
            <v>이홍걸</v>
          </cell>
          <cell r="AB79" t="str">
            <v>(인)</v>
          </cell>
          <cell r="AC79" t="str">
            <v>이홍걸</v>
          </cell>
          <cell r="AD79" t="str">
            <v>(인)</v>
          </cell>
          <cell r="AE79">
            <v>172.6</v>
          </cell>
          <cell r="AF79" t="str">
            <v>표준</v>
          </cell>
          <cell r="AG79">
            <v>2</v>
          </cell>
          <cell r="AH79">
            <v>0</v>
          </cell>
        </row>
        <row r="80">
          <cell r="G80">
            <v>2403210403</v>
          </cell>
          <cell r="H80" t="str">
            <v>102동, 111동</v>
          </cell>
          <cell r="I80">
            <v>240321</v>
          </cell>
          <cell r="J80" t="str">
            <v>102동, 주변주차장 및 111동 E/V 기초</v>
          </cell>
          <cell r="K80">
            <v>630</v>
          </cell>
          <cell r="L80">
            <v>630</v>
          </cell>
          <cell r="M80">
            <v>2415</v>
          </cell>
          <cell r="N80" t="str">
            <v>대성</v>
          </cell>
          <cell r="O80" t="str">
            <v>펌프카(1대)</v>
          </cell>
          <cell r="P80">
            <v>745</v>
          </cell>
          <cell r="Q80">
            <v>1750</v>
          </cell>
          <cell r="R80">
            <v>165</v>
          </cell>
          <cell r="S80">
            <v>44</v>
          </cell>
          <cell r="T80">
            <v>12</v>
          </cell>
          <cell r="U80">
            <v>161</v>
          </cell>
          <cell r="V80"/>
          <cell r="W80" t="str">
            <v>박순홍</v>
          </cell>
          <cell r="X80" t="str">
            <v>(인)</v>
          </cell>
          <cell r="Y80" t="str">
            <v>박순홍</v>
          </cell>
          <cell r="Z80" t="str">
            <v>(인)</v>
          </cell>
          <cell r="AA80" t="str">
            <v>이홍걸</v>
          </cell>
          <cell r="AB80" t="str">
            <v>(인)</v>
          </cell>
          <cell r="AC80" t="str">
            <v>이홍걸</v>
          </cell>
          <cell r="AD80" t="str">
            <v>(인)</v>
          </cell>
          <cell r="AE80">
            <v>171.9</v>
          </cell>
          <cell r="AF80" t="str">
            <v>표준</v>
          </cell>
          <cell r="AG80">
            <v>3</v>
          </cell>
          <cell r="AH80">
            <v>0</v>
          </cell>
        </row>
        <row r="81">
          <cell r="G81">
            <v>2403210404</v>
          </cell>
          <cell r="H81" t="str">
            <v>102동, 111동</v>
          </cell>
          <cell r="I81">
            <v>240321</v>
          </cell>
          <cell r="J81" t="str">
            <v>102동, 주변주차장 및 111동 E/V 기초</v>
          </cell>
          <cell r="K81">
            <v>630</v>
          </cell>
          <cell r="L81">
            <v>630</v>
          </cell>
          <cell r="M81">
            <v>2415</v>
          </cell>
          <cell r="N81" t="str">
            <v>대성</v>
          </cell>
          <cell r="O81" t="str">
            <v>펌프카(1대)</v>
          </cell>
          <cell r="P81">
            <v>745</v>
          </cell>
          <cell r="Q81">
            <v>1750</v>
          </cell>
          <cell r="R81">
            <v>145</v>
          </cell>
          <cell r="S81">
            <v>39</v>
          </cell>
          <cell r="T81">
            <v>35</v>
          </cell>
          <cell r="U81">
            <v>207</v>
          </cell>
          <cell r="V81"/>
          <cell r="W81" t="str">
            <v>박순홍</v>
          </cell>
          <cell r="X81" t="str">
            <v>(인)</v>
          </cell>
          <cell r="Y81" t="str">
            <v>박순홍</v>
          </cell>
          <cell r="Z81" t="str">
            <v>(인)</v>
          </cell>
          <cell r="AA81" t="str">
            <v>이홍걸</v>
          </cell>
          <cell r="AB81" t="str">
            <v>(인)</v>
          </cell>
          <cell r="AC81" t="str">
            <v>이홍걸</v>
          </cell>
          <cell r="AD81" t="str">
            <v>(인)</v>
          </cell>
          <cell r="AE81">
            <v>179.1</v>
          </cell>
          <cell r="AF81" t="str">
            <v>표준</v>
          </cell>
          <cell r="AG81">
            <v>4</v>
          </cell>
          <cell r="AH81">
            <v>1</v>
          </cell>
          <cell r="AL81">
            <v>2892</v>
          </cell>
          <cell r="AM81">
            <v>2857</v>
          </cell>
          <cell r="AN81">
            <v>2894</v>
          </cell>
          <cell r="AO81">
            <v>2912</v>
          </cell>
          <cell r="AP81">
            <v>2904</v>
          </cell>
          <cell r="AQ81">
            <v>2867</v>
          </cell>
          <cell r="AR81">
            <v>2913</v>
          </cell>
          <cell r="AS81">
            <v>2876</v>
          </cell>
          <cell r="AT81">
            <v>226400</v>
          </cell>
        </row>
        <row r="82">
          <cell r="G82">
            <v>2403210405</v>
          </cell>
          <cell r="H82" t="str">
            <v>102동, 111동</v>
          </cell>
          <cell r="I82">
            <v>240321</v>
          </cell>
          <cell r="J82" t="str">
            <v>102동, 주변주차장 및 111동 E/V 기초</v>
          </cell>
          <cell r="K82">
            <v>630</v>
          </cell>
          <cell r="L82">
            <v>630</v>
          </cell>
          <cell r="M82">
            <v>2415</v>
          </cell>
          <cell r="N82" t="str">
            <v>대성</v>
          </cell>
          <cell r="O82" t="str">
            <v>펌프카(1대)</v>
          </cell>
          <cell r="P82">
            <v>745</v>
          </cell>
          <cell r="Q82">
            <v>1750</v>
          </cell>
          <cell r="R82">
            <v>160</v>
          </cell>
          <cell r="S82">
            <v>37</v>
          </cell>
          <cell r="T82">
            <v>37</v>
          </cell>
          <cell r="U82">
            <v>202</v>
          </cell>
          <cell r="V82"/>
          <cell r="W82" t="str">
            <v>박순홍</v>
          </cell>
          <cell r="X82" t="str">
            <v>(인)</v>
          </cell>
          <cell r="Y82" t="str">
            <v>박순홍</v>
          </cell>
          <cell r="Z82" t="str">
            <v>(인)</v>
          </cell>
          <cell r="AA82" t="str">
            <v>이홍걸</v>
          </cell>
          <cell r="AB82" t="str">
            <v>(인)</v>
          </cell>
          <cell r="AC82" t="str">
            <v>이홍걸</v>
          </cell>
          <cell r="AD82" t="str">
            <v>(인)</v>
          </cell>
          <cell r="AE82">
            <v>180.2</v>
          </cell>
          <cell r="AF82" t="str">
            <v>표준</v>
          </cell>
          <cell r="AG82">
            <v>5</v>
          </cell>
          <cell r="AH82">
            <v>0</v>
          </cell>
        </row>
        <row r="83">
          <cell r="G83">
            <v>2403210406</v>
          </cell>
          <cell r="H83" t="str">
            <v>102동, 111동</v>
          </cell>
          <cell r="I83">
            <v>240321</v>
          </cell>
          <cell r="J83" t="str">
            <v>102동, 주변주차장 및 111동 E/V 기초</v>
          </cell>
          <cell r="K83">
            <v>630</v>
          </cell>
          <cell r="L83">
            <v>630</v>
          </cell>
          <cell r="M83">
            <v>2415</v>
          </cell>
          <cell r="N83" t="str">
            <v>대성</v>
          </cell>
          <cell r="O83" t="str">
            <v>펌프카(1대)</v>
          </cell>
          <cell r="P83">
            <v>745</v>
          </cell>
          <cell r="Q83">
            <v>1750</v>
          </cell>
          <cell r="R83">
            <v>160</v>
          </cell>
          <cell r="S83">
            <v>43</v>
          </cell>
          <cell r="T83">
            <v>61</v>
          </cell>
          <cell r="U83">
            <v>212</v>
          </cell>
          <cell r="V83"/>
          <cell r="W83" t="str">
            <v>박순홍</v>
          </cell>
          <cell r="X83" t="str">
            <v>(인)</v>
          </cell>
          <cell r="Y83" t="str">
            <v>박순홍</v>
          </cell>
          <cell r="Z83" t="str">
            <v>(인)</v>
          </cell>
          <cell r="AA83" t="str">
            <v>이홍걸</v>
          </cell>
          <cell r="AB83" t="str">
            <v>(인)</v>
          </cell>
          <cell r="AC83" t="str">
            <v>이홍걸</v>
          </cell>
          <cell r="AD83" t="str">
            <v>(인)</v>
          </cell>
          <cell r="AE83">
            <v>173.8</v>
          </cell>
          <cell r="AF83" t="str">
            <v>표준</v>
          </cell>
          <cell r="AG83">
            <v>6</v>
          </cell>
          <cell r="AH83">
            <v>0</v>
          </cell>
        </row>
        <row r="84">
          <cell r="G84">
            <v>2403220101</v>
          </cell>
          <cell r="H84" t="str">
            <v>CIP</v>
          </cell>
          <cell r="I84">
            <v>240322</v>
          </cell>
          <cell r="J84" t="str">
            <v>CIP말뚝타설</v>
          </cell>
          <cell r="K84">
            <v>15</v>
          </cell>
          <cell r="L84">
            <v>15</v>
          </cell>
          <cell r="M84">
            <v>2415</v>
          </cell>
          <cell r="N84" t="str">
            <v>대공</v>
          </cell>
          <cell r="O84" t="str">
            <v>직접타설</v>
          </cell>
          <cell r="P84">
            <v>820</v>
          </cell>
          <cell r="Q84">
            <v>1620</v>
          </cell>
          <cell r="R84">
            <v>160</v>
          </cell>
          <cell r="S84">
            <v>45</v>
          </cell>
          <cell r="T84">
            <v>55</v>
          </cell>
          <cell r="U84">
            <v>202</v>
          </cell>
          <cell r="V84"/>
          <cell r="W84" t="str">
            <v>박순홍</v>
          </cell>
          <cell r="X84" t="str">
            <v>(인)</v>
          </cell>
          <cell r="Y84" t="str">
            <v>박순홍</v>
          </cell>
          <cell r="Z84" t="str">
            <v>(인)</v>
          </cell>
          <cell r="AA84" t="str">
            <v>박상갑</v>
          </cell>
          <cell r="AB84" t="str">
            <v>(인)</v>
          </cell>
          <cell r="AC84" t="str">
            <v>박상갑</v>
          </cell>
          <cell r="AD84" t="str">
            <v>(인)</v>
          </cell>
          <cell r="AE84">
            <v>181.2</v>
          </cell>
          <cell r="AF84" t="str">
            <v>표준</v>
          </cell>
          <cell r="AG84">
            <v>1</v>
          </cell>
          <cell r="AH84">
            <v>1</v>
          </cell>
          <cell r="AI84">
            <v>2340</v>
          </cell>
          <cell r="AJ84">
            <v>2378</v>
          </cell>
          <cell r="AK84">
            <v>168400</v>
          </cell>
          <cell r="AL84">
            <v>3372</v>
          </cell>
          <cell r="AM84">
            <v>3402</v>
          </cell>
          <cell r="AN84">
            <v>3406</v>
          </cell>
          <cell r="AO84">
            <v>3307</v>
          </cell>
          <cell r="AP84">
            <v>3406</v>
          </cell>
          <cell r="AQ84">
            <v>3405</v>
          </cell>
          <cell r="AR84">
            <v>3429</v>
          </cell>
          <cell r="AS84">
            <v>3364</v>
          </cell>
          <cell r="AT84">
            <v>262200</v>
          </cell>
        </row>
        <row r="85">
          <cell r="G85">
            <v>2403220201</v>
          </cell>
          <cell r="H85" t="str">
            <v>107동</v>
          </cell>
          <cell r="I85">
            <v>240322</v>
          </cell>
          <cell r="J85" t="str">
            <v>107동 E/V 기초</v>
          </cell>
          <cell r="K85">
            <v>246</v>
          </cell>
          <cell r="L85">
            <v>246</v>
          </cell>
          <cell r="M85">
            <v>2415</v>
          </cell>
          <cell r="N85" t="str">
            <v>영진</v>
          </cell>
          <cell r="O85" t="str">
            <v>펌프카(1대)</v>
          </cell>
          <cell r="P85">
            <v>800</v>
          </cell>
          <cell r="Q85">
            <v>1355</v>
          </cell>
          <cell r="R85">
            <v>155</v>
          </cell>
          <cell r="S85">
            <v>42</v>
          </cell>
          <cell r="T85">
            <v>41</v>
          </cell>
          <cell r="U85">
            <v>173</v>
          </cell>
          <cell r="V85"/>
          <cell r="W85" t="str">
            <v>박순홍</v>
          </cell>
          <cell r="X85" t="str">
            <v>(인)</v>
          </cell>
          <cell r="Y85" t="str">
            <v>박순홍</v>
          </cell>
          <cell r="Z85" t="str">
            <v>(인)</v>
          </cell>
          <cell r="AA85" t="str">
            <v>정창인</v>
          </cell>
          <cell r="AB85" t="str">
            <v>(인)</v>
          </cell>
          <cell r="AC85" t="str">
            <v>정창인</v>
          </cell>
          <cell r="AD85" t="str">
            <v>(인)</v>
          </cell>
          <cell r="AE85">
            <v>168.6</v>
          </cell>
          <cell r="AF85" t="str">
            <v>표준</v>
          </cell>
          <cell r="AG85">
            <v>1</v>
          </cell>
          <cell r="AH85">
            <v>1</v>
          </cell>
          <cell r="AI85">
            <v>2103</v>
          </cell>
          <cell r="AJ85">
            <v>2118</v>
          </cell>
          <cell r="AK85">
            <v>163800</v>
          </cell>
          <cell r="AL85">
            <v>2877</v>
          </cell>
          <cell r="AM85">
            <v>2969</v>
          </cell>
          <cell r="AN85">
            <v>3012</v>
          </cell>
          <cell r="AO85">
            <v>3033</v>
          </cell>
          <cell r="AP85">
            <v>3102</v>
          </cell>
          <cell r="AQ85">
            <v>2977</v>
          </cell>
          <cell r="AR85">
            <v>2936</v>
          </cell>
          <cell r="AS85">
            <v>3001</v>
          </cell>
          <cell r="AT85">
            <v>235200</v>
          </cell>
        </row>
        <row r="86">
          <cell r="G86">
            <v>2403220202</v>
          </cell>
          <cell r="H86" t="str">
            <v>107동</v>
          </cell>
          <cell r="I86">
            <v>240322</v>
          </cell>
          <cell r="J86" t="str">
            <v>107동 E/V 기초</v>
          </cell>
          <cell r="K86">
            <v>246</v>
          </cell>
          <cell r="L86">
            <v>246</v>
          </cell>
          <cell r="M86">
            <v>2415</v>
          </cell>
          <cell r="N86" t="str">
            <v>영진</v>
          </cell>
          <cell r="O86" t="str">
            <v>펌프카(1대)</v>
          </cell>
          <cell r="P86">
            <v>800</v>
          </cell>
          <cell r="Q86">
            <v>1355</v>
          </cell>
          <cell r="R86">
            <v>160</v>
          </cell>
          <cell r="S86">
            <v>44</v>
          </cell>
          <cell r="T86">
            <v>23</v>
          </cell>
          <cell r="U86">
            <v>202</v>
          </cell>
          <cell r="V86"/>
          <cell r="W86" t="str">
            <v>박순홍</v>
          </cell>
          <cell r="X86" t="str">
            <v>(인)</v>
          </cell>
          <cell r="Y86" t="str">
            <v>박순홍</v>
          </cell>
          <cell r="Z86" t="str">
            <v>(인)</v>
          </cell>
          <cell r="AA86" t="str">
            <v>정창인</v>
          </cell>
          <cell r="AB86" t="str">
            <v>(인)</v>
          </cell>
          <cell r="AC86" t="str">
            <v>정창인</v>
          </cell>
          <cell r="AD86" t="str">
            <v>(인)</v>
          </cell>
          <cell r="AE86">
            <v>164.1</v>
          </cell>
          <cell r="AF86" t="str">
            <v>표준</v>
          </cell>
          <cell r="AG86">
            <v>2</v>
          </cell>
          <cell r="AH86">
            <v>0</v>
          </cell>
        </row>
        <row r="87">
          <cell r="G87">
            <v>2403220203</v>
          </cell>
          <cell r="H87" t="str">
            <v>107동</v>
          </cell>
          <cell r="I87">
            <v>240322</v>
          </cell>
          <cell r="J87" t="str">
            <v>107동 E/V 기초</v>
          </cell>
          <cell r="K87">
            <v>246</v>
          </cell>
          <cell r="L87">
            <v>246</v>
          </cell>
          <cell r="M87">
            <v>2415</v>
          </cell>
          <cell r="N87" t="str">
            <v>영진</v>
          </cell>
          <cell r="O87" t="str">
            <v>펌프카(1대)</v>
          </cell>
          <cell r="P87">
            <v>800</v>
          </cell>
          <cell r="Q87">
            <v>1355</v>
          </cell>
          <cell r="R87">
            <v>165</v>
          </cell>
          <cell r="S87">
            <v>42</v>
          </cell>
          <cell r="T87">
            <v>18</v>
          </cell>
          <cell r="U87">
            <v>206</v>
          </cell>
          <cell r="V87"/>
          <cell r="W87" t="str">
            <v>박순홍</v>
          </cell>
          <cell r="X87" t="str">
            <v>(인)</v>
          </cell>
          <cell r="Y87" t="str">
            <v>박순홍</v>
          </cell>
          <cell r="Z87" t="str">
            <v>(인)</v>
          </cell>
          <cell r="AA87" t="str">
            <v>정창인</v>
          </cell>
          <cell r="AB87" t="str">
            <v>(인)</v>
          </cell>
          <cell r="AC87" t="str">
            <v>정창인</v>
          </cell>
          <cell r="AD87" t="str">
            <v>(인)</v>
          </cell>
          <cell r="AE87">
            <v>178.3</v>
          </cell>
          <cell r="AF87" t="str">
            <v>표준</v>
          </cell>
          <cell r="AG87">
            <v>3</v>
          </cell>
          <cell r="AH87">
            <v>0</v>
          </cell>
        </row>
        <row r="88">
          <cell r="G88">
            <v>2403250100</v>
          </cell>
          <cell r="H88" t="str">
            <v>CIP</v>
          </cell>
          <cell r="I88">
            <v>240325</v>
          </cell>
          <cell r="J88" t="str">
            <v>CIP말뚝타설</v>
          </cell>
          <cell r="K88">
            <v>6</v>
          </cell>
          <cell r="L88">
            <v>6</v>
          </cell>
          <cell r="M88">
            <v>2415</v>
          </cell>
          <cell r="N88" t="str">
            <v>대공</v>
          </cell>
          <cell r="O88" t="str">
            <v>직접타설</v>
          </cell>
          <cell r="P88">
            <v>924</v>
          </cell>
          <cell r="Q88">
            <v>1000</v>
          </cell>
          <cell r="R88">
            <v>155</v>
          </cell>
          <cell r="S88">
            <v>44</v>
          </cell>
          <cell r="T88">
            <v>39</v>
          </cell>
          <cell r="U88">
            <v>172</v>
          </cell>
          <cell r="V88"/>
          <cell r="W88" t="str">
            <v>박순홍</v>
          </cell>
          <cell r="X88" t="str">
            <v>(인)</v>
          </cell>
          <cell r="Y88" t="str">
            <v>박순홍</v>
          </cell>
          <cell r="Z88" t="str">
            <v>(인)</v>
          </cell>
          <cell r="AA88" t="str">
            <v>박기원</v>
          </cell>
          <cell r="AB88" t="str">
            <v>(인)</v>
          </cell>
          <cell r="AC88" t="str">
            <v>박상갑</v>
          </cell>
          <cell r="AD88" t="str">
            <v>(인)</v>
          </cell>
          <cell r="AE88">
            <v>164.1</v>
          </cell>
          <cell r="AF88" t="str">
            <v>표준</v>
          </cell>
          <cell r="AG88">
            <v>0</v>
          </cell>
          <cell r="AH88">
            <v>0</v>
          </cell>
        </row>
        <row r="89">
          <cell r="G89">
            <v>2403250201</v>
          </cell>
          <cell r="H89" t="str">
            <v>106동</v>
          </cell>
          <cell r="I89">
            <v>240325</v>
          </cell>
          <cell r="J89" t="str">
            <v>105~6동 사이주차장 기초</v>
          </cell>
          <cell r="K89">
            <v>420</v>
          </cell>
          <cell r="L89">
            <v>426</v>
          </cell>
          <cell r="M89">
            <v>2415</v>
          </cell>
          <cell r="N89" t="str">
            <v>신우</v>
          </cell>
          <cell r="O89" t="str">
            <v>펌프카(1대)</v>
          </cell>
          <cell r="P89">
            <v>800</v>
          </cell>
          <cell r="Q89">
            <v>1325</v>
          </cell>
          <cell r="R89">
            <v>155</v>
          </cell>
          <cell r="S89">
            <v>38</v>
          </cell>
          <cell r="T89">
            <v>19</v>
          </cell>
          <cell r="U89">
            <v>184</v>
          </cell>
          <cell r="V89"/>
          <cell r="W89" t="str">
            <v>박순홍</v>
          </cell>
          <cell r="X89" t="str">
            <v>(인)</v>
          </cell>
          <cell r="Y89" t="str">
            <v>박순홍</v>
          </cell>
          <cell r="Z89" t="str">
            <v>(인)</v>
          </cell>
          <cell r="AA89" t="str">
            <v>정창인</v>
          </cell>
          <cell r="AB89" t="str">
            <v>(인)</v>
          </cell>
          <cell r="AC89" t="str">
            <v>정창인</v>
          </cell>
          <cell r="AD89" t="str">
            <v>(인)</v>
          </cell>
          <cell r="AE89">
            <v>184.4</v>
          </cell>
          <cell r="AF89" t="str">
            <v>표준</v>
          </cell>
          <cell r="AG89">
            <v>1</v>
          </cell>
          <cell r="AH89">
            <v>1</v>
          </cell>
          <cell r="AI89">
            <v>2064</v>
          </cell>
          <cell r="AJ89">
            <v>2037</v>
          </cell>
          <cell r="AK89">
            <v>159400</v>
          </cell>
          <cell r="AL89">
            <v>3312</v>
          </cell>
          <cell r="AM89">
            <v>3384</v>
          </cell>
          <cell r="AN89">
            <v>3358</v>
          </cell>
          <cell r="AO89">
            <v>3406</v>
          </cell>
          <cell r="AP89">
            <v>3392</v>
          </cell>
          <cell r="AQ89">
            <v>3407</v>
          </cell>
          <cell r="AR89">
            <v>3401</v>
          </cell>
          <cell r="AS89">
            <v>3314</v>
          </cell>
          <cell r="AT89">
            <v>264800</v>
          </cell>
        </row>
        <row r="90">
          <cell r="G90">
            <v>2403250202</v>
          </cell>
          <cell r="H90" t="str">
            <v>106동</v>
          </cell>
          <cell r="I90">
            <v>240325</v>
          </cell>
          <cell r="J90" t="str">
            <v>105~6동 사이주차장 기초</v>
          </cell>
          <cell r="K90">
            <v>420</v>
          </cell>
          <cell r="L90">
            <v>426</v>
          </cell>
          <cell r="M90">
            <v>2415</v>
          </cell>
          <cell r="N90" t="str">
            <v>신우</v>
          </cell>
          <cell r="O90" t="str">
            <v>펌프카(1대)</v>
          </cell>
          <cell r="P90">
            <v>800</v>
          </cell>
          <cell r="Q90">
            <v>1325</v>
          </cell>
          <cell r="R90">
            <v>160</v>
          </cell>
          <cell r="S90">
            <v>45</v>
          </cell>
          <cell r="T90">
            <v>31</v>
          </cell>
          <cell r="U90">
            <v>188</v>
          </cell>
          <cell r="V90"/>
          <cell r="W90" t="str">
            <v>박순홍</v>
          </cell>
          <cell r="X90" t="str">
            <v>(인)</v>
          </cell>
          <cell r="Y90" t="str">
            <v>박순홍</v>
          </cell>
          <cell r="Z90" t="str">
            <v>(인)</v>
          </cell>
          <cell r="AA90" t="str">
            <v>정창인</v>
          </cell>
          <cell r="AB90" t="str">
            <v>(인)</v>
          </cell>
          <cell r="AC90" t="str">
            <v>정창인</v>
          </cell>
          <cell r="AD90" t="str">
            <v>(인)</v>
          </cell>
          <cell r="AE90">
            <v>183.7</v>
          </cell>
          <cell r="AF90" t="str">
            <v>표준</v>
          </cell>
          <cell r="AG90">
            <v>2</v>
          </cell>
          <cell r="AH90">
            <v>0</v>
          </cell>
        </row>
        <row r="91">
          <cell r="G91">
            <v>2403250203</v>
          </cell>
          <cell r="H91" t="str">
            <v>106동</v>
          </cell>
          <cell r="I91">
            <v>240325</v>
          </cell>
          <cell r="J91" t="str">
            <v>105~6동 사이주차장 기초</v>
          </cell>
          <cell r="K91">
            <v>420</v>
          </cell>
          <cell r="L91">
            <v>426</v>
          </cell>
          <cell r="M91">
            <v>2415</v>
          </cell>
          <cell r="N91" t="str">
            <v>신우</v>
          </cell>
          <cell r="O91" t="str">
            <v>펌프카(1대)</v>
          </cell>
          <cell r="P91">
            <v>800</v>
          </cell>
          <cell r="Q91">
            <v>1325</v>
          </cell>
          <cell r="R91">
            <v>140</v>
          </cell>
          <cell r="S91">
            <v>46</v>
          </cell>
          <cell r="T91">
            <v>28</v>
          </cell>
          <cell r="U91">
            <v>195</v>
          </cell>
          <cell r="V91"/>
          <cell r="W91" t="str">
            <v>박순홍</v>
          </cell>
          <cell r="X91" t="str">
            <v>(인)</v>
          </cell>
          <cell r="Y91" t="str">
            <v>박순홍</v>
          </cell>
          <cell r="Z91" t="str">
            <v>(인)</v>
          </cell>
          <cell r="AA91" t="str">
            <v>정창인</v>
          </cell>
          <cell r="AB91" t="str">
            <v>(인)</v>
          </cell>
          <cell r="AC91" t="str">
            <v>정창인</v>
          </cell>
          <cell r="AD91" t="str">
            <v>(인)</v>
          </cell>
          <cell r="AE91">
            <v>183.2</v>
          </cell>
          <cell r="AF91" t="str">
            <v>표준</v>
          </cell>
          <cell r="AG91">
            <v>3</v>
          </cell>
          <cell r="AH91">
            <v>0</v>
          </cell>
        </row>
        <row r="92">
          <cell r="G92">
            <v>2403250204</v>
          </cell>
          <cell r="H92" t="str">
            <v>106동</v>
          </cell>
          <cell r="I92">
            <v>240325</v>
          </cell>
          <cell r="J92" t="str">
            <v>105~6동 사이주차장 기초</v>
          </cell>
          <cell r="K92">
            <v>420</v>
          </cell>
          <cell r="L92">
            <v>426</v>
          </cell>
          <cell r="M92">
            <v>2415</v>
          </cell>
          <cell r="N92" t="str">
            <v>신우</v>
          </cell>
          <cell r="O92" t="str">
            <v>펌프카(1대)</v>
          </cell>
          <cell r="P92">
            <v>800</v>
          </cell>
          <cell r="Q92">
            <v>1325</v>
          </cell>
          <cell r="R92">
            <v>160</v>
          </cell>
          <cell r="S92">
            <v>43</v>
          </cell>
          <cell r="T92">
            <v>26</v>
          </cell>
          <cell r="U92">
            <v>209</v>
          </cell>
          <cell r="V92"/>
          <cell r="W92" t="str">
            <v>박순홍</v>
          </cell>
          <cell r="X92" t="str">
            <v>(인)</v>
          </cell>
          <cell r="Y92" t="str">
            <v>박순홍</v>
          </cell>
          <cell r="Z92" t="str">
            <v>(인)</v>
          </cell>
          <cell r="AA92" t="str">
            <v>정창인</v>
          </cell>
          <cell r="AB92" t="str">
            <v>(인)</v>
          </cell>
          <cell r="AC92" t="str">
            <v>정창인</v>
          </cell>
          <cell r="AD92" t="str">
            <v>(인)</v>
          </cell>
          <cell r="AE92">
            <v>184.6</v>
          </cell>
          <cell r="AF92" t="str">
            <v>표준</v>
          </cell>
          <cell r="AG92">
            <v>4</v>
          </cell>
          <cell r="AH92">
            <v>1</v>
          </cell>
          <cell r="AL92">
            <v>3256</v>
          </cell>
          <cell r="AM92">
            <v>3427</v>
          </cell>
          <cell r="AN92">
            <v>3284</v>
          </cell>
          <cell r="AO92">
            <v>3327</v>
          </cell>
          <cell r="AP92">
            <v>3276</v>
          </cell>
          <cell r="AQ92">
            <v>3304</v>
          </cell>
          <cell r="AR92">
            <v>3410</v>
          </cell>
          <cell r="AS92">
            <v>3296</v>
          </cell>
          <cell r="AT92">
            <v>270200</v>
          </cell>
        </row>
        <row r="93">
          <cell r="G93">
            <v>2403270100</v>
          </cell>
          <cell r="H93" t="str">
            <v>CIP</v>
          </cell>
          <cell r="I93">
            <v>240327</v>
          </cell>
          <cell r="J93" t="str">
            <v>CIP말뚝타설</v>
          </cell>
          <cell r="K93">
            <v>12</v>
          </cell>
          <cell r="L93">
            <v>12</v>
          </cell>
          <cell r="M93">
            <v>2415</v>
          </cell>
          <cell r="N93" t="str">
            <v>대공</v>
          </cell>
          <cell r="O93" t="str">
            <v>직접타설</v>
          </cell>
          <cell r="P93">
            <v>1020</v>
          </cell>
          <cell r="Q93">
            <v>1358</v>
          </cell>
          <cell r="R93">
            <v>165</v>
          </cell>
          <cell r="S93">
            <v>44</v>
          </cell>
          <cell r="T93">
            <v>21</v>
          </cell>
          <cell r="U93">
            <v>198</v>
          </cell>
          <cell r="V93"/>
          <cell r="W93" t="str">
            <v>박순홍</v>
          </cell>
          <cell r="X93" t="str">
            <v>(인)</v>
          </cell>
          <cell r="Y93" t="str">
            <v>박순홍</v>
          </cell>
          <cell r="Z93" t="str">
            <v>(인)</v>
          </cell>
          <cell r="AA93" t="str">
            <v>박상갑</v>
          </cell>
          <cell r="AB93" t="str">
            <v>(인)</v>
          </cell>
          <cell r="AC93" t="str">
            <v>박상갑</v>
          </cell>
          <cell r="AD93" t="str">
            <v>(인)</v>
          </cell>
          <cell r="AE93">
            <v>169.7</v>
          </cell>
          <cell r="AF93" t="str">
            <v>표준</v>
          </cell>
          <cell r="AG93">
            <v>0</v>
          </cell>
          <cell r="AH93">
            <v>0</v>
          </cell>
        </row>
        <row r="94">
          <cell r="G94">
            <v>2403270201</v>
          </cell>
          <cell r="H94" t="str">
            <v>113동</v>
          </cell>
          <cell r="I94">
            <v>240327</v>
          </cell>
          <cell r="J94" t="str">
            <v>113동 우수조</v>
          </cell>
          <cell r="K94">
            <v>200</v>
          </cell>
          <cell r="L94">
            <v>198</v>
          </cell>
          <cell r="M94">
            <v>3018</v>
          </cell>
          <cell r="N94" t="str">
            <v>용호</v>
          </cell>
          <cell r="O94" t="str">
            <v>펌프카(1대)</v>
          </cell>
          <cell r="P94">
            <v>830</v>
          </cell>
          <cell r="Q94">
            <v>1305</v>
          </cell>
          <cell r="R94">
            <v>160</v>
          </cell>
          <cell r="S94">
            <v>47</v>
          </cell>
          <cell r="T94">
            <v>34</v>
          </cell>
          <cell r="U94">
            <v>168</v>
          </cell>
          <cell r="V94"/>
          <cell r="W94" t="str">
            <v>박순홍</v>
          </cell>
          <cell r="X94" t="str">
            <v>(인)</v>
          </cell>
          <cell r="Y94" t="str">
            <v>박순홍</v>
          </cell>
          <cell r="Z94" t="str">
            <v>(인)</v>
          </cell>
          <cell r="AA94" t="str">
            <v>장덕만</v>
          </cell>
          <cell r="AB94" t="str">
            <v>(인)</v>
          </cell>
          <cell r="AC94" t="str">
            <v>장덕만</v>
          </cell>
          <cell r="AD94" t="str">
            <v>(인)</v>
          </cell>
          <cell r="AE94">
            <v>183.5</v>
          </cell>
          <cell r="AF94" t="str">
            <v>표준</v>
          </cell>
          <cell r="AG94">
            <v>1</v>
          </cell>
          <cell r="AH94">
            <v>1</v>
          </cell>
          <cell r="AI94">
            <v>2912</v>
          </cell>
          <cell r="AJ94">
            <v>2894</v>
          </cell>
          <cell r="AK94">
            <v>228400</v>
          </cell>
          <cell r="AL94">
            <v>3729</v>
          </cell>
          <cell r="AM94">
            <v>3763</v>
          </cell>
          <cell r="AN94">
            <v>3803</v>
          </cell>
          <cell r="AO94">
            <v>3794</v>
          </cell>
          <cell r="AP94">
            <v>3872</v>
          </cell>
          <cell r="AQ94">
            <v>3894</v>
          </cell>
          <cell r="AR94">
            <v>3902</v>
          </cell>
          <cell r="AS94">
            <v>3812</v>
          </cell>
          <cell r="AT94">
            <v>303800</v>
          </cell>
        </row>
        <row r="95">
          <cell r="G95">
            <v>2403270202</v>
          </cell>
          <cell r="H95" t="str">
            <v>113동</v>
          </cell>
          <cell r="I95">
            <v>240327</v>
          </cell>
          <cell r="J95" t="str">
            <v>113동 우수조</v>
          </cell>
          <cell r="K95">
            <v>200</v>
          </cell>
          <cell r="L95">
            <v>198</v>
          </cell>
          <cell r="M95">
            <v>3018</v>
          </cell>
          <cell r="N95" t="str">
            <v>용호</v>
          </cell>
          <cell r="O95" t="str">
            <v>펌프카(1대)</v>
          </cell>
          <cell r="P95">
            <v>830</v>
          </cell>
          <cell r="Q95">
            <v>1305</v>
          </cell>
          <cell r="R95">
            <v>160</v>
          </cell>
          <cell r="S95">
            <v>52</v>
          </cell>
          <cell r="T95">
            <v>78</v>
          </cell>
          <cell r="U95">
            <v>171</v>
          </cell>
          <cell r="V95"/>
          <cell r="W95" t="str">
            <v>박순홍</v>
          </cell>
          <cell r="X95" t="str">
            <v>(인)</v>
          </cell>
          <cell r="Y95" t="str">
            <v>박순홍</v>
          </cell>
          <cell r="Z95" t="str">
            <v>(인)</v>
          </cell>
          <cell r="AA95" t="str">
            <v>장덕만</v>
          </cell>
          <cell r="AB95" t="str">
            <v>(인)</v>
          </cell>
          <cell r="AC95" t="str">
            <v>장덕만</v>
          </cell>
          <cell r="AD95" t="str">
            <v>(인)</v>
          </cell>
          <cell r="AE95">
            <v>184.2</v>
          </cell>
          <cell r="AF95" t="str">
            <v>표준</v>
          </cell>
          <cell r="AG95">
            <v>2</v>
          </cell>
          <cell r="AH95">
            <v>0</v>
          </cell>
        </row>
        <row r="96">
          <cell r="G96">
            <v>2403270301</v>
          </cell>
          <cell r="H96" t="str">
            <v>109동</v>
          </cell>
          <cell r="I96">
            <v>240327</v>
          </cell>
          <cell r="J96" t="str">
            <v>109동 버림</v>
          </cell>
          <cell r="K96">
            <v>210</v>
          </cell>
          <cell r="L96">
            <v>210</v>
          </cell>
          <cell r="M96">
            <v>1812</v>
          </cell>
          <cell r="N96" t="str">
            <v>용호</v>
          </cell>
          <cell r="O96" t="str">
            <v>펌프카(1대)</v>
          </cell>
          <cell r="P96">
            <v>1412</v>
          </cell>
          <cell r="Q96">
            <v>1746</v>
          </cell>
          <cell r="R96">
            <v>135</v>
          </cell>
          <cell r="S96">
            <v>41</v>
          </cell>
          <cell r="T96">
            <v>30</v>
          </cell>
          <cell r="U96">
            <v>208</v>
          </cell>
          <cell r="V96"/>
          <cell r="W96" t="str">
            <v>박순홍</v>
          </cell>
          <cell r="X96" t="str">
            <v>(인)</v>
          </cell>
          <cell r="Y96" t="str">
            <v>박순홍</v>
          </cell>
          <cell r="Z96" t="str">
            <v>(인)</v>
          </cell>
          <cell r="AA96" t="str">
            <v>정창인</v>
          </cell>
          <cell r="AB96" t="str">
            <v>(인)</v>
          </cell>
          <cell r="AC96" t="str">
            <v>정창인</v>
          </cell>
          <cell r="AD96" t="str">
            <v>(인)</v>
          </cell>
          <cell r="AE96">
            <v>164.1</v>
          </cell>
          <cell r="AF96" t="str">
            <v>표준</v>
          </cell>
          <cell r="AG96">
            <v>1</v>
          </cell>
          <cell r="AH96">
            <v>1</v>
          </cell>
          <cell r="AI96">
            <v>1713</v>
          </cell>
          <cell r="AJ96">
            <v>1764</v>
          </cell>
          <cell r="AK96">
            <v>135000</v>
          </cell>
          <cell r="AL96">
            <v>2306</v>
          </cell>
          <cell r="AM96">
            <v>2271</v>
          </cell>
          <cell r="AN96">
            <v>2274</v>
          </cell>
          <cell r="AO96">
            <v>2274</v>
          </cell>
          <cell r="AP96">
            <v>2297</v>
          </cell>
          <cell r="AQ96">
            <v>2301</v>
          </cell>
          <cell r="AR96">
            <v>2307</v>
          </cell>
          <cell r="AS96">
            <v>2302</v>
          </cell>
          <cell r="AT96">
            <v>180600</v>
          </cell>
        </row>
        <row r="97">
          <cell r="G97">
            <v>2403270302</v>
          </cell>
          <cell r="H97" t="str">
            <v>109동</v>
          </cell>
          <cell r="I97">
            <v>240327</v>
          </cell>
          <cell r="J97" t="str">
            <v>109동 버림</v>
          </cell>
          <cell r="K97">
            <v>210</v>
          </cell>
          <cell r="L97">
            <v>210</v>
          </cell>
          <cell r="M97">
            <v>1812</v>
          </cell>
          <cell r="N97" t="str">
            <v>용호</v>
          </cell>
          <cell r="O97" t="str">
            <v>펌프카(1대)</v>
          </cell>
          <cell r="P97">
            <v>1412</v>
          </cell>
          <cell r="Q97">
            <v>1746</v>
          </cell>
          <cell r="R97">
            <v>135</v>
          </cell>
          <cell r="S97">
            <v>48</v>
          </cell>
          <cell r="T97">
            <v>24</v>
          </cell>
          <cell r="U97">
            <v>202</v>
          </cell>
          <cell r="V97"/>
          <cell r="W97" t="str">
            <v>박순홍</v>
          </cell>
          <cell r="X97" t="str">
            <v>(인)</v>
          </cell>
          <cell r="Y97" t="str">
            <v>박순홍</v>
          </cell>
          <cell r="Z97" t="str">
            <v>(인)</v>
          </cell>
          <cell r="AA97" t="str">
            <v>정창인</v>
          </cell>
          <cell r="AB97" t="str">
            <v>(인)</v>
          </cell>
          <cell r="AC97" t="str">
            <v>정창인</v>
          </cell>
          <cell r="AD97" t="str">
            <v>(인)</v>
          </cell>
          <cell r="AE97">
            <v>168.9</v>
          </cell>
          <cell r="AF97" t="str">
            <v>표준</v>
          </cell>
          <cell r="AG97">
            <v>2</v>
          </cell>
          <cell r="AH97">
            <v>0</v>
          </cell>
        </row>
        <row r="98">
          <cell r="G98">
            <v>2403280100</v>
          </cell>
          <cell r="H98" t="str">
            <v>CIP</v>
          </cell>
          <cell r="I98">
            <v>240328</v>
          </cell>
          <cell r="J98" t="str">
            <v>CIP말뚝타설</v>
          </cell>
          <cell r="K98">
            <v>6</v>
          </cell>
          <cell r="L98">
            <v>6</v>
          </cell>
          <cell r="M98">
            <v>2415</v>
          </cell>
          <cell r="N98" t="str">
            <v>대공</v>
          </cell>
          <cell r="O98" t="str">
            <v>직접타설</v>
          </cell>
          <cell r="P98">
            <v>835</v>
          </cell>
          <cell r="Q98">
            <v>855</v>
          </cell>
          <cell r="R98">
            <v>165</v>
          </cell>
          <cell r="S98">
            <v>44</v>
          </cell>
          <cell r="T98">
            <v>35</v>
          </cell>
          <cell r="U98">
            <v>186</v>
          </cell>
          <cell r="V98"/>
          <cell r="W98" t="str">
            <v>박순홍</v>
          </cell>
          <cell r="X98" t="str">
            <v>(인)</v>
          </cell>
          <cell r="Y98" t="str">
            <v>박순홍</v>
          </cell>
          <cell r="Z98" t="str">
            <v>(인)</v>
          </cell>
          <cell r="AA98" t="str">
            <v>박상갑</v>
          </cell>
          <cell r="AB98" t="str">
            <v>(인)</v>
          </cell>
          <cell r="AC98" t="str">
            <v>박상갑</v>
          </cell>
          <cell r="AD98" t="str">
            <v>(인)</v>
          </cell>
          <cell r="AE98">
            <v>165.7</v>
          </cell>
          <cell r="AF98" t="str">
            <v>표준</v>
          </cell>
          <cell r="AG98">
            <v>0</v>
          </cell>
          <cell r="AH98">
            <v>0</v>
          </cell>
        </row>
        <row r="99">
          <cell r="G99">
            <v>2403290100</v>
          </cell>
          <cell r="H99" t="str">
            <v>CIP</v>
          </cell>
          <cell r="I99">
            <v>240329</v>
          </cell>
          <cell r="J99" t="str">
            <v>CIP말뚝타설</v>
          </cell>
          <cell r="K99">
            <v>12</v>
          </cell>
          <cell r="L99">
            <v>12</v>
          </cell>
          <cell r="M99">
            <v>2415</v>
          </cell>
          <cell r="N99" t="str">
            <v>대공</v>
          </cell>
          <cell r="O99" t="str">
            <v>직접타설</v>
          </cell>
          <cell r="P99">
            <v>823</v>
          </cell>
          <cell r="Q99">
            <v>1125</v>
          </cell>
          <cell r="R99">
            <v>160</v>
          </cell>
          <cell r="S99">
            <v>42</v>
          </cell>
          <cell r="T99">
            <v>173</v>
          </cell>
          <cell r="U99">
            <v>172</v>
          </cell>
          <cell r="V99"/>
          <cell r="W99" t="str">
            <v>박순홍</v>
          </cell>
          <cell r="X99" t="str">
            <v>(인)</v>
          </cell>
          <cell r="Y99" t="str">
            <v>박순홍</v>
          </cell>
          <cell r="Z99" t="str">
            <v>(인)</v>
          </cell>
          <cell r="AA99" t="str">
            <v>박상갑</v>
          </cell>
          <cell r="AB99" t="str">
            <v>(인)</v>
          </cell>
          <cell r="AC99" t="str">
            <v>박상갑</v>
          </cell>
          <cell r="AD99" t="str">
            <v>(인)</v>
          </cell>
          <cell r="AE99">
            <v>168.2</v>
          </cell>
          <cell r="AF99" t="str">
            <v>표준</v>
          </cell>
          <cell r="AG99">
            <v>0</v>
          </cell>
          <cell r="AH99">
            <v>0</v>
          </cell>
        </row>
        <row r="100">
          <cell r="G100">
            <v>2404010100</v>
          </cell>
          <cell r="H100" t="str">
            <v>CIP</v>
          </cell>
          <cell r="I100">
            <v>240401</v>
          </cell>
          <cell r="J100" t="str">
            <v>CIP말뚝타설</v>
          </cell>
          <cell r="K100">
            <v>16</v>
          </cell>
          <cell r="L100">
            <v>16</v>
          </cell>
          <cell r="M100">
            <v>2415</v>
          </cell>
          <cell r="N100" t="str">
            <v>대공</v>
          </cell>
          <cell r="O100" t="str">
            <v>직접타설</v>
          </cell>
          <cell r="P100">
            <v>820</v>
          </cell>
          <cell r="Q100">
            <v>1420</v>
          </cell>
          <cell r="R100">
            <v>160</v>
          </cell>
          <cell r="S100">
            <v>49</v>
          </cell>
          <cell r="T100">
            <v>42</v>
          </cell>
          <cell r="U100">
            <v>181</v>
          </cell>
          <cell r="V100"/>
          <cell r="W100" t="str">
            <v>박순홍</v>
          </cell>
          <cell r="X100" t="str">
            <v>(인)</v>
          </cell>
          <cell r="Y100" t="str">
            <v>박순홍</v>
          </cell>
          <cell r="Z100" t="str">
            <v>(인)</v>
          </cell>
          <cell r="AA100" t="str">
            <v>박상갑</v>
          </cell>
          <cell r="AB100" t="str">
            <v>(인)</v>
          </cell>
          <cell r="AC100" t="str">
            <v>박상갑</v>
          </cell>
          <cell r="AD100" t="str">
            <v>(인)</v>
          </cell>
          <cell r="AE100">
            <v>176.5</v>
          </cell>
          <cell r="AF100" t="str">
            <v>표준</v>
          </cell>
          <cell r="AG100">
            <v>0</v>
          </cell>
          <cell r="AH100">
            <v>0</v>
          </cell>
        </row>
        <row r="101">
          <cell r="G101">
            <v>2404020101</v>
          </cell>
          <cell r="H101" t="str">
            <v>111동</v>
          </cell>
          <cell r="I101">
            <v>240402</v>
          </cell>
          <cell r="J101" t="str">
            <v>111동 기초</v>
          </cell>
          <cell r="K101">
            <v>820</v>
          </cell>
          <cell r="L101">
            <v>822</v>
          </cell>
          <cell r="M101">
            <v>2415</v>
          </cell>
          <cell r="N101" t="str">
            <v>영진</v>
          </cell>
          <cell r="O101" t="str">
            <v>펌프카(1대)</v>
          </cell>
          <cell r="P101">
            <v>730</v>
          </cell>
          <cell r="Q101">
            <v>1610</v>
          </cell>
          <cell r="R101">
            <v>150</v>
          </cell>
          <cell r="S101">
            <v>46</v>
          </cell>
          <cell r="T101">
            <v>41</v>
          </cell>
          <cell r="U101">
            <v>199</v>
          </cell>
          <cell r="V101"/>
          <cell r="W101" t="str">
            <v>박순홍</v>
          </cell>
          <cell r="X101" t="str">
            <v>(인)</v>
          </cell>
          <cell r="Y101" t="str">
            <v>박순홍</v>
          </cell>
          <cell r="Z101" t="str">
            <v>(인)</v>
          </cell>
          <cell r="AA101" t="str">
            <v>정창인</v>
          </cell>
          <cell r="AB101" t="str">
            <v>(인)</v>
          </cell>
          <cell r="AC101" t="str">
            <v>정창인</v>
          </cell>
          <cell r="AD101" t="str">
            <v>(인)</v>
          </cell>
          <cell r="AE101">
            <v>174.6</v>
          </cell>
          <cell r="AF101" t="str">
            <v>표준</v>
          </cell>
          <cell r="AG101">
            <v>1</v>
          </cell>
          <cell r="AH101">
            <v>1</v>
          </cell>
          <cell r="AI101">
            <v>1930</v>
          </cell>
          <cell r="AJ101">
            <v>1976</v>
          </cell>
          <cell r="AK101">
            <v>152000</v>
          </cell>
          <cell r="AL101">
            <v>2987</v>
          </cell>
          <cell r="AM101">
            <v>3010</v>
          </cell>
          <cell r="AN101">
            <v>3024</v>
          </cell>
          <cell r="AO101">
            <v>2936</v>
          </cell>
          <cell r="AP101">
            <v>2973</v>
          </cell>
          <cell r="AQ101">
            <v>2984</v>
          </cell>
          <cell r="AR101">
            <v>3011</v>
          </cell>
          <cell r="AS101">
            <v>2930</v>
          </cell>
          <cell r="AT101">
            <v>234000</v>
          </cell>
        </row>
        <row r="102">
          <cell r="G102">
            <v>2404020102</v>
          </cell>
          <cell r="H102" t="str">
            <v>111동</v>
          </cell>
          <cell r="I102">
            <v>240402</v>
          </cell>
          <cell r="J102" t="str">
            <v>111동 기초</v>
          </cell>
          <cell r="K102">
            <v>820</v>
          </cell>
          <cell r="L102">
            <v>822</v>
          </cell>
          <cell r="M102">
            <v>2415</v>
          </cell>
          <cell r="N102" t="str">
            <v>영진</v>
          </cell>
          <cell r="O102" t="str">
            <v>펌프카(1대)</v>
          </cell>
          <cell r="P102">
            <v>730</v>
          </cell>
          <cell r="Q102">
            <v>1610</v>
          </cell>
          <cell r="R102">
            <v>150</v>
          </cell>
          <cell r="S102">
            <v>46</v>
          </cell>
          <cell r="T102">
            <v>34</v>
          </cell>
          <cell r="U102">
            <v>199</v>
          </cell>
          <cell r="V102"/>
          <cell r="W102" t="str">
            <v>박순홍</v>
          </cell>
          <cell r="X102" t="str">
            <v>(인)</v>
          </cell>
          <cell r="Y102" t="str">
            <v>박순홍</v>
          </cell>
          <cell r="Z102" t="str">
            <v>(인)</v>
          </cell>
          <cell r="AA102" t="str">
            <v>정창인</v>
          </cell>
          <cell r="AB102" t="str">
            <v>(인)</v>
          </cell>
          <cell r="AC102" t="str">
            <v>정창인</v>
          </cell>
          <cell r="AD102" t="str">
            <v>(인)</v>
          </cell>
          <cell r="AE102">
            <v>178.6</v>
          </cell>
          <cell r="AF102" t="str">
            <v>표준</v>
          </cell>
          <cell r="AG102">
            <v>2</v>
          </cell>
          <cell r="AH102">
            <v>0</v>
          </cell>
        </row>
        <row r="103">
          <cell r="G103">
            <v>2404020103</v>
          </cell>
          <cell r="H103" t="str">
            <v>111동</v>
          </cell>
          <cell r="I103">
            <v>240402</v>
          </cell>
          <cell r="J103" t="str">
            <v>111동 기초</v>
          </cell>
          <cell r="K103">
            <v>820</v>
          </cell>
          <cell r="L103">
            <v>822</v>
          </cell>
          <cell r="M103">
            <v>2415</v>
          </cell>
          <cell r="N103" t="str">
            <v>영진</v>
          </cell>
          <cell r="O103" t="str">
            <v>펌프카(1대)</v>
          </cell>
          <cell r="P103">
            <v>730</v>
          </cell>
          <cell r="Q103">
            <v>1610</v>
          </cell>
          <cell r="R103">
            <v>150</v>
          </cell>
          <cell r="S103">
            <v>50</v>
          </cell>
          <cell r="T103">
            <v>36</v>
          </cell>
          <cell r="U103">
            <v>198</v>
          </cell>
          <cell r="V103"/>
          <cell r="W103" t="str">
            <v>박순홍</v>
          </cell>
          <cell r="X103" t="str">
            <v>(인)</v>
          </cell>
          <cell r="Y103" t="str">
            <v>박순홍</v>
          </cell>
          <cell r="Z103" t="str">
            <v>(인)</v>
          </cell>
          <cell r="AA103" t="str">
            <v>정창인</v>
          </cell>
          <cell r="AB103" t="str">
            <v>(인)</v>
          </cell>
          <cell r="AC103" t="str">
            <v>정창인</v>
          </cell>
          <cell r="AD103" t="str">
            <v>(인)</v>
          </cell>
          <cell r="AE103">
            <v>178.2</v>
          </cell>
          <cell r="AF103" t="str">
            <v>표준</v>
          </cell>
          <cell r="AG103">
            <v>3</v>
          </cell>
          <cell r="AH103">
            <v>0</v>
          </cell>
        </row>
        <row r="104">
          <cell r="G104">
            <v>2404020104</v>
          </cell>
          <cell r="H104" t="str">
            <v>111동</v>
          </cell>
          <cell r="I104">
            <v>240402</v>
          </cell>
          <cell r="J104" t="str">
            <v>111동 기초</v>
          </cell>
          <cell r="K104">
            <v>820</v>
          </cell>
          <cell r="L104">
            <v>822</v>
          </cell>
          <cell r="M104">
            <v>2415</v>
          </cell>
          <cell r="N104" t="str">
            <v>영진</v>
          </cell>
          <cell r="O104" t="str">
            <v>펌프카(1대)</v>
          </cell>
          <cell r="P104">
            <v>730</v>
          </cell>
          <cell r="Q104">
            <v>1610</v>
          </cell>
          <cell r="R104">
            <v>150</v>
          </cell>
          <cell r="S104">
            <v>41</v>
          </cell>
          <cell r="T104">
            <v>24</v>
          </cell>
          <cell r="U104">
            <v>209</v>
          </cell>
          <cell r="V104"/>
          <cell r="W104" t="str">
            <v>박순홍</v>
          </cell>
          <cell r="X104" t="str">
            <v>(인)</v>
          </cell>
          <cell r="Y104" t="str">
            <v>박순홍</v>
          </cell>
          <cell r="Z104" t="str">
            <v>(인)</v>
          </cell>
          <cell r="AA104" t="str">
            <v>정창인</v>
          </cell>
          <cell r="AB104" t="str">
            <v>(인)</v>
          </cell>
          <cell r="AC104" t="str">
            <v>정창인</v>
          </cell>
          <cell r="AD104" t="str">
            <v>(인)</v>
          </cell>
          <cell r="AE104">
            <v>162.30000000000001</v>
          </cell>
          <cell r="AF104" t="str">
            <v>표준</v>
          </cell>
          <cell r="AG104">
            <v>4</v>
          </cell>
          <cell r="AH104">
            <v>1</v>
          </cell>
          <cell r="AL104">
            <v>3029</v>
          </cell>
          <cell r="AM104">
            <v>2919</v>
          </cell>
          <cell r="AN104">
            <v>3011</v>
          </cell>
          <cell r="AO104">
            <v>3034</v>
          </cell>
          <cell r="AP104">
            <v>3029</v>
          </cell>
          <cell r="AQ104">
            <v>2909</v>
          </cell>
          <cell r="AR104">
            <v>2986</v>
          </cell>
          <cell r="AS104">
            <v>2910</v>
          </cell>
          <cell r="AT104">
            <v>217600</v>
          </cell>
        </row>
        <row r="105">
          <cell r="G105">
            <v>2404020105</v>
          </cell>
          <cell r="H105" t="str">
            <v>111동</v>
          </cell>
          <cell r="I105">
            <v>240402</v>
          </cell>
          <cell r="J105" t="str">
            <v>111동 기초</v>
          </cell>
          <cell r="K105">
            <v>820</v>
          </cell>
          <cell r="L105">
            <v>822</v>
          </cell>
          <cell r="M105">
            <v>2415</v>
          </cell>
          <cell r="N105" t="str">
            <v>영진</v>
          </cell>
          <cell r="O105" t="str">
            <v>펌프카(1대)</v>
          </cell>
          <cell r="P105">
            <v>730</v>
          </cell>
          <cell r="Q105">
            <v>1610</v>
          </cell>
          <cell r="R105">
            <v>155</v>
          </cell>
          <cell r="S105">
            <v>42</v>
          </cell>
          <cell r="T105">
            <v>24</v>
          </cell>
          <cell r="U105">
            <v>223</v>
          </cell>
          <cell r="V105"/>
          <cell r="W105" t="str">
            <v>박순홍</v>
          </cell>
          <cell r="X105" t="str">
            <v>(인)</v>
          </cell>
          <cell r="Y105" t="str">
            <v>박순홍</v>
          </cell>
          <cell r="Z105" t="str">
            <v>(인)</v>
          </cell>
          <cell r="AA105" t="str">
            <v>정창인</v>
          </cell>
          <cell r="AB105" t="str">
            <v>(인)</v>
          </cell>
          <cell r="AC105" t="str">
            <v>정창인</v>
          </cell>
          <cell r="AD105" t="str">
            <v>(인)</v>
          </cell>
          <cell r="AE105">
            <v>167.1</v>
          </cell>
          <cell r="AF105" t="str">
            <v>표준</v>
          </cell>
          <cell r="AG105">
            <v>5</v>
          </cell>
          <cell r="AH105">
            <v>0</v>
          </cell>
        </row>
        <row r="106">
          <cell r="G106">
            <v>2404020106</v>
          </cell>
          <cell r="H106" t="str">
            <v>111동</v>
          </cell>
          <cell r="I106">
            <v>240402</v>
          </cell>
          <cell r="J106" t="str">
            <v>111동 기초</v>
          </cell>
          <cell r="K106">
            <v>820</v>
          </cell>
          <cell r="L106">
            <v>822</v>
          </cell>
          <cell r="M106">
            <v>2415</v>
          </cell>
          <cell r="N106" t="str">
            <v>영진</v>
          </cell>
          <cell r="O106" t="str">
            <v>펌프카(1대)</v>
          </cell>
          <cell r="P106">
            <v>730</v>
          </cell>
          <cell r="Q106">
            <v>1610</v>
          </cell>
          <cell r="R106">
            <v>160</v>
          </cell>
          <cell r="S106">
            <v>50</v>
          </cell>
          <cell r="T106">
            <v>31</v>
          </cell>
          <cell r="U106">
            <v>221</v>
          </cell>
          <cell r="V106"/>
          <cell r="W106" t="str">
            <v>박순홍</v>
          </cell>
          <cell r="X106" t="str">
            <v>(인)</v>
          </cell>
          <cell r="Y106" t="str">
            <v>박순홍</v>
          </cell>
          <cell r="Z106" t="str">
            <v>(인)</v>
          </cell>
          <cell r="AA106" t="str">
            <v>정창인</v>
          </cell>
          <cell r="AB106" t="str">
            <v>(인)</v>
          </cell>
          <cell r="AC106" t="str">
            <v>정창인</v>
          </cell>
          <cell r="AD106" t="str">
            <v>(인)</v>
          </cell>
          <cell r="AE106">
            <v>166.4</v>
          </cell>
          <cell r="AF106" t="str">
            <v>표준</v>
          </cell>
          <cell r="AG106">
            <v>6</v>
          </cell>
          <cell r="AH106">
            <v>0</v>
          </cell>
        </row>
        <row r="107">
          <cell r="G107">
            <v>2404020107</v>
          </cell>
          <cell r="H107" t="str">
            <v>111동</v>
          </cell>
          <cell r="I107">
            <v>240402</v>
          </cell>
          <cell r="J107" t="str">
            <v>111동 기초</v>
          </cell>
          <cell r="K107">
            <v>820</v>
          </cell>
          <cell r="L107">
            <v>822</v>
          </cell>
          <cell r="M107">
            <v>2415</v>
          </cell>
          <cell r="N107" t="str">
            <v>영진</v>
          </cell>
          <cell r="O107" t="str">
            <v>펌프카(1대)</v>
          </cell>
          <cell r="P107">
            <v>730</v>
          </cell>
          <cell r="Q107">
            <v>1610</v>
          </cell>
          <cell r="R107">
            <v>170</v>
          </cell>
          <cell r="S107">
            <v>42</v>
          </cell>
          <cell r="T107">
            <v>10</v>
          </cell>
          <cell r="U107">
            <v>172</v>
          </cell>
          <cell r="V107"/>
          <cell r="W107" t="str">
            <v>박순홍</v>
          </cell>
          <cell r="X107" t="str">
            <v>(인)</v>
          </cell>
          <cell r="Y107" t="str">
            <v>박순홍</v>
          </cell>
          <cell r="Z107" t="str">
            <v>(인)</v>
          </cell>
          <cell r="AA107" t="str">
            <v>정창인</v>
          </cell>
          <cell r="AB107" t="str">
            <v>(인)</v>
          </cell>
          <cell r="AC107" t="str">
            <v>정창인</v>
          </cell>
          <cell r="AD107" t="str">
            <v>(인)</v>
          </cell>
          <cell r="AE107">
            <v>165.6</v>
          </cell>
          <cell r="AF107" t="str">
            <v>표준</v>
          </cell>
          <cell r="AG107">
            <v>7</v>
          </cell>
          <cell r="AH107">
            <v>1</v>
          </cell>
          <cell r="AL107">
            <v>2864</v>
          </cell>
          <cell r="AM107">
            <v>2915</v>
          </cell>
          <cell r="AN107">
            <v>2971</v>
          </cell>
          <cell r="AO107">
            <v>3002</v>
          </cell>
          <cell r="AP107">
            <v>2899</v>
          </cell>
          <cell r="AQ107">
            <v>3012</v>
          </cell>
          <cell r="AR107">
            <v>2725</v>
          </cell>
          <cell r="AS107">
            <v>2897</v>
          </cell>
          <cell r="AT107">
            <v>232800</v>
          </cell>
        </row>
        <row r="108">
          <cell r="G108">
            <v>2404020201</v>
          </cell>
          <cell r="H108" t="str">
            <v>111동</v>
          </cell>
          <cell r="I108">
            <v>240402</v>
          </cell>
          <cell r="J108" t="str">
            <v>111동 및 T/C(#5) 기초</v>
          </cell>
          <cell r="K108">
            <v>740</v>
          </cell>
          <cell r="L108">
            <v>732</v>
          </cell>
          <cell r="M108">
            <v>2415</v>
          </cell>
          <cell r="N108" t="str">
            <v>대공</v>
          </cell>
          <cell r="O108" t="str">
            <v>펌프카(1대)</v>
          </cell>
          <cell r="P108">
            <v>744</v>
          </cell>
          <cell r="Q108">
            <v>1658</v>
          </cell>
          <cell r="R108">
            <v>160</v>
          </cell>
          <cell r="S108">
            <v>47</v>
          </cell>
          <cell r="T108">
            <v>63</v>
          </cell>
          <cell r="U108">
            <v>181</v>
          </cell>
          <cell r="V108"/>
          <cell r="W108" t="str">
            <v>박순홍</v>
          </cell>
          <cell r="X108" t="str">
            <v>(인)</v>
          </cell>
          <cell r="Y108" t="str">
            <v>박순홍</v>
          </cell>
          <cell r="Z108" t="str">
            <v>(인)</v>
          </cell>
          <cell r="AA108" t="str">
            <v>정창인</v>
          </cell>
          <cell r="AB108" t="str">
            <v>(인)</v>
          </cell>
          <cell r="AC108" t="str">
            <v>정창인</v>
          </cell>
          <cell r="AD108" t="str">
            <v>(인)</v>
          </cell>
          <cell r="AE108">
            <v>173.2</v>
          </cell>
          <cell r="AF108" t="str">
            <v>표준</v>
          </cell>
          <cell r="AG108">
            <v>1</v>
          </cell>
          <cell r="AH108">
            <v>1</v>
          </cell>
          <cell r="AI108">
            <v>2416</v>
          </cell>
          <cell r="AJ108">
            <v>2355</v>
          </cell>
          <cell r="AK108">
            <v>183800</v>
          </cell>
          <cell r="AL108">
            <v>3471</v>
          </cell>
          <cell r="AM108">
            <v>3424</v>
          </cell>
          <cell r="AN108">
            <v>3367</v>
          </cell>
          <cell r="AO108">
            <v>3524</v>
          </cell>
          <cell r="AP108">
            <v>3471</v>
          </cell>
          <cell r="AQ108">
            <v>3324</v>
          </cell>
          <cell r="AR108">
            <v>3367</v>
          </cell>
          <cell r="AS108">
            <v>3458</v>
          </cell>
          <cell r="AT108">
            <v>269400</v>
          </cell>
        </row>
        <row r="109">
          <cell r="G109">
            <v>2404020202</v>
          </cell>
          <cell r="H109" t="str">
            <v>111동, T/C</v>
          </cell>
          <cell r="I109">
            <v>240402</v>
          </cell>
          <cell r="J109" t="str">
            <v>111동 및 T/C(#5) 기초</v>
          </cell>
          <cell r="K109">
            <v>740</v>
          </cell>
          <cell r="L109">
            <v>732</v>
          </cell>
          <cell r="M109">
            <v>2415</v>
          </cell>
          <cell r="N109" t="str">
            <v>대공</v>
          </cell>
          <cell r="O109" t="str">
            <v>펌프카(1대)</v>
          </cell>
          <cell r="P109">
            <v>744</v>
          </cell>
          <cell r="Q109">
            <v>1658</v>
          </cell>
          <cell r="R109">
            <v>170</v>
          </cell>
          <cell r="S109">
            <v>48</v>
          </cell>
          <cell r="T109">
            <v>74</v>
          </cell>
          <cell r="U109">
            <v>184</v>
          </cell>
          <cell r="V109"/>
          <cell r="W109" t="str">
            <v>박순홍</v>
          </cell>
          <cell r="X109" t="str">
            <v>(인)</v>
          </cell>
          <cell r="Y109" t="str">
            <v>박순홍</v>
          </cell>
          <cell r="Z109" t="str">
            <v>(인)</v>
          </cell>
          <cell r="AA109" t="str">
            <v>정창인</v>
          </cell>
          <cell r="AB109" t="str">
            <v>(인)</v>
          </cell>
          <cell r="AC109" t="str">
            <v>정창인</v>
          </cell>
          <cell r="AD109" t="str">
            <v>(인)</v>
          </cell>
          <cell r="AE109">
            <v>176.8</v>
          </cell>
          <cell r="AF109" t="str">
            <v>표준</v>
          </cell>
          <cell r="AG109">
            <v>2</v>
          </cell>
          <cell r="AH109">
            <v>0</v>
          </cell>
        </row>
        <row r="110">
          <cell r="G110">
            <v>2404020203</v>
          </cell>
          <cell r="H110" t="str">
            <v>111동, T/C</v>
          </cell>
          <cell r="I110">
            <v>240402</v>
          </cell>
          <cell r="J110" t="str">
            <v>111동 및 T/C(#5) 기초</v>
          </cell>
          <cell r="K110">
            <v>740</v>
          </cell>
          <cell r="L110">
            <v>732</v>
          </cell>
          <cell r="M110">
            <v>2415</v>
          </cell>
          <cell r="N110" t="str">
            <v>대공</v>
          </cell>
          <cell r="O110" t="str">
            <v>펌프카(1대)</v>
          </cell>
          <cell r="P110">
            <v>744</v>
          </cell>
          <cell r="Q110">
            <v>1658</v>
          </cell>
          <cell r="R110">
            <v>170</v>
          </cell>
          <cell r="S110">
            <v>48</v>
          </cell>
          <cell r="T110">
            <v>66</v>
          </cell>
          <cell r="U110">
            <v>202</v>
          </cell>
          <cell r="V110"/>
          <cell r="W110" t="str">
            <v>박순홍</v>
          </cell>
          <cell r="X110" t="str">
            <v>(인)</v>
          </cell>
          <cell r="Y110" t="str">
            <v>박순홍</v>
          </cell>
          <cell r="Z110" t="str">
            <v>(인)</v>
          </cell>
          <cell r="AA110" t="str">
            <v>정창인</v>
          </cell>
          <cell r="AB110" t="str">
            <v>(인)</v>
          </cell>
          <cell r="AC110" t="str">
            <v>정창인</v>
          </cell>
          <cell r="AD110" t="str">
            <v>(인)</v>
          </cell>
          <cell r="AE110">
            <v>180.1</v>
          </cell>
          <cell r="AF110" t="str">
            <v>표준</v>
          </cell>
          <cell r="AG110">
            <v>3</v>
          </cell>
          <cell r="AH110">
            <v>0</v>
          </cell>
        </row>
        <row r="111">
          <cell r="G111">
            <v>2404020204</v>
          </cell>
          <cell r="H111" t="str">
            <v>111동, T/C</v>
          </cell>
          <cell r="I111">
            <v>240402</v>
          </cell>
          <cell r="J111" t="str">
            <v>111동 및 T/C(#5) 기초</v>
          </cell>
          <cell r="K111">
            <v>740</v>
          </cell>
          <cell r="L111">
            <v>732</v>
          </cell>
          <cell r="M111">
            <v>2415</v>
          </cell>
          <cell r="N111" t="str">
            <v>대공</v>
          </cell>
          <cell r="O111" t="str">
            <v>펌프카(1대)</v>
          </cell>
          <cell r="P111">
            <v>744</v>
          </cell>
          <cell r="Q111">
            <v>1658</v>
          </cell>
          <cell r="R111">
            <v>150</v>
          </cell>
          <cell r="S111">
            <v>39</v>
          </cell>
          <cell r="T111">
            <v>36</v>
          </cell>
          <cell r="U111">
            <v>186</v>
          </cell>
          <cell r="V111"/>
          <cell r="W111" t="str">
            <v>박순홍</v>
          </cell>
          <cell r="X111" t="str">
            <v>(인)</v>
          </cell>
          <cell r="Y111" t="str">
            <v>박순홍</v>
          </cell>
          <cell r="Z111" t="str">
            <v>(인)</v>
          </cell>
          <cell r="AA111" t="str">
            <v>정창인</v>
          </cell>
          <cell r="AB111" t="str">
            <v>(인)</v>
          </cell>
          <cell r="AC111" t="str">
            <v>정창인</v>
          </cell>
          <cell r="AD111" t="str">
            <v>(인)</v>
          </cell>
          <cell r="AE111">
            <v>168.8</v>
          </cell>
          <cell r="AF111" t="str">
            <v>표준</v>
          </cell>
          <cell r="AG111">
            <v>4</v>
          </cell>
          <cell r="AH111">
            <v>1</v>
          </cell>
          <cell r="AL111">
            <v>3371</v>
          </cell>
          <cell r="AM111">
            <v>3463</v>
          </cell>
          <cell r="AN111">
            <v>3436</v>
          </cell>
          <cell r="AO111">
            <v>3368</v>
          </cell>
          <cell r="AP111">
            <v>3416</v>
          </cell>
          <cell r="AQ111">
            <v>3542</v>
          </cell>
          <cell r="AR111">
            <v>3418</v>
          </cell>
          <cell r="AS111">
            <v>3506</v>
          </cell>
          <cell r="AT111">
            <v>261400</v>
          </cell>
        </row>
        <row r="112">
          <cell r="G112">
            <v>2404020205</v>
          </cell>
          <cell r="H112" t="str">
            <v>111동, T/C</v>
          </cell>
          <cell r="I112">
            <v>240402</v>
          </cell>
          <cell r="J112" t="str">
            <v>111동 및 T/C(#5) 기초</v>
          </cell>
          <cell r="K112">
            <v>740</v>
          </cell>
          <cell r="L112">
            <v>732</v>
          </cell>
          <cell r="M112">
            <v>2415</v>
          </cell>
          <cell r="N112" t="str">
            <v>대공</v>
          </cell>
          <cell r="O112" t="str">
            <v>펌프카(1대)</v>
          </cell>
          <cell r="P112">
            <v>744</v>
          </cell>
          <cell r="Q112">
            <v>1658</v>
          </cell>
          <cell r="R112">
            <v>155</v>
          </cell>
          <cell r="S112">
            <v>39</v>
          </cell>
          <cell r="T112">
            <v>43</v>
          </cell>
          <cell r="U112">
            <v>214</v>
          </cell>
          <cell r="V112"/>
          <cell r="W112" t="str">
            <v>박순홍</v>
          </cell>
          <cell r="X112" t="str">
            <v>(인)</v>
          </cell>
          <cell r="Y112" t="str">
            <v>박순홍</v>
          </cell>
          <cell r="Z112" t="str">
            <v>(인)</v>
          </cell>
          <cell r="AA112" t="str">
            <v>정창인</v>
          </cell>
          <cell r="AB112" t="str">
            <v>(인)</v>
          </cell>
          <cell r="AC112" t="str">
            <v>정창인</v>
          </cell>
          <cell r="AD112" t="str">
            <v>(인)</v>
          </cell>
          <cell r="AE112">
            <v>172.6</v>
          </cell>
          <cell r="AF112" t="str">
            <v>표준</v>
          </cell>
          <cell r="AG112">
            <v>5</v>
          </cell>
          <cell r="AH112">
            <v>0</v>
          </cell>
        </row>
        <row r="113">
          <cell r="G113">
            <v>2404020206</v>
          </cell>
          <cell r="H113" t="str">
            <v>111동, T/C</v>
          </cell>
          <cell r="I113">
            <v>240402</v>
          </cell>
          <cell r="J113" t="str">
            <v>111동 및 T/C(#5) 기초</v>
          </cell>
          <cell r="K113">
            <v>740</v>
          </cell>
          <cell r="L113">
            <v>732</v>
          </cell>
          <cell r="M113">
            <v>2415</v>
          </cell>
          <cell r="N113" t="str">
            <v>대공</v>
          </cell>
          <cell r="O113" t="str">
            <v>펌프카(1대)</v>
          </cell>
          <cell r="P113">
            <v>744</v>
          </cell>
          <cell r="Q113">
            <v>1658</v>
          </cell>
          <cell r="R113">
            <v>155</v>
          </cell>
          <cell r="S113">
            <v>40</v>
          </cell>
          <cell r="T113">
            <v>49</v>
          </cell>
          <cell r="U113">
            <v>226</v>
          </cell>
          <cell r="V113"/>
          <cell r="W113" t="str">
            <v>박순홍</v>
          </cell>
          <cell r="X113" t="str">
            <v>(인)</v>
          </cell>
          <cell r="Y113" t="str">
            <v>박순홍</v>
          </cell>
          <cell r="Z113" t="str">
            <v>(인)</v>
          </cell>
          <cell r="AA113" t="str">
            <v>정창인</v>
          </cell>
          <cell r="AB113" t="str">
            <v>(인)</v>
          </cell>
          <cell r="AC113" t="str">
            <v>정창인</v>
          </cell>
          <cell r="AD113" t="str">
            <v>(인)</v>
          </cell>
          <cell r="AE113">
            <v>170.8</v>
          </cell>
          <cell r="AF113" t="str">
            <v>표준</v>
          </cell>
          <cell r="AG113">
            <v>6</v>
          </cell>
          <cell r="AH113">
            <v>0</v>
          </cell>
        </row>
        <row r="114">
          <cell r="G114">
            <v>2404020207</v>
          </cell>
          <cell r="H114" t="str">
            <v>111동, T/C</v>
          </cell>
          <cell r="I114">
            <v>240402</v>
          </cell>
          <cell r="J114" t="str">
            <v>111동 및 T/C(#5) 기초</v>
          </cell>
          <cell r="K114">
            <v>740</v>
          </cell>
          <cell r="L114">
            <v>732</v>
          </cell>
          <cell r="M114">
            <v>2415</v>
          </cell>
          <cell r="N114" t="str">
            <v>대공</v>
          </cell>
          <cell r="O114" t="str">
            <v>펌프카(1대)</v>
          </cell>
          <cell r="P114">
            <v>744</v>
          </cell>
          <cell r="Q114">
            <v>1658</v>
          </cell>
          <cell r="R114">
            <v>150</v>
          </cell>
          <cell r="S114">
            <v>46</v>
          </cell>
          <cell r="T114">
            <v>85</v>
          </cell>
          <cell r="U114">
            <v>209</v>
          </cell>
          <cell r="V114"/>
          <cell r="W114" t="str">
            <v>박순홍</v>
          </cell>
          <cell r="X114" t="str">
            <v>(인)</v>
          </cell>
          <cell r="Y114" t="str">
            <v>박순홍</v>
          </cell>
          <cell r="Z114" t="str">
            <v>(인)</v>
          </cell>
          <cell r="AA114" t="str">
            <v>정창인</v>
          </cell>
          <cell r="AB114" t="str">
            <v>(인)</v>
          </cell>
          <cell r="AC114" t="str">
            <v>정창인</v>
          </cell>
          <cell r="AD114" t="str">
            <v>(인)</v>
          </cell>
          <cell r="AE114">
            <v>178.6</v>
          </cell>
          <cell r="AF114" t="str">
            <v>표준</v>
          </cell>
          <cell r="AG114">
            <v>7</v>
          </cell>
          <cell r="AH114">
            <v>1</v>
          </cell>
          <cell r="AL114">
            <v>3464</v>
          </cell>
          <cell r="AM114">
            <v>3515</v>
          </cell>
          <cell r="AN114">
            <v>3362</v>
          </cell>
          <cell r="AO114">
            <v>3458</v>
          </cell>
          <cell r="AP114">
            <v>3411</v>
          </cell>
          <cell r="AQ114">
            <v>3327</v>
          </cell>
          <cell r="AR114">
            <v>3501</v>
          </cell>
          <cell r="AS114">
            <v>3475</v>
          </cell>
          <cell r="AT114">
            <v>270400</v>
          </cell>
        </row>
        <row r="115">
          <cell r="G115">
            <v>2404020301</v>
          </cell>
          <cell r="H115" t="str">
            <v>111동</v>
          </cell>
          <cell r="I115">
            <v>240402</v>
          </cell>
          <cell r="J115" t="str">
            <v>111동 기초</v>
          </cell>
          <cell r="K115">
            <v>660</v>
          </cell>
          <cell r="L115">
            <v>660</v>
          </cell>
          <cell r="M115">
            <v>2415</v>
          </cell>
          <cell r="N115" t="str">
            <v>한진</v>
          </cell>
          <cell r="O115" t="str">
            <v>펌프카(1대)</v>
          </cell>
          <cell r="P115">
            <v>745</v>
          </cell>
          <cell r="Q115">
            <v>1550</v>
          </cell>
          <cell r="R115">
            <v>140</v>
          </cell>
          <cell r="S115">
            <v>38</v>
          </cell>
          <cell r="T115">
            <v>65</v>
          </cell>
          <cell r="U115">
            <v>173</v>
          </cell>
          <cell r="V115"/>
          <cell r="W115" t="str">
            <v>박순홍</v>
          </cell>
          <cell r="X115" t="str">
            <v>(인)</v>
          </cell>
          <cell r="Y115" t="str">
            <v>박순홍</v>
          </cell>
          <cell r="Z115" t="str">
            <v>(인)</v>
          </cell>
          <cell r="AA115" t="str">
            <v>정창인</v>
          </cell>
          <cell r="AB115" t="str">
            <v>(인)</v>
          </cell>
          <cell r="AC115" t="str">
            <v>정창인</v>
          </cell>
          <cell r="AD115" t="str">
            <v>(인)</v>
          </cell>
          <cell r="AE115">
            <v>170.2</v>
          </cell>
          <cell r="AF115" t="str">
            <v>표준</v>
          </cell>
          <cell r="AG115">
            <v>1</v>
          </cell>
          <cell r="AH115">
            <v>1</v>
          </cell>
          <cell r="AI115">
            <v>2342</v>
          </cell>
          <cell r="AJ115">
            <v>2327</v>
          </cell>
          <cell r="AK115">
            <v>184000</v>
          </cell>
          <cell r="AL115">
            <v>3176</v>
          </cell>
          <cell r="AM115">
            <v>3257</v>
          </cell>
          <cell r="AN115">
            <v>3287</v>
          </cell>
          <cell r="AO115">
            <v>3192</v>
          </cell>
          <cell r="AP115">
            <v>3260</v>
          </cell>
          <cell r="AQ115">
            <v>3184</v>
          </cell>
          <cell r="AR115">
            <v>3266</v>
          </cell>
          <cell r="AS115">
            <v>3208</v>
          </cell>
          <cell r="AT115">
            <v>255200</v>
          </cell>
        </row>
        <row r="116">
          <cell r="G116">
            <v>2404020302</v>
          </cell>
          <cell r="H116" t="str">
            <v>111동</v>
          </cell>
          <cell r="I116">
            <v>240402</v>
          </cell>
          <cell r="J116" t="str">
            <v>111동 기초</v>
          </cell>
          <cell r="K116">
            <v>660</v>
          </cell>
          <cell r="L116">
            <v>660</v>
          </cell>
          <cell r="M116">
            <v>2415</v>
          </cell>
          <cell r="N116" t="str">
            <v>한진</v>
          </cell>
          <cell r="O116" t="str">
            <v>펌프카(1대)</v>
          </cell>
          <cell r="P116">
            <v>745</v>
          </cell>
          <cell r="Q116">
            <v>1550</v>
          </cell>
          <cell r="R116">
            <v>150</v>
          </cell>
          <cell r="S116">
            <v>42</v>
          </cell>
          <cell r="T116">
            <v>63</v>
          </cell>
          <cell r="U116">
            <v>192</v>
          </cell>
          <cell r="V116"/>
          <cell r="W116" t="str">
            <v>박순홍</v>
          </cell>
          <cell r="X116" t="str">
            <v>(인)</v>
          </cell>
          <cell r="Y116" t="str">
            <v>박순홍</v>
          </cell>
          <cell r="Z116" t="str">
            <v>(인)</v>
          </cell>
          <cell r="AA116" t="str">
            <v>정창인</v>
          </cell>
          <cell r="AB116" t="str">
            <v>(인)</v>
          </cell>
          <cell r="AC116" t="str">
            <v>정창인</v>
          </cell>
          <cell r="AD116" t="str">
            <v>(인)</v>
          </cell>
          <cell r="AE116">
            <v>182.3</v>
          </cell>
          <cell r="AF116" t="str">
            <v>표준</v>
          </cell>
          <cell r="AG116">
            <v>2</v>
          </cell>
          <cell r="AH116">
            <v>0</v>
          </cell>
        </row>
        <row r="117">
          <cell r="G117">
            <v>2404020303</v>
          </cell>
          <cell r="H117" t="str">
            <v>111동</v>
          </cell>
          <cell r="I117">
            <v>240402</v>
          </cell>
          <cell r="J117" t="str">
            <v>111동 기초</v>
          </cell>
          <cell r="K117">
            <v>660</v>
          </cell>
          <cell r="L117">
            <v>660</v>
          </cell>
          <cell r="M117">
            <v>2415</v>
          </cell>
          <cell r="N117" t="str">
            <v>한진</v>
          </cell>
          <cell r="O117" t="str">
            <v>펌프카(1대)</v>
          </cell>
          <cell r="P117">
            <v>745</v>
          </cell>
          <cell r="Q117">
            <v>1550</v>
          </cell>
          <cell r="R117">
            <v>150</v>
          </cell>
          <cell r="S117">
            <v>50</v>
          </cell>
          <cell r="T117">
            <v>64</v>
          </cell>
          <cell r="U117">
            <v>206</v>
          </cell>
          <cell r="V117"/>
          <cell r="W117" t="str">
            <v>박순홍</v>
          </cell>
          <cell r="X117" t="str">
            <v>(인)</v>
          </cell>
          <cell r="Y117" t="str">
            <v>박순홍</v>
          </cell>
          <cell r="Z117" t="str">
            <v>(인)</v>
          </cell>
          <cell r="AA117" t="str">
            <v>정창인</v>
          </cell>
          <cell r="AB117" t="str">
            <v>(인)</v>
          </cell>
          <cell r="AC117" t="str">
            <v>정창인</v>
          </cell>
          <cell r="AD117" t="str">
            <v>(인)</v>
          </cell>
          <cell r="AE117">
            <v>183.8</v>
          </cell>
          <cell r="AF117" t="str">
            <v>표준</v>
          </cell>
          <cell r="AG117">
            <v>3</v>
          </cell>
          <cell r="AH117">
            <v>0</v>
          </cell>
        </row>
        <row r="118">
          <cell r="G118">
            <v>2404020304</v>
          </cell>
          <cell r="H118" t="str">
            <v>111동</v>
          </cell>
          <cell r="I118">
            <v>240402</v>
          </cell>
          <cell r="J118" t="str">
            <v>111동 기초</v>
          </cell>
          <cell r="K118">
            <v>660</v>
          </cell>
          <cell r="L118">
            <v>660</v>
          </cell>
          <cell r="M118">
            <v>2415</v>
          </cell>
          <cell r="N118" t="str">
            <v>한진</v>
          </cell>
          <cell r="O118" t="str">
            <v>펌프카(1대)</v>
          </cell>
          <cell r="P118">
            <v>745</v>
          </cell>
          <cell r="Q118">
            <v>1550</v>
          </cell>
          <cell r="R118">
            <v>155</v>
          </cell>
          <cell r="S118">
            <v>49</v>
          </cell>
          <cell r="T118">
            <v>12</v>
          </cell>
          <cell r="U118">
            <v>207</v>
          </cell>
          <cell r="V118"/>
          <cell r="W118" t="str">
            <v>박순홍</v>
          </cell>
          <cell r="X118" t="str">
            <v>(인)</v>
          </cell>
          <cell r="Y118" t="str">
            <v>박순홍</v>
          </cell>
          <cell r="Z118" t="str">
            <v>(인)</v>
          </cell>
          <cell r="AA118" t="str">
            <v>정창인</v>
          </cell>
          <cell r="AB118" t="str">
            <v>(인)</v>
          </cell>
          <cell r="AC118" t="str">
            <v>정창인</v>
          </cell>
          <cell r="AD118" t="str">
            <v>(인)</v>
          </cell>
          <cell r="AE118">
            <v>186.2</v>
          </cell>
          <cell r="AF118" t="str">
            <v>표준</v>
          </cell>
          <cell r="AG118">
            <v>4</v>
          </cell>
          <cell r="AH118">
            <v>1</v>
          </cell>
          <cell r="AL118">
            <v>3287</v>
          </cell>
          <cell r="AM118">
            <v>3201</v>
          </cell>
          <cell r="AN118">
            <v>3184</v>
          </cell>
          <cell r="AO118">
            <v>3246</v>
          </cell>
          <cell r="AP118">
            <v>3176</v>
          </cell>
          <cell r="AQ118">
            <v>3280</v>
          </cell>
          <cell r="AR118">
            <v>3286</v>
          </cell>
          <cell r="AS118">
            <v>3144</v>
          </cell>
          <cell r="AT118">
            <v>252200</v>
          </cell>
        </row>
        <row r="119">
          <cell r="G119">
            <v>2404020305</v>
          </cell>
          <cell r="H119" t="str">
            <v>111동</v>
          </cell>
          <cell r="I119">
            <v>240402</v>
          </cell>
          <cell r="J119" t="str">
            <v>111동 기초</v>
          </cell>
          <cell r="K119">
            <v>660</v>
          </cell>
          <cell r="L119">
            <v>660</v>
          </cell>
          <cell r="M119">
            <v>2415</v>
          </cell>
          <cell r="N119" t="str">
            <v>한진</v>
          </cell>
          <cell r="O119" t="str">
            <v>펌프카(1대)</v>
          </cell>
          <cell r="P119">
            <v>745</v>
          </cell>
          <cell r="Q119">
            <v>1550</v>
          </cell>
          <cell r="R119">
            <v>165</v>
          </cell>
          <cell r="S119">
            <v>49</v>
          </cell>
          <cell r="T119">
            <v>11</v>
          </cell>
          <cell r="U119">
            <v>236</v>
          </cell>
          <cell r="V119"/>
          <cell r="W119" t="str">
            <v>박순홍</v>
          </cell>
          <cell r="X119" t="str">
            <v>(인)</v>
          </cell>
          <cell r="Y119" t="str">
            <v>박순홍</v>
          </cell>
          <cell r="Z119" t="str">
            <v>(인)</v>
          </cell>
          <cell r="AA119" t="str">
            <v>정창인</v>
          </cell>
          <cell r="AB119" t="str">
            <v>(인)</v>
          </cell>
          <cell r="AC119" t="str">
            <v>정창인</v>
          </cell>
          <cell r="AD119" t="str">
            <v>(인)</v>
          </cell>
          <cell r="AE119">
            <v>182.6</v>
          </cell>
          <cell r="AF119" t="str">
            <v>표준</v>
          </cell>
          <cell r="AG119">
            <v>5</v>
          </cell>
          <cell r="AH119">
            <v>0</v>
          </cell>
        </row>
        <row r="120">
          <cell r="G120">
            <v>2404020306</v>
          </cell>
          <cell r="H120" t="str">
            <v>111동</v>
          </cell>
          <cell r="I120">
            <v>240402</v>
          </cell>
          <cell r="J120" t="str">
            <v>111동 기초</v>
          </cell>
          <cell r="K120">
            <v>660</v>
          </cell>
          <cell r="L120">
            <v>660</v>
          </cell>
          <cell r="M120">
            <v>2415</v>
          </cell>
          <cell r="N120" t="str">
            <v>한진</v>
          </cell>
          <cell r="O120" t="str">
            <v>펌프카(1대)</v>
          </cell>
          <cell r="P120">
            <v>745</v>
          </cell>
          <cell r="Q120">
            <v>1550</v>
          </cell>
          <cell r="R120">
            <v>160</v>
          </cell>
          <cell r="S120">
            <v>43</v>
          </cell>
          <cell r="T120">
            <v>59</v>
          </cell>
          <cell r="U120">
            <v>242</v>
          </cell>
          <cell r="V120"/>
          <cell r="W120" t="str">
            <v>박순홍</v>
          </cell>
          <cell r="X120" t="str">
            <v>(인)</v>
          </cell>
          <cell r="Y120" t="str">
            <v>박순홍</v>
          </cell>
          <cell r="Z120" t="str">
            <v>(인)</v>
          </cell>
          <cell r="AA120" t="str">
            <v>정창인</v>
          </cell>
          <cell r="AB120" t="str">
            <v>(인)</v>
          </cell>
          <cell r="AC120" t="str">
            <v>정창인</v>
          </cell>
          <cell r="AD120" t="str">
            <v>(인)</v>
          </cell>
          <cell r="AE120">
            <v>187.3</v>
          </cell>
          <cell r="AF120" t="str">
            <v>표준</v>
          </cell>
          <cell r="AG120">
            <v>6</v>
          </cell>
          <cell r="AH120">
            <v>0</v>
          </cell>
        </row>
        <row r="121">
          <cell r="G121">
            <v>2404020400</v>
          </cell>
          <cell r="H121" t="str">
            <v>CIP</v>
          </cell>
          <cell r="I121">
            <v>240402</v>
          </cell>
          <cell r="J121" t="str">
            <v>CIP말뚝타설</v>
          </cell>
          <cell r="K121">
            <v>20</v>
          </cell>
          <cell r="L121">
            <v>20</v>
          </cell>
          <cell r="M121">
            <v>2415</v>
          </cell>
          <cell r="N121" t="str">
            <v>대공</v>
          </cell>
          <cell r="O121" t="str">
            <v>직접타설</v>
          </cell>
          <cell r="P121">
            <v>819</v>
          </cell>
          <cell r="Q121">
            <v>1610</v>
          </cell>
          <cell r="R121">
            <v>160</v>
          </cell>
          <cell r="S121">
            <v>49</v>
          </cell>
          <cell r="T121">
            <v>53</v>
          </cell>
          <cell r="U121">
            <v>210</v>
          </cell>
          <cell r="V121"/>
          <cell r="W121" t="str">
            <v>박순홍</v>
          </cell>
          <cell r="X121" t="str">
            <v>(인)</v>
          </cell>
          <cell r="Y121" t="str">
            <v>박순홍</v>
          </cell>
          <cell r="Z121" t="str">
            <v>(인)</v>
          </cell>
          <cell r="AA121" t="str">
            <v>박상갑</v>
          </cell>
          <cell r="AB121" t="str">
            <v>(인)</v>
          </cell>
          <cell r="AC121" t="str">
            <v>박상갑</v>
          </cell>
          <cell r="AD121" t="str">
            <v>(인)</v>
          </cell>
          <cell r="AE121">
            <v>164.2</v>
          </cell>
          <cell r="AF121" t="str">
            <v>표준</v>
          </cell>
          <cell r="AG121">
            <v>0</v>
          </cell>
          <cell r="AH121">
            <v>0</v>
          </cell>
        </row>
        <row r="122">
          <cell r="G122">
            <v>2404020500</v>
          </cell>
          <cell r="H122" t="str">
            <v>CIP</v>
          </cell>
          <cell r="I122">
            <v>240402</v>
          </cell>
          <cell r="J122" t="str">
            <v>CIP캡빔</v>
          </cell>
          <cell r="K122">
            <v>16</v>
          </cell>
          <cell r="L122">
            <v>16</v>
          </cell>
          <cell r="M122">
            <v>2118</v>
          </cell>
          <cell r="N122" t="str">
            <v>대공</v>
          </cell>
          <cell r="O122" t="str">
            <v>직접타설</v>
          </cell>
          <cell r="P122">
            <v>1420</v>
          </cell>
          <cell r="Q122">
            <v>1432</v>
          </cell>
          <cell r="R122">
            <v>180</v>
          </cell>
          <cell r="S122">
            <v>45</v>
          </cell>
          <cell r="T122">
            <v>57</v>
          </cell>
          <cell r="U122">
            <v>194</v>
          </cell>
          <cell r="V122"/>
          <cell r="W122" t="str">
            <v>박순홍</v>
          </cell>
          <cell r="X122" t="str">
            <v>(인)</v>
          </cell>
          <cell r="Y122" t="str">
            <v>박순홍</v>
          </cell>
          <cell r="Z122" t="str">
            <v>(인)</v>
          </cell>
          <cell r="AA122" t="str">
            <v>박상갑</v>
          </cell>
          <cell r="AB122" t="str">
            <v>(인)</v>
          </cell>
          <cell r="AC122" t="str">
            <v>박상갑</v>
          </cell>
          <cell r="AD122" t="str">
            <v>(인)</v>
          </cell>
          <cell r="AE122">
            <v>165.6</v>
          </cell>
          <cell r="AF122" t="str">
            <v>표준</v>
          </cell>
          <cell r="AG122">
            <v>0</v>
          </cell>
          <cell r="AH122">
            <v>0</v>
          </cell>
        </row>
        <row r="123">
          <cell r="G123">
            <v>2404040100</v>
          </cell>
          <cell r="H123" t="str">
            <v>CIP</v>
          </cell>
          <cell r="I123">
            <v>240404</v>
          </cell>
          <cell r="J123" t="str">
            <v>CIP말뚝타설</v>
          </cell>
          <cell r="K123">
            <v>24</v>
          </cell>
          <cell r="L123">
            <v>24</v>
          </cell>
          <cell r="M123">
            <v>2415</v>
          </cell>
          <cell r="N123" t="str">
            <v>대공</v>
          </cell>
          <cell r="O123" t="str">
            <v>직접타설</v>
          </cell>
          <cell r="P123">
            <v>845</v>
          </cell>
          <cell r="Q123">
            <v>1450</v>
          </cell>
          <cell r="R123">
            <v>160</v>
          </cell>
          <cell r="S123">
            <v>45</v>
          </cell>
          <cell r="T123">
            <v>181</v>
          </cell>
          <cell r="U123">
            <v>181</v>
          </cell>
          <cell r="V123"/>
          <cell r="W123" t="str">
            <v>박순홍</v>
          </cell>
          <cell r="X123" t="str">
            <v>(인)</v>
          </cell>
          <cell r="Y123" t="str">
            <v>박순홍</v>
          </cell>
          <cell r="Z123" t="str">
            <v>(인)</v>
          </cell>
          <cell r="AA123" t="str">
            <v>박상갑</v>
          </cell>
          <cell r="AB123" t="str">
            <v>(인)</v>
          </cell>
          <cell r="AC123" t="str">
            <v>박상갑</v>
          </cell>
          <cell r="AD123" t="str">
            <v>(인)</v>
          </cell>
          <cell r="AE123">
            <v>183</v>
          </cell>
          <cell r="AF123" t="str">
            <v>표준</v>
          </cell>
          <cell r="AG123">
            <v>0</v>
          </cell>
          <cell r="AH123">
            <v>0</v>
          </cell>
        </row>
        <row r="124">
          <cell r="G124">
            <v>2404040201</v>
          </cell>
          <cell r="H124" t="str">
            <v>107동</v>
          </cell>
          <cell r="I124">
            <v>240404</v>
          </cell>
          <cell r="J124" t="str">
            <v>107동 주변 수영장 기초</v>
          </cell>
          <cell r="K124">
            <v>930</v>
          </cell>
          <cell r="L124">
            <v>924</v>
          </cell>
          <cell r="M124">
            <v>2415</v>
          </cell>
          <cell r="N124" t="str">
            <v>대공</v>
          </cell>
          <cell r="O124" t="str">
            <v>펌프카(1대)</v>
          </cell>
          <cell r="P124">
            <v>745</v>
          </cell>
          <cell r="Q124">
            <v>1706</v>
          </cell>
          <cell r="R124">
            <v>150</v>
          </cell>
          <cell r="S124">
            <v>44</v>
          </cell>
          <cell r="T124">
            <v>31</v>
          </cell>
          <cell r="U124">
            <v>162</v>
          </cell>
          <cell r="V124"/>
          <cell r="W124" t="str">
            <v>박순홍</v>
          </cell>
          <cell r="X124" t="str">
            <v>(인)</v>
          </cell>
          <cell r="Y124" t="str">
            <v>박순홍</v>
          </cell>
          <cell r="Z124" t="str">
            <v>(인)</v>
          </cell>
          <cell r="AA124" t="str">
            <v>정창인</v>
          </cell>
          <cell r="AB124" t="str">
            <v>(인)</v>
          </cell>
          <cell r="AC124" t="str">
            <v>정창인</v>
          </cell>
          <cell r="AD124" t="str">
            <v>(인)</v>
          </cell>
          <cell r="AE124">
            <v>168.6</v>
          </cell>
          <cell r="AF124" t="str">
            <v>표준</v>
          </cell>
          <cell r="AG124">
            <v>1</v>
          </cell>
          <cell r="AH124">
            <v>1</v>
          </cell>
          <cell r="AI124">
            <v>2388</v>
          </cell>
          <cell r="AJ124">
            <v>2337</v>
          </cell>
          <cell r="AK124">
            <v>187400</v>
          </cell>
          <cell r="AL124">
            <v>3501</v>
          </cell>
          <cell r="AM124">
            <v>3427</v>
          </cell>
          <cell r="AN124">
            <v>3507</v>
          </cell>
          <cell r="AO124">
            <v>3481</v>
          </cell>
          <cell r="AP124">
            <v>3513</v>
          </cell>
          <cell r="AQ124">
            <v>3429</v>
          </cell>
          <cell r="AR124">
            <v>3396</v>
          </cell>
          <cell r="AS124">
            <v>3514</v>
          </cell>
          <cell r="AT124">
            <v>286600</v>
          </cell>
        </row>
        <row r="125">
          <cell r="G125">
            <v>2404040202</v>
          </cell>
          <cell r="H125" t="str">
            <v>107동</v>
          </cell>
          <cell r="I125">
            <v>240404</v>
          </cell>
          <cell r="J125" t="str">
            <v>107동 주변 수영장 기초</v>
          </cell>
          <cell r="K125">
            <v>930</v>
          </cell>
          <cell r="L125">
            <v>924</v>
          </cell>
          <cell r="M125">
            <v>2415</v>
          </cell>
          <cell r="N125" t="str">
            <v>대공</v>
          </cell>
          <cell r="O125" t="str">
            <v>펌프카(1대)</v>
          </cell>
          <cell r="P125">
            <v>745</v>
          </cell>
          <cell r="Q125">
            <v>1706</v>
          </cell>
          <cell r="R125">
            <v>160</v>
          </cell>
          <cell r="S125">
            <v>50</v>
          </cell>
          <cell r="T125">
            <v>18</v>
          </cell>
          <cell r="U125">
            <v>171</v>
          </cell>
          <cell r="V125"/>
          <cell r="W125" t="str">
            <v>박순홍</v>
          </cell>
          <cell r="X125" t="str">
            <v>(인)</v>
          </cell>
          <cell r="Y125" t="str">
            <v>박순홍</v>
          </cell>
          <cell r="Z125" t="str">
            <v>(인)</v>
          </cell>
          <cell r="AA125" t="str">
            <v>정창인</v>
          </cell>
          <cell r="AB125" t="str">
            <v>(인)</v>
          </cell>
          <cell r="AC125" t="str">
            <v>정창인</v>
          </cell>
          <cell r="AD125" t="str">
            <v>(인)</v>
          </cell>
          <cell r="AE125">
            <v>175.1</v>
          </cell>
          <cell r="AF125" t="str">
            <v>표준</v>
          </cell>
          <cell r="AG125">
            <v>2</v>
          </cell>
          <cell r="AH125">
            <v>0</v>
          </cell>
        </row>
        <row r="126">
          <cell r="G126">
            <v>2404040203</v>
          </cell>
          <cell r="H126" t="str">
            <v>107동</v>
          </cell>
          <cell r="I126">
            <v>240404</v>
          </cell>
          <cell r="J126" t="str">
            <v>107동 주변 수영장 기초</v>
          </cell>
          <cell r="K126">
            <v>930</v>
          </cell>
          <cell r="L126">
            <v>924</v>
          </cell>
          <cell r="M126">
            <v>2415</v>
          </cell>
          <cell r="N126" t="str">
            <v>대공</v>
          </cell>
          <cell r="O126" t="str">
            <v>펌프카(1대)</v>
          </cell>
          <cell r="P126">
            <v>745</v>
          </cell>
          <cell r="Q126">
            <v>1706</v>
          </cell>
          <cell r="R126">
            <v>165</v>
          </cell>
          <cell r="S126">
            <v>46</v>
          </cell>
          <cell r="T126">
            <v>42</v>
          </cell>
          <cell r="U126">
            <v>181</v>
          </cell>
          <cell r="V126"/>
          <cell r="W126" t="str">
            <v>박순홍</v>
          </cell>
          <cell r="X126" t="str">
            <v>(인)</v>
          </cell>
          <cell r="Y126" t="str">
            <v>박순홍</v>
          </cell>
          <cell r="Z126" t="str">
            <v>(인)</v>
          </cell>
          <cell r="AA126" t="str">
            <v>정창인</v>
          </cell>
          <cell r="AB126" t="str">
            <v>(인)</v>
          </cell>
          <cell r="AC126" t="str">
            <v>정창인</v>
          </cell>
          <cell r="AD126" t="str">
            <v>(인)</v>
          </cell>
          <cell r="AE126">
            <v>174.6</v>
          </cell>
          <cell r="AF126" t="str">
            <v>표준</v>
          </cell>
          <cell r="AG126">
            <v>3</v>
          </cell>
          <cell r="AH126">
            <v>0</v>
          </cell>
        </row>
        <row r="127">
          <cell r="G127">
            <v>2404040204</v>
          </cell>
          <cell r="H127" t="str">
            <v>107동</v>
          </cell>
          <cell r="I127">
            <v>240404</v>
          </cell>
          <cell r="J127" t="str">
            <v>107동 주변 수영장 기초</v>
          </cell>
          <cell r="K127">
            <v>930</v>
          </cell>
          <cell r="L127">
            <v>924</v>
          </cell>
          <cell r="M127">
            <v>2415</v>
          </cell>
          <cell r="N127" t="str">
            <v>대공</v>
          </cell>
          <cell r="O127" t="str">
            <v>펌프카(1대)</v>
          </cell>
          <cell r="P127">
            <v>745</v>
          </cell>
          <cell r="Q127">
            <v>1706</v>
          </cell>
          <cell r="R127">
            <v>165</v>
          </cell>
          <cell r="S127">
            <v>45</v>
          </cell>
          <cell r="T127">
            <v>173</v>
          </cell>
          <cell r="U127">
            <v>190</v>
          </cell>
          <cell r="V127"/>
          <cell r="W127" t="str">
            <v>박순홍</v>
          </cell>
          <cell r="X127" t="str">
            <v>(인)</v>
          </cell>
          <cell r="Y127" t="str">
            <v>박순홍</v>
          </cell>
          <cell r="Z127" t="str">
            <v>(인)</v>
          </cell>
          <cell r="AA127" t="str">
            <v>정창인</v>
          </cell>
          <cell r="AB127" t="str">
            <v>(인)</v>
          </cell>
          <cell r="AC127" t="str">
            <v>정창인</v>
          </cell>
          <cell r="AD127" t="str">
            <v>(인)</v>
          </cell>
          <cell r="AE127">
            <v>181.2</v>
          </cell>
          <cell r="AF127" t="str">
            <v>표준</v>
          </cell>
          <cell r="AG127">
            <v>4</v>
          </cell>
          <cell r="AH127">
            <v>1</v>
          </cell>
          <cell r="AL127">
            <v>3526</v>
          </cell>
          <cell r="AM127">
            <v>3478</v>
          </cell>
          <cell r="AN127">
            <v>3604</v>
          </cell>
          <cell r="AO127">
            <v>3511</v>
          </cell>
          <cell r="AP127">
            <v>3608</v>
          </cell>
          <cell r="AQ127">
            <v>3534</v>
          </cell>
          <cell r="AR127">
            <v>3418</v>
          </cell>
          <cell r="AS127">
            <v>3435</v>
          </cell>
          <cell r="AT127">
            <v>272800</v>
          </cell>
        </row>
        <row r="128">
          <cell r="G128">
            <v>2404040205</v>
          </cell>
          <cell r="H128" t="str">
            <v>107동</v>
          </cell>
          <cell r="I128">
            <v>240404</v>
          </cell>
          <cell r="J128" t="str">
            <v>107동 주변 수영장 기초</v>
          </cell>
          <cell r="K128">
            <v>930</v>
          </cell>
          <cell r="L128">
            <v>924</v>
          </cell>
          <cell r="M128">
            <v>2415</v>
          </cell>
          <cell r="N128" t="str">
            <v>대공</v>
          </cell>
          <cell r="O128" t="str">
            <v>펌프카(1대)</v>
          </cell>
          <cell r="P128">
            <v>745</v>
          </cell>
          <cell r="Q128">
            <v>1706</v>
          </cell>
          <cell r="R128">
            <v>160</v>
          </cell>
          <cell r="S128">
            <v>39</v>
          </cell>
          <cell r="T128">
            <v>31</v>
          </cell>
          <cell r="U128">
            <v>163</v>
          </cell>
          <cell r="V128"/>
          <cell r="W128" t="str">
            <v>박순홍</v>
          </cell>
          <cell r="X128" t="str">
            <v>(인)</v>
          </cell>
          <cell r="Y128" t="str">
            <v>박순홍</v>
          </cell>
          <cell r="Z128" t="str">
            <v>(인)</v>
          </cell>
          <cell r="AA128" t="str">
            <v>정창인</v>
          </cell>
          <cell r="AB128" t="str">
            <v>(인)</v>
          </cell>
          <cell r="AC128" t="str">
            <v>정창인</v>
          </cell>
          <cell r="AD128" t="str">
            <v>(인)</v>
          </cell>
          <cell r="AE128">
            <v>180</v>
          </cell>
          <cell r="AF128" t="str">
            <v>표준</v>
          </cell>
          <cell r="AG128">
            <v>5</v>
          </cell>
          <cell r="AH128">
            <v>0</v>
          </cell>
        </row>
        <row r="129">
          <cell r="G129">
            <v>2404040206</v>
          </cell>
          <cell r="H129" t="str">
            <v>107동</v>
          </cell>
          <cell r="I129">
            <v>240404</v>
          </cell>
          <cell r="J129" t="str">
            <v>107동 주변 수영장 기초</v>
          </cell>
          <cell r="K129">
            <v>930</v>
          </cell>
          <cell r="L129">
            <v>924</v>
          </cell>
          <cell r="M129">
            <v>2415</v>
          </cell>
          <cell r="N129" t="str">
            <v>대공</v>
          </cell>
          <cell r="O129" t="str">
            <v>펌프카(1대)</v>
          </cell>
          <cell r="P129">
            <v>745</v>
          </cell>
          <cell r="Q129">
            <v>1706</v>
          </cell>
          <cell r="R129">
            <v>160</v>
          </cell>
          <cell r="S129">
            <v>42</v>
          </cell>
          <cell r="T129">
            <v>188</v>
          </cell>
          <cell r="U129">
            <v>183</v>
          </cell>
          <cell r="V129"/>
          <cell r="W129" t="str">
            <v>박순홍</v>
          </cell>
          <cell r="X129" t="str">
            <v>(인)</v>
          </cell>
          <cell r="Y129" t="str">
            <v>박순홍</v>
          </cell>
          <cell r="Z129" t="str">
            <v>(인)</v>
          </cell>
          <cell r="AA129" t="str">
            <v>정창인</v>
          </cell>
          <cell r="AB129" t="str">
            <v>(인)</v>
          </cell>
          <cell r="AC129" t="str">
            <v>정창인</v>
          </cell>
          <cell r="AD129" t="str">
            <v>(인)</v>
          </cell>
          <cell r="AE129">
            <v>179.4</v>
          </cell>
          <cell r="AF129" t="str">
            <v>표준</v>
          </cell>
          <cell r="AG129">
            <v>6</v>
          </cell>
          <cell r="AH129">
            <v>0</v>
          </cell>
        </row>
        <row r="130">
          <cell r="G130">
            <v>2404040207</v>
          </cell>
          <cell r="H130" t="str">
            <v>107동</v>
          </cell>
          <cell r="I130">
            <v>240404</v>
          </cell>
          <cell r="J130" t="str">
            <v>107동 주변 수영장 기초</v>
          </cell>
          <cell r="K130">
            <v>930</v>
          </cell>
          <cell r="L130">
            <v>924</v>
          </cell>
          <cell r="M130">
            <v>2415</v>
          </cell>
          <cell r="N130" t="str">
            <v>대공</v>
          </cell>
          <cell r="O130" t="str">
            <v>펌프카(1대)</v>
          </cell>
          <cell r="P130">
            <v>745</v>
          </cell>
          <cell r="Q130">
            <v>1706</v>
          </cell>
          <cell r="R130">
            <v>160</v>
          </cell>
          <cell r="S130">
            <v>44</v>
          </cell>
          <cell r="T130">
            <v>180</v>
          </cell>
          <cell r="U130">
            <v>159</v>
          </cell>
          <cell r="V130"/>
          <cell r="W130" t="str">
            <v>박순홍</v>
          </cell>
          <cell r="X130" t="str">
            <v>(인)</v>
          </cell>
          <cell r="Y130" t="str">
            <v>박순홍</v>
          </cell>
          <cell r="Z130" t="str">
            <v>(인)</v>
          </cell>
          <cell r="AA130" t="str">
            <v>정창인</v>
          </cell>
          <cell r="AB130" t="str">
            <v>(인)</v>
          </cell>
          <cell r="AC130" t="str">
            <v>정창인</v>
          </cell>
          <cell r="AD130" t="str">
            <v>(인)</v>
          </cell>
          <cell r="AE130">
            <v>176.7</v>
          </cell>
          <cell r="AF130" t="str">
            <v>표준</v>
          </cell>
          <cell r="AG130">
            <v>7</v>
          </cell>
          <cell r="AH130">
            <v>1</v>
          </cell>
          <cell r="AL130">
            <v>3561</v>
          </cell>
          <cell r="AM130">
            <v>3486</v>
          </cell>
          <cell r="AN130">
            <v>3511</v>
          </cell>
          <cell r="AO130">
            <v>3436</v>
          </cell>
          <cell r="AP130">
            <v>3479</v>
          </cell>
          <cell r="AQ130">
            <v>3528</v>
          </cell>
          <cell r="AR130">
            <v>3499</v>
          </cell>
          <cell r="AS130">
            <v>3510</v>
          </cell>
          <cell r="AT130">
            <v>265800</v>
          </cell>
        </row>
        <row r="131">
          <cell r="G131">
            <v>2404040208</v>
          </cell>
          <cell r="H131" t="str">
            <v>107동</v>
          </cell>
          <cell r="I131">
            <v>240404</v>
          </cell>
          <cell r="J131" t="str">
            <v>107동 주변 수영장 기초</v>
          </cell>
          <cell r="K131">
            <v>930</v>
          </cell>
          <cell r="L131">
            <v>924</v>
          </cell>
          <cell r="M131">
            <v>2415</v>
          </cell>
          <cell r="N131" t="str">
            <v>대공</v>
          </cell>
          <cell r="O131" t="str">
            <v>펌프카(1대)</v>
          </cell>
          <cell r="P131">
            <v>745</v>
          </cell>
          <cell r="Q131">
            <v>1706</v>
          </cell>
          <cell r="R131">
            <v>165</v>
          </cell>
          <cell r="S131">
            <v>51</v>
          </cell>
          <cell r="T131">
            <v>45</v>
          </cell>
          <cell r="U131">
            <v>165</v>
          </cell>
          <cell r="V131"/>
          <cell r="W131" t="str">
            <v>박순홍</v>
          </cell>
          <cell r="X131" t="str">
            <v>(인)</v>
          </cell>
          <cell r="Y131" t="str">
            <v>박순홍</v>
          </cell>
          <cell r="Z131" t="str">
            <v>(인)</v>
          </cell>
          <cell r="AA131" t="str">
            <v>정창인</v>
          </cell>
          <cell r="AB131" t="str">
            <v>(인)</v>
          </cell>
          <cell r="AC131" t="str">
            <v>정창인</v>
          </cell>
          <cell r="AD131" t="str">
            <v>(인)</v>
          </cell>
          <cell r="AE131">
            <v>177.1</v>
          </cell>
          <cell r="AF131" t="str">
            <v>표준</v>
          </cell>
          <cell r="AG131">
            <v>8</v>
          </cell>
          <cell r="AH131">
            <v>0</v>
          </cell>
        </row>
        <row r="132">
          <cell r="G132">
            <v>2404040301</v>
          </cell>
          <cell r="H132" t="str">
            <v>103동</v>
          </cell>
          <cell r="I132">
            <v>240404</v>
          </cell>
          <cell r="J132" t="str">
            <v>103동 1층 슬래브</v>
          </cell>
          <cell r="K132">
            <v>370</v>
          </cell>
          <cell r="L132">
            <v>372</v>
          </cell>
          <cell r="M132">
            <v>3015</v>
          </cell>
          <cell r="N132" t="str">
            <v>쌍용</v>
          </cell>
          <cell r="O132" t="str">
            <v>펌프카(1대)</v>
          </cell>
          <cell r="P132">
            <v>741</v>
          </cell>
          <cell r="Q132">
            <v>1336</v>
          </cell>
          <cell r="R132">
            <v>155</v>
          </cell>
          <cell r="S132">
            <v>40</v>
          </cell>
          <cell r="T132">
            <v>36</v>
          </cell>
          <cell r="U132">
            <v>161</v>
          </cell>
          <cell r="V132"/>
          <cell r="W132" t="str">
            <v>박순홍</v>
          </cell>
          <cell r="X132" t="str">
            <v>(인)</v>
          </cell>
          <cell r="Y132" t="str">
            <v>박순홍</v>
          </cell>
          <cell r="Z132" t="str">
            <v>(인)</v>
          </cell>
          <cell r="AA132" t="str">
            <v>최상옥</v>
          </cell>
          <cell r="AB132" t="str">
            <v>(인)</v>
          </cell>
          <cell r="AC132" t="str">
            <v>이홍걸</v>
          </cell>
          <cell r="AD132" t="str">
            <v>(인)</v>
          </cell>
          <cell r="AE132">
            <v>185.3</v>
          </cell>
          <cell r="AF132" t="str">
            <v>표준</v>
          </cell>
          <cell r="AG132">
            <v>1</v>
          </cell>
          <cell r="AH132">
            <v>1</v>
          </cell>
          <cell r="AI132">
            <v>2750</v>
          </cell>
          <cell r="AJ132">
            <v>2661</v>
          </cell>
          <cell r="AK132">
            <v>203000</v>
          </cell>
          <cell r="AL132">
            <v>3661</v>
          </cell>
          <cell r="AM132">
            <v>3661</v>
          </cell>
          <cell r="AN132">
            <v>3517</v>
          </cell>
          <cell r="AO132">
            <v>3631</v>
          </cell>
          <cell r="AP132">
            <v>3429</v>
          </cell>
          <cell r="AQ132">
            <v>3472</v>
          </cell>
          <cell r="AR132">
            <v>3433</v>
          </cell>
          <cell r="AS132">
            <v>3512</v>
          </cell>
          <cell r="AT132">
            <v>288400</v>
          </cell>
        </row>
        <row r="133">
          <cell r="G133">
            <v>2404040302</v>
          </cell>
          <cell r="H133" t="str">
            <v>103동</v>
          </cell>
          <cell r="I133">
            <v>240404</v>
          </cell>
          <cell r="J133" t="str">
            <v>103동 1층 슬래브</v>
          </cell>
          <cell r="K133">
            <v>370</v>
          </cell>
          <cell r="L133">
            <v>372</v>
          </cell>
          <cell r="M133">
            <v>3015</v>
          </cell>
          <cell r="N133" t="str">
            <v>쌍용</v>
          </cell>
          <cell r="O133" t="str">
            <v>펌프카(1대)</v>
          </cell>
          <cell r="P133">
            <v>741</v>
          </cell>
          <cell r="Q133">
            <v>1336</v>
          </cell>
          <cell r="R133">
            <v>160</v>
          </cell>
          <cell r="S133">
            <v>43</v>
          </cell>
          <cell r="T133">
            <v>46</v>
          </cell>
          <cell r="U133">
            <v>182</v>
          </cell>
          <cell r="V133"/>
          <cell r="W133" t="str">
            <v>박순홍</v>
          </cell>
          <cell r="X133" t="str">
            <v>(인)</v>
          </cell>
          <cell r="Y133" t="str">
            <v>박순홍</v>
          </cell>
          <cell r="Z133" t="str">
            <v>(인)</v>
          </cell>
          <cell r="AA133" t="str">
            <v>최상옥</v>
          </cell>
          <cell r="AB133" t="str">
            <v>(인)</v>
          </cell>
          <cell r="AC133" t="str">
            <v>이홍걸</v>
          </cell>
          <cell r="AD133" t="str">
            <v>(인)</v>
          </cell>
          <cell r="AE133">
            <v>179.4</v>
          </cell>
          <cell r="AF133" t="str">
            <v>표준</v>
          </cell>
          <cell r="AG133">
            <v>2</v>
          </cell>
          <cell r="AH133">
            <v>0</v>
          </cell>
        </row>
        <row r="134">
          <cell r="G134">
            <v>2404040303</v>
          </cell>
          <cell r="H134" t="str">
            <v>103동</v>
          </cell>
          <cell r="I134">
            <v>240404</v>
          </cell>
          <cell r="J134" t="str">
            <v>103동 1층 슬래브</v>
          </cell>
          <cell r="K134">
            <v>370</v>
          </cell>
          <cell r="L134">
            <v>372</v>
          </cell>
          <cell r="M134">
            <v>3015</v>
          </cell>
          <cell r="N134" t="str">
            <v>쌍용</v>
          </cell>
          <cell r="O134" t="str">
            <v>펌프카(1대)</v>
          </cell>
          <cell r="P134">
            <v>741</v>
          </cell>
          <cell r="Q134">
            <v>1336</v>
          </cell>
          <cell r="R134">
            <v>160</v>
          </cell>
          <cell r="S134">
            <v>50</v>
          </cell>
          <cell r="T134">
            <v>62</v>
          </cell>
          <cell r="U134">
            <v>165</v>
          </cell>
          <cell r="V134"/>
          <cell r="W134" t="str">
            <v>박순홍</v>
          </cell>
          <cell r="X134" t="str">
            <v>(인)</v>
          </cell>
          <cell r="Y134" t="str">
            <v>박순홍</v>
          </cell>
          <cell r="Z134" t="str">
            <v>(인)</v>
          </cell>
          <cell r="AA134" t="str">
            <v>이홍걸</v>
          </cell>
          <cell r="AB134" t="str">
            <v>(인)</v>
          </cell>
          <cell r="AC134" t="str">
            <v>이홍걸</v>
          </cell>
          <cell r="AD134" t="str">
            <v>(인)</v>
          </cell>
          <cell r="AE134">
            <v>180.7</v>
          </cell>
          <cell r="AF134" t="str">
            <v>표준</v>
          </cell>
          <cell r="AG134">
            <v>3</v>
          </cell>
          <cell r="AH134">
            <v>0</v>
          </cell>
        </row>
        <row r="135">
          <cell r="G135">
            <v>2404040304</v>
          </cell>
          <cell r="H135" t="str">
            <v>103동</v>
          </cell>
          <cell r="I135">
            <v>240404</v>
          </cell>
          <cell r="J135" t="str">
            <v>103동 1층 슬래브</v>
          </cell>
          <cell r="K135">
            <v>370</v>
          </cell>
          <cell r="L135">
            <v>372</v>
          </cell>
          <cell r="M135">
            <v>3015</v>
          </cell>
          <cell r="N135" t="str">
            <v>쌍용</v>
          </cell>
          <cell r="O135" t="str">
            <v>펌프카(1대)</v>
          </cell>
          <cell r="P135">
            <v>741</v>
          </cell>
          <cell r="Q135">
            <v>1336</v>
          </cell>
          <cell r="R135">
            <v>165</v>
          </cell>
          <cell r="S135">
            <v>48</v>
          </cell>
          <cell r="T135">
            <v>68</v>
          </cell>
          <cell r="U135">
            <v>154</v>
          </cell>
          <cell r="V135"/>
          <cell r="W135" t="str">
            <v>박순홍</v>
          </cell>
          <cell r="X135" t="str">
            <v>(인)</v>
          </cell>
          <cell r="Y135" t="str">
            <v>박순홍</v>
          </cell>
          <cell r="Z135" t="str">
            <v>(인)</v>
          </cell>
          <cell r="AA135" t="str">
            <v>이홍걸</v>
          </cell>
          <cell r="AB135" t="str">
            <v>(인)</v>
          </cell>
          <cell r="AC135" t="str">
            <v>이홍걸</v>
          </cell>
          <cell r="AD135" t="str">
            <v>(인)</v>
          </cell>
          <cell r="AE135">
            <v>181.7</v>
          </cell>
          <cell r="AF135" t="str">
            <v>표준</v>
          </cell>
          <cell r="AG135">
            <v>4</v>
          </cell>
          <cell r="AH135">
            <v>1</v>
          </cell>
          <cell r="AL135">
            <v>3470</v>
          </cell>
          <cell r="AM135">
            <v>3496</v>
          </cell>
          <cell r="AN135">
            <v>3517</v>
          </cell>
          <cell r="AO135">
            <v>3604</v>
          </cell>
          <cell r="AP135">
            <v>3512</v>
          </cell>
          <cell r="AQ135">
            <v>3429</v>
          </cell>
          <cell r="AR135">
            <v>3430</v>
          </cell>
          <cell r="AS135">
            <v>3594</v>
          </cell>
          <cell r="AT135">
            <v>271800</v>
          </cell>
        </row>
        <row r="136">
          <cell r="G136">
            <v>2404050100</v>
          </cell>
          <cell r="H136" t="str">
            <v>CIP</v>
          </cell>
          <cell r="I136">
            <v>240405</v>
          </cell>
          <cell r="J136" t="str">
            <v>CIP말뚝타설</v>
          </cell>
          <cell r="K136">
            <v>21</v>
          </cell>
          <cell r="L136">
            <v>21</v>
          </cell>
          <cell r="M136">
            <v>2415</v>
          </cell>
          <cell r="N136" t="str">
            <v>대공</v>
          </cell>
          <cell r="O136" t="str">
            <v>직접타설</v>
          </cell>
          <cell r="P136">
            <v>1033</v>
          </cell>
          <cell r="Q136">
            <v>1650</v>
          </cell>
          <cell r="R136">
            <v>160</v>
          </cell>
          <cell r="S136">
            <v>47</v>
          </cell>
          <cell r="T136">
            <v>19</v>
          </cell>
          <cell r="U136">
            <v>171</v>
          </cell>
          <cell r="V136"/>
          <cell r="W136" t="str">
            <v>박순홍</v>
          </cell>
          <cell r="X136" t="str">
            <v>(인)</v>
          </cell>
          <cell r="Y136" t="str">
            <v>박순홍</v>
          </cell>
          <cell r="Z136" t="str">
            <v>(인)</v>
          </cell>
          <cell r="AA136" t="str">
            <v>박상갑</v>
          </cell>
          <cell r="AB136" t="str">
            <v>(인)</v>
          </cell>
          <cell r="AC136" t="str">
            <v>박상갑</v>
          </cell>
          <cell r="AD136" t="str">
            <v>(인)</v>
          </cell>
          <cell r="AE136">
            <v>160.1</v>
          </cell>
          <cell r="AF136" t="str">
            <v>표준</v>
          </cell>
          <cell r="AG136">
            <v>0</v>
          </cell>
          <cell r="AH136">
            <v>0</v>
          </cell>
        </row>
        <row r="137">
          <cell r="G137">
            <v>2404050201</v>
          </cell>
          <cell r="H137" t="str">
            <v>107동</v>
          </cell>
          <cell r="I137">
            <v>240405</v>
          </cell>
          <cell r="J137" t="str">
            <v>107동 및 주변주차장 기초</v>
          </cell>
          <cell r="K137">
            <v>850</v>
          </cell>
          <cell r="L137">
            <v>852</v>
          </cell>
          <cell r="M137">
            <v>2415</v>
          </cell>
          <cell r="N137" t="str">
            <v>용호</v>
          </cell>
          <cell r="O137" t="str">
            <v>펌프카(1대)</v>
          </cell>
          <cell r="P137">
            <v>735</v>
          </cell>
          <cell r="Q137">
            <v>1552</v>
          </cell>
          <cell r="R137">
            <v>160</v>
          </cell>
          <cell r="S137">
            <v>42</v>
          </cell>
          <cell r="T137">
            <v>29</v>
          </cell>
          <cell r="U137">
            <v>163</v>
          </cell>
          <cell r="V137"/>
          <cell r="W137" t="str">
            <v>박순홍</v>
          </cell>
          <cell r="X137" t="str">
            <v>(인)</v>
          </cell>
          <cell r="Y137" t="str">
            <v>박순홍</v>
          </cell>
          <cell r="Z137" t="str">
            <v>(인)</v>
          </cell>
          <cell r="AA137" t="str">
            <v>정창인</v>
          </cell>
          <cell r="AB137" t="str">
            <v>(인)</v>
          </cell>
          <cell r="AC137" t="str">
            <v>정창인</v>
          </cell>
          <cell r="AD137" t="str">
            <v>(인)</v>
          </cell>
          <cell r="AE137">
            <v>172.6</v>
          </cell>
          <cell r="AF137" t="str">
            <v>표준</v>
          </cell>
          <cell r="AG137">
            <v>1</v>
          </cell>
          <cell r="AH137">
            <v>1</v>
          </cell>
          <cell r="AI137">
            <v>2274</v>
          </cell>
          <cell r="AJ137">
            <v>2312</v>
          </cell>
          <cell r="AK137">
            <v>176600</v>
          </cell>
          <cell r="AL137">
            <v>3305</v>
          </cell>
          <cell r="AM137">
            <v>3307</v>
          </cell>
          <cell r="AN137">
            <v>3297</v>
          </cell>
          <cell r="AO137">
            <v>3410</v>
          </cell>
          <cell r="AP137">
            <v>3372</v>
          </cell>
          <cell r="AQ137">
            <v>3419</v>
          </cell>
          <cell r="AR137">
            <v>3217</v>
          </cell>
          <cell r="AS137">
            <v>3309</v>
          </cell>
          <cell r="AT137">
            <v>257800</v>
          </cell>
        </row>
        <row r="138">
          <cell r="G138">
            <v>2404050202</v>
          </cell>
          <cell r="H138" t="str">
            <v>107동</v>
          </cell>
          <cell r="I138">
            <v>240405</v>
          </cell>
          <cell r="J138" t="str">
            <v>107동 및 주변주차장 기초</v>
          </cell>
          <cell r="K138">
            <v>850</v>
          </cell>
          <cell r="L138">
            <v>852</v>
          </cell>
          <cell r="M138">
            <v>2415</v>
          </cell>
          <cell r="N138" t="str">
            <v>용호</v>
          </cell>
          <cell r="O138" t="str">
            <v>펌프카(1대)</v>
          </cell>
          <cell r="P138">
            <v>735</v>
          </cell>
          <cell r="Q138">
            <v>1552</v>
          </cell>
          <cell r="R138">
            <v>150</v>
          </cell>
          <cell r="S138">
            <v>48</v>
          </cell>
          <cell r="T138">
            <v>37</v>
          </cell>
          <cell r="U138">
            <v>167</v>
          </cell>
          <cell r="V138"/>
          <cell r="W138" t="str">
            <v>박순홍</v>
          </cell>
          <cell r="X138" t="str">
            <v>(인)</v>
          </cell>
          <cell r="Y138" t="str">
            <v>박순홍</v>
          </cell>
          <cell r="Z138" t="str">
            <v>(인)</v>
          </cell>
          <cell r="AA138" t="str">
            <v>정창인</v>
          </cell>
          <cell r="AB138" t="str">
            <v>(인)</v>
          </cell>
          <cell r="AC138" t="str">
            <v>정창인</v>
          </cell>
          <cell r="AD138" t="str">
            <v>(인)</v>
          </cell>
          <cell r="AE138">
            <v>167.7</v>
          </cell>
          <cell r="AF138" t="str">
            <v>표준</v>
          </cell>
          <cell r="AG138">
            <v>2</v>
          </cell>
          <cell r="AH138">
            <v>0</v>
          </cell>
        </row>
        <row r="139">
          <cell r="G139">
            <v>2404050203</v>
          </cell>
          <cell r="H139" t="str">
            <v>107동</v>
          </cell>
          <cell r="I139">
            <v>240405</v>
          </cell>
          <cell r="J139" t="str">
            <v>107동 및 주변주차장 기초</v>
          </cell>
          <cell r="K139">
            <v>850</v>
          </cell>
          <cell r="L139">
            <v>852</v>
          </cell>
          <cell r="M139">
            <v>2415</v>
          </cell>
          <cell r="N139" t="str">
            <v>용호</v>
          </cell>
          <cell r="O139" t="str">
            <v>펌프카(1대)</v>
          </cell>
          <cell r="P139">
            <v>735</v>
          </cell>
          <cell r="Q139">
            <v>1552</v>
          </cell>
          <cell r="R139">
            <v>170</v>
          </cell>
          <cell r="S139">
            <v>42</v>
          </cell>
          <cell r="T139">
            <v>17</v>
          </cell>
          <cell r="U139">
            <v>185</v>
          </cell>
          <cell r="V139"/>
          <cell r="W139" t="str">
            <v>박순홍</v>
          </cell>
          <cell r="X139" t="str">
            <v>(인)</v>
          </cell>
          <cell r="Y139" t="str">
            <v>박순홍</v>
          </cell>
          <cell r="Z139" t="str">
            <v>(인)</v>
          </cell>
          <cell r="AA139" t="str">
            <v>정창인</v>
          </cell>
          <cell r="AB139" t="str">
            <v>(인)</v>
          </cell>
          <cell r="AC139" t="str">
            <v>정창인</v>
          </cell>
          <cell r="AD139" t="str">
            <v>(인)</v>
          </cell>
          <cell r="AE139">
            <v>167.2</v>
          </cell>
          <cell r="AF139" t="str">
            <v>표준</v>
          </cell>
          <cell r="AG139">
            <v>3</v>
          </cell>
          <cell r="AH139">
            <v>0</v>
          </cell>
        </row>
        <row r="140">
          <cell r="G140">
            <v>2404050204</v>
          </cell>
          <cell r="H140" t="str">
            <v>107동</v>
          </cell>
          <cell r="I140">
            <v>240405</v>
          </cell>
          <cell r="J140" t="str">
            <v>107동 및 주변주차장 기초</v>
          </cell>
          <cell r="K140">
            <v>850</v>
          </cell>
          <cell r="L140">
            <v>852</v>
          </cell>
          <cell r="M140">
            <v>2415</v>
          </cell>
          <cell r="N140" t="str">
            <v>용호</v>
          </cell>
          <cell r="O140" t="str">
            <v>펌프카(1대)</v>
          </cell>
          <cell r="P140">
            <v>735</v>
          </cell>
          <cell r="Q140">
            <v>1552</v>
          </cell>
          <cell r="R140">
            <v>170</v>
          </cell>
          <cell r="S140">
            <v>44</v>
          </cell>
          <cell r="T140">
            <v>17</v>
          </cell>
          <cell r="U140">
            <v>181</v>
          </cell>
          <cell r="V140"/>
          <cell r="W140" t="str">
            <v>박순홍</v>
          </cell>
          <cell r="X140" t="str">
            <v>(인)</v>
          </cell>
          <cell r="Y140" t="str">
            <v>박순홍</v>
          </cell>
          <cell r="Z140" t="str">
            <v>(인)</v>
          </cell>
          <cell r="AA140" t="str">
            <v>정창인</v>
          </cell>
          <cell r="AB140" t="str">
            <v>(인)</v>
          </cell>
          <cell r="AC140" t="str">
            <v>정창인</v>
          </cell>
          <cell r="AD140" t="str">
            <v>(인)</v>
          </cell>
          <cell r="AE140">
            <v>167.1</v>
          </cell>
          <cell r="AF140" t="str">
            <v>표준</v>
          </cell>
          <cell r="AG140">
            <v>4</v>
          </cell>
          <cell r="AH140">
            <v>1</v>
          </cell>
          <cell r="AL140">
            <v>3356</v>
          </cell>
          <cell r="AM140">
            <v>3279</v>
          </cell>
          <cell r="AN140">
            <v>3239</v>
          </cell>
          <cell r="AO140">
            <v>3412</v>
          </cell>
          <cell r="AP140">
            <v>3394</v>
          </cell>
          <cell r="AQ140">
            <v>3276</v>
          </cell>
          <cell r="AR140">
            <v>3287</v>
          </cell>
          <cell r="AS140">
            <v>3309</v>
          </cell>
          <cell r="AT140">
            <v>263600</v>
          </cell>
        </row>
        <row r="141">
          <cell r="G141">
            <v>2404050205</v>
          </cell>
          <cell r="H141" t="str">
            <v>107동</v>
          </cell>
          <cell r="I141">
            <v>240405</v>
          </cell>
          <cell r="J141" t="str">
            <v>107동 및 주변주차장 기초</v>
          </cell>
          <cell r="K141">
            <v>850</v>
          </cell>
          <cell r="L141">
            <v>852</v>
          </cell>
          <cell r="M141">
            <v>2415</v>
          </cell>
          <cell r="N141" t="str">
            <v>용호</v>
          </cell>
          <cell r="O141" t="str">
            <v>펌프카(1대)</v>
          </cell>
          <cell r="P141">
            <v>735</v>
          </cell>
          <cell r="Q141">
            <v>1552</v>
          </cell>
          <cell r="R141">
            <v>160</v>
          </cell>
          <cell r="S141">
            <v>40</v>
          </cell>
          <cell r="T141">
            <v>55</v>
          </cell>
          <cell r="U141">
            <v>186</v>
          </cell>
          <cell r="V141"/>
          <cell r="W141" t="str">
            <v>박순홍</v>
          </cell>
          <cell r="X141" t="str">
            <v>(인)</v>
          </cell>
          <cell r="Y141" t="str">
            <v>박순홍</v>
          </cell>
          <cell r="Z141" t="str">
            <v>(인)</v>
          </cell>
          <cell r="AA141" t="str">
            <v>정창인</v>
          </cell>
          <cell r="AB141" t="str">
            <v>(인)</v>
          </cell>
          <cell r="AC141" t="str">
            <v>정창인</v>
          </cell>
          <cell r="AD141" t="str">
            <v>(인)</v>
          </cell>
          <cell r="AE141">
            <v>165.4</v>
          </cell>
          <cell r="AF141" t="str">
            <v>표준</v>
          </cell>
          <cell r="AG141">
            <v>5</v>
          </cell>
          <cell r="AH141">
            <v>0</v>
          </cell>
        </row>
        <row r="142">
          <cell r="G142">
            <v>2404050206</v>
          </cell>
          <cell r="H142" t="str">
            <v>107동</v>
          </cell>
          <cell r="I142">
            <v>240405</v>
          </cell>
          <cell r="J142" t="str">
            <v>107동 및 주변주차장 기초</v>
          </cell>
          <cell r="K142">
            <v>850</v>
          </cell>
          <cell r="L142">
            <v>852</v>
          </cell>
          <cell r="M142">
            <v>2415</v>
          </cell>
          <cell r="N142" t="str">
            <v>용호</v>
          </cell>
          <cell r="O142" t="str">
            <v>펌프카(1대)</v>
          </cell>
          <cell r="P142">
            <v>735</v>
          </cell>
          <cell r="Q142">
            <v>1552</v>
          </cell>
          <cell r="R142">
            <v>165</v>
          </cell>
          <cell r="S142">
            <v>49</v>
          </cell>
          <cell r="T142">
            <v>45</v>
          </cell>
          <cell r="U142">
            <v>182</v>
          </cell>
          <cell r="V142"/>
          <cell r="W142" t="str">
            <v>박순홍</v>
          </cell>
          <cell r="X142" t="str">
            <v>(인)</v>
          </cell>
          <cell r="Y142" t="str">
            <v>박순홍</v>
          </cell>
          <cell r="Z142" t="str">
            <v>(인)</v>
          </cell>
          <cell r="AA142" t="str">
            <v>정창인</v>
          </cell>
          <cell r="AB142" t="str">
            <v>(인)</v>
          </cell>
          <cell r="AC142" t="str">
            <v>정창인</v>
          </cell>
          <cell r="AD142" t="str">
            <v>(인)</v>
          </cell>
          <cell r="AE142">
            <v>173.1</v>
          </cell>
          <cell r="AF142" t="str">
            <v>표준</v>
          </cell>
          <cell r="AG142">
            <v>6</v>
          </cell>
          <cell r="AH142">
            <v>0</v>
          </cell>
        </row>
        <row r="143">
          <cell r="G143">
            <v>2404050207</v>
          </cell>
          <cell r="H143" t="str">
            <v>107동</v>
          </cell>
          <cell r="I143">
            <v>240405</v>
          </cell>
          <cell r="J143" t="str">
            <v>107동 및 주변주차장 기초</v>
          </cell>
          <cell r="K143">
            <v>850</v>
          </cell>
          <cell r="L143">
            <v>852</v>
          </cell>
          <cell r="M143">
            <v>2415</v>
          </cell>
          <cell r="N143" t="str">
            <v>용호</v>
          </cell>
          <cell r="O143" t="str">
            <v>펌프카(1대)</v>
          </cell>
          <cell r="P143">
            <v>735</v>
          </cell>
          <cell r="Q143">
            <v>1552</v>
          </cell>
          <cell r="R143">
            <v>160</v>
          </cell>
          <cell r="S143">
            <v>46</v>
          </cell>
          <cell r="T143">
            <v>43</v>
          </cell>
          <cell r="U143">
            <v>182</v>
          </cell>
          <cell r="V143"/>
          <cell r="W143" t="str">
            <v>박순홍</v>
          </cell>
          <cell r="X143" t="str">
            <v>(인)</v>
          </cell>
          <cell r="Y143" t="str">
            <v>박순홍</v>
          </cell>
          <cell r="Z143" t="str">
            <v>(인)</v>
          </cell>
          <cell r="AA143" t="str">
            <v>정창인</v>
          </cell>
          <cell r="AB143" t="str">
            <v>(인)</v>
          </cell>
          <cell r="AC143" t="str">
            <v>정창인</v>
          </cell>
          <cell r="AD143" t="str">
            <v>(인)</v>
          </cell>
          <cell r="AE143">
            <v>169.7</v>
          </cell>
          <cell r="AF143" t="str">
            <v>표준</v>
          </cell>
          <cell r="AG143">
            <v>7</v>
          </cell>
          <cell r="AH143">
            <v>1</v>
          </cell>
          <cell r="AL143">
            <v>3432</v>
          </cell>
          <cell r="AM143">
            <v>3298</v>
          </cell>
          <cell r="AN143">
            <v>3392</v>
          </cell>
          <cell r="AO143">
            <v>3416</v>
          </cell>
          <cell r="AP143">
            <v>3378</v>
          </cell>
          <cell r="AQ143">
            <v>3412</v>
          </cell>
          <cell r="AR143">
            <v>3377</v>
          </cell>
          <cell r="AS143">
            <v>3412</v>
          </cell>
          <cell r="AT143">
            <v>273200</v>
          </cell>
        </row>
        <row r="144">
          <cell r="G144">
            <v>2404050208</v>
          </cell>
          <cell r="H144" t="str">
            <v>107동</v>
          </cell>
          <cell r="I144">
            <v>240405</v>
          </cell>
          <cell r="J144" t="str">
            <v>107동 및 주변주차장 기초</v>
          </cell>
          <cell r="K144">
            <v>850</v>
          </cell>
          <cell r="L144">
            <v>852</v>
          </cell>
          <cell r="M144">
            <v>2415</v>
          </cell>
          <cell r="N144" t="str">
            <v>용호</v>
          </cell>
          <cell r="O144" t="str">
            <v>펌프카(1대)</v>
          </cell>
          <cell r="P144">
            <v>735</v>
          </cell>
          <cell r="Q144">
            <v>1552</v>
          </cell>
          <cell r="R144">
            <v>160</v>
          </cell>
          <cell r="S144">
            <v>44</v>
          </cell>
          <cell r="T144">
            <v>47</v>
          </cell>
          <cell r="U144">
            <v>171</v>
          </cell>
          <cell r="V144"/>
          <cell r="W144" t="str">
            <v>박순홍</v>
          </cell>
          <cell r="X144" t="str">
            <v>(인)</v>
          </cell>
          <cell r="Y144" t="str">
            <v>박순홍</v>
          </cell>
          <cell r="Z144" t="str">
            <v>(인)</v>
          </cell>
          <cell r="AA144" t="str">
            <v>정창인</v>
          </cell>
          <cell r="AB144" t="str">
            <v>(인)</v>
          </cell>
          <cell r="AC144" t="str">
            <v>정창인</v>
          </cell>
          <cell r="AD144" t="str">
            <v>(인)</v>
          </cell>
          <cell r="AE144">
            <v>179.8</v>
          </cell>
          <cell r="AF144" t="str">
            <v>표준</v>
          </cell>
          <cell r="AG144">
            <v>8</v>
          </cell>
          <cell r="AH144">
            <v>0</v>
          </cell>
        </row>
        <row r="145">
          <cell r="G145">
            <v>2404050301</v>
          </cell>
          <cell r="H145" t="str">
            <v>107동</v>
          </cell>
          <cell r="I145">
            <v>240405</v>
          </cell>
          <cell r="J145" t="str">
            <v>107동 및 주변주차장 기초</v>
          </cell>
          <cell r="K145">
            <v>600</v>
          </cell>
          <cell r="L145">
            <v>600</v>
          </cell>
          <cell r="M145">
            <v>2415</v>
          </cell>
          <cell r="N145" t="str">
            <v>동양</v>
          </cell>
          <cell r="O145" t="str">
            <v>펌프카(1대)</v>
          </cell>
          <cell r="P145">
            <v>735</v>
          </cell>
          <cell r="Q145">
            <v>1425</v>
          </cell>
          <cell r="R145">
            <v>155</v>
          </cell>
          <cell r="S145">
            <v>39</v>
          </cell>
          <cell r="T145">
            <v>55</v>
          </cell>
          <cell r="U145">
            <v>163</v>
          </cell>
          <cell r="V145"/>
          <cell r="W145" t="str">
            <v>박순홍</v>
          </cell>
          <cell r="X145" t="str">
            <v>(인)</v>
          </cell>
          <cell r="Y145" t="str">
            <v>박순홍</v>
          </cell>
          <cell r="Z145" t="str">
            <v>(인)</v>
          </cell>
          <cell r="AA145" t="str">
            <v>정창인</v>
          </cell>
          <cell r="AB145" t="str">
            <v>(인)</v>
          </cell>
          <cell r="AC145" t="str">
            <v>정창인</v>
          </cell>
          <cell r="AD145" t="str">
            <v>(인)</v>
          </cell>
          <cell r="AE145">
            <v>178.8</v>
          </cell>
          <cell r="AF145" t="str">
            <v>표준</v>
          </cell>
          <cell r="AG145">
            <v>1</v>
          </cell>
          <cell r="AH145">
            <v>1</v>
          </cell>
          <cell r="AI145">
            <v>2319</v>
          </cell>
          <cell r="AJ145">
            <v>2302</v>
          </cell>
          <cell r="AK145">
            <v>178800</v>
          </cell>
          <cell r="AL145">
            <v>3335</v>
          </cell>
          <cell r="AM145">
            <v>3389</v>
          </cell>
          <cell r="AN145">
            <v>3412</v>
          </cell>
          <cell r="AO145">
            <v>3460</v>
          </cell>
          <cell r="AP145">
            <v>3412</v>
          </cell>
          <cell r="AQ145">
            <v>3437</v>
          </cell>
          <cell r="AR145">
            <v>3429</v>
          </cell>
          <cell r="AS145">
            <v>3429</v>
          </cell>
          <cell r="AT145">
            <v>273600</v>
          </cell>
        </row>
        <row r="146">
          <cell r="G146">
            <v>2404050302</v>
          </cell>
          <cell r="H146" t="str">
            <v>107동</v>
          </cell>
          <cell r="I146">
            <v>240405</v>
          </cell>
          <cell r="J146" t="str">
            <v>107동 및 주변주차장 기초</v>
          </cell>
          <cell r="K146">
            <v>600</v>
          </cell>
          <cell r="L146">
            <v>600</v>
          </cell>
          <cell r="M146">
            <v>2415</v>
          </cell>
          <cell r="N146" t="str">
            <v>동양</v>
          </cell>
          <cell r="O146" t="str">
            <v>펌프카(1대)</v>
          </cell>
          <cell r="P146">
            <v>735</v>
          </cell>
          <cell r="Q146">
            <v>1425</v>
          </cell>
          <cell r="R146">
            <v>150</v>
          </cell>
          <cell r="S146">
            <v>47</v>
          </cell>
          <cell r="T146">
            <v>36</v>
          </cell>
          <cell r="U146">
            <v>177</v>
          </cell>
          <cell r="V146"/>
          <cell r="W146" t="str">
            <v>박순홍</v>
          </cell>
          <cell r="X146" t="str">
            <v>(인)</v>
          </cell>
          <cell r="Y146" t="str">
            <v>박순홍</v>
          </cell>
          <cell r="Z146" t="str">
            <v>(인)</v>
          </cell>
          <cell r="AA146" t="str">
            <v>정창인</v>
          </cell>
          <cell r="AB146" t="str">
            <v>(인)</v>
          </cell>
          <cell r="AC146" t="str">
            <v>정창인</v>
          </cell>
          <cell r="AD146" t="str">
            <v>(인)</v>
          </cell>
          <cell r="AE146">
            <v>169</v>
          </cell>
          <cell r="AF146" t="str">
            <v>표준</v>
          </cell>
          <cell r="AG146">
            <v>2</v>
          </cell>
          <cell r="AH146">
            <v>0</v>
          </cell>
        </row>
        <row r="147">
          <cell r="G147">
            <v>2404050303</v>
          </cell>
          <cell r="H147" t="str">
            <v>107동</v>
          </cell>
          <cell r="I147">
            <v>240405</v>
          </cell>
          <cell r="J147" t="str">
            <v>107동 및 주변주차장 기초</v>
          </cell>
          <cell r="K147">
            <v>600</v>
          </cell>
          <cell r="L147">
            <v>600</v>
          </cell>
          <cell r="M147">
            <v>2415</v>
          </cell>
          <cell r="N147" t="str">
            <v>동양</v>
          </cell>
          <cell r="O147" t="str">
            <v>펌프카(1대)</v>
          </cell>
          <cell r="P147">
            <v>735</v>
          </cell>
          <cell r="Q147">
            <v>1425</v>
          </cell>
          <cell r="R147">
            <v>160</v>
          </cell>
          <cell r="S147">
            <v>42</v>
          </cell>
          <cell r="T147">
            <v>10</v>
          </cell>
          <cell r="U147">
            <v>181</v>
          </cell>
          <cell r="V147"/>
          <cell r="W147" t="str">
            <v>박순홍</v>
          </cell>
          <cell r="X147" t="str">
            <v>(인)</v>
          </cell>
          <cell r="Y147" t="str">
            <v>박순홍</v>
          </cell>
          <cell r="Z147" t="str">
            <v>(인)</v>
          </cell>
          <cell r="AA147" t="str">
            <v>정창인</v>
          </cell>
          <cell r="AB147" t="str">
            <v>(인)</v>
          </cell>
          <cell r="AC147" t="str">
            <v>정창인</v>
          </cell>
          <cell r="AD147" t="str">
            <v>(인)</v>
          </cell>
          <cell r="AE147">
            <v>167.5</v>
          </cell>
          <cell r="AF147" t="str">
            <v>표준</v>
          </cell>
          <cell r="AG147">
            <v>3</v>
          </cell>
          <cell r="AH147">
            <v>0</v>
          </cell>
        </row>
        <row r="148">
          <cell r="G148">
            <v>2404050304</v>
          </cell>
          <cell r="H148" t="str">
            <v>107동</v>
          </cell>
          <cell r="I148">
            <v>240405</v>
          </cell>
          <cell r="J148" t="str">
            <v>107동 및 주변주차장 기초</v>
          </cell>
          <cell r="K148">
            <v>600</v>
          </cell>
          <cell r="L148">
            <v>600</v>
          </cell>
          <cell r="M148">
            <v>2415</v>
          </cell>
          <cell r="N148" t="str">
            <v>동양</v>
          </cell>
          <cell r="O148" t="str">
            <v>펌프카(1대)</v>
          </cell>
          <cell r="P148">
            <v>735</v>
          </cell>
          <cell r="Q148">
            <v>1425</v>
          </cell>
          <cell r="R148">
            <v>170</v>
          </cell>
          <cell r="S148">
            <v>40</v>
          </cell>
          <cell r="T148">
            <v>11</v>
          </cell>
          <cell r="U148">
            <v>171</v>
          </cell>
          <cell r="V148"/>
          <cell r="W148" t="str">
            <v>박순홍</v>
          </cell>
          <cell r="X148" t="str">
            <v>(인)</v>
          </cell>
          <cell r="Y148" t="str">
            <v>박순홍</v>
          </cell>
          <cell r="Z148" t="str">
            <v>(인)</v>
          </cell>
          <cell r="AA148" t="str">
            <v>정창인</v>
          </cell>
          <cell r="AB148" t="str">
            <v>(인)</v>
          </cell>
          <cell r="AC148" t="str">
            <v>정창인</v>
          </cell>
          <cell r="AD148" t="str">
            <v>(인)</v>
          </cell>
          <cell r="AE148">
            <v>166.5</v>
          </cell>
          <cell r="AF148" t="str">
            <v>표준</v>
          </cell>
          <cell r="AG148">
            <v>4</v>
          </cell>
          <cell r="AH148">
            <v>1</v>
          </cell>
          <cell r="AL148">
            <v>3386</v>
          </cell>
          <cell r="AM148">
            <v>3481</v>
          </cell>
          <cell r="AN148">
            <v>3391</v>
          </cell>
          <cell r="AO148">
            <v>3355</v>
          </cell>
          <cell r="AP148">
            <v>3478</v>
          </cell>
          <cell r="AQ148">
            <v>3368</v>
          </cell>
          <cell r="AR148">
            <v>3352</v>
          </cell>
          <cell r="AS148">
            <v>3296</v>
          </cell>
          <cell r="AT148">
            <v>266200</v>
          </cell>
        </row>
        <row r="149">
          <cell r="G149">
            <v>2404050305</v>
          </cell>
          <cell r="H149" t="str">
            <v>107동</v>
          </cell>
          <cell r="I149">
            <v>240405</v>
          </cell>
          <cell r="J149" t="str">
            <v>107동 및 주변주차장 기초</v>
          </cell>
          <cell r="K149">
            <v>600</v>
          </cell>
          <cell r="L149">
            <v>600</v>
          </cell>
          <cell r="M149">
            <v>2415</v>
          </cell>
          <cell r="N149" t="str">
            <v>동양</v>
          </cell>
          <cell r="O149" t="str">
            <v>펌프카(1대)</v>
          </cell>
          <cell r="P149">
            <v>735</v>
          </cell>
          <cell r="Q149">
            <v>1425</v>
          </cell>
          <cell r="R149">
            <v>150</v>
          </cell>
          <cell r="S149">
            <v>39</v>
          </cell>
          <cell r="T149">
            <v>31</v>
          </cell>
          <cell r="U149">
            <v>192</v>
          </cell>
          <cell r="V149"/>
          <cell r="W149" t="str">
            <v>박순홍</v>
          </cell>
          <cell r="X149" t="str">
            <v>(인)</v>
          </cell>
          <cell r="Y149" t="str">
            <v>박순홍</v>
          </cell>
          <cell r="Z149" t="str">
            <v>(인)</v>
          </cell>
          <cell r="AA149" t="str">
            <v>정창인</v>
          </cell>
          <cell r="AB149" t="str">
            <v>(인)</v>
          </cell>
          <cell r="AC149" t="str">
            <v>정창인</v>
          </cell>
          <cell r="AD149" t="str">
            <v>(인)</v>
          </cell>
          <cell r="AE149">
            <v>180.7</v>
          </cell>
          <cell r="AF149" t="str">
            <v>표준</v>
          </cell>
          <cell r="AG149">
            <v>5</v>
          </cell>
          <cell r="AH149">
            <v>0</v>
          </cell>
        </row>
        <row r="150">
          <cell r="G150">
            <v>2404080100</v>
          </cell>
          <cell r="H150" t="str">
            <v>CIP</v>
          </cell>
          <cell r="I150">
            <v>240408</v>
          </cell>
          <cell r="J150" t="str">
            <v>CIP캡빔</v>
          </cell>
          <cell r="K150">
            <v>23</v>
          </cell>
          <cell r="L150">
            <v>23</v>
          </cell>
          <cell r="M150">
            <v>2118</v>
          </cell>
          <cell r="N150" t="str">
            <v>대공</v>
          </cell>
          <cell r="O150" t="str">
            <v>직접타설</v>
          </cell>
          <cell r="P150">
            <v>909</v>
          </cell>
          <cell r="Q150">
            <v>1610</v>
          </cell>
          <cell r="R150">
            <v>180</v>
          </cell>
          <cell r="S150">
            <v>42</v>
          </cell>
          <cell r="T150">
            <v>36</v>
          </cell>
          <cell r="U150">
            <v>191</v>
          </cell>
          <cell r="V150"/>
          <cell r="W150" t="str">
            <v>박순홍</v>
          </cell>
          <cell r="X150" t="str">
            <v>(인)</v>
          </cell>
          <cell r="Y150" t="str">
            <v>박순홍</v>
          </cell>
          <cell r="Z150" t="str">
            <v>(인)</v>
          </cell>
          <cell r="AA150" t="str">
            <v>박상갑</v>
          </cell>
          <cell r="AB150" t="str">
            <v>(인)</v>
          </cell>
          <cell r="AC150" t="str">
            <v>박상갑</v>
          </cell>
          <cell r="AD150" t="str">
            <v>(인)</v>
          </cell>
          <cell r="AE150">
            <v>174.8</v>
          </cell>
          <cell r="AF150" t="str">
            <v>표준</v>
          </cell>
          <cell r="AG150">
            <v>0</v>
          </cell>
          <cell r="AH150">
            <v>0</v>
          </cell>
        </row>
        <row r="151">
          <cell r="G151">
            <v>2404080201</v>
          </cell>
          <cell r="H151" t="str">
            <v>104동</v>
          </cell>
          <cell r="I151">
            <v>240408</v>
          </cell>
          <cell r="J151" t="str">
            <v>104동 PIT층(1차)</v>
          </cell>
          <cell r="K151">
            <v>430</v>
          </cell>
          <cell r="L151">
            <v>432</v>
          </cell>
          <cell r="M151">
            <v>3015</v>
          </cell>
          <cell r="N151" t="str">
            <v>영진</v>
          </cell>
          <cell r="O151" t="str">
            <v>펌프카(1대)</v>
          </cell>
          <cell r="P151">
            <v>730</v>
          </cell>
          <cell r="Q151">
            <v>1500</v>
          </cell>
          <cell r="R151">
            <v>160</v>
          </cell>
          <cell r="S151">
            <v>45</v>
          </cell>
          <cell r="T151">
            <v>42</v>
          </cell>
          <cell r="U151">
            <v>155</v>
          </cell>
          <cell r="V151"/>
          <cell r="W151" t="str">
            <v>박순홍</v>
          </cell>
          <cell r="X151" t="str">
            <v>(인)</v>
          </cell>
          <cell r="Y151" t="str">
            <v>박순홍</v>
          </cell>
          <cell r="Z151" t="str">
            <v>(인)</v>
          </cell>
          <cell r="AA151" t="str">
            <v>최상옥</v>
          </cell>
          <cell r="AB151" t="str">
            <v>(인)</v>
          </cell>
          <cell r="AC151" t="str">
            <v>최인철</v>
          </cell>
          <cell r="AD151" t="str">
            <v>(인)</v>
          </cell>
          <cell r="AE151">
            <v>172.6</v>
          </cell>
          <cell r="AF151" t="str">
            <v>표준</v>
          </cell>
          <cell r="AG151">
            <v>1</v>
          </cell>
          <cell r="AH151">
            <v>1</v>
          </cell>
          <cell r="AI151">
            <v>2416</v>
          </cell>
          <cell r="AJ151">
            <v>2392</v>
          </cell>
          <cell r="AK151">
            <v>188400</v>
          </cell>
          <cell r="AL151">
            <v>3465</v>
          </cell>
          <cell r="AM151">
            <v>3491</v>
          </cell>
          <cell r="AN151">
            <v>3465</v>
          </cell>
          <cell r="AO151">
            <v>3502</v>
          </cell>
          <cell r="AP151">
            <v>3394</v>
          </cell>
          <cell r="AQ151">
            <v>3376</v>
          </cell>
          <cell r="AR151">
            <v>3512</v>
          </cell>
          <cell r="AS151">
            <v>3601</v>
          </cell>
          <cell r="AT151">
            <v>270600</v>
          </cell>
        </row>
        <row r="152">
          <cell r="G152">
            <v>2404080202</v>
          </cell>
          <cell r="H152" t="str">
            <v>104동</v>
          </cell>
          <cell r="I152">
            <v>240408</v>
          </cell>
          <cell r="J152" t="str">
            <v>104동 PIT층(1차)</v>
          </cell>
          <cell r="K152">
            <v>430</v>
          </cell>
          <cell r="L152">
            <v>432</v>
          </cell>
          <cell r="M152">
            <v>3015</v>
          </cell>
          <cell r="N152" t="str">
            <v>영진</v>
          </cell>
          <cell r="O152" t="str">
            <v>펌프카(1대)</v>
          </cell>
          <cell r="P152">
            <v>730</v>
          </cell>
          <cell r="Q152">
            <v>1500</v>
          </cell>
          <cell r="R152">
            <v>160</v>
          </cell>
          <cell r="S152">
            <v>48</v>
          </cell>
          <cell r="T152">
            <v>68</v>
          </cell>
          <cell r="U152">
            <v>161</v>
          </cell>
          <cell r="V152"/>
          <cell r="W152" t="str">
            <v>박순홍</v>
          </cell>
          <cell r="X152" t="str">
            <v>(인)</v>
          </cell>
          <cell r="Y152" t="str">
            <v>박순홍</v>
          </cell>
          <cell r="Z152" t="str">
            <v>(인)</v>
          </cell>
          <cell r="AA152" t="str">
            <v>최상옥</v>
          </cell>
          <cell r="AB152" t="str">
            <v>(인)</v>
          </cell>
          <cell r="AC152" t="str">
            <v>최인철</v>
          </cell>
          <cell r="AD152" t="str">
            <v>(인)</v>
          </cell>
          <cell r="AE152">
            <v>178.6</v>
          </cell>
          <cell r="AF152" t="str">
            <v>표준</v>
          </cell>
          <cell r="AG152">
            <v>2</v>
          </cell>
          <cell r="AH152">
            <v>0</v>
          </cell>
        </row>
        <row r="153">
          <cell r="G153">
            <v>2404080203</v>
          </cell>
          <cell r="H153" t="str">
            <v>104동</v>
          </cell>
          <cell r="I153">
            <v>240408</v>
          </cell>
          <cell r="J153" t="str">
            <v>104동 PIT층(1차)</v>
          </cell>
          <cell r="K153">
            <v>430</v>
          </cell>
          <cell r="L153">
            <v>432</v>
          </cell>
          <cell r="M153">
            <v>3015</v>
          </cell>
          <cell r="N153" t="str">
            <v>영진</v>
          </cell>
          <cell r="O153" t="str">
            <v>펌프카(1대)</v>
          </cell>
          <cell r="P153">
            <v>730</v>
          </cell>
          <cell r="Q153">
            <v>1500</v>
          </cell>
          <cell r="R153">
            <v>150</v>
          </cell>
          <cell r="S153">
            <v>44</v>
          </cell>
          <cell r="T153">
            <v>50</v>
          </cell>
          <cell r="U153">
            <v>206</v>
          </cell>
          <cell r="V153"/>
          <cell r="W153" t="str">
            <v>박순홍</v>
          </cell>
          <cell r="X153" t="str">
            <v>(인)</v>
          </cell>
          <cell r="Y153" t="str">
            <v>박순홍</v>
          </cell>
          <cell r="Z153" t="str">
            <v>(인)</v>
          </cell>
          <cell r="AA153" t="str">
            <v>이홍걸</v>
          </cell>
          <cell r="AB153" t="str">
            <v>(인)</v>
          </cell>
          <cell r="AC153" t="str">
            <v>최인철</v>
          </cell>
          <cell r="AD153" t="str">
            <v>(인)</v>
          </cell>
          <cell r="AE153">
            <v>174.7</v>
          </cell>
          <cell r="AF153" t="str">
            <v>표준</v>
          </cell>
          <cell r="AG153">
            <v>3</v>
          </cell>
          <cell r="AH153">
            <v>0</v>
          </cell>
        </row>
        <row r="154">
          <cell r="G154">
            <v>2404080204</v>
          </cell>
          <cell r="H154" t="str">
            <v>104동</v>
          </cell>
          <cell r="I154">
            <v>240408</v>
          </cell>
          <cell r="J154" t="str">
            <v>104동 PIT층(1차)</v>
          </cell>
          <cell r="K154">
            <v>430</v>
          </cell>
          <cell r="L154">
            <v>432</v>
          </cell>
          <cell r="M154">
            <v>3015</v>
          </cell>
          <cell r="N154" t="str">
            <v>영진</v>
          </cell>
          <cell r="O154" t="str">
            <v>펌프카(1대)</v>
          </cell>
          <cell r="P154">
            <v>730</v>
          </cell>
          <cell r="Q154">
            <v>1500</v>
          </cell>
          <cell r="R154">
            <v>155</v>
          </cell>
          <cell r="S154">
            <v>50</v>
          </cell>
          <cell r="T154">
            <v>31</v>
          </cell>
          <cell r="U154">
            <v>213</v>
          </cell>
          <cell r="V154"/>
          <cell r="W154" t="str">
            <v>박순홍</v>
          </cell>
          <cell r="X154" t="str">
            <v>(인)</v>
          </cell>
          <cell r="Y154" t="str">
            <v>박순홍</v>
          </cell>
          <cell r="Z154" t="str">
            <v>(인)</v>
          </cell>
          <cell r="AA154" t="str">
            <v>이홍걸</v>
          </cell>
          <cell r="AB154" t="str">
            <v>(인)</v>
          </cell>
          <cell r="AC154" t="str">
            <v>최인철</v>
          </cell>
          <cell r="AD154" t="str">
            <v>(인)</v>
          </cell>
          <cell r="AE154">
            <v>178.7</v>
          </cell>
          <cell r="AF154" t="str">
            <v>표준</v>
          </cell>
          <cell r="AG154">
            <v>4</v>
          </cell>
          <cell r="AH154">
            <v>1</v>
          </cell>
          <cell r="AL154">
            <v>3498</v>
          </cell>
          <cell r="AM154">
            <v>3417</v>
          </cell>
          <cell r="AN154">
            <v>3356</v>
          </cell>
          <cell r="AO154">
            <v>3327</v>
          </cell>
          <cell r="AP154">
            <v>3520</v>
          </cell>
          <cell r="AQ154">
            <v>3392</v>
          </cell>
          <cell r="AR154">
            <v>3342</v>
          </cell>
          <cell r="AS154">
            <v>3312</v>
          </cell>
          <cell r="AT154">
            <v>269400</v>
          </cell>
        </row>
        <row r="155">
          <cell r="G155">
            <v>2404080301</v>
          </cell>
          <cell r="H155" t="str">
            <v>104동</v>
          </cell>
          <cell r="I155">
            <v>240408</v>
          </cell>
          <cell r="J155" t="str">
            <v>104동 PIT층(1차)</v>
          </cell>
          <cell r="K155">
            <v>210</v>
          </cell>
          <cell r="L155">
            <v>210</v>
          </cell>
          <cell r="M155">
            <v>3015</v>
          </cell>
          <cell r="N155" t="str">
            <v>신우</v>
          </cell>
          <cell r="O155" t="str">
            <v>펌프카(1대)</v>
          </cell>
          <cell r="P155">
            <v>920</v>
          </cell>
          <cell r="Q155">
            <v>1245</v>
          </cell>
          <cell r="R155">
            <v>170</v>
          </cell>
          <cell r="S155">
            <v>40</v>
          </cell>
          <cell r="T155">
            <v>93</v>
          </cell>
          <cell r="U155">
            <v>217</v>
          </cell>
          <cell r="V155"/>
          <cell r="W155" t="str">
            <v>박순홍</v>
          </cell>
          <cell r="X155" t="str">
            <v>(인)</v>
          </cell>
          <cell r="Y155" t="str">
            <v>박순홍</v>
          </cell>
          <cell r="Z155" t="str">
            <v>(인)</v>
          </cell>
          <cell r="AA155" t="str">
            <v>이홍걸</v>
          </cell>
          <cell r="AB155" t="str">
            <v>(인)</v>
          </cell>
          <cell r="AC155" t="str">
            <v>최인철</v>
          </cell>
          <cell r="AD155" t="str">
            <v>(인)</v>
          </cell>
          <cell r="AE155">
            <v>174.2</v>
          </cell>
          <cell r="AF155" t="str">
            <v>표준</v>
          </cell>
          <cell r="AG155">
            <v>1</v>
          </cell>
          <cell r="AH155">
            <v>1</v>
          </cell>
          <cell r="AI155">
            <v>2938</v>
          </cell>
          <cell r="AJ155">
            <v>2894</v>
          </cell>
          <cell r="AK155">
            <v>226800</v>
          </cell>
          <cell r="AL155">
            <v>4008</v>
          </cell>
          <cell r="AM155">
            <v>4003</v>
          </cell>
          <cell r="AN155">
            <v>4056</v>
          </cell>
          <cell r="AO155">
            <v>3833</v>
          </cell>
          <cell r="AP155">
            <v>3927</v>
          </cell>
          <cell r="AQ155">
            <v>3862</v>
          </cell>
          <cell r="AR155">
            <v>4079</v>
          </cell>
          <cell r="AS155">
            <v>4021</v>
          </cell>
          <cell r="AT155">
            <v>300800</v>
          </cell>
        </row>
        <row r="156">
          <cell r="G156">
            <v>2404080302</v>
          </cell>
          <cell r="H156" t="str">
            <v>104동</v>
          </cell>
          <cell r="I156">
            <v>240408</v>
          </cell>
          <cell r="J156" t="str">
            <v>104동 PIT층(1차)</v>
          </cell>
          <cell r="K156">
            <v>210</v>
          </cell>
          <cell r="L156">
            <v>210</v>
          </cell>
          <cell r="M156">
            <v>3015</v>
          </cell>
          <cell r="N156" t="str">
            <v>신우</v>
          </cell>
          <cell r="O156" t="str">
            <v>펌프카(1대)</v>
          </cell>
          <cell r="P156">
            <v>921</v>
          </cell>
          <cell r="Q156">
            <v>1246</v>
          </cell>
          <cell r="R156">
            <v>170</v>
          </cell>
          <cell r="S156">
            <v>45</v>
          </cell>
          <cell r="T156">
            <v>166</v>
          </cell>
          <cell r="U156">
            <v>193</v>
          </cell>
          <cell r="V156"/>
          <cell r="W156" t="str">
            <v>박순홍</v>
          </cell>
          <cell r="X156" t="str">
            <v>(인)</v>
          </cell>
          <cell r="Y156" t="str">
            <v>박순홍</v>
          </cell>
          <cell r="Z156" t="str">
            <v>(인)</v>
          </cell>
          <cell r="AA156" t="str">
            <v>이홍걸</v>
          </cell>
          <cell r="AB156" t="str">
            <v>(인)</v>
          </cell>
          <cell r="AC156" t="str">
            <v>최인철</v>
          </cell>
          <cell r="AD156" t="str">
            <v>(인)</v>
          </cell>
          <cell r="AE156">
            <v>174.8</v>
          </cell>
          <cell r="AF156" t="str">
            <v>표준</v>
          </cell>
          <cell r="AG156">
            <v>2</v>
          </cell>
          <cell r="AH156">
            <v>0</v>
          </cell>
        </row>
        <row r="157">
          <cell r="G157">
            <v>2404080401</v>
          </cell>
          <cell r="H157" t="str">
            <v>104동</v>
          </cell>
          <cell r="I157">
            <v>240408</v>
          </cell>
          <cell r="J157" t="str">
            <v>104동 및 주변주차장 지붕층(1차)</v>
          </cell>
          <cell r="K157">
            <v>270</v>
          </cell>
          <cell r="L157">
            <v>273</v>
          </cell>
          <cell r="M157">
            <v>2715</v>
          </cell>
          <cell r="N157" t="str">
            <v>영진</v>
          </cell>
          <cell r="O157" t="str">
            <v>펌프카(1대)</v>
          </cell>
          <cell r="P157">
            <v>1142</v>
          </cell>
          <cell r="Q157">
            <v>1650</v>
          </cell>
          <cell r="R157">
            <v>150</v>
          </cell>
          <cell r="S157">
            <v>48</v>
          </cell>
          <cell r="T157">
            <v>27</v>
          </cell>
          <cell r="U157">
            <v>202</v>
          </cell>
          <cell r="V157"/>
          <cell r="W157" t="str">
            <v>박순홍</v>
          </cell>
          <cell r="X157" t="str">
            <v>(인)</v>
          </cell>
          <cell r="Y157" t="str">
            <v>박순홍</v>
          </cell>
          <cell r="Z157" t="str">
            <v>(인)</v>
          </cell>
          <cell r="AA157" t="str">
            <v>이홍걸</v>
          </cell>
          <cell r="AB157" t="str">
            <v>(인)</v>
          </cell>
          <cell r="AC157" t="str">
            <v>최인철</v>
          </cell>
          <cell r="AD157" t="str">
            <v>(인)</v>
          </cell>
          <cell r="AE157">
            <v>176.7</v>
          </cell>
          <cell r="AF157" t="str">
            <v>표준</v>
          </cell>
          <cell r="AG157">
            <v>1</v>
          </cell>
          <cell r="AH157">
            <v>1</v>
          </cell>
          <cell r="AI157">
            <v>2111</v>
          </cell>
          <cell r="AJ157">
            <v>2142</v>
          </cell>
          <cell r="AK157">
            <v>167400</v>
          </cell>
          <cell r="AL157">
            <v>2969</v>
          </cell>
          <cell r="AM157">
            <v>2992</v>
          </cell>
          <cell r="AN157">
            <v>2953</v>
          </cell>
          <cell r="AO157">
            <v>3002</v>
          </cell>
          <cell r="AP157">
            <v>2972</v>
          </cell>
          <cell r="AQ157">
            <v>3062</v>
          </cell>
          <cell r="AR157">
            <v>2976</v>
          </cell>
          <cell r="AS157">
            <v>3076</v>
          </cell>
          <cell r="AT157">
            <v>235000</v>
          </cell>
        </row>
        <row r="158">
          <cell r="G158">
            <v>2404080402</v>
          </cell>
          <cell r="H158" t="str">
            <v>104동</v>
          </cell>
          <cell r="I158">
            <v>240408</v>
          </cell>
          <cell r="J158" t="str">
            <v>104동 및 주변주차장 지붕층(1차)</v>
          </cell>
          <cell r="K158">
            <v>270</v>
          </cell>
          <cell r="L158">
            <v>273</v>
          </cell>
          <cell r="M158">
            <v>2715</v>
          </cell>
          <cell r="N158" t="str">
            <v>영진</v>
          </cell>
          <cell r="O158" t="str">
            <v>펌프카(1대)</v>
          </cell>
          <cell r="P158">
            <v>1142</v>
          </cell>
          <cell r="Q158">
            <v>1650</v>
          </cell>
          <cell r="R158">
            <v>160</v>
          </cell>
          <cell r="S158">
            <v>46</v>
          </cell>
          <cell r="T158">
            <v>27</v>
          </cell>
          <cell r="U158">
            <v>174</v>
          </cell>
          <cell r="V158"/>
          <cell r="W158" t="str">
            <v>박순홍</v>
          </cell>
          <cell r="X158" t="str">
            <v>(인)</v>
          </cell>
          <cell r="Y158" t="str">
            <v>박순홍</v>
          </cell>
          <cell r="Z158" t="str">
            <v>(인)</v>
          </cell>
          <cell r="AA158" t="str">
            <v>이홍걸</v>
          </cell>
          <cell r="AB158" t="str">
            <v>(인)</v>
          </cell>
          <cell r="AC158" t="str">
            <v>최인철</v>
          </cell>
          <cell r="AD158" t="str">
            <v>(인)</v>
          </cell>
          <cell r="AE158">
            <v>173.9</v>
          </cell>
          <cell r="AF158" t="str">
            <v>표준</v>
          </cell>
          <cell r="AG158">
            <v>2</v>
          </cell>
          <cell r="AH158">
            <v>0</v>
          </cell>
        </row>
        <row r="159">
          <cell r="G159">
            <v>2404080403</v>
          </cell>
          <cell r="H159" t="str">
            <v>104동</v>
          </cell>
          <cell r="I159">
            <v>240408</v>
          </cell>
          <cell r="J159" t="str">
            <v>104동 및 주변주차장 지붕층(1차)</v>
          </cell>
          <cell r="K159">
            <v>270</v>
          </cell>
          <cell r="L159">
            <v>273</v>
          </cell>
          <cell r="M159">
            <v>2715</v>
          </cell>
          <cell r="N159" t="str">
            <v>영진</v>
          </cell>
          <cell r="O159" t="str">
            <v>펌프카(1대)</v>
          </cell>
          <cell r="P159">
            <v>1142</v>
          </cell>
          <cell r="Q159">
            <v>1650</v>
          </cell>
          <cell r="R159">
            <v>160</v>
          </cell>
          <cell r="S159">
            <v>49</v>
          </cell>
          <cell r="T159">
            <v>124</v>
          </cell>
          <cell r="U159">
            <v>207</v>
          </cell>
          <cell r="V159"/>
          <cell r="W159" t="str">
            <v>박순홍</v>
          </cell>
          <cell r="X159" t="str">
            <v>(인)</v>
          </cell>
          <cell r="Y159" t="str">
            <v>박순홍</v>
          </cell>
          <cell r="Z159" t="str">
            <v>(인)</v>
          </cell>
          <cell r="AA159" t="str">
            <v>이홍걸</v>
          </cell>
          <cell r="AB159" t="str">
            <v>(인)</v>
          </cell>
          <cell r="AC159" t="str">
            <v>최인철</v>
          </cell>
          <cell r="AD159" t="str">
            <v>(인)</v>
          </cell>
          <cell r="AE159">
            <v>175.6</v>
          </cell>
          <cell r="AF159" t="str">
            <v>표준</v>
          </cell>
          <cell r="AG159">
            <v>3</v>
          </cell>
          <cell r="AH159">
            <v>0</v>
          </cell>
        </row>
        <row r="160">
          <cell r="G160">
            <v>2404080501</v>
          </cell>
          <cell r="H160" t="str">
            <v>104동</v>
          </cell>
          <cell r="I160">
            <v>240408</v>
          </cell>
          <cell r="J160" t="str">
            <v>104동 및 주변주차장 지붕층(1차)</v>
          </cell>
          <cell r="K160">
            <v>120</v>
          </cell>
          <cell r="L160">
            <v>120</v>
          </cell>
          <cell r="M160">
            <v>2715</v>
          </cell>
          <cell r="N160" t="str">
            <v>신우</v>
          </cell>
          <cell r="O160" t="str">
            <v>펌프카(1대)</v>
          </cell>
          <cell r="P160">
            <v>1240</v>
          </cell>
          <cell r="Q160">
            <v>1435</v>
          </cell>
          <cell r="R160">
            <v>150</v>
          </cell>
          <cell r="S160">
            <v>40</v>
          </cell>
          <cell r="T160">
            <v>45</v>
          </cell>
          <cell r="U160">
            <v>218</v>
          </cell>
          <cell r="V160"/>
          <cell r="W160" t="str">
            <v>박순홍</v>
          </cell>
          <cell r="X160" t="str">
            <v>(인)</v>
          </cell>
          <cell r="Y160" t="str">
            <v>박순홍</v>
          </cell>
          <cell r="Z160" t="str">
            <v>(인)</v>
          </cell>
          <cell r="AA160" t="str">
            <v>이홍걸</v>
          </cell>
          <cell r="AB160" t="str">
            <v>(인)</v>
          </cell>
          <cell r="AC160" t="str">
            <v>최인철</v>
          </cell>
          <cell r="AD160" t="str">
            <v>(인)</v>
          </cell>
          <cell r="AE160">
            <v>183.6</v>
          </cell>
          <cell r="AF160" t="str">
            <v>표준</v>
          </cell>
          <cell r="AG160">
            <v>1</v>
          </cell>
          <cell r="AH160">
            <v>1</v>
          </cell>
          <cell r="AI160">
            <v>2630</v>
          </cell>
          <cell r="AJ160">
            <v>2586</v>
          </cell>
          <cell r="AK160">
            <v>204000</v>
          </cell>
          <cell r="AL160">
            <v>3404</v>
          </cell>
          <cell r="AM160">
            <v>3470</v>
          </cell>
          <cell r="AN160">
            <v>3402</v>
          </cell>
          <cell r="AO160">
            <v>3392</v>
          </cell>
          <cell r="AP160">
            <v>3417</v>
          </cell>
          <cell r="AQ160">
            <v>3329</v>
          </cell>
          <cell r="AR160">
            <v>3367</v>
          </cell>
          <cell r="AS160">
            <v>3294</v>
          </cell>
          <cell r="AT160">
            <v>270200</v>
          </cell>
        </row>
        <row r="161">
          <cell r="G161">
            <v>2404090101</v>
          </cell>
          <cell r="H161" t="str">
            <v>110동</v>
          </cell>
          <cell r="I161">
            <v>240409</v>
          </cell>
          <cell r="J161" t="str">
            <v>110동 및 주변주차장 버림</v>
          </cell>
          <cell r="K161">
            <v>260</v>
          </cell>
          <cell r="L161">
            <v>258</v>
          </cell>
          <cell r="M161">
            <v>1812</v>
          </cell>
          <cell r="N161" t="str">
            <v>대원</v>
          </cell>
          <cell r="O161" t="str">
            <v>펌프카(1대)</v>
          </cell>
          <cell r="P161">
            <v>912</v>
          </cell>
          <cell r="Q161">
            <v>1345</v>
          </cell>
          <cell r="R161">
            <v>130</v>
          </cell>
          <cell r="S161">
            <v>41</v>
          </cell>
          <cell r="T161">
            <v>24</v>
          </cell>
          <cell r="U161">
            <v>165</v>
          </cell>
          <cell r="V161"/>
          <cell r="W161" t="str">
            <v>박순홍</v>
          </cell>
          <cell r="X161" t="str">
            <v>(인)</v>
          </cell>
          <cell r="Y161" t="str">
            <v>박순홍</v>
          </cell>
          <cell r="Z161" t="str">
            <v>(인)</v>
          </cell>
          <cell r="AA161" t="str">
            <v>정창인</v>
          </cell>
          <cell r="AB161" t="str">
            <v>(인)</v>
          </cell>
          <cell r="AC161" t="str">
            <v>정창인</v>
          </cell>
          <cell r="AD161" t="str">
            <v>(인)</v>
          </cell>
          <cell r="AE161">
            <v>161.19999999999999</v>
          </cell>
          <cell r="AF161" t="str">
            <v>표준</v>
          </cell>
          <cell r="AG161">
            <v>1</v>
          </cell>
          <cell r="AH161">
            <v>1</v>
          </cell>
          <cell r="AI161">
            <v>1515</v>
          </cell>
          <cell r="AJ161">
            <v>1510</v>
          </cell>
          <cell r="AK161">
            <v>119400</v>
          </cell>
          <cell r="AL161">
            <v>2287</v>
          </cell>
          <cell r="AM161">
            <v>2358</v>
          </cell>
          <cell r="AN161">
            <v>2365</v>
          </cell>
          <cell r="AO161">
            <v>2271</v>
          </cell>
          <cell r="AP161">
            <v>2244</v>
          </cell>
          <cell r="AQ161">
            <v>2196</v>
          </cell>
          <cell r="AR161">
            <v>2246</v>
          </cell>
          <cell r="AS161">
            <v>2332</v>
          </cell>
          <cell r="AT161">
            <v>181600</v>
          </cell>
        </row>
        <row r="162">
          <cell r="G162">
            <v>2404090102</v>
          </cell>
          <cell r="H162" t="str">
            <v>110동</v>
          </cell>
          <cell r="I162">
            <v>240409</v>
          </cell>
          <cell r="J162" t="str">
            <v>110동 및 주변주차장 버림</v>
          </cell>
          <cell r="K162">
            <v>260</v>
          </cell>
          <cell r="L162">
            <v>258</v>
          </cell>
          <cell r="M162">
            <v>1812</v>
          </cell>
          <cell r="N162" t="str">
            <v>대원</v>
          </cell>
          <cell r="O162" t="str">
            <v>펌프카(1대)</v>
          </cell>
          <cell r="P162">
            <v>912</v>
          </cell>
          <cell r="Q162">
            <v>1345</v>
          </cell>
          <cell r="R162">
            <v>125</v>
          </cell>
          <cell r="S162">
            <v>44</v>
          </cell>
          <cell r="T162">
            <v>98</v>
          </cell>
          <cell r="U162">
            <v>172</v>
          </cell>
          <cell r="V162"/>
          <cell r="W162" t="str">
            <v>박순홍</v>
          </cell>
          <cell r="X162" t="str">
            <v>(인)</v>
          </cell>
          <cell r="Y162" t="str">
            <v>박순홍</v>
          </cell>
          <cell r="Z162" t="str">
            <v>(인)</v>
          </cell>
          <cell r="AA162" t="str">
            <v>정창인</v>
          </cell>
          <cell r="AB162" t="str">
            <v>(인)</v>
          </cell>
          <cell r="AC162" t="str">
            <v>정창인</v>
          </cell>
          <cell r="AD162" t="str">
            <v>(인)</v>
          </cell>
          <cell r="AE162">
            <v>164.1</v>
          </cell>
          <cell r="AF162" t="str">
            <v>표준</v>
          </cell>
          <cell r="AG162">
            <v>2</v>
          </cell>
          <cell r="AH162">
            <v>0</v>
          </cell>
        </row>
        <row r="163">
          <cell r="G163">
            <v>2404090103</v>
          </cell>
          <cell r="H163" t="str">
            <v>110동</v>
          </cell>
          <cell r="I163">
            <v>240409</v>
          </cell>
          <cell r="J163" t="str">
            <v>110동 및 주변주차장 버림</v>
          </cell>
          <cell r="K163">
            <v>260</v>
          </cell>
          <cell r="L163">
            <v>258</v>
          </cell>
          <cell r="M163">
            <v>1812</v>
          </cell>
          <cell r="N163" t="str">
            <v>대원</v>
          </cell>
          <cell r="O163" t="str">
            <v>펌프카(1대)</v>
          </cell>
          <cell r="P163">
            <v>912</v>
          </cell>
          <cell r="Q163">
            <v>1345</v>
          </cell>
          <cell r="R163">
            <v>130</v>
          </cell>
          <cell r="S163">
            <v>49</v>
          </cell>
          <cell r="T163">
            <v>130</v>
          </cell>
          <cell r="U163">
            <v>180</v>
          </cell>
          <cell r="V163"/>
          <cell r="W163" t="str">
            <v>박순홍</v>
          </cell>
          <cell r="X163" t="str">
            <v>(인)</v>
          </cell>
          <cell r="Y163" t="str">
            <v>박순홍</v>
          </cell>
          <cell r="Z163" t="str">
            <v>(인)</v>
          </cell>
          <cell r="AA163" t="str">
            <v>정창인</v>
          </cell>
          <cell r="AB163" t="str">
            <v>(인)</v>
          </cell>
          <cell r="AC163" t="str">
            <v>정창인</v>
          </cell>
          <cell r="AD163" t="str">
            <v>(인)</v>
          </cell>
          <cell r="AE163">
            <v>172.3</v>
          </cell>
          <cell r="AF163" t="str">
            <v>표준</v>
          </cell>
          <cell r="AG163">
            <v>3</v>
          </cell>
          <cell r="AH163">
            <v>0</v>
          </cell>
        </row>
        <row r="164">
          <cell r="G164">
            <v>2404090201</v>
          </cell>
          <cell r="H164" t="str">
            <v>109동</v>
          </cell>
          <cell r="I164">
            <v>240409</v>
          </cell>
          <cell r="J164" t="str">
            <v>109동 E/V 기초</v>
          </cell>
          <cell r="K164">
            <v>90</v>
          </cell>
          <cell r="L164">
            <v>96</v>
          </cell>
          <cell r="M164">
            <v>2415</v>
          </cell>
          <cell r="N164" t="str">
            <v>대원</v>
          </cell>
          <cell r="O164" t="str">
            <v>펌프카(1대)</v>
          </cell>
          <cell r="P164">
            <v>1330</v>
          </cell>
          <cell r="Q164">
            <v>1535</v>
          </cell>
          <cell r="R164">
            <v>170</v>
          </cell>
          <cell r="S164">
            <v>50</v>
          </cell>
          <cell r="T164">
            <v>59</v>
          </cell>
          <cell r="U164">
            <v>215</v>
          </cell>
          <cell r="V164"/>
          <cell r="W164" t="str">
            <v>박순홍</v>
          </cell>
          <cell r="X164" t="str">
            <v>(인)</v>
          </cell>
          <cell r="Y164" t="str">
            <v>박순홍</v>
          </cell>
          <cell r="Z164" t="str">
            <v>(인)</v>
          </cell>
          <cell r="AA164" t="str">
            <v>이루비</v>
          </cell>
          <cell r="AB164" t="str">
            <v>(인)</v>
          </cell>
          <cell r="AC164" t="str">
            <v>정창인</v>
          </cell>
          <cell r="AD164" t="str">
            <v>(인)</v>
          </cell>
          <cell r="AE164">
            <v>181.2</v>
          </cell>
          <cell r="AF164" t="str">
            <v>표준</v>
          </cell>
          <cell r="AG164">
            <v>1</v>
          </cell>
          <cell r="AH164">
            <v>1</v>
          </cell>
          <cell r="AI164">
            <v>2014</v>
          </cell>
          <cell r="AJ164">
            <v>1992</v>
          </cell>
          <cell r="AK164">
            <v>162200</v>
          </cell>
          <cell r="AL164">
            <v>3411</v>
          </cell>
          <cell r="AM164">
            <v>3374</v>
          </cell>
          <cell r="AN164">
            <v>3284</v>
          </cell>
          <cell r="AO164">
            <v>3369</v>
          </cell>
          <cell r="AP164">
            <v>3304</v>
          </cell>
          <cell r="AQ164">
            <v>3287</v>
          </cell>
          <cell r="AR164">
            <v>3219</v>
          </cell>
          <cell r="AS164">
            <v>3320</v>
          </cell>
          <cell r="AT164">
            <v>261400</v>
          </cell>
        </row>
        <row r="165">
          <cell r="G165">
            <v>2404100100</v>
          </cell>
          <cell r="H165" t="str">
            <v>CIP</v>
          </cell>
          <cell r="I165">
            <v>240410</v>
          </cell>
          <cell r="J165" t="str">
            <v>CIP캡빔</v>
          </cell>
          <cell r="K165">
            <v>7</v>
          </cell>
          <cell r="L165">
            <v>7</v>
          </cell>
          <cell r="M165">
            <v>2118</v>
          </cell>
          <cell r="N165" t="str">
            <v>대공</v>
          </cell>
          <cell r="O165" t="str">
            <v>직접타설</v>
          </cell>
          <cell r="P165">
            <v>1035</v>
          </cell>
          <cell r="Q165">
            <v>1125</v>
          </cell>
          <cell r="R165">
            <v>190</v>
          </cell>
          <cell r="S165">
            <v>46</v>
          </cell>
          <cell r="T165">
            <v>45</v>
          </cell>
          <cell r="U165">
            <v>207</v>
          </cell>
          <cell r="V165"/>
          <cell r="W165" t="str">
            <v>박순홍</v>
          </cell>
          <cell r="X165" t="str">
            <v>(인)</v>
          </cell>
          <cell r="Y165" t="str">
            <v>박순홍</v>
          </cell>
          <cell r="Z165" t="str">
            <v>(인)</v>
          </cell>
          <cell r="AA165" t="str">
            <v>이루비</v>
          </cell>
          <cell r="AB165" t="str">
            <v>(인)</v>
          </cell>
          <cell r="AC165" t="str">
            <v>박상갑</v>
          </cell>
          <cell r="AD165" t="str">
            <v>(인)</v>
          </cell>
          <cell r="AE165">
            <v>186.4</v>
          </cell>
          <cell r="AF165" t="str">
            <v>표준</v>
          </cell>
          <cell r="AG165">
            <v>0</v>
          </cell>
          <cell r="AH165">
            <v>0</v>
          </cell>
        </row>
        <row r="166">
          <cell r="G166">
            <v>2404110101</v>
          </cell>
          <cell r="H166" t="str">
            <v>102동</v>
          </cell>
          <cell r="I166">
            <v>240411</v>
          </cell>
          <cell r="J166" t="str">
            <v>102동 우수조</v>
          </cell>
          <cell r="K166">
            <v>70</v>
          </cell>
          <cell r="L166">
            <v>72</v>
          </cell>
          <cell r="M166">
            <v>3018</v>
          </cell>
          <cell r="N166" t="str">
            <v>울산</v>
          </cell>
          <cell r="O166" t="str">
            <v>펌프카(1대)</v>
          </cell>
          <cell r="P166">
            <v>840</v>
          </cell>
          <cell r="Q166">
            <v>1021</v>
          </cell>
          <cell r="R166">
            <v>170</v>
          </cell>
          <cell r="S166">
            <v>38</v>
          </cell>
          <cell r="T166">
            <v>53</v>
          </cell>
          <cell r="U166">
            <v>179</v>
          </cell>
          <cell r="V166"/>
          <cell r="W166" t="str">
            <v>박순홍</v>
          </cell>
          <cell r="X166" t="str">
            <v>(인)</v>
          </cell>
          <cell r="Y166" t="str">
            <v>박순홍</v>
          </cell>
          <cell r="Z166" t="str">
            <v>(인)</v>
          </cell>
          <cell r="AA166" t="str">
            <v>이홍걸</v>
          </cell>
          <cell r="AB166" t="str">
            <v>(인)</v>
          </cell>
          <cell r="AC166" t="str">
            <v>이홍걸</v>
          </cell>
          <cell r="AD166" t="str">
            <v>(인)</v>
          </cell>
          <cell r="AE166">
            <v>184.5</v>
          </cell>
          <cell r="AF166" t="str">
            <v>표준</v>
          </cell>
          <cell r="AG166">
            <v>1</v>
          </cell>
          <cell r="AH166">
            <v>1</v>
          </cell>
          <cell r="AI166">
            <v>2431</v>
          </cell>
          <cell r="AJ166">
            <v>2436</v>
          </cell>
          <cell r="AK166">
            <v>193000</v>
          </cell>
          <cell r="AL166">
            <v>3447</v>
          </cell>
          <cell r="AM166">
            <v>3435</v>
          </cell>
          <cell r="AN166">
            <v>3409</v>
          </cell>
          <cell r="AO166">
            <v>3397</v>
          </cell>
          <cell r="AP166">
            <v>3364</v>
          </cell>
          <cell r="AQ166">
            <v>3506</v>
          </cell>
          <cell r="AR166">
            <v>3427</v>
          </cell>
          <cell r="AS166">
            <v>3421</v>
          </cell>
          <cell r="AT166">
            <v>261200</v>
          </cell>
        </row>
        <row r="167">
          <cell r="G167">
            <v>2404110201</v>
          </cell>
          <cell r="H167" t="str">
            <v>101동</v>
          </cell>
          <cell r="I167">
            <v>240411</v>
          </cell>
          <cell r="J167" t="str">
            <v>101동 및 T/C(#8) 버림</v>
          </cell>
          <cell r="K167">
            <v>120</v>
          </cell>
          <cell r="L167">
            <v>120</v>
          </cell>
          <cell r="M167">
            <v>1812</v>
          </cell>
          <cell r="N167" t="str">
            <v>울산</v>
          </cell>
          <cell r="O167" t="str">
            <v>펌프카(1대)</v>
          </cell>
          <cell r="P167">
            <v>1021</v>
          </cell>
          <cell r="Q167">
            <v>1434</v>
          </cell>
          <cell r="R167">
            <v>135</v>
          </cell>
          <cell r="S167">
            <v>38</v>
          </cell>
          <cell r="T167">
            <v>82</v>
          </cell>
          <cell r="U167">
            <v>186</v>
          </cell>
          <cell r="V167"/>
          <cell r="W167" t="str">
            <v>박순홍</v>
          </cell>
          <cell r="X167" t="str">
            <v>(인)</v>
          </cell>
          <cell r="Y167" t="str">
            <v>박순홍</v>
          </cell>
          <cell r="Z167" t="str">
            <v>(인)</v>
          </cell>
          <cell r="AA167" t="str">
            <v>이홍걸</v>
          </cell>
          <cell r="AB167" t="str">
            <v>(인)</v>
          </cell>
          <cell r="AC167" t="str">
            <v>이홍걸</v>
          </cell>
          <cell r="AD167" t="str">
            <v>(인)</v>
          </cell>
          <cell r="AE167">
            <v>173.7</v>
          </cell>
          <cell r="AF167" t="str">
            <v>표준</v>
          </cell>
          <cell r="AG167">
            <v>1</v>
          </cell>
          <cell r="AH167">
            <v>1</v>
          </cell>
          <cell r="AI167">
            <v>1535</v>
          </cell>
          <cell r="AJ167">
            <v>1507</v>
          </cell>
          <cell r="AK167">
            <v>119800</v>
          </cell>
          <cell r="AL167">
            <v>2294</v>
          </cell>
          <cell r="AM167">
            <v>2209</v>
          </cell>
          <cell r="AN167">
            <v>2223</v>
          </cell>
          <cell r="AO167">
            <v>2272</v>
          </cell>
          <cell r="AP167">
            <v>2302</v>
          </cell>
          <cell r="AQ167">
            <v>2172</v>
          </cell>
          <cell r="AR167">
            <v>2184</v>
          </cell>
          <cell r="AS167">
            <v>2192</v>
          </cell>
          <cell r="AT167">
            <v>175200</v>
          </cell>
        </row>
        <row r="168">
          <cell r="G168">
            <v>2404150100</v>
          </cell>
          <cell r="H168" t="str">
            <v>CIP</v>
          </cell>
          <cell r="I168">
            <v>240415</v>
          </cell>
          <cell r="J168" t="str">
            <v>CIP캡빔</v>
          </cell>
          <cell r="K168">
            <v>21</v>
          </cell>
          <cell r="L168">
            <v>21</v>
          </cell>
          <cell r="M168">
            <v>2118</v>
          </cell>
          <cell r="N168" t="str">
            <v>대공</v>
          </cell>
          <cell r="O168" t="str">
            <v>펌프카(1대)</v>
          </cell>
          <cell r="P168">
            <v>940</v>
          </cell>
          <cell r="Q168">
            <v>1145</v>
          </cell>
          <cell r="R168">
            <v>180</v>
          </cell>
          <cell r="S168">
            <v>42</v>
          </cell>
          <cell r="T168">
            <v>48</v>
          </cell>
          <cell r="U168">
            <v>191</v>
          </cell>
          <cell r="V168"/>
          <cell r="W168" t="str">
            <v>박순홍</v>
          </cell>
          <cell r="X168" t="str">
            <v>(인)</v>
          </cell>
          <cell r="Y168" t="str">
            <v>박순홍</v>
          </cell>
          <cell r="Z168" t="str">
            <v>(인)</v>
          </cell>
          <cell r="AA168" t="str">
            <v>박상갑</v>
          </cell>
          <cell r="AB168" t="str">
            <v>(인)</v>
          </cell>
          <cell r="AC168" t="str">
            <v>박상갑</v>
          </cell>
          <cell r="AD168" t="str">
            <v>(인)</v>
          </cell>
          <cell r="AE168">
            <v>174.8</v>
          </cell>
          <cell r="AF168" t="str">
            <v>표준</v>
          </cell>
          <cell r="AG168">
            <v>0</v>
          </cell>
          <cell r="AH168">
            <v>0</v>
          </cell>
        </row>
        <row r="169">
          <cell r="G169">
            <v>2404160101</v>
          </cell>
          <cell r="H169" t="str">
            <v>109동</v>
          </cell>
          <cell r="I169">
            <v>240416</v>
          </cell>
          <cell r="J169" t="str">
            <v>109동 및 T/C(#8) 기초</v>
          </cell>
          <cell r="K169">
            <v>700</v>
          </cell>
          <cell r="L169">
            <v>699</v>
          </cell>
          <cell r="M169">
            <v>2415</v>
          </cell>
          <cell r="N169" t="str">
            <v>대공</v>
          </cell>
          <cell r="O169" t="str">
            <v>펌프카(1대)</v>
          </cell>
          <cell r="P169">
            <v>749</v>
          </cell>
          <cell r="Q169">
            <v>1725</v>
          </cell>
          <cell r="R169">
            <v>150</v>
          </cell>
          <cell r="S169">
            <v>49</v>
          </cell>
          <cell r="T169">
            <v>34</v>
          </cell>
          <cell r="U169">
            <v>180</v>
          </cell>
          <cell r="V169"/>
          <cell r="W169" t="str">
            <v>박순홍</v>
          </cell>
          <cell r="X169" t="str">
            <v>(인)</v>
          </cell>
          <cell r="Y169" t="str">
            <v>박순홍</v>
          </cell>
          <cell r="Z169" t="str">
            <v>(인)</v>
          </cell>
          <cell r="AA169" t="str">
            <v>정창인</v>
          </cell>
          <cell r="AB169" t="str">
            <v>(인)</v>
          </cell>
          <cell r="AC169" t="str">
            <v>정창인</v>
          </cell>
          <cell r="AD169" t="str">
            <v>(인)</v>
          </cell>
          <cell r="AE169">
            <v>178.5</v>
          </cell>
          <cell r="AF169" t="str">
            <v>표준</v>
          </cell>
          <cell r="AG169">
            <v>1</v>
          </cell>
          <cell r="AH169">
            <v>1</v>
          </cell>
          <cell r="AI169">
            <v>2332</v>
          </cell>
          <cell r="AJ169">
            <v>2326</v>
          </cell>
          <cell r="AK169">
            <v>189200</v>
          </cell>
          <cell r="AL169">
            <v>3437</v>
          </cell>
          <cell r="AM169">
            <v>3409</v>
          </cell>
          <cell r="AN169">
            <v>3437</v>
          </cell>
          <cell r="AO169">
            <v>3412</v>
          </cell>
          <cell r="AP169">
            <v>3392</v>
          </cell>
          <cell r="AQ169">
            <v>3506</v>
          </cell>
          <cell r="AR169">
            <v>3394</v>
          </cell>
          <cell r="AS169">
            <v>3506</v>
          </cell>
          <cell r="AT169">
            <v>273000</v>
          </cell>
        </row>
        <row r="170">
          <cell r="G170">
            <v>2404160102</v>
          </cell>
          <cell r="H170" t="str">
            <v>109동</v>
          </cell>
          <cell r="I170">
            <v>240416</v>
          </cell>
          <cell r="J170" t="str">
            <v>109동 및 T/C(#8) 기초</v>
          </cell>
          <cell r="K170">
            <v>700</v>
          </cell>
          <cell r="L170">
            <v>699</v>
          </cell>
          <cell r="M170">
            <v>2415</v>
          </cell>
          <cell r="N170" t="str">
            <v>대공</v>
          </cell>
          <cell r="O170" t="str">
            <v>펌프카(1대)</v>
          </cell>
          <cell r="P170">
            <v>749</v>
          </cell>
          <cell r="Q170">
            <v>1725</v>
          </cell>
          <cell r="R170">
            <v>160</v>
          </cell>
          <cell r="S170">
            <v>41</v>
          </cell>
          <cell r="T170">
            <v>23</v>
          </cell>
          <cell r="U170">
            <v>187</v>
          </cell>
          <cell r="V170"/>
          <cell r="W170" t="str">
            <v>박순홍</v>
          </cell>
          <cell r="X170" t="str">
            <v>(인)</v>
          </cell>
          <cell r="Y170" t="str">
            <v>박순홍</v>
          </cell>
          <cell r="Z170" t="str">
            <v>(인)</v>
          </cell>
          <cell r="AA170" t="str">
            <v>이루비</v>
          </cell>
          <cell r="AB170" t="str">
            <v>(인)</v>
          </cell>
          <cell r="AC170" t="str">
            <v>정창인</v>
          </cell>
          <cell r="AD170" t="str">
            <v>(인)</v>
          </cell>
          <cell r="AE170">
            <v>179.5</v>
          </cell>
          <cell r="AF170" t="str">
            <v>표준</v>
          </cell>
          <cell r="AG170">
            <v>2</v>
          </cell>
          <cell r="AH170">
            <v>0</v>
          </cell>
        </row>
        <row r="171">
          <cell r="G171">
            <v>2404160103</v>
          </cell>
          <cell r="H171" t="str">
            <v>109동</v>
          </cell>
          <cell r="I171">
            <v>240416</v>
          </cell>
          <cell r="J171" t="str">
            <v>109동 및 T/C(#8) 기초</v>
          </cell>
          <cell r="K171">
            <v>700</v>
          </cell>
          <cell r="L171">
            <v>699</v>
          </cell>
          <cell r="M171">
            <v>2415</v>
          </cell>
          <cell r="N171" t="str">
            <v>대공</v>
          </cell>
          <cell r="O171" t="str">
            <v>펌프카(1대)</v>
          </cell>
          <cell r="P171">
            <v>749</v>
          </cell>
          <cell r="Q171">
            <v>1725</v>
          </cell>
          <cell r="R171">
            <v>165</v>
          </cell>
          <cell r="S171">
            <v>44</v>
          </cell>
          <cell r="T171">
            <v>20</v>
          </cell>
          <cell r="U171">
            <v>201</v>
          </cell>
          <cell r="V171"/>
          <cell r="W171" t="str">
            <v>박순홍</v>
          </cell>
          <cell r="X171" t="str">
            <v>(인)</v>
          </cell>
          <cell r="Y171" t="str">
            <v>박순홍</v>
          </cell>
          <cell r="Z171" t="str">
            <v>(인)</v>
          </cell>
          <cell r="AA171" t="str">
            <v>이루비</v>
          </cell>
          <cell r="AB171" t="str">
            <v>(인)</v>
          </cell>
          <cell r="AC171" t="str">
            <v>정창인</v>
          </cell>
          <cell r="AD171" t="str">
            <v>(인)</v>
          </cell>
          <cell r="AE171">
            <v>179.1</v>
          </cell>
          <cell r="AF171" t="str">
            <v>표준</v>
          </cell>
          <cell r="AG171">
            <v>3</v>
          </cell>
          <cell r="AH171">
            <v>0</v>
          </cell>
        </row>
        <row r="172">
          <cell r="G172">
            <v>2404160104</v>
          </cell>
          <cell r="H172" t="str">
            <v>109동</v>
          </cell>
          <cell r="I172">
            <v>240416</v>
          </cell>
          <cell r="J172" t="str">
            <v>109동 및 T/C(#8) 기초</v>
          </cell>
          <cell r="K172">
            <v>700</v>
          </cell>
          <cell r="L172">
            <v>699</v>
          </cell>
          <cell r="M172">
            <v>2415</v>
          </cell>
          <cell r="N172" t="str">
            <v>대공</v>
          </cell>
          <cell r="O172" t="str">
            <v>펌프카(1대)</v>
          </cell>
          <cell r="P172">
            <v>749</v>
          </cell>
          <cell r="Q172">
            <v>1725</v>
          </cell>
          <cell r="R172">
            <v>170</v>
          </cell>
          <cell r="S172">
            <v>39</v>
          </cell>
          <cell r="T172">
            <v>19</v>
          </cell>
          <cell r="U172">
            <v>241</v>
          </cell>
          <cell r="V172"/>
          <cell r="W172" t="str">
            <v>박순홍</v>
          </cell>
          <cell r="X172" t="str">
            <v>(인)</v>
          </cell>
          <cell r="Y172" t="str">
            <v>박순홍</v>
          </cell>
          <cell r="Z172" t="str">
            <v>(인)</v>
          </cell>
          <cell r="AA172" t="str">
            <v>이루비</v>
          </cell>
          <cell r="AB172" t="str">
            <v>(인)</v>
          </cell>
          <cell r="AC172" t="str">
            <v>정창인</v>
          </cell>
          <cell r="AD172" t="str">
            <v>(인)</v>
          </cell>
          <cell r="AE172">
            <v>178.6</v>
          </cell>
          <cell r="AF172" t="str">
            <v>표준</v>
          </cell>
          <cell r="AG172">
            <v>4</v>
          </cell>
          <cell r="AH172">
            <v>1</v>
          </cell>
          <cell r="AL172">
            <v>3392</v>
          </cell>
          <cell r="AM172">
            <v>3481</v>
          </cell>
          <cell r="AN172">
            <v>3432</v>
          </cell>
          <cell r="AO172">
            <v>3402</v>
          </cell>
          <cell r="AP172">
            <v>3389</v>
          </cell>
          <cell r="AQ172">
            <v>3402</v>
          </cell>
          <cell r="AR172">
            <v>3392</v>
          </cell>
          <cell r="AS172">
            <v>3406</v>
          </cell>
          <cell r="AT172">
            <v>266200</v>
          </cell>
        </row>
        <row r="173">
          <cell r="G173">
            <v>2404160105</v>
          </cell>
          <cell r="H173" t="str">
            <v>109동</v>
          </cell>
          <cell r="I173">
            <v>240416</v>
          </cell>
          <cell r="J173" t="str">
            <v>109동 및 T/C(#8) 기초</v>
          </cell>
          <cell r="K173">
            <v>700</v>
          </cell>
          <cell r="L173">
            <v>699</v>
          </cell>
          <cell r="M173">
            <v>2415</v>
          </cell>
          <cell r="N173" t="str">
            <v>대공</v>
          </cell>
          <cell r="O173" t="str">
            <v>펌프카(1대)</v>
          </cell>
          <cell r="P173">
            <v>749</v>
          </cell>
          <cell r="Q173">
            <v>1725</v>
          </cell>
          <cell r="R173">
            <v>170</v>
          </cell>
          <cell r="S173">
            <v>49</v>
          </cell>
          <cell r="T173">
            <v>24</v>
          </cell>
          <cell r="U173">
            <v>224</v>
          </cell>
          <cell r="V173"/>
          <cell r="W173" t="str">
            <v>박순홍</v>
          </cell>
          <cell r="X173" t="str">
            <v>(인)</v>
          </cell>
          <cell r="Y173" t="str">
            <v>박순홍</v>
          </cell>
          <cell r="Z173" t="str">
            <v>(인)</v>
          </cell>
          <cell r="AA173" t="str">
            <v>이루비</v>
          </cell>
          <cell r="AB173" t="str">
            <v>(인)</v>
          </cell>
          <cell r="AC173" t="str">
            <v>정창인</v>
          </cell>
          <cell r="AD173" t="str">
            <v>(인)</v>
          </cell>
          <cell r="AE173">
            <v>175.7</v>
          </cell>
          <cell r="AF173" t="str">
            <v>표준</v>
          </cell>
          <cell r="AG173">
            <v>5</v>
          </cell>
          <cell r="AH173">
            <v>0</v>
          </cell>
        </row>
        <row r="174">
          <cell r="G174">
            <v>2404160106</v>
          </cell>
          <cell r="H174" t="str">
            <v>109동</v>
          </cell>
          <cell r="I174">
            <v>240416</v>
          </cell>
          <cell r="J174" t="str">
            <v>109동 및 T/C(#8) 기초</v>
          </cell>
          <cell r="K174">
            <v>700</v>
          </cell>
          <cell r="L174">
            <v>699</v>
          </cell>
          <cell r="M174">
            <v>2415</v>
          </cell>
          <cell r="N174" t="str">
            <v>대공</v>
          </cell>
          <cell r="O174" t="str">
            <v>펌프카(1대)</v>
          </cell>
          <cell r="P174">
            <v>749</v>
          </cell>
          <cell r="Q174">
            <v>1725</v>
          </cell>
          <cell r="R174">
            <v>175</v>
          </cell>
          <cell r="S174">
            <v>51</v>
          </cell>
          <cell r="T174">
            <v>70</v>
          </cell>
          <cell r="U174">
            <v>230</v>
          </cell>
          <cell r="V174"/>
          <cell r="W174" t="str">
            <v>박순홍</v>
          </cell>
          <cell r="X174" t="str">
            <v>(인)</v>
          </cell>
          <cell r="Y174" t="str">
            <v>박순홍</v>
          </cell>
          <cell r="Z174" t="str">
            <v>(인)</v>
          </cell>
          <cell r="AA174" t="str">
            <v>이루비</v>
          </cell>
          <cell r="AB174" t="str">
            <v>(인)</v>
          </cell>
          <cell r="AC174" t="str">
            <v>정창인</v>
          </cell>
          <cell r="AD174" t="str">
            <v>(인)</v>
          </cell>
          <cell r="AE174">
            <v>176.7</v>
          </cell>
          <cell r="AF174" t="str">
            <v>표준</v>
          </cell>
          <cell r="AG174">
            <v>6</v>
          </cell>
          <cell r="AH174">
            <v>0</v>
          </cell>
        </row>
        <row r="175">
          <cell r="G175">
            <v>2404160201</v>
          </cell>
          <cell r="H175" t="str">
            <v>109동</v>
          </cell>
          <cell r="I175">
            <v>240416</v>
          </cell>
          <cell r="J175" t="str">
            <v>109동 및 주변 주차장 기초</v>
          </cell>
          <cell r="K175">
            <v>900</v>
          </cell>
          <cell r="L175">
            <v>900</v>
          </cell>
          <cell r="M175">
            <v>2415</v>
          </cell>
          <cell r="N175" t="str">
            <v>용호</v>
          </cell>
          <cell r="O175" t="str">
            <v>펌프카(1대)</v>
          </cell>
          <cell r="P175">
            <v>753</v>
          </cell>
          <cell r="Q175">
            <v>1802</v>
          </cell>
          <cell r="R175">
            <v>160</v>
          </cell>
          <cell r="S175">
            <v>48</v>
          </cell>
          <cell r="T175">
            <v>49</v>
          </cell>
          <cell r="U175">
            <v>187</v>
          </cell>
          <cell r="V175"/>
          <cell r="W175" t="str">
            <v>박순홍</v>
          </cell>
          <cell r="X175" t="str">
            <v>(인)</v>
          </cell>
          <cell r="Y175" t="str">
            <v>박순홍</v>
          </cell>
          <cell r="Z175" t="str">
            <v>(인)</v>
          </cell>
          <cell r="AA175" t="str">
            <v>정창인</v>
          </cell>
          <cell r="AB175" t="str">
            <v>(인)</v>
          </cell>
          <cell r="AC175" t="str">
            <v>정창인</v>
          </cell>
          <cell r="AD175" t="str">
            <v>(인)</v>
          </cell>
          <cell r="AE175">
            <v>173</v>
          </cell>
          <cell r="AF175" t="str">
            <v>표준</v>
          </cell>
          <cell r="AG175">
            <v>1</v>
          </cell>
          <cell r="AH175">
            <v>1</v>
          </cell>
          <cell r="AI175">
            <v>2202</v>
          </cell>
          <cell r="AJ175">
            <v>2306</v>
          </cell>
          <cell r="AK175">
            <v>176200</v>
          </cell>
          <cell r="AL175">
            <v>3302</v>
          </cell>
          <cell r="AM175">
            <v>3399</v>
          </cell>
          <cell r="AN175">
            <v>3379</v>
          </cell>
          <cell r="AO175">
            <v>3302</v>
          </cell>
          <cell r="AP175">
            <v>3406</v>
          </cell>
          <cell r="AQ175">
            <v>3279</v>
          </cell>
          <cell r="AR175">
            <v>3310</v>
          </cell>
          <cell r="AS175">
            <v>3314</v>
          </cell>
          <cell r="AT175">
            <v>263200</v>
          </cell>
        </row>
        <row r="176">
          <cell r="G176">
            <v>2404160202</v>
          </cell>
          <cell r="H176" t="str">
            <v>109동</v>
          </cell>
          <cell r="I176">
            <v>240416</v>
          </cell>
          <cell r="J176" t="str">
            <v>109동 및 주변 주차장 기초</v>
          </cell>
          <cell r="K176">
            <v>900</v>
          </cell>
          <cell r="L176">
            <v>900</v>
          </cell>
          <cell r="M176">
            <v>2415</v>
          </cell>
          <cell r="N176" t="str">
            <v>용호</v>
          </cell>
          <cell r="O176" t="str">
            <v>펌프카(1대)</v>
          </cell>
          <cell r="P176">
            <v>753</v>
          </cell>
          <cell r="Q176">
            <v>1802</v>
          </cell>
          <cell r="R176">
            <v>160</v>
          </cell>
          <cell r="S176">
            <v>46</v>
          </cell>
          <cell r="T176">
            <v>39</v>
          </cell>
          <cell r="U176">
            <v>205</v>
          </cell>
          <cell r="V176"/>
          <cell r="W176" t="str">
            <v>박순홍</v>
          </cell>
          <cell r="X176" t="str">
            <v>(인)</v>
          </cell>
          <cell r="Y176" t="str">
            <v>박순홍</v>
          </cell>
          <cell r="Z176" t="str">
            <v>(인)</v>
          </cell>
          <cell r="AA176" t="str">
            <v>이루비</v>
          </cell>
          <cell r="AB176" t="str">
            <v>(인)</v>
          </cell>
          <cell r="AC176" t="str">
            <v>정창인</v>
          </cell>
          <cell r="AD176" t="str">
            <v>(인)</v>
          </cell>
          <cell r="AE176">
            <v>178.6</v>
          </cell>
          <cell r="AF176" t="str">
            <v>표준</v>
          </cell>
          <cell r="AG176">
            <v>2</v>
          </cell>
          <cell r="AH176">
            <v>0</v>
          </cell>
        </row>
        <row r="177">
          <cell r="G177">
            <v>2404160203</v>
          </cell>
          <cell r="H177" t="str">
            <v>109동</v>
          </cell>
          <cell r="I177">
            <v>240416</v>
          </cell>
          <cell r="J177" t="str">
            <v>109동 및 주변 주차장 기초</v>
          </cell>
          <cell r="K177">
            <v>900</v>
          </cell>
          <cell r="L177">
            <v>900</v>
          </cell>
          <cell r="M177">
            <v>2415</v>
          </cell>
          <cell r="N177" t="str">
            <v>용호</v>
          </cell>
          <cell r="O177" t="str">
            <v>펌프카(1대)</v>
          </cell>
          <cell r="P177">
            <v>753</v>
          </cell>
          <cell r="Q177">
            <v>1802</v>
          </cell>
          <cell r="R177">
            <v>165</v>
          </cell>
          <cell r="S177">
            <v>46</v>
          </cell>
          <cell r="T177">
            <v>36</v>
          </cell>
          <cell r="U177">
            <v>216</v>
          </cell>
          <cell r="V177"/>
          <cell r="W177" t="str">
            <v>박순홍</v>
          </cell>
          <cell r="X177" t="str">
            <v>(인)</v>
          </cell>
          <cell r="Y177" t="str">
            <v>박순홍</v>
          </cell>
          <cell r="Z177" t="str">
            <v>(인)</v>
          </cell>
          <cell r="AA177" t="str">
            <v>이루비</v>
          </cell>
          <cell r="AB177" t="str">
            <v>(인)</v>
          </cell>
          <cell r="AC177" t="str">
            <v>정창인</v>
          </cell>
          <cell r="AD177" t="str">
            <v>(인)</v>
          </cell>
          <cell r="AE177">
            <v>179.1</v>
          </cell>
          <cell r="AF177" t="str">
            <v>표준</v>
          </cell>
          <cell r="AG177">
            <v>3</v>
          </cell>
          <cell r="AH177">
            <v>0</v>
          </cell>
        </row>
        <row r="178">
          <cell r="G178">
            <v>2404160204</v>
          </cell>
          <cell r="H178" t="str">
            <v>109동</v>
          </cell>
          <cell r="I178">
            <v>240416</v>
          </cell>
          <cell r="J178" t="str">
            <v>109동 및 주변 주차장 기초</v>
          </cell>
          <cell r="K178">
            <v>900</v>
          </cell>
          <cell r="L178">
            <v>900</v>
          </cell>
          <cell r="M178">
            <v>2415</v>
          </cell>
          <cell r="N178" t="str">
            <v>용호</v>
          </cell>
          <cell r="O178" t="str">
            <v>펌프카(1대)</v>
          </cell>
          <cell r="P178">
            <v>753</v>
          </cell>
          <cell r="Q178">
            <v>1802</v>
          </cell>
          <cell r="R178">
            <v>165</v>
          </cell>
          <cell r="S178">
            <v>51</v>
          </cell>
          <cell r="T178">
            <v>35</v>
          </cell>
          <cell r="U178">
            <v>207</v>
          </cell>
          <cell r="V178"/>
          <cell r="W178" t="str">
            <v>박순홍</v>
          </cell>
          <cell r="X178" t="str">
            <v>(인)</v>
          </cell>
          <cell r="Y178" t="str">
            <v>박순홍</v>
          </cell>
          <cell r="Z178" t="str">
            <v>(인)</v>
          </cell>
          <cell r="AA178" t="str">
            <v>이루비</v>
          </cell>
          <cell r="AB178" t="str">
            <v>(인)</v>
          </cell>
          <cell r="AC178" t="str">
            <v>정창인</v>
          </cell>
          <cell r="AD178" t="str">
            <v>(인)</v>
          </cell>
          <cell r="AE178">
            <v>179.2</v>
          </cell>
          <cell r="AF178" t="str">
            <v>표준</v>
          </cell>
          <cell r="AG178">
            <v>4</v>
          </cell>
          <cell r="AH178">
            <v>1</v>
          </cell>
          <cell r="AL178">
            <v>3363</v>
          </cell>
          <cell r="AM178">
            <v>3249</v>
          </cell>
          <cell r="AN178">
            <v>3277</v>
          </cell>
          <cell r="AO178">
            <v>3296</v>
          </cell>
          <cell r="AP178">
            <v>3306</v>
          </cell>
          <cell r="AQ178">
            <v>3292</v>
          </cell>
          <cell r="AR178">
            <v>3306</v>
          </cell>
          <cell r="AS178">
            <v>3209</v>
          </cell>
          <cell r="AT178">
            <v>263800</v>
          </cell>
        </row>
        <row r="179">
          <cell r="G179">
            <v>2404160205</v>
          </cell>
          <cell r="H179" t="str">
            <v>109동</v>
          </cell>
          <cell r="I179">
            <v>240416</v>
          </cell>
          <cell r="J179" t="str">
            <v>109동 및 주변 주차장 기초</v>
          </cell>
          <cell r="K179">
            <v>900</v>
          </cell>
          <cell r="L179">
            <v>900</v>
          </cell>
          <cell r="M179">
            <v>2415</v>
          </cell>
          <cell r="N179" t="str">
            <v>용호</v>
          </cell>
          <cell r="O179" t="str">
            <v>펌프카(1대)</v>
          </cell>
          <cell r="P179">
            <v>753</v>
          </cell>
          <cell r="Q179">
            <v>1802</v>
          </cell>
          <cell r="R179">
            <v>170</v>
          </cell>
          <cell r="S179">
            <v>36</v>
          </cell>
          <cell r="T179">
            <v>12</v>
          </cell>
          <cell r="U179">
            <v>224</v>
          </cell>
          <cell r="V179"/>
          <cell r="W179" t="str">
            <v>박순홍</v>
          </cell>
          <cell r="X179" t="str">
            <v>(인)</v>
          </cell>
          <cell r="Y179" t="str">
            <v>박순홍</v>
          </cell>
          <cell r="Z179" t="str">
            <v>(인)</v>
          </cell>
          <cell r="AA179" t="str">
            <v>이루비</v>
          </cell>
          <cell r="AB179" t="str">
            <v>(인)</v>
          </cell>
          <cell r="AC179" t="str">
            <v>정창인</v>
          </cell>
          <cell r="AD179" t="str">
            <v>(인)</v>
          </cell>
          <cell r="AE179">
            <v>179.3</v>
          </cell>
          <cell r="AF179" t="str">
            <v>표준</v>
          </cell>
          <cell r="AG179">
            <v>5</v>
          </cell>
          <cell r="AH179">
            <v>0</v>
          </cell>
        </row>
        <row r="180">
          <cell r="G180">
            <v>2404160206</v>
          </cell>
          <cell r="H180" t="str">
            <v>109동</v>
          </cell>
          <cell r="I180">
            <v>240416</v>
          </cell>
          <cell r="J180" t="str">
            <v>109동 및 주변 주차장 기초</v>
          </cell>
          <cell r="K180">
            <v>900</v>
          </cell>
          <cell r="L180">
            <v>900</v>
          </cell>
          <cell r="M180">
            <v>2415</v>
          </cell>
          <cell r="N180" t="str">
            <v>용호</v>
          </cell>
          <cell r="O180" t="str">
            <v>펌프카(1대)</v>
          </cell>
          <cell r="P180">
            <v>753</v>
          </cell>
          <cell r="Q180">
            <v>1802</v>
          </cell>
          <cell r="R180">
            <v>175</v>
          </cell>
          <cell r="S180">
            <v>40</v>
          </cell>
          <cell r="T180">
            <v>35</v>
          </cell>
          <cell r="U180">
            <v>231</v>
          </cell>
          <cell r="V180"/>
          <cell r="W180" t="str">
            <v>박순홍</v>
          </cell>
          <cell r="X180" t="str">
            <v>(인)</v>
          </cell>
          <cell r="Y180" t="str">
            <v>박순홍</v>
          </cell>
          <cell r="Z180" t="str">
            <v>(인)</v>
          </cell>
          <cell r="AA180" t="str">
            <v>이루비</v>
          </cell>
          <cell r="AB180" t="str">
            <v>(인)</v>
          </cell>
          <cell r="AC180" t="str">
            <v>정창인</v>
          </cell>
          <cell r="AD180" t="str">
            <v>(인)</v>
          </cell>
          <cell r="AE180">
            <v>180.1</v>
          </cell>
          <cell r="AF180" t="str">
            <v>표준</v>
          </cell>
          <cell r="AG180">
            <v>6</v>
          </cell>
          <cell r="AH180">
            <v>0</v>
          </cell>
        </row>
        <row r="181">
          <cell r="G181">
            <v>2404160207</v>
          </cell>
          <cell r="H181" t="str">
            <v>109동</v>
          </cell>
          <cell r="I181">
            <v>240416</v>
          </cell>
          <cell r="J181" t="str">
            <v>109동 및 주변 주차장 기초</v>
          </cell>
          <cell r="K181">
            <v>900</v>
          </cell>
          <cell r="L181">
            <v>900</v>
          </cell>
          <cell r="M181">
            <v>2415</v>
          </cell>
          <cell r="N181" t="str">
            <v>용호</v>
          </cell>
          <cell r="O181" t="str">
            <v>펌프카(1대)</v>
          </cell>
          <cell r="P181">
            <v>753</v>
          </cell>
          <cell r="Q181">
            <v>1802</v>
          </cell>
          <cell r="R181">
            <v>160</v>
          </cell>
          <cell r="S181">
            <v>47</v>
          </cell>
          <cell r="T181">
            <v>58</v>
          </cell>
          <cell r="U181">
            <v>241</v>
          </cell>
          <cell r="V181"/>
          <cell r="W181" t="str">
            <v>박순홍</v>
          </cell>
          <cell r="X181" t="str">
            <v>(인)</v>
          </cell>
          <cell r="Y181" t="str">
            <v>박순홍</v>
          </cell>
          <cell r="Z181" t="str">
            <v>(인)</v>
          </cell>
          <cell r="AA181" t="str">
            <v>정창인</v>
          </cell>
          <cell r="AB181" t="str">
            <v>(인)</v>
          </cell>
          <cell r="AC181" t="str">
            <v>정창인</v>
          </cell>
          <cell r="AD181" t="str">
            <v>(인)</v>
          </cell>
          <cell r="AE181">
            <v>180.7</v>
          </cell>
          <cell r="AF181" t="str">
            <v>표준</v>
          </cell>
          <cell r="AG181">
            <v>7</v>
          </cell>
          <cell r="AH181">
            <v>1</v>
          </cell>
          <cell r="AL181">
            <v>3257</v>
          </cell>
          <cell r="AM181">
            <v>3338</v>
          </cell>
          <cell r="AN181">
            <v>3282</v>
          </cell>
          <cell r="AO181">
            <v>3306</v>
          </cell>
          <cell r="AP181">
            <v>3207</v>
          </cell>
          <cell r="AQ181">
            <v>3294</v>
          </cell>
          <cell r="AR181">
            <v>3306</v>
          </cell>
          <cell r="AS181">
            <v>3271</v>
          </cell>
          <cell r="AT181">
            <v>260400</v>
          </cell>
        </row>
        <row r="182">
          <cell r="G182">
            <v>2404160208</v>
          </cell>
          <cell r="H182" t="str">
            <v>109동</v>
          </cell>
          <cell r="I182">
            <v>240416</v>
          </cell>
          <cell r="J182" t="str">
            <v>109동 및 주변 주차장 기초</v>
          </cell>
          <cell r="K182">
            <v>900</v>
          </cell>
          <cell r="L182">
            <v>900</v>
          </cell>
          <cell r="M182">
            <v>2415</v>
          </cell>
          <cell r="N182" t="str">
            <v>용호</v>
          </cell>
          <cell r="O182" t="str">
            <v>펌프카(1대)</v>
          </cell>
          <cell r="P182">
            <v>753</v>
          </cell>
          <cell r="Q182">
            <v>1802</v>
          </cell>
          <cell r="R182">
            <v>165</v>
          </cell>
          <cell r="S182">
            <v>49</v>
          </cell>
          <cell r="T182">
            <v>38</v>
          </cell>
          <cell r="U182">
            <v>209</v>
          </cell>
          <cell r="V182"/>
          <cell r="W182" t="str">
            <v>박순홍</v>
          </cell>
          <cell r="X182" t="str">
            <v>(인)</v>
          </cell>
          <cell r="Y182" t="str">
            <v>박순홍</v>
          </cell>
          <cell r="Z182" t="str">
            <v>(인)</v>
          </cell>
          <cell r="AA182" t="str">
            <v>정창인</v>
          </cell>
          <cell r="AB182" t="str">
            <v>(인)</v>
          </cell>
          <cell r="AC182" t="str">
            <v>정창인</v>
          </cell>
          <cell r="AD182" t="str">
            <v>(인)</v>
          </cell>
          <cell r="AE182">
            <v>181.2</v>
          </cell>
          <cell r="AF182" t="str">
            <v>표준</v>
          </cell>
          <cell r="AG182">
            <v>8</v>
          </cell>
          <cell r="AH182">
            <v>0</v>
          </cell>
        </row>
        <row r="183">
          <cell r="G183">
            <v>2404160301</v>
          </cell>
          <cell r="H183" t="str">
            <v>109동</v>
          </cell>
          <cell r="I183">
            <v>240416</v>
          </cell>
          <cell r="J183" t="str">
            <v>109동 및 주변 주차장 기초</v>
          </cell>
          <cell r="K183">
            <v>720</v>
          </cell>
          <cell r="L183">
            <v>720</v>
          </cell>
          <cell r="M183">
            <v>2415</v>
          </cell>
          <cell r="N183" t="str">
            <v>한진</v>
          </cell>
          <cell r="O183" t="str">
            <v>펌프카(1대)</v>
          </cell>
          <cell r="P183">
            <v>743</v>
          </cell>
          <cell r="Q183">
            <v>1639</v>
          </cell>
          <cell r="R183">
            <v>175</v>
          </cell>
          <cell r="S183">
            <v>48</v>
          </cell>
          <cell r="T183">
            <v>15</v>
          </cell>
          <cell r="U183">
            <v>194</v>
          </cell>
          <cell r="V183"/>
          <cell r="W183" t="str">
            <v>박순홍</v>
          </cell>
          <cell r="X183" t="str">
            <v>(인)</v>
          </cell>
          <cell r="Y183" t="str">
            <v>박순홍</v>
          </cell>
          <cell r="Z183" t="str">
            <v>(인)</v>
          </cell>
          <cell r="AA183" t="str">
            <v>정창인</v>
          </cell>
          <cell r="AB183" t="str">
            <v>(인)</v>
          </cell>
          <cell r="AC183" t="str">
            <v>정창인</v>
          </cell>
          <cell r="AD183" t="str">
            <v>(인)</v>
          </cell>
          <cell r="AE183">
            <v>178.5</v>
          </cell>
          <cell r="AF183" t="str">
            <v>표준</v>
          </cell>
          <cell r="AG183">
            <v>1</v>
          </cell>
          <cell r="AH183">
            <v>1</v>
          </cell>
          <cell r="AI183">
            <v>2263</v>
          </cell>
          <cell r="AJ183">
            <v>2206</v>
          </cell>
          <cell r="AK183">
            <v>170800</v>
          </cell>
          <cell r="AL183">
            <v>3213</v>
          </cell>
          <cell r="AM183">
            <v>3256</v>
          </cell>
          <cell r="AN183">
            <v>3277</v>
          </cell>
          <cell r="AO183">
            <v>3179</v>
          </cell>
          <cell r="AP183">
            <v>3302</v>
          </cell>
          <cell r="AQ183">
            <v>3129</v>
          </cell>
          <cell r="AR183">
            <v>3213</v>
          </cell>
          <cell r="AS183">
            <v>3206</v>
          </cell>
          <cell r="AT183">
            <v>252200</v>
          </cell>
        </row>
        <row r="184">
          <cell r="G184">
            <v>2404160302</v>
          </cell>
          <cell r="H184" t="str">
            <v>109동</v>
          </cell>
          <cell r="I184">
            <v>240416</v>
          </cell>
          <cell r="J184" t="str">
            <v>109동 및 주변 주차장 기초</v>
          </cell>
          <cell r="K184">
            <v>720</v>
          </cell>
          <cell r="L184">
            <v>720</v>
          </cell>
          <cell r="M184">
            <v>2415</v>
          </cell>
          <cell r="N184" t="str">
            <v>한진</v>
          </cell>
          <cell r="O184" t="str">
            <v>펌프카(1대)</v>
          </cell>
          <cell r="P184">
            <v>743</v>
          </cell>
          <cell r="Q184">
            <v>1639</v>
          </cell>
          <cell r="R184">
            <v>170</v>
          </cell>
          <cell r="S184">
            <v>39</v>
          </cell>
          <cell r="T184">
            <v>23</v>
          </cell>
          <cell r="U184">
            <v>201</v>
          </cell>
          <cell r="V184"/>
          <cell r="W184" t="str">
            <v>박순홍</v>
          </cell>
          <cell r="X184" t="str">
            <v>(인)</v>
          </cell>
          <cell r="Y184" t="str">
            <v>박순홍</v>
          </cell>
          <cell r="Z184" t="str">
            <v>(인)</v>
          </cell>
          <cell r="AA184" t="str">
            <v>이루비</v>
          </cell>
          <cell r="AB184" t="str">
            <v>(인)</v>
          </cell>
          <cell r="AC184" t="str">
            <v>정창인</v>
          </cell>
          <cell r="AD184" t="str">
            <v>(인)</v>
          </cell>
          <cell r="AE184">
            <v>191.9</v>
          </cell>
          <cell r="AF184" t="str">
            <v>표준</v>
          </cell>
          <cell r="AG184">
            <v>2</v>
          </cell>
          <cell r="AH184">
            <v>0</v>
          </cell>
        </row>
        <row r="185">
          <cell r="G185">
            <v>2404160303</v>
          </cell>
          <cell r="H185" t="str">
            <v>109동</v>
          </cell>
          <cell r="I185">
            <v>240416</v>
          </cell>
          <cell r="J185" t="str">
            <v>109동 및 주변 주차장 기초</v>
          </cell>
          <cell r="K185">
            <v>720</v>
          </cell>
          <cell r="L185">
            <v>720</v>
          </cell>
          <cell r="M185">
            <v>2415</v>
          </cell>
          <cell r="N185" t="str">
            <v>한진</v>
          </cell>
          <cell r="O185" t="str">
            <v>펌프카(1대)</v>
          </cell>
          <cell r="P185">
            <v>743</v>
          </cell>
          <cell r="Q185">
            <v>1639</v>
          </cell>
          <cell r="R185">
            <v>170</v>
          </cell>
          <cell r="S185">
            <v>43</v>
          </cell>
          <cell r="T185">
            <v>34</v>
          </cell>
          <cell r="U185">
            <v>216</v>
          </cell>
          <cell r="V185"/>
          <cell r="W185" t="str">
            <v>박순홍</v>
          </cell>
          <cell r="X185" t="str">
            <v>(인)</v>
          </cell>
          <cell r="Y185" t="str">
            <v>박순홍</v>
          </cell>
          <cell r="Z185" t="str">
            <v>(인)</v>
          </cell>
          <cell r="AA185" t="str">
            <v>이루비</v>
          </cell>
          <cell r="AB185" t="str">
            <v>(인)</v>
          </cell>
          <cell r="AC185" t="str">
            <v>정창인</v>
          </cell>
          <cell r="AD185" t="str">
            <v>(인)</v>
          </cell>
          <cell r="AE185">
            <v>184.4</v>
          </cell>
          <cell r="AF185" t="str">
            <v>표준</v>
          </cell>
          <cell r="AG185">
            <v>3</v>
          </cell>
          <cell r="AH185">
            <v>0</v>
          </cell>
        </row>
        <row r="186">
          <cell r="G186">
            <v>2404160304</v>
          </cell>
          <cell r="H186" t="str">
            <v>109동</v>
          </cell>
          <cell r="I186">
            <v>240416</v>
          </cell>
          <cell r="J186" t="str">
            <v>109동 및 주변 주차장 기초</v>
          </cell>
          <cell r="K186">
            <v>720</v>
          </cell>
          <cell r="L186">
            <v>720</v>
          </cell>
          <cell r="M186">
            <v>2415</v>
          </cell>
          <cell r="N186" t="str">
            <v>한진</v>
          </cell>
          <cell r="O186" t="str">
            <v>펌프카(1대)</v>
          </cell>
          <cell r="P186">
            <v>743</v>
          </cell>
          <cell r="Q186">
            <v>1639</v>
          </cell>
          <cell r="R186">
            <v>155</v>
          </cell>
          <cell r="S186">
            <v>49</v>
          </cell>
          <cell r="T186">
            <v>29</v>
          </cell>
          <cell r="U186">
            <v>217</v>
          </cell>
          <cell r="V186"/>
          <cell r="W186" t="str">
            <v>박순홍</v>
          </cell>
          <cell r="X186" t="str">
            <v>(인)</v>
          </cell>
          <cell r="Y186" t="str">
            <v>박순홍</v>
          </cell>
          <cell r="Z186" t="str">
            <v>(인)</v>
          </cell>
          <cell r="AA186" t="str">
            <v>이루비</v>
          </cell>
          <cell r="AB186" t="str">
            <v>(인)</v>
          </cell>
          <cell r="AC186" t="str">
            <v>정창인</v>
          </cell>
          <cell r="AD186" t="str">
            <v>(인)</v>
          </cell>
          <cell r="AE186">
            <v>182.9</v>
          </cell>
          <cell r="AF186" t="str">
            <v>표준</v>
          </cell>
          <cell r="AG186">
            <v>4</v>
          </cell>
          <cell r="AH186">
            <v>1</v>
          </cell>
          <cell r="AL186">
            <v>3203</v>
          </cell>
          <cell r="AM186">
            <v>3165</v>
          </cell>
          <cell r="AN186">
            <v>3206</v>
          </cell>
          <cell r="AO186">
            <v>3307</v>
          </cell>
          <cell r="AP186">
            <v>3214</v>
          </cell>
          <cell r="AQ186">
            <v>3192</v>
          </cell>
          <cell r="AR186">
            <v>3136</v>
          </cell>
          <cell r="AS186">
            <v>3177</v>
          </cell>
          <cell r="AT186">
            <v>246800</v>
          </cell>
        </row>
        <row r="187">
          <cell r="G187">
            <v>2404160305</v>
          </cell>
          <cell r="H187" t="str">
            <v>109동</v>
          </cell>
          <cell r="I187">
            <v>240416</v>
          </cell>
          <cell r="J187" t="str">
            <v>109동 및 주변 주차장 기초</v>
          </cell>
          <cell r="K187">
            <v>720</v>
          </cell>
          <cell r="L187">
            <v>720</v>
          </cell>
          <cell r="M187">
            <v>2415</v>
          </cell>
          <cell r="N187" t="str">
            <v>한진</v>
          </cell>
          <cell r="O187" t="str">
            <v>펌프카(1대)</v>
          </cell>
          <cell r="P187">
            <v>743</v>
          </cell>
          <cell r="Q187">
            <v>1639</v>
          </cell>
          <cell r="R187">
            <v>150</v>
          </cell>
          <cell r="S187">
            <v>40</v>
          </cell>
          <cell r="T187">
            <v>14</v>
          </cell>
          <cell r="U187">
            <v>226</v>
          </cell>
          <cell r="V187"/>
          <cell r="W187" t="str">
            <v>박순홍</v>
          </cell>
          <cell r="X187" t="str">
            <v>(인)</v>
          </cell>
          <cell r="Y187" t="str">
            <v>박순홍</v>
          </cell>
          <cell r="Z187" t="str">
            <v>(인)</v>
          </cell>
          <cell r="AA187" t="str">
            <v>이루비</v>
          </cell>
          <cell r="AB187" t="str">
            <v>(인)</v>
          </cell>
          <cell r="AC187" t="str">
            <v>정창인</v>
          </cell>
          <cell r="AD187" t="str">
            <v>(인)</v>
          </cell>
          <cell r="AE187">
            <v>187.2</v>
          </cell>
          <cell r="AF187" t="str">
            <v>표준</v>
          </cell>
          <cell r="AG187">
            <v>5</v>
          </cell>
          <cell r="AH187">
            <v>0</v>
          </cell>
        </row>
        <row r="188">
          <cell r="G188">
            <v>2404160306</v>
          </cell>
          <cell r="H188" t="str">
            <v>109동</v>
          </cell>
          <cell r="I188">
            <v>240416</v>
          </cell>
          <cell r="J188" t="str">
            <v>109동 및 주변 주차장 기초</v>
          </cell>
          <cell r="K188">
            <v>720</v>
          </cell>
          <cell r="L188">
            <v>720</v>
          </cell>
          <cell r="M188">
            <v>2415</v>
          </cell>
          <cell r="N188" t="str">
            <v>한진</v>
          </cell>
          <cell r="O188" t="str">
            <v>펌프카(1대)</v>
          </cell>
          <cell r="P188">
            <v>743</v>
          </cell>
          <cell r="Q188">
            <v>1639</v>
          </cell>
          <cell r="R188">
            <v>155</v>
          </cell>
          <cell r="S188">
            <v>42</v>
          </cell>
          <cell r="T188">
            <v>39</v>
          </cell>
          <cell r="U188">
            <v>231</v>
          </cell>
          <cell r="V188"/>
          <cell r="W188" t="str">
            <v>박순홍</v>
          </cell>
          <cell r="X188" t="str">
            <v>(인)</v>
          </cell>
          <cell r="Y188" t="str">
            <v>박순홍</v>
          </cell>
          <cell r="Z188" t="str">
            <v>(인)</v>
          </cell>
          <cell r="AA188" t="str">
            <v>이루비</v>
          </cell>
          <cell r="AB188" t="str">
            <v>(인)</v>
          </cell>
          <cell r="AC188" t="str">
            <v>정창인</v>
          </cell>
          <cell r="AD188" t="str">
            <v>(인)</v>
          </cell>
          <cell r="AE188">
            <v>185.3</v>
          </cell>
          <cell r="AF188" t="str">
            <v>표준</v>
          </cell>
          <cell r="AG188">
            <v>6</v>
          </cell>
          <cell r="AH188">
            <v>0</v>
          </cell>
        </row>
        <row r="189">
          <cell r="G189">
            <v>2404170101</v>
          </cell>
          <cell r="H189" t="str">
            <v>104동</v>
          </cell>
          <cell r="I189">
            <v>240417</v>
          </cell>
          <cell r="J189" t="str">
            <v>104동 2차</v>
          </cell>
          <cell r="K189">
            <v>300</v>
          </cell>
          <cell r="L189">
            <v>300</v>
          </cell>
          <cell r="M189">
            <v>3015</v>
          </cell>
          <cell r="N189" t="str">
            <v>한라</v>
          </cell>
          <cell r="O189" t="str">
            <v>펌프카(1대)</v>
          </cell>
          <cell r="P189">
            <v>755</v>
          </cell>
          <cell r="Q189">
            <v>1416</v>
          </cell>
          <cell r="R189">
            <v>165</v>
          </cell>
          <cell r="S189">
            <v>44</v>
          </cell>
          <cell r="T189">
            <v>23</v>
          </cell>
          <cell r="U189">
            <v>171</v>
          </cell>
          <cell r="V189"/>
          <cell r="W189" t="str">
            <v>박순홍</v>
          </cell>
          <cell r="X189" t="str">
            <v>(인)</v>
          </cell>
          <cell r="Y189" t="str">
            <v>박순홍</v>
          </cell>
          <cell r="Z189" t="str">
            <v>(인)</v>
          </cell>
          <cell r="AA189" t="str">
            <v>이홍걸</v>
          </cell>
          <cell r="AB189" t="str">
            <v>(인)</v>
          </cell>
          <cell r="AC189" t="str">
            <v>최상옥</v>
          </cell>
          <cell r="AD189" t="str">
            <v>(인)</v>
          </cell>
          <cell r="AE189">
            <v>173.8</v>
          </cell>
          <cell r="AF189" t="str">
            <v>표준</v>
          </cell>
          <cell r="AG189">
            <v>1</v>
          </cell>
          <cell r="AH189">
            <v>1</v>
          </cell>
          <cell r="AI189">
            <v>2681</v>
          </cell>
          <cell r="AJ189">
            <v>2679</v>
          </cell>
          <cell r="AK189">
            <v>212400</v>
          </cell>
          <cell r="AL189">
            <v>3588</v>
          </cell>
          <cell r="AM189">
            <v>3642</v>
          </cell>
          <cell r="AN189">
            <v>3666</v>
          </cell>
          <cell r="AO189">
            <v>3643</v>
          </cell>
          <cell r="AP189">
            <v>3678</v>
          </cell>
          <cell r="AQ189">
            <v>3652</v>
          </cell>
          <cell r="AR189">
            <v>3677</v>
          </cell>
          <cell r="AS189">
            <v>3612</v>
          </cell>
          <cell r="AT189">
            <v>290400</v>
          </cell>
        </row>
        <row r="190">
          <cell r="G190">
            <v>2404170102</v>
          </cell>
          <cell r="H190" t="str">
            <v>104동</v>
          </cell>
          <cell r="I190">
            <v>240417</v>
          </cell>
          <cell r="J190" t="str">
            <v>104동 2차</v>
          </cell>
          <cell r="K190">
            <v>300</v>
          </cell>
          <cell r="L190">
            <v>300</v>
          </cell>
          <cell r="M190">
            <v>3015</v>
          </cell>
          <cell r="N190" t="str">
            <v>한라</v>
          </cell>
          <cell r="O190" t="str">
            <v>펌프카(1대)</v>
          </cell>
          <cell r="P190">
            <v>755</v>
          </cell>
          <cell r="Q190">
            <v>1416</v>
          </cell>
          <cell r="R190">
            <v>160</v>
          </cell>
          <cell r="S190">
            <v>47</v>
          </cell>
          <cell r="T190">
            <v>24</v>
          </cell>
          <cell r="U190">
            <v>180</v>
          </cell>
          <cell r="V190"/>
          <cell r="W190" t="str">
            <v>박순홍</v>
          </cell>
          <cell r="X190" t="str">
            <v>(인)</v>
          </cell>
          <cell r="Y190" t="str">
            <v>박순홍</v>
          </cell>
          <cell r="Z190" t="str">
            <v>(인)</v>
          </cell>
          <cell r="AA190" t="str">
            <v>이홍걸</v>
          </cell>
          <cell r="AB190" t="str">
            <v>(인)</v>
          </cell>
          <cell r="AC190" t="str">
            <v>최상옥</v>
          </cell>
          <cell r="AD190" t="str">
            <v>(인)</v>
          </cell>
          <cell r="AE190">
            <v>179.6</v>
          </cell>
          <cell r="AF190" t="str">
            <v>표준</v>
          </cell>
          <cell r="AG190">
            <v>2</v>
          </cell>
          <cell r="AH190">
            <v>0</v>
          </cell>
        </row>
        <row r="191">
          <cell r="G191">
            <v>2404170103</v>
          </cell>
          <cell r="H191" t="str">
            <v>104동</v>
          </cell>
          <cell r="I191">
            <v>240417</v>
          </cell>
          <cell r="J191" t="str">
            <v>104동 2차</v>
          </cell>
          <cell r="K191">
            <v>300</v>
          </cell>
          <cell r="L191">
            <v>300</v>
          </cell>
          <cell r="M191">
            <v>3015</v>
          </cell>
          <cell r="N191" t="str">
            <v>한라</v>
          </cell>
          <cell r="O191" t="str">
            <v>펌프카(1대)</v>
          </cell>
          <cell r="P191">
            <v>755</v>
          </cell>
          <cell r="Q191">
            <v>1416</v>
          </cell>
          <cell r="R191">
            <v>165</v>
          </cell>
          <cell r="S191">
            <v>50</v>
          </cell>
          <cell r="T191">
            <v>24</v>
          </cell>
          <cell r="U191">
            <v>201</v>
          </cell>
          <cell r="V191"/>
          <cell r="W191" t="str">
            <v>박순홍</v>
          </cell>
          <cell r="X191" t="str">
            <v>(인)</v>
          </cell>
          <cell r="Y191" t="str">
            <v>박순홍</v>
          </cell>
          <cell r="Z191" t="str">
            <v>(인)</v>
          </cell>
          <cell r="AA191" t="str">
            <v>이홍걸</v>
          </cell>
          <cell r="AB191" t="str">
            <v>(인)</v>
          </cell>
          <cell r="AC191" t="str">
            <v>최상옥</v>
          </cell>
          <cell r="AD191" t="str">
            <v>(인)</v>
          </cell>
          <cell r="AE191">
            <v>174.6</v>
          </cell>
          <cell r="AF191" t="str">
            <v>표준</v>
          </cell>
          <cell r="AG191">
            <v>3</v>
          </cell>
          <cell r="AH191">
            <v>0</v>
          </cell>
        </row>
        <row r="192">
          <cell r="G192">
            <v>2404170201</v>
          </cell>
          <cell r="H192" t="str">
            <v>114동</v>
          </cell>
          <cell r="I192">
            <v>240417</v>
          </cell>
          <cell r="J192" t="str">
            <v>114동 주변주차장 버림</v>
          </cell>
          <cell r="K192">
            <v>190</v>
          </cell>
          <cell r="L192">
            <v>192</v>
          </cell>
          <cell r="M192">
            <v>1812</v>
          </cell>
          <cell r="N192" t="str">
            <v>동양</v>
          </cell>
          <cell r="O192" t="str">
            <v>펌프카(1대)</v>
          </cell>
          <cell r="P192">
            <v>1005</v>
          </cell>
          <cell r="Q192">
            <v>1425</v>
          </cell>
          <cell r="R192">
            <v>130</v>
          </cell>
          <cell r="S192">
            <v>39</v>
          </cell>
          <cell r="T192">
            <v>31</v>
          </cell>
          <cell r="U192">
            <v>216</v>
          </cell>
          <cell r="V192"/>
          <cell r="W192" t="str">
            <v>박순홍</v>
          </cell>
          <cell r="X192" t="str">
            <v>(인)</v>
          </cell>
          <cell r="Y192" t="str">
            <v>박순홍</v>
          </cell>
          <cell r="Z192" t="str">
            <v>(인)</v>
          </cell>
          <cell r="AA192" t="str">
            <v>장덕만</v>
          </cell>
          <cell r="AB192" t="str">
            <v>(인)</v>
          </cell>
          <cell r="AC192" t="str">
            <v>최상옥</v>
          </cell>
          <cell r="AD192" t="str">
            <v>(인)</v>
          </cell>
          <cell r="AE192">
            <v>177.5</v>
          </cell>
          <cell r="AF192" t="str">
            <v>표준</v>
          </cell>
          <cell r="AG192">
            <v>1</v>
          </cell>
          <cell r="AH192">
            <v>1</v>
          </cell>
          <cell r="AI192">
            <v>1535</v>
          </cell>
          <cell r="AJ192">
            <v>1527</v>
          </cell>
          <cell r="AK192">
            <v>123400</v>
          </cell>
          <cell r="AL192">
            <v>2179</v>
          </cell>
          <cell r="AM192">
            <v>2236</v>
          </cell>
          <cell r="AN192">
            <v>2272</v>
          </cell>
          <cell r="AO192">
            <v>2192</v>
          </cell>
          <cell r="AP192">
            <v>2292</v>
          </cell>
          <cell r="AQ192">
            <v>2306</v>
          </cell>
          <cell r="AR192">
            <v>2206</v>
          </cell>
          <cell r="AS192">
            <v>2306</v>
          </cell>
          <cell r="AT192">
            <v>178200</v>
          </cell>
        </row>
        <row r="193">
          <cell r="G193">
            <v>2404170202</v>
          </cell>
          <cell r="H193" t="str">
            <v>114동</v>
          </cell>
          <cell r="I193">
            <v>240417</v>
          </cell>
          <cell r="J193" t="str">
            <v>114동 주변주차장 버림</v>
          </cell>
          <cell r="K193">
            <v>190</v>
          </cell>
          <cell r="L193">
            <v>192</v>
          </cell>
          <cell r="M193">
            <v>1812</v>
          </cell>
          <cell r="N193" t="str">
            <v>동양</v>
          </cell>
          <cell r="O193" t="str">
            <v>펌프카(1대)</v>
          </cell>
          <cell r="P193">
            <v>1005</v>
          </cell>
          <cell r="Q193">
            <v>1425</v>
          </cell>
          <cell r="R193">
            <v>140</v>
          </cell>
          <cell r="S193">
            <v>40</v>
          </cell>
          <cell r="T193">
            <v>32</v>
          </cell>
          <cell r="U193">
            <v>208</v>
          </cell>
          <cell r="V193"/>
          <cell r="W193" t="str">
            <v>박순홍</v>
          </cell>
          <cell r="X193" t="str">
            <v>(인)</v>
          </cell>
          <cell r="Y193" t="str">
            <v>박순홍</v>
          </cell>
          <cell r="Z193" t="str">
            <v>(인)</v>
          </cell>
          <cell r="AA193" t="str">
            <v>장덕만</v>
          </cell>
          <cell r="AB193" t="str">
            <v>(인)</v>
          </cell>
          <cell r="AC193" t="str">
            <v>최상옥</v>
          </cell>
          <cell r="AD193" t="str">
            <v>(인)</v>
          </cell>
          <cell r="AE193">
            <v>178.3</v>
          </cell>
          <cell r="AF193" t="str">
            <v>표준</v>
          </cell>
          <cell r="AG193">
            <v>2</v>
          </cell>
          <cell r="AH193">
            <v>0</v>
          </cell>
        </row>
        <row r="194">
          <cell r="G194">
            <v>2404170301</v>
          </cell>
          <cell r="H194" t="str">
            <v>101동, 109동</v>
          </cell>
          <cell r="I194">
            <v>240417</v>
          </cell>
          <cell r="J194" t="str">
            <v>101동 E/V 및 109동 주변주차장 기초</v>
          </cell>
          <cell r="K194">
            <v>70</v>
          </cell>
          <cell r="L194">
            <v>66</v>
          </cell>
          <cell r="M194">
            <v>2415</v>
          </cell>
          <cell r="N194" t="str">
            <v>동양</v>
          </cell>
          <cell r="O194" t="str">
            <v>펌프카(1대)</v>
          </cell>
          <cell r="P194">
            <v>820</v>
          </cell>
          <cell r="Q194">
            <v>1550</v>
          </cell>
          <cell r="R194">
            <v>155</v>
          </cell>
          <cell r="S194">
            <v>40</v>
          </cell>
          <cell r="T194">
            <v>12</v>
          </cell>
          <cell r="U194">
            <v>232</v>
          </cell>
          <cell r="V194"/>
          <cell r="W194" t="str">
            <v>박순홍</v>
          </cell>
          <cell r="X194" t="str">
            <v>(인)</v>
          </cell>
          <cell r="Y194" t="str">
            <v>박순홍</v>
          </cell>
          <cell r="Z194" t="str">
            <v>(인)</v>
          </cell>
          <cell r="AA194" t="str">
            <v>이홍걸</v>
          </cell>
          <cell r="AB194" t="str">
            <v>(인)</v>
          </cell>
          <cell r="AC194" t="str">
            <v>최상옥</v>
          </cell>
          <cell r="AD194" t="str">
            <v>(인)</v>
          </cell>
          <cell r="AE194">
            <v>174.2</v>
          </cell>
          <cell r="AF194" t="str">
            <v>표준</v>
          </cell>
          <cell r="AG194">
            <v>1</v>
          </cell>
          <cell r="AH194">
            <v>1</v>
          </cell>
          <cell r="AI194">
            <v>2238</v>
          </cell>
          <cell r="AJ194">
            <v>2302</v>
          </cell>
          <cell r="AK194">
            <v>179800</v>
          </cell>
          <cell r="AL194">
            <v>3166</v>
          </cell>
          <cell r="AM194">
            <v>3253</v>
          </cell>
          <cell r="AN194">
            <v>3158</v>
          </cell>
          <cell r="AO194">
            <v>3211</v>
          </cell>
          <cell r="AP194">
            <v>3167</v>
          </cell>
          <cell r="AQ194">
            <v>3218</v>
          </cell>
          <cell r="AR194">
            <v>3142</v>
          </cell>
          <cell r="AS194">
            <v>3128</v>
          </cell>
          <cell r="AT194">
            <v>258800</v>
          </cell>
        </row>
        <row r="195">
          <cell r="G195">
            <v>2404180101</v>
          </cell>
          <cell r="H195" t="str">
            <v>105동</v>
          </cell>
          <cell r="I195">
            <v>240418</v>
          </cell>
          <cell r="J195" t="str">
            <v>105동 1차</v>
          </cell>
          <cell r="K195">
            <v>400</v>
          </cell>
          <cell r="L195">
            <v>396</v>
          </cell>
          <cell r="M195">
            <v>3015</v>
          </cell>
          <cell r="N195" t="str">
            <v>대원</v>
          </cell>
          <cell r="O195" t="str">
            <v>펌프카(1대)</v>
          </cell>
          <cell r="P195">
            <v>732</v>
          </cell>
          <cell r="Q195">
            <v>1625</v>
          </cell>
          <cell r="R195">
            <v>170</v>
          </cell>
          <cell r="S195">
            <v>40</v>
          </cell>
          <cell r="T195">
            <v>55</v>
          </cell>
          <cell r="U195">
            <v>202</v>
          </cell>
          <cell r="V195"/>
          <cell r="W195" t="str">
            <v>박순홍</v>
          </cell>
          <cell r="X195" t="str">
            <v>(인)</v>
          </cell>
          <cell r="Y195" t="str">
            <v>박순홍</v>
          </cell>
          <cell r="Z195" t="str">
            <v>(인)</v>
          </cell>
          <cell r="AA195" t="str">
            <v>최상옥</v>
          </cell>
          <cell r="AB195" t="str">
            <v>(인)</v>
          </cell>
          <cell r="AC195" t="str">
            <v>이홍걸</v>
          </cell>
          <cell r="AD195" t="str">
            <v>(인)</v>
          </cell>
          <cell r="AE195">
            <v>166</v>
          </cell>
          <cell r="AF195" t="str">
            <v>표준</v>
          </cell>
          <cell r="AG195">
            <v>1</v>
          </cell>
          <cell r="AH195">
            <v>1</v>
          </cell>
          <cell r="AI195">
            <v>2755</v>
          </cell>
          <cell r="AJ195">
            <v>2706</v>
          </cell>
          <cell r="AK195">
            <v>210000</v>
          </cell>
          <cell r="AL195">
            <v>3888</v>
          </cell>
          <cell r="AM195">
            <v>3949</v>
          </cell>
          <cell r="AN195">
            <v>3959</v>
          </cell>
          <cell r="AO195">
            <v>3926</v>
          </cell>
          <cell r="AP195">
            <v>3937</v>
          </cell>
          <cell r="AQ195">
            <v>3921</v>
          </cell>
          <cell r="AR195">
            <v>3893</v>
          </cell>
          <cell r="AS195">
            <v>3867</v>
          </cell>
          <cell r="AT195">
            <v>304600</v>
          </cell>
        </row>
        <row r="196">
          <cell r="G196">
            <v>2404180102</v>
          </cell>
          <cell r="H196" t="str">
            <v>105동</v>
          </cell>
          <cell r="I196">
            <v>240418</v>
          </cell>
          <cell r="J196" t="str">
            <v>105동 1차</v>
          </cell>
          <cell r="K196">
            <v>400</v>
          </cell>
          <cell r="L196">
            <v>396</v>
          </cell>
          <cell r="M196">
            <v>3015</v>
          </cell>
          <cell r="N196" t="str">
            <v>대원</v>
          </cell>
          <cell r="O196" t="str">
            <v>펌프카(1대)</v>
          </cell>
          <cell r="P196">
            <v>732</v>
          </cell>
          <cell r="Q196">
            <v>1625</v>
          </cell>
          <cell r="R196">
            <v>170</v>
          </cell>
          <cell r="S196">
            <v>39</v>
          </cell>
          <cell r="T196">
            <v>40</v>
          </cell>
          <cell r="U196">
            <v>205</v>
          </cell>
          <cell r="V196"/>
          <cell r="W196" t="str">
            <v>박순홍</v>
          </cell>
          <cell r="X196" t="str">
            <v>(인)</v>
          </cell>
          <cell r="Y196" t="str">
            <v>박순홍</v>
          </cell>
          <cell r="Z196" t="str">
            <v>(인)</v>
          </cell>
          <cell r="AA196" t="str">
            <v>최상옥</v>
          </cell>
          <cell r="AB196" t="str">
            <v>(인)</v>
          </cell>
          <cell r="AC196" t="str">
            <v>이홍걸</v>
          </cell>
          <cell r="AD196" t="str">
            <v>(인)</v>
          </cell>
          <cell r="AE196">
            <v>174.2</v>
          </cell>
          <cell r="AF196" t="str">
            <v>표준</v>
          </cell>
          <cell r="AG196">
            <v>2</v>
          </cell>
          <cell r="AH196">
            <v>0</v>
          </cell>
        </row>
        <row r="197">
          <cell r="G197">
            <v>2404180103</v>
          </cell>
          <cell r="H197" t="str">
            <v>105동</v>
          </cell>
          <cell r="I197">
            <v>240418</v>
          </cell>
          <cell r="J197" t="str">
            <v>105동 1차</v>
          </cell>
          <cell r="K197">
            <v>400</v>
          </cell>
          <cell r="L197">
            <v>396</v>
          </cell>
          <cell r="M197">
            <v>3015</v>
          </cell>
          <cell r="N197" t="str">
            <v>대원</v>
          </cell>
          <cell r="O197" t="str">
            <v>펌프카(1대)</v>
          </cell>
          <cell r="P197">
            <v>732</v>
          </cell>
          <cell r="Q197">
            <v>1625</v>
          </cell>
          <cell r="R197">
            <v>170</v>
          </cell>
          <cell r="S197">
            <v>44</v>
          </cell>
          <cell r="T197">
            <v>36</v>
          </cell>
          <cell r="U197">
            <v>218</v>
          </cell>
          <cell r="V197"/>
          <cell r="W197" t="str">
            <v>박순홍</v>
          </cell>
          <cell r="X197" t="str">
            <v>(인)</v>
          </cell>
          <cell r="Y197" t="str">
            <v>박순홍</v>
          </cell>
          <cell r="Z197" t="str">
            <v>(인)</v>
          </cell>
          <cell r="AA197" t="str">
            <v>최상옥</v>
          </cell>
          <cell r="AB197" t="str">
            <v>(인)</v>
          </cell>
          <cell r="AC197" t="str">
            <v>이홍걸</v>
          </cell>
          <cell r="AD197" t="str">
            <v>(인)</v>
          </cell>
          <cell r="AE197">
            <v>172.6</v>
          </cell>
          <cell r="AF197" t="str">
            <v>표준</v>
          </cell>
          <cell r="AG197">
            <v>3</v>
          </cell>
          <cell r="AH197">
            <v>0</v>
          </cell>
        </row>
        <row r="198">
          <cell r="G198">
            <v>2404180104</v>
          </cell>
          <cell r="H198" t="str">
            <v>105동</v>
          </cell>
          <cell r="I198">
            <v>240418</v>
          </cell>
          <cell r="J198" t="str">
            <v>105동 1차</v>
          </cell>
          <cell r="K198">
            <v>400</v>
          </cell>
          <cell r="L198">
            <v>396</v>
          </cell>
          <cell r="M198">
            <v>3015</v>
          </cell>
          <cell r="N198" t="str">
            <v>대원</v>
          </cell>
          <cell r="O198" t="str">
            <v>펌프카(1대)</v>
          </cell>
          <cell r="P198">
            <v>732</v>
          </cell>
          <cell r="Q198">
            <v>1625</v>
          </cell>
          <cell r="R198">
            <v>170</v>
          </cell>
          <cell r="S198">
            <v>47</v>
          </cell>
          <cell r="T198">
            <v>32</v>
          </cell>
          <cell r="U198">
            <v>226</v>
          </cell>
          <cell r="V198"/>
          <cell r="W198" t="str">
            <v>박순홍</v>
          </cell>
          <cell r="X198" t="str">
            <v>(인)</v>
          </cell>
          <cell r="Y198" t="str">
            <v>박순홍</v>
          </cell>
          <cell r="Z198" t="str">
            <v>(인)</v>
          </cell>
          <cell r="AA198" t="str">
            <v>이홍걸</v>
          </cell>
          <cell r="AB198" t="str">
            <v>(인)</v>
          </cell>
          <cell r="AC198" t="str">
            <v>이홍걸</v>
          </cell>
          <cell r="AD198" t="str">
            <v>(인)</v>
          </cell>
          <cell r="AE198">
            <v>173.8</v>
          </cell>
          <cell r="AF198" t="str">
            <v>표준</v>
          </cell>
          <cell r="AG198">
            <v>4</v>
          </cell>
          <cell r="AH198">
            <v>1</v>
          </cell>
          <cell r="AL198">
            <v>3880</v>
          </cell>
          <cell r="AM198">
            <v>4041</v>
          </cell>
          <cell r="AN198">
            <v>3906</v>
          </cell>
          <cell r="AO198">
            <v>4062</v>
          </cell>
          <cell r="AP198">
            <v>3976</v>
          </cell>
          <cell r="AQ198">
            <v>3894</v>
          </cell>
          <cell r="AR198">
            <v>3927</v>
          </cell>
          <cell r="AS198">
            <v>3896</v>
          </cell>
          <cell r="AT198">
            <v>315400</v>
          </cell>
        </row>
        <row r="199">
          <cell r="G199">
            <v>2404180201</v>
          </cell>
          <cell r="H199" t="str">
            <v>105동</v>
          </cell>
          <cell r="I199">
            <v>240418</v>
          </cell>
          <cell r="J199" t="str">
            <v>105동 1차</v>
          </cell>
          <cell r="K199">
            <v>240</v>
          </cell>
          <cell r="L199">
            <v>240</v>
          </cell>
          <cell r="M199">
            <v>2715</v>
          </cell>
          <cell r="N199" t="str">
            <v>대원</v>
          </cell>
          <cell r="O199" t="str">
            <v>펌프카(1대)</v>
          </cell>
          <cell r="P199">
            <v>1238</v>
          </cell>
          <cell r="Q199">
            <v>1602</v>
          </cell>
          <cell r="R199">
            <v>165</v>
          </cell>
          <cell r="S199">
            <v>40</v>
          </cell>
          <cell r="T199">
            <v>10</v>
          </cell>
          <cell r="U199">
            <v>238</v>
          </cell>
          <cell r="V199"/>
          <cell r="W199" t="str">
            <v>박순홍</v>
          </cell>
          <cell r="X199" t="str">
            <v>(인)</v>
          </cell>
          <cell r="Y199" t="str">
            <v>박순홍</v>
          </cell>
          <cell r="Z199" t="str">
            <v>(인)</v>
          </cell>
          <cell r="AA199" t="str">
            <v>이홍걸</v>
          </cell>
          <cell r="AB199" t="str">
            <v>(인)</v>
          </cell>
          <cell r="AC199" t="str">
            <v>이홍걸</v>
          </cell>
          <cell r="AD199" t="str">
            <v>(인)</v>
          </cell>
          <cell r="AE199">
            <v>174.6</v>
          </cell>
          <cell r="AF199" t="str">
            <v>표준</v>
          </cell>
          <cell r="AG199">
            <v>1</v>
          </cell>
          <cell r="AH199">
            <v>1</v>
          </cell>
          <cell r="AI199">
            <v>2436</v>
          </cell>
          <cell r="AJ199">
            <v>2407</v>
          </cell>
          <cell r="AK199">
            <v>191400</v>
          </cell>
          <cell r="AL199">
            <v>3636</v>
          </cell>
          <cell r="AM199">
            <v>3692</v>
          </cell>
          <cell r="AN199">
            <v>3557</v>
          </cell>
          <cell r="AO199">
            <v>3592</v>
          </cell>
          <cell r="AP199">
            <v>3627</v>
          </cell>
          <cell r="AQ199">
            <v>3634</v>
          </cell>
          <cell r="AR199">
            <v>3429</v>
          </cell>
          <cell r="AS199">
            <v>3528</v>
          </cell>
          <cell r="AT199">
            <v>280800</v>
          </cell>
        </row>
        <row r="200">
          <cell r="G200">
            <v>2404180202</v>
          </cell>
          <cell r="H200" t="str">
            <v>105동</v>
          </cell>
          <cell r="I200">
            <v>240418</v>
          </cell>
          <cell r="J200" t="str">
            <v>105동 1차</v>
          </cell>
          <cell r="K200">
            <v>240</v>
          </cell>
          <cell r="L200">
            <v>240</v>
          </cell>
          <cell r="M200">
            <v>2715</v>
          </cell>
          <cell r="N200" t="str">
            <v>대원</v>
          </cell>
          <cell r="O200" t="str">
            <v>펌프카(1대)</v>
          </cell>
          <cell r="P200">
            <v>1238</v>
          </cell>
          <cell r="Q200">
            <v>1602</v>
          </cell>
          <cell r="R200">
            <v>170</v>
          </cell>
          <cell r="S200">
            <v>40</v>
          </cell>
          <cell r="T200">
            <v>30</v>
          </cell>
          <cell r="U200">
            <v>244</v>
          </cell>
          <cell r="V200"/>
          <cell r="W200" t="str">
            <v>박순홍</v>
          </cell>
          <cell r="X200" t="str">
            <v>(인)</v>
          </cell>
          <cell r="Y200" t="str">
            <v>박순홍</v>
          </cell>
          <cell r="Z200" t="str">
            <v>(인)</v>
          </cell>
          <cell r="AA200" t="str">
            <v>이홍걸</v>
          </cell>
          <cell r="AB200" t="str">
            <v>(인)</v>
          </cell>
          <cell r="AC200" t="str">
            <v>이홍걸</v>
          </cell>
          <cell r="AD200" t="str">
            <v>(인)</v>
          </cell>
          <cell r="AE200">
            <v>174.3</v>
          </cell>
          <cell r="AF200" t="str">
            <v>표준</v>
          </cell>
          <cell r="AG200">
            <v>2</v>
          </cell>
          <cell r="AH200">
            <v>0</v>
          </cell>
        </row>
        <row r="201">
          <cell r="G201">
            <v>2404190101</v>
          </cell>
          <cell r="H201" t="str">
            <v>105동</v>
          </cell>
          <cell r="I201">
            <v>240419</v>
          </cell>
          <cell r="J201" t="str">
            <v>105동 1차</v>
          </cell>
          <cell r="K201">
            <v>40</v>
          </cell>
          <cell r="L201">
            <v>42</v>
          </cell>
          <cell r="M201">
            <v>3015</v>
          </cell>
          <cell r="N201" t="str">
            <v>대원</v>
          </cell>
          <cell r="O201" t="str">
            <v>펌프카(1대)</v>
          </cell>
          <cell r="P201">
            <v>931</v>
          </cell>
          <cell r="Q201">
            <v>1135</v>
          </cell>
          <cell r="R201">
            <v>170</v>
          </cell>
          <cell r="S201">
            <v>46</v>
          </cell>
          <cell r="T201">
            <v>35</v>
          </cell>
          <cell r="U201">
            <v>184</v>
          </cell>
          <cell r="V201"/>
          <cell r="W201" t="str">
            <v>박순홍</v>
          </cell>
          <cell r="X201" t="str">
            <v>(인)</v>
          </cell>
          <cell r="Y201" t="str">
            <v>박순홍</v>
          </cell>
          <cell r="Z201" t="str">
            <v>(인)</v>
          </cell>
          <cell r="AA201" t="str">
            <v>이홍걸</v>
          </cell>
          <cell r="AB201" t="str">
            <v>(인)</v>
          </cell>
          <cell r="AC201" t="str">
            <v>최상옥</v>
          </cell>
          <cell r="AD201" t="str">
            <v>(인)</v>
          </cell>
          <cell r="AE201">
            <v>169.2</v>
          </cell>
          <cell r="AF201" t="str">
            <v>표준</v>
          </cell>
          <cell r="AG201">
            <v>1</v>
          </cell>
          <cell r="AH201">
            <v>1</v>
          </cell>
          <cell r="AI201">
            <v>2666</v>
          </cell>
          <cell r="AJ201">
            <v>2679</v>
          </cell>
          <cell r="AK201">
            <v>205800</v>
          </cell>
          <cell r="AL201">
            <v>3967</v>
          </cell>
          <cell r="AM201">
            <v>4033</v>
          </cell>
          <cell r="AN201">
            <v>4003</v>
          </cell>
          <cell r="AO201">
            <v>4015</v>
          </cell>
          <cell r="AP201">
            <v>3986</v>
          </cell>
          <cell r="AQ201">
            <v>4058</v>
          </cell>
          <cell r="AR201">
            <v>3911</v>
          </cell>
          <cell r="AS201">
            <v>3972</v>
          </cell>
          <cell r="AT201">
            <v>317400</v>
          </cell>
        </row>
        <row r="202">
          <cell r="G202">
            <v>2404190201</v>
          </cell>
          <cell r="H202" t="str">
            <v>108동</v>
          </cell>
          <cell r="I202">
            <v>240419</v>
          </cell>
          <cell r="J202" t="str">
            <v>108동 주변주차장 버림</v>
          </cell>
          <cell r="K202">
            <v>120</v>
          </cell>
          <cell r="L202">
            <v>120</v>
          </cell>
          <cell r="M202">
            <v>1812</v>
          </cell>
          <cell r="N202" t="str">
            <v>울산</v>
          </cell>
          <cell r="O202" t="str">
            <v>펌프카(1대)</v>
          </cell>
          <cell r="P202">
            <v>1258</v>
          </cell>
          <cell r="Q202">
            <v>1534</v>
          </cell>
          <cell r="R202">
            <v>110</v>
          </cell>
          <cell r="S202">
            <v>43</v>
          </cell>
          <cell r="T202">
            <v>37</v>
          </cell>
          <cell r="U202">
            <v>218</v>
          </cell>
          <cell r="V202"/>
          <cell r="W202" t="str">
            <v>박순홍</v>
          </cell>
          <cell r="X202" t="str">
            <v>(인)</v>
          </cell>
          <cell r="Y202" t="str">
            <v>박순홍</v>
          </cell>
          <cell r="Z202" t="str">
            <v>(인)</v>
          </cell>
          <cell r="AA202" t="str">
            <v>정창인</v>
          </cell>
          <cell r="AB202" t="str">
            <v>(인)</v>
          </cell>
          <cell r="AC202" t="str">
            <v>정창인</v>
          </cell>
          <cell r="AD202" t="str">
            <v>(인)</v>
          </cell>
          <cell r="AE202">
            <v>174.2</v>
          </cell>
          <cell r="AF202" t="str">
            <v>표준</v>
          </cell>
          <cell r="AG202">
            <v>1</v>
          </cell>
          <cell r="AH202">
            <v>1</v>
          </cell>
          <cell r="AI202">
            <v>1553</v>
          </cell>
          <cell r="AJ202">
            <v>1507</v>
          </cell>
          <cell r="AK202">
            <v>121400</v>
          </cell>
          <cell r="AL202">
            <v>2245</v>
          </cell>
          <cell r="AM202">
            <v>2159</v>
          </cell>
          <cell r="AN202">
            <v>2179</v>
          </cell>
          <cell r="AO202">
            <v>2217</v>
          </cell>
          <cell r="AP202">
            <v>2216</v>
          </cell>
          <cell r="AQ202">
            <v>2246</v>
          </cell>
          <cell r="AR202">
            <v>2292</v>
          </cell>
          <cell r="AS202">
            <v>2178</v>
          </cell>
          <cell r="AT202">
            <v>175800</v>
          </cell>
        </row>
        <row r="203">
          <cell r="G203">
            <v>2404220101</v>
          </cell>
          <cell r="H203" t="str">
            <v>110동</v>
          </cell>
          <cell r="I203">
            <v>240422</v>
          </cell>
          <cell r="J203" t="str">
            <v>110동 기초</v>
          </cell>
          <cell r="K203">
            <v>750</v>
          </cell>
          <cell r="L203">
            <v>750</v>
          </cell>
          <cell r="M203">
            <v>2415</v>
          </cell>
          <cell r="N203" t="str">
            <v>쌍용</v>
          </cell>
          <cell r="O203" t="str">
            <v>펌프카(1대)</v>
          </cell>
          <cell r="P203">
            <v>745</v>
          </cell>
          <cell r="Q203">
            <v>1634</v>
          </cell>
          <cell r="R203">
            <v>150</v>
          </cell>
          <cell r="S203">
            <v>51</v>
          </cell>
          <cell r="T203">
            <v>105</v>
          </cell>
          <cell r="U203">
            <v>171</v>
          </cell>
          <cell r="V203"/>
          <cell r="W203" t="str">
            <v>박순홍</v>
          </cell>
          <cell r="X203" t="str">
            <v>(인)</v>
          </cell>
          <cell r="Y203" t="str">
            <v>박순홍</v>
          </cell>
          <cell r="Z203" t="str">
            <v>(인)</v>
          </cell>
          <cell r="AA203" t="str">
            <v>정창인</v>
          </cell>
          <cell r="AB203" t="str">
            <v>(인)</v>
          </cell>
          <cell r="AC203" t="str">
            <v>정창인</v>
          </cell>
          <cell r="AD203" t="str">
            <v>(인)</v>
          </cell>
          <cell r="AE203">
            <v>171.4</v>
          </cell>
          <cell r="AF203" t="str">
            <v>표준</v>
          </cell>
          <cell r="AG203">
            <v>1</v>
          </cell>
          <cell r="AH203">
            <v>1</v>
          </cell>
          <cell r="AI203">
            <v>1987</v>
          </cell>
          <cell r="AJ203">
            <v>2011</v>
          </cell>
          <cell r="AK203">
            <v>159000</v>
          </cell>
          <cell r="AL203">
            <v>2772</v>
          </cell>
          <cell r="AM203">
            <v>2841</v>
          </cell>
          <cell r="AN203">
            <v>2836</v>
          </cell>
          <cell r="AO203">
            <v>2773</v>
          </cell>
          <cell r="AP203">
            <v>2903</v>
          </cell>
          <cell r="AQ203">
            <v>2812</v>
          </cell>
          <cell r="AR203">
            <v>2874</v>
          </cell>
          <cell r="AS203">
            <v>2789</v>
          </cell>
          <cell r="AT203">
            <v>224800</v>
          </cell>
        </row>
        <row r="204">
          <cell r="G204">
            <v>2404220102</v>
          </cell>
          <cell r="H204" t="str">
            <v>110동</v>
          </cell>
          <cell r="I204">
            <v>240422</v>
          </cell>
          <cell r="J204" t="str">
            <v>110동 기초</v>
          </cell>
          <cell r="K204">
            <v>750</v>
          </cell>
          <cell r="L204">
            <v>750</v>
          </cell>
          <cell r="M204">
            <v>2415</v>
          </cell>
          <cell r="N204" t="str">
            <v>쌍용</v>
          </cell>
          <cell r="O204" t="str">
            <v>펌프카(1대)</v>
          </cell>
          <cell r="P204">
            <v>745</v>
          </cell>
          <cell r="Q204">
            <v>1634</v>
          </cell>
          <cell r="R204">
            <v>150</v>
          </cell>
          <cell r="S204">
            <v>39</v>
          </cell>
          <cell r="T204">
            <v>55</v>
          </cell>
          <cell r="U204">
            <v>171</v>
          </cell>
          <cell r="V204"/>
          <cell r="W204" t="str">
            <v>박순홍</v>
          </cell>
          <cell r="X204" t="str">
            <v>(인)</v>
          </cell>
          <cell r="Y204" t="str">
            <v>박순홍</v>
          </cell>
          <cell r="Z204" t="str">
            <v>(인)</v>
          </cell>
          <cell r="AA204" t="str">
            <v>이루비</v>
          </cell>
          <cell r="AB204" t="str">
            <v>(인)</v>
          </cell>
          <cell r="AC204" t="str">
            <v>정창인</v>
          </cell>
          <cell r="AD204" t="str">
            <v>(인)</v>
          </cell>
          <cell r="AE204">
            <v>169.2</v>
          </cell>
          <cell r="AF204" t="str">
            <v>표준</v>
          </cell>
          <cell r="AG204">
            <v>2</v>
          </cell>
          <cell r="AH204">
            <v>0</v>
          </cell>
        </row>
        <row r="205">
          <cell r="G205">
            <v>2404220103</v>
          </cell>
          <cell r="H205" t="str">
            <v>110동</v>
          </cell>
          <cell r="I205">
            <v>240422</v>
          </cell>
          <cell r="J205" t="str">
            <v>110동 기초</v>
          </cell>
          <cell r="K205">
            <v>750</v>
          </cell>
          <cell r="L205">
            <v>750</v>
          </cell>
          <cell r="M205">
            <v>2415</v>
          </cell>
          <cell r="N205" t="str">
            <v>쌍용</v>
          </cell>
          <cell r="O205" t="str">
            <v>펌프카(1대)</v>
          </cell>
          <cell r="P205">
            <v>745</v>
          </cell>
          <cell r="Q205">
            <v>1634</v>
          </cell>
          <cell r="R205">
            <v>155</v>
          </cell>
          <cell r="S205">
            <v>45</v>
          </cell>
          <cell r="T205">
            <v>66</v>
          </cell>
          <cell r="U205">
            <v>176</v>
          </cell>
          <cell r="V205"/>
          <cell r="W205" t="str">
            <v>박순홍</v>
          </cell>
          <cell r="X205" t="str">
            <v>(인)</v>
          </cell>
          <cell r="Y205" t="str">
            <v>박순홍</v>
          </cell>
          <cell r="Z205" t="str">
            <v>(인)</v>
          </cell>
          <cell r="AA205" t="str">
            <v>이루비</v>
          </cell>
          <cell r="AB205" t="str">
            <v>(인)</v>
          </cell>
          <cell r="AC205" t="str">
            <v>정창인</v>
          </cell>
          <cell r="AD205" t="str">
            <v>(인)</v>
          </cell>
          <cell r="AE205">
            <v>170</v>
          </cell>
          <cell r="AF205" t="str">
            <v>표준</v>
          </cell>
          <cell r="AG205">
            <v>3</v>
          </cell>
          <cell r="AH205">
            <v>0</v>
          </cell>
        </row>
        <row r="206">
          <cell r="G206">
            <v>2404220104</v>
          </cell>
          <cell r="H206" t="str">
            <v>110동</v>
          </cell>
          <cell r="I206">
            <v>240422</v>
          </cell>
          <cell r="J206" t="str">
            <v>110동 기초</v>
          </cell>
          <cell r="K206">
            <v>750</v>
          </cell>
          <cell r="L206">
            <v>750</v>
          </cell>
          <cell r="M206">
            <v>2415</v>
          </cell>
          <cell r="N206" t="str">
            <v>쌍용</v>
          </cell>
          <cell r="O206" t="str">
            <v>펌프카(1대)</v>
          </cell>
          <cell r="P206">
            <v>745</v>
          </cell>
          <cell r="Q206">
            <v>1634</v>
          </cell>
          <cell r="R206">
            <v>160</v>
          </cell>
          <cell r="S206">
            <v>46</v>
          </cell>
          <cell r="T206">
            <v>52</v>
          </cell>
          <cell r="U206">
            <v>174</v>
          </cell>
          <cell r="V206"/>
          <cell r="W206" t="str">
            <v>박순홍</v>
          </cell>
          <cell r="X206" t="str">
            <v>(인)</v>
          </cell>
          <cell r="Y206" t="str">
            <v>박순홍</v>
          </cell>
          <cell r="Z206" t="str">
            <v>(인)</v>
          </cell>
          <cell r="AA206" t="str">
            <v>이루비</v>
          </cell>
          <cell r="AB206" t="str">
            <v>(인)</v>
          </cell>
          <cell r="AC206" t="str">
            <v>정창인</v>
          </cell>
          <cell r="AD206" t="str">
            <v>(인)</v>
          </cell>
          <cell r="AE206">
            <v>171.4</v>
          </cell>
          <cell r="AF206" t="str">
            <v>표준</v>
          </cell>
          <cell r="AG206">
            <v>4</v>
          </cell>
          <cell r="AH206">
            <v>1</v>
          </cell>
          <cell r="AL206">
            <v>2830</v>
          </cell>
          <cell r="AM206">
            <v>2856</v>
          </cell>
          <cell r="AN206">
            <v>2831</v>
          </cell>
          <cell r="AO206">
            <v>2913</v>
          </cell>
          <cell r="AP206">
            <v>2766</v>
          </cell>
          <cell r="AQ206">
            <v>2841</v>
          </cell>
          <cell r="AR206">
            <v>2881</v>
          </cell>
          <cell r="AS206">
            <v>2862</v>
          </cell>
          <cell r="AT206">
            <v>217400</v>
          </cell>
        </row>
        <row r="207">
          <cell r="G207">
            <v>2404220105</v>
          </cell>
          <cell r="H207" t="str">
            <v>110동</v>
          </cell>
          <cell r="I207">
            <v>240422</v>
          </cell>
          <cell r="J207" t="str">
            <v>110동 기초</v>
          </cell>
          <cell r="K207">
            <v>750</v>
          </cell>
          <cell r="L207">
            <v>750</v>
          </cell>
          <cell r="M207">
            <v>2415</v>
          </cell>
          <cell r="N207" t="str">
            <v>쌍용</v>
          </cell>
          <cell r="O207" t="str">
            <v>펌프카(1대)</v>
          </cell>
          <cell r="P207">
            <v>745</v>
          </cell>
          <cell r="Q207">
            <v>1634</v>
          </cell>
          <cell r="R207">
            <v>160</v>
          </cell>
          <cell r="S207">
            <v>45</v>
          </cell>
          <cell r="T207">
            <v>48</v>
          </cell>
          <cell r="U207">
            <v>180</v>
          </cell>
          <cell r="V207"/>
          <cell r="W207" t="str">
            <v>박순홍</v>
          </cell>
          <cell r="X207" t="str">
            <v>(인)</v>
          </cell>
          <cell r="Y207" t="str">
            <v>박순홍</v>
          </cell>
          <cell r="Z207" t="str">
            <v>(인)</v>
          </cell>
          <cell r="AA207" t="str">
            <v>이루비</v>
          </cell>
          <cell r="AB207" t="str">
            <v>(인)</v>
          </cell>
          <cell r="AC207" t="str">
            <v>정창인</v>
          </cell>
          <cell r="AD207" t="str">
            <v>(인)</v>
          </cell>
          <cell r="AE207">
            <v>175.4</v>
          </cell>
          <cell r="AF207" t="str">
            <v>표준</v>
          </cell>
          <cell r="AG207">
            <v>5</v>
          </cell>
          <cell r="AH207">
            <v>0</v>
          </cell>
        </row>
        <row r="208">
          <cell r="G208">
            <v>2404220106</v>
          </cell>
          <cell r="H208" t="str">
            <v>110동</v>
          </cell>
          <cell r="I208">
            <v>240422</v>
          </cell>
          <cell r="J208" t="str">
            <v>110동 기초</v>
          </cell>
          <cell r="K208">
            <v>750</v>
          </cell>
          <cell r="L208">
            <v>750</v>
          </cell>
          <cell r="M208">
            <v>2415</v>
          </cell>
          <cell r="N208" t="str">
            <v>쌍용</v>
          </cell>
          <cell r="O208" t="str">
            <v>펌프카(1대)</v>
          </cell>
          <cell r="P208">
            <v>745</v>
          </cell>
          <cell r="Q208">
            <v>1634</v>
          </cell>
          <cell r="R208">
            <v>150</v>
          </cell>
          <cell r="S208">
            <v>47</v>
          </cell>
          <cell r="T208">
            <v>17</v>
          </cell>
          <cell r="U208">
            <v>165</v>
          </cell>
          <cell r="V208"/>
          <cell r="W208" t="str">
            <v>박순홍</v>
          </cell>
          <cell r="X208" t="str">
            <v>(인)</v>
          </cell>
          <cell r="Y208" t="str">
            <v>박순홍</v>
          </cell>
          <cell r="Z208" t="str">
            <v>(인)</v>
          </cell>
          <cell r="AA208" t="str">
            <v>이루비</v>
          </cell>
          <cell r="AB208" t="str">
            <v>(인)</v>
          </cell>
          <cell r="AC208" t="str">
            <v>정창인</v>
          </cell>
          <cell r="AD208" t="str">
            <v>(인)</v>
          </cell>
          <cell r="AE208">
            <v>171.4</v>
          </cell>
          <cell r="AF208" t="str">
            <v>표준</v>
          </cell>
          <cell r="AG208">
            <v>6</v>
          </cell>
          <cell r="AH208">
            <v>0</v>
          </cell>
        </row>
        <row r="209">
          <cell r="G209">
            <v>2404220107</v>
          </cell>
          <cell r="H209" t="str">
            <v>110동</v>
          </cell>
          <cell r="I209">
            <v>240422</v>
          </cell>
          <cell r="J209" t="str">
            <v>110동 기초</v>
          </cell>
          <cell r="K209">
            <v>750</v>
          </cell>
          <cell r="L209">
            <v>750</v>
          </cell>
          <cell r="M209">
            <v>2415</v>
          </cell>
          <cell r="N209" t="str">
            <v>쌍용</v>
          </cell>
          <cell r="O209" t="str">
            <v>펌프카(1대)</v>
          </cell>
          <cell r="P209">
            <v>745</v>
          </cell>
          <cell r="Q209">
            <v>1634</v>
          </cell>
          <cell r="R209">
            <v>150</v>
          </cell>
          <cell r="S209">
            <v>39</v>
          </cell>
          <cell r="T209">
            <v>71</v>
          </cell>
          <cell r="U209">
            <v>171</v>
          </cell>
          <cell r="V209"/>
          <cell r="W209" t="str">
            <v>박순홍</v>
          </cell>
          <cell r="X209" t="str">
            <v>(인)</v>
          </cell>
          <cell r="Y209" t="str">
            <v>박순홍</v>
          </cell>
          <cell r="Z209" t="str">
            <v>(인)</v>
          </cell>
          <cell r="AA209" t="str">
            <v>이루비</v>
          </cell>
          <cell r="AB209" t="str">
            <v>(인)</v>
          </cell>
          <cell r="AC209" t="str">
            <v>정창인</v>
          </cell>
          <cell r="AD209" t="str">
            <v>(인)</v>
          </cell>
          <cell r="AE209">
            <v>169.2</v>
          </cell>
          <cell r="AF209" t="str">
            <v>표준</v>
          </cell>
          <cell r="AG209">
            <v>7</v>
          </cell>
          <cell r="AH209">
            <v>1</v>
          </cell>
          <cell r="AL209">
            <v>2834</v>
          </cell>
          <cell r="AM209">
            <v>2796</v>
          </cell>
          <cell r="AN209">
            <v>2832</v>
          </cell>
          <cell r="AO209">
            <v>2827</v>
          </cell>
          <cell r="AP209">
            <v>2766</v>
          </cell>
          <cell r="AQ209">
            <v>2849</v>
          </cell>
          <cell r="AR209">
            <v>2826</v>
          </cell>
          <cell r="AS209">
            <v>2819</v>
          </cell>
          <cell r="AT209">
            <v>222600</v>
          </cell>
        </row>
        <row r="210">
          <cell r="G210">
            <v>2404220201</v>
          </cell>
          <cell r="H210" t="str">
            <v>110동</v>
          </cell>
          <cell r="I210">
            <v>240422</v>
          </cell>
          <cell r="J210" t="str">
            <v>110동 기초</v>
          </cell>
          <cell r="K210">
            <v>980</v>
          </cell>
          <cell r="L210">
            <v>984</v>
          </cell>
          <cell r="M210">
            <v>2415</v>
          </cell>
          <cell r="N210" t="str">
            <v>영진</v>
          </cell>
          <cell r="O210" t="str">
            <v>펌프카(1대)</v>
          </cell>
          <cell r="P210">
            <v>730</v>
          </cell>
          <cell r="Q210">
            <v>1745</v>
          </cell>
          <cell r="R210">
            <v>165</v>
          </cell>
          <cell r="S210">
            <v>50</v>
          </cell>
          <cell r="T210">
            <v>41</v>
          </cell>
          <cell r="U210">
            <v>183</v>
          </cell>
          <cell r="V210"/>
          <cell r="W210" t="str">
            <v>박순홍</v>
          </cell>
          <cell r="X210" t="str">
            <v>(인)</v>
          </cell>
          <cell r="Y210" t="str">
            <v>박순홍</v>
          </cell>
          <cell r="Z210" t="str">
            <v>(인)</v>
          </cell>
          <cell r="AA210" t="str">
            <v>정창인</v>
          </cell>
          <cell r="AB210" t="str">
            <v>(인)</v>
          </cell>
          <cell r="AC210" t="str">
            <v>정창인</v>
          </cell>
          <cell r="AD210" t="str">
            <v>(인)</v>
          </cell>
          <cell r="AE210">
            <v>175.4</v>
          </cell>
          <cell r="AF210" t="str">
            <v>표준</v>
          </cell>
          <cell r="AG210">
            <v>1</v>
          </cell>
          <cell r="AH210">
            <v>1</v>
          </cell>
          <cell r="AI210">
            <v>2109</v>
          </cell>
          <cell r="AJ210">
            <v>2189</v>
          </cell>
          <cell r="AK210">
            <v>165600</v>
          </cell>
          <cell r="AL210">
            <v>2944</v>
          </cell>
          <cell r="AM210">
            <v>2888</v>
          </cell>
          <cell r="AN210">
            <v>2961</v>
          </cell>
          <cell r="AO210">
            <v>2724</v>
          </cell>
          <cell r="AP210">
            <v>2784</v>
          </cell>
          <cell r="AQ210">
            <v>2893</v>
          </cell>
          <cell r="AR210">
            <v>2866</v>
          </cell>
          <cell r="AS210">
            <v>2744</v>
          </cell>
          <cell r="AT210">
            <v>224400</v>
          </cell>
        </row>
        <row r="211">
          <cell r="G211">
            <v>2404220202</v>
          </cell>
          <cell r="H211" t="str">
            <v>110동</v>
          </cell>
          <cell r="I211">
            <v>240422</v>
          </cell>
          <cell r="J211" t="str">
            <v>110동 기초</v>
          </cell>
          <cell r="K211">
            <v>980</v>
          </cell>
          <cell r="L211">
            <v>984</v>
          </cell>
          <cell r="M211">
            <v>2415</v>
          </cell>
          <cell r="N211" t="str">
            <v>영진</v>
          </cell>
          <cell r="O211" t="str">
            <v>펌프카(1대)</v>
          </cell>
          <cell r="P211">
            <v>730</v>
          </cell>
          <cell r="Q211">
            <v>1745</v>
          </cell>
          <cell r="R211">
            <v>155</v>
          </cell>
          <cell r="S211">
            <v>43</v>
          </cell>
          <cell r="T211">
            <v>86</v>
          </cell>
          <cell r="U211">
            <v>191</v>
          </cell>
          <cell r="V211"/>
          <cell r="W211" t="str">
            <v>박순홍</v>
          </cell>
          <cell r="X211" t="str">
            <v>(인)</v>
          </cell>
          <cell r="Y211" t="str">
            <v>박순홍</v>
          </cell>
          <cell r="Z211" t="str">
            <v>(인)</v>
          </cell>
          <cell r="AA211" t="str">
            <v>이루비</v>
          </cell>
          <cell r="AB211" t="str">
            <v>(인)</v>
          </cell>
          <cell r="AC211" t="str">
            <v>정창인</v>
          </cell>
          <cell r="AD211" t="str">
            <v>(인)</v>
          </cell>
          <cell r="AE211">
            <v>169.2</v>
          </cell>
          <cell r="AF211" t="str">
            <v>표준</v>
          </cell>
          <cell r="AG211">
            <v>2</v>
          </cell>
          <cell r="AH211">
            <v>0</v>
          </cell>
        </row>
        <row r="212">
          <cell r="G212">
            <v>2404220203</v>
          </cell>
          <cell r="H212" t="str">
            <v>110동</v>
          </cell>
          <cell r="I212">
            <v>240422</v>
          </cell>
          <cell r="J212" t="str">
            <v>110동 기초</v>
          </cell>
          <cell r="K212">
            <v>980</v>
          </cell>
          <cell r="L212">
            <v>984</v>
          </cell>
          <cell r="M212">
            <v>2415</v>
          </cell>
          <cell r="N212" t="str">
            <v>영진</v>
          </cell>
          <cell r="O212" t="str">
            <v>펌프카(1대)</v>
          </cell>
          <cell r="P212">
            <v>730</v>
          </cell>
          <cell r="Q212">
            <v>1745</v>
          </cell>
          <cell r="R212">
            <v>160</v>
          </cell>
          <cell r="S212">
            <v>46</v>
          </cell>
          <cell r="T212">
            <v>52</v>
          </cell>
          <cell r="U212">
            <v>188</v>
          </cell>
          <cell r="V212"/>
          <cell r="W212" t="str">
            <v>박순홍</v>
          </cell>
          <cell r="X212" t="str">
            <v>(인)</v>
          </cell>
          <cell r="Y212" t="str">
            <v>박순홍</v>
          </cell>
          <cell r="Z212" t="str">
            <v>(인)</v>
          </cell>
          <cell r="AA212" t="str">
            <v>이루비</v>
          </cell>
          <cell r="AB212" t="str">
            <v>(인)</v>
          </cell>
          <cell r="AC212" t="str">
            <v>정창인</v>
          </cell>
          <cell r="AD212" t="str">
            <v>(인)</v>
          </cell>
          <cell r="AE212">
            <v>168.6</v>
          </cell>
          <cell r="AF212" t="str">
            <v>표준</v>
          </cell>
          <cell r="AG212">
            <v>3</v>
          </cell>
          <cell r="AH212">
            <v>0</v>
          </cell>
        </row>
        <row r="213">
          <cell r="G213">
            <v>2404220204</v>
          </cell>
          <cell r="H213" t="str">
            <v>110동</v>
          </cell>
          <cell r="I213">
            <v>240422</v>
          </cell>
          <cell r="J213" t="str">
            <v>110동 기초</v>
          </cell>
          <cell r="K213">
            <v>980</v>
          </cell>
          <cell r="L213">
            <v>984</v>
          </cell>
          <cell r="M213">
            <v>2415</v>
          </cell>
          <cell r="N213" t="str">
            <v>영진</v>
          </cell>
          <cell r="O213" t="str">
            <v>펌프카(1대)</v>
          </cell>
          <cell r="P213">
            <v>730</v>
          </cell>
          <cell r="Q213">
            <v>1745</v>
          </cell>
          <cell r="R213">
            <v>165</v>
          </cell>
          <cell r="S213">
            <v>49</v>
          </cell>
          <cell r="T213">
            <v>35</v>
          </cell>
          <cell r="U213">
            <v>167</v>
          </cell>
          <cell r="V213"/>
          <cell r="W213" t="str">
            <v>박순홍</v>
          </cell>
          <cell r="X213" t="str">
            <v>(인)</v>
          </cell>
          <cell r="Y213" t="str">
            <v>박순홍</v>
          </cell>
          <cell r="Z213" t="str">
            <v>(인)</v>
          </cell>
          <cell r="AA213" t="str">
            <v>이루비</v>
          </cell>
          <cell r="AB213" t="str">
            <v>(인)</v>
          </cell>
          <cell r="AC213" t="str">
            <v>정창인</v>
          </cell>
          <cell r="AD213" t="str">
            <v>(인)</v>
          </cell>
          <cell r="AE213">
            <v>164.1</v>
          </cell>
          <cell r="AF213" t="str">
            <v>표준</v>
          </cell>
          <cell r="AG213">
            <v>4</v>
          </cell>
          <cell r="AH213">
            <v>1</v>
          </cell>
          <cell r="AL213">
            <v>2944</v>
          </cell>
          <cell r="AM213">
            <v>2862</v>
          </cell>
          <cell r="AN213">
            <v>2899</v>
          </cell>
          <cell r="AO213">
            <v>2844</v>
          </cell>
          <cell r="AP213">
            <v>2910</v>
          </cell>
          <cell r="AQ213">
            <v>2933</v>
          </cell>
          <cell r="AR213">
            <v>2846</v>
          </cell>
          <cell r="AS213">
            <v>2826</v>
          </cell>
          <cell r="AT213">
            <v>219400</v>
          </cell>
        </row>
        <row r="214">
          <cell r="G214">
            <v>2404220205</v>
          </cell>
          <cell r="H214" t="str">
            <v>110동</v>
          </cell>
          <cell r="I214">
            <v>240422</v>
          </cell>
          <cell r="J214" t="str">
            <v>110동 기초</v>
          </cell>
          <cell r="K214">
            <v>980</v>
          </cell>
          <cell r="L214">
            <v>984</v>
          </cell>
          <cell r="M214">
            <v>2415</v>
          </cell>
          <cell r="N214" t="str">
            <v>영진</v>
          </cell>
          <cell r="O214" t="str">
            <v>펌프카(1대)</v>
          </cell>
          <cell r="P214">
            <v>730</v>
          </cell>
          <cell r="Q214">
            <v>1745</v>
          </cell>
          <cell r="R214">
            <v>155</v>
          </cell>
          <cell r="S214">
            <v>46</v>
          </cell>
          <cell r="T214">
            <v>19</v>
          </cell>
          <cell r="U214">
            <v>179</v>
          </cell>
          <cell r="V214"/>
          <cell r="W214" t="str">
            <v>박순홍</v>
          </cell>
          <cell r="X214" t="str">
            <v>(인)</v>
          </cell>
          <cell r="Y214" t="str">
            <v>박순홍</v>
          </cell>
          <cell r="Z214" t="str">
            <v>(인)</v>
          </cell>
          <cell r="AA214" t="str">
            <v>이루비</v>
          </cell>
          <cell r="AB214" t="str">
            <v>(인)</v>
          </cell>
          <cell r="AC214" t="str">
            <v>정창인</v>
          </cell>
          <cell r="AD214" t="str">
            <v>(인)</v>
          </cell>
          <cell r="AE214">
            <v>170</v>
          </cell>
          <cell r="AF214" t="str">
            <v>표준</v>
          </cell>
          <cell r="AG214">
            <v>5</v>
          </cell>
          <cell r="AH214">
            <v>0</v>
          </cell>
        </row>
        <row r="215">
          <cell r="G215">
            <v>2404220206</v>
          </cell>
          <cell r="H215" t="str">
            <v>110동</v>
          </cell>
          <cell r="I215">
            <v>240422</v>
          </cell>
          <cell r="J215" t="str">
            <v>110동 기초</v>
          </cell>
          <cell r="K215">
            <v>980</v>
          </cell>
          <cell r="L215">
            <v>984</v>
          </cell>
          <cell r="M215">
            <v>2415</v>
          </cell>
          <cell r="N215" t="str">
            <v>영진</v>
          </cell>
          <cell r="O215" t="str">
            <v>펌프카(1대)</v>
          </cell>
          <cell r="P215">
            <v>730</v>
          </cell>
          <cell r="Q215">
            <v>1745</v>
          </cell>
          <cell r="R215">
            <v>160</v>
          </cell>
          <cell r="S215">
            <v>38</v>
          </cell>
          <cell r="T215">
            <v>15</v>
          </cell>
          <cell r="U215">
            <v>186</v>
          </cell>
          <cell r="V215"/>
          <cell r="W215" t="str">
            <v>박순홍</v>
          </cell>
          <cell r="X215" t="str">
            <v>(인)</v>
          </cell>
          <cell r="Y215" t="str">
            <v>박순홍</v>
          </cell>
          <cell r="Z215" t="str">
            <v>(인)</v>
          </cell>
          <cell r="AA215" t="str">
            <v>이루비</v>
          </cell>
          <cell r="AB215" t="str">
            <v>(인)</v>
          </cell>
          <cell r="AC215" t="str">
            <v>정창인</v>
          </cell>
          <cell r="AD215" t="str">
            <v>(인)</v>
          </cell>
          <cell r="AE215">
            <v>169.2</v>
          </cell>
          <cell r="AF215" t="str">
            <v>표준</v>
          </cell>
          <cell r="AG215">
            <v>6</v>
          </cell>
          <cell r="AH215">
            <v>0</v>
          </cell>
        </row>
        <row r="216">
          <cell r="G216">
            <v>2404220207</v>
          </cell>
          <cell r="H216" t="str">
            <v>110동</v>
          </cell>
          <cell r="I216">
            <v>240422</v>
          </cell>
          <cell r="J216" t="str">
            <v>110동 기초</v>
          </cell>
          <cell r="K216">
            <v>980</v>
          </cell>
          <cell r="L216">
            <v>984</v>
          </cell>
          <cell r="M216">
            <v>2415</v>
          </cell>
          <cell r="N216" t="str">
            <v>영진</v>
          </cell>
          <cell r="O216" t="str">
            <v>펌프카(1대)</v>
          </cell>
          <cell r="P216">
            <v>730</v>
          </cell>
          <cell r="Q216">
            <v>1745</v>
          </cell>
          <cell r="R216">
            <v>160</v>
          </cell>
          <cell r="S216">
            <v>45</v>
          </cell>
          <cell r="T216">
            <v>21</v>
          </cell>
          <cell r="U216">
            <v>208</v>
          </cell>
          <cell r="V216"/>
          <cell r="W216" t="str">
            <v>박순홍</v>
          </cell>
          <cell r="X216" t="str">
            <v>(인)</v>
          </cell>
          <cell r="Y216" t="str">
            <v>박순홍</v>
          </cell>
          <cell r="Z216" t="str">
            <v>(인)</v>
          </cell>
          <cell r="AA216" t="str">
            <v>이루비</v>
          </cell>
          <cell r="AB216" t="str">
            <v>(인)</v>
          </cell>
          <cell r="AC216" t="str">
            <v>정창인</v>
          </cell>
          <cell r="AD216" t="str">
            <v>(인)</v>
          </cell>
          <cell r="AE216">
            <v>180.2</v>
          </cell>
          <cell r="AF216" t="str">
            <v>표준</v>
          </cell>
          <cell r="AG216">
            <v>7</v>
          </cell>
          <cell r="AH216">
            <v>1</v>
          </cell>
          <cell r="AL216">
            <v>2828</v>
          </cell>
          <cell r="AM216">
            <v>2961</v>
          </cell>
          <cell r="AN216">
            <v>2844</v>
          </cell>
          <cell r="AO216">
            <v>2787</v>
          </cell>
          <cell r="AP216">
            <v>2936</v>
          </cell>
          <cell r="AQ216">
            <v>2843</v>
          </cell>
          <cell r="AR216">
            <v>2848</v>
          </cell>
          <cell r="AS216">
            <v>2846</v>
          </cell>
          <cell r="AT216">
            <v>220600</v>
          </cell>
        </row>
        <row r="217">
          <cell r="G217">
            <v>2404220208</v>
          </cell>
          <cell r="H217" t="str">
            <v>110동</v>
          </cell>
          <cell r="I217">
            <v>240422</v>
          </cell>
          <cell r="J217" t="str">
            <v>110동 기초</v>
          </cell>
          <cell r="K217">
            <v>980</v>
          </cell>
          <cell r="L217">
            <v>984</v>
          </cell>
          <cell r="M217">
            <v>2415</v>
          </cell>
          <cell r="N217" t="str">
            <v>영진</v>
          </cell>
          <cell r="O217" t="str">
            <v>펌프카(1대)</v>
          </cell>
          <cell r="P217">
            <v>730</v>
          </cell>
          <cell r="Q217">
            <v>1745</v>
          </cell>
          <cell r="R217">
            <v>155</v>
          </cell>
          <cell r="S217">
            <v>46</v>
          </cell>
          <cell r="T217">
            <v>38</v>
          </cell>
          <cell r="U217">
            <v>192</v>
          </cell>
          <cell r="V217"/>
          <cell r="W217" t="str">
            <v>박순홍</v>
          </cell>
          <cell r="X217" t="str">
            <v>(인)</v>
          </cell>
          <cell r="Y217" t="str">
            <v>박순홍</v>
          </cell>
          <cell r="Z217" t="str">
            <v>(인)</v>
          </cell>
          <cell r="AA217" t="str">
            <v>이루비</v>
          </cell>
          <cell r="AB217" t="str">
            <v>(인)</v>
          </cell>
          <cell r="AC217" t="str">
            <v>정창인</v>
          </cell>
          <cell r="AD217" t="str">
            <v>(인)</v>
          </cell>
          <cell r="AE217">
            <v>177.3</v>
          </cell>
          <cell r="AF217" t="str">
            <v>표준</v>
          </cell>
          <cell r="AG217">
            <v>8</v>
          </cell>
          <cell r="AH217">
            <v>0</v>
          </cell>
        </row>
        <row r="218">
          <cell r="G218">
            <v>2404220209</v>
          </cell>
          <cell r="H218" t="str">
            <v>110동</v>
          </cell>
          <cell r="I218">
            <v>240422</v>
          </cell>
          <cell r="J218" t="str">
            <v>110동 기초</v>
          </cell>
          <cell r="K218">
            <v>980</v>
          </cell>
          <cell r="L218">
            <v>984</v>
          </cell>
          <cell r="M218">
            <v>2415</v>
          </cell>
          <cell r="N218" t="str">
            <v>영진</v>
          </cell>
          <cell r="O218" t="str">
            <v>펌프카(1대)</v>
          </cell>
          <cell r="P218">
            <v>730</v>
          </cell>
          <cell r="Q218">
            <v>1745</v>
          </cell>
          <cell r="R218">
            <v>160</v>
          </cell>
          <cell r="S218">
            <v>50</v>
          </cell>
          <cell r="T218">
            <v>19</v>
          </cell>
          <cell r="U218">
            <v>182</v>
          </cell>
          <cell r="V218"/>
          <cell r="W218" t="str">
            <v>박순홍</v>
          </cell>
          <cell r="X218" t="str">
            <v>(인)</v>
          </cell>
          <cell r="Y218" t="str">
            <v>박순홍</v>
          </cell>
          <cell r="Z218" t="str">
            <v>(인)</v>
          </cell>
          <cell r="AA218" t="str">
            <v>이루비</v>
          </cell>
          <cell r="AB218" t="str">
            <v>(인)</v>
          </cell>
          <cell r="AC218" t="str">
            <v>정창인</v>
          </cell>
          <cell r="AD218" t="str">
            <v>(인)</v>
          </cell>
          <cell r="AE218">
            <v>173.6</v>
          </cell>
          <cell r="AF218" t="str">
            <v>표준</v>
          </cell>
          <cell r="AG218">
            <v>9</v>
          </cell>
          <cell r="AH218">
            <v>0</v>
          </cell>
        </row>
        <row r="219">
          <cell r="G219">
            <v>2404220301</v>
          </cell>
          <cell r="H219" t="str">
            <v>110동</v>
          </cell>
          <cell r="I219">
            <v>240422</v>
          </cell>
          <cell r="J219" t="str">
            <v>110동 기초</v>
          </cell>
          <cell r="K219">
            <v>650</v>
          </cell>
          <cell r="L219">
            <v>648</v>
          </cell>
          <cell r="M219">
            <v>2415</v>
          </cell>
          <cell r="N219" t="str">
            <v>대성</v>
          </cell>
          <cell r="O219" t="str">
            <v>펌프카(1대)</v>
          </cell>
          <cell r="P219">
            <v>745</v>
          </cell>
          <cell r="Q219">
            <v>1734</v>
          </cell>
          <cell r="R219">
            <v>160</v>
          </cell>
          <cell r="S219">
            <v>40</v>
          </cell>
          <cell r="T219">
            <v>22</v>
          </cell>
          <cell r="U219">
            <v>188</v>
          </cell>
          <cell r="V219"/>
          <cell r="W219" t="str">
            <v>박순홍</v>
          </cell>
          <cell r="X219" t="str">
            <v>(인)</v>
          </cell>
          <cell r="Y219" t="str">
            <v>박순홍</v>
          </cell>
          <cell r="Z219" t="str">
            <v>(인)</v>
          </cell>
          <cell r="AA219" t="str">
            <v>정창인</v>
          </cell>
          <cell r="AB219" t="str">
            <v>(인)</v>
          </cell>
          <cell r="AC219" t="str">
            <v>정창인</v>
          </cell>
          <cell r="AD219" t="str">
            <v>(인)</v>
          </cell>
          <cell r="AE219">
            <v>171</v>
          </cell>
          <cell r="AF219" t="str">
            <v>표준</v>
          </cell>
          <cell r="AG219">
            <v>1</v>
          </cell>
          <cell r="AH219">
            <v>1</v>
          </cell>
          <cell r="AI219">
            <v>2088</v>
          </cell>
          <cell r="AJ219">
            <v>2032</v>
          </cell>
          <cell r="AK219">
            <v>156600</v>
          </cell>
          <cell r="AL219">
            <v>3261</v>
          </cell>
          <cell r="AM219">
            <v>3354</v>
          </cell>
          <cell r="AN219">
            <v>3342</v>
          </cell>
          <cell r="AO219">
            <v>3263</v>
          </cell>
          <cell r="AP219">
            <v>3364</v>
          </cell>
          <cell r="AQ219">
            <v>3327</v>
          </cell>
          <cell r="AR219">
            <v>3278</v>
          </cell>
          <cell r="AS219">
            <v>3389</v>
          </cell>
          <cell r="AT219">
            <v>265600</v>
          </cell>
        </row>
        <row r="220">
          <cell r="G220">
            <v>2404220302</v>
          </cell>
          <cell r="H220" t="str">
            <v>110동</v>
          </cell>
          <cell r="I220">
            <v>240422</v>
          </cell>
          <cell r="J220" t="str">
            <v>110동 기초</v>
          </cell>
          <cell r="K220">
            <v>650</v>
          </cell>
          <cell r="L220">
            <v>648</v>
          </cell>
          <cell r="M220">
            <v>2415</v>
          </cell>
          <cell r="N220" t="str">
            <v>대성</v>
          </cell>
          <cell r="O220" t="str">
            <v>펌프카(1대)</v>
          </cell>
          <cell r="P220">
            <v>745</v>
          </cell>
          <cell r="Q220">
            <v>1734</v>
          </cell>
          <cell r="R220">
            <v>150</v>
          </cell>
          <cell r="S220">
            <v>48</v>
          </cell>
          <cell r="T220">
            <v>25</v>
          </cell>
          <cell r="U220">
            <v>180</v>
          </cell>
          <cell r="V220"/>
          <cell r="W220" t="str">
            <v>박순홍</v>
          </cell>
          <cell r="X220" t="str">
            <v>(인)</v>
          </cell>
          <cell r="Y220" t="str">
            <v>박순홍</v>
          </cell>
          <cell r="Z220" t="str">
            <v>(인)</v>
          </cell>
          <cell r="AA220" t="str">
            <v>이루비</v>
          </cell>
          <cell r="AB220" t="str">
            <v>(인)</v>
          </cell>
          <cell r="AC220" t="str">
            <v>정창인</v>
          </cell>
          <cell r="AD220" t="str">
            <v>(인)</v>
          </cell>
          <cell r="AE220">
            <v>171.6</v>
          </cell>
          <cell r="AF220" t="str">
            <v>표준</v>
          </cell>
          <cell r="AG220">
            <v>2</v>
          </cell>
          <cell r="AH220">
            <v>0</v>
          </cell>
        </row>
        <row r="221">
          <cell r="G221">
            <v>2404220303</v>
          </cell>
          <cell r="H221" t="str">
            <v>110동</v>
          </cell>
          <cell r="I221">
            <v>240422</v>
          </cell>
          <cell r="J221" t="str">
            <v>110동 기초</v>
          </cell>
          <cell r="K221">
            <v>650</v>
          </cell>
          <cell r="L221">
            <v>648</v>
          </cell>
          <cell r="M221">
            <v>2415</v>
          </cell>
          <cell r="N221" t="str">
            <v>대성</v>
          </cell>
          <cell r="O221" t="str">
            <v>펌프카(1대)</v>
          </cell>
          <cell r="P221">
            <v>745</v>
          </cell>
          <cell r="Q221">
            <v>1734</v>
          </cell>
          <cell r="R221">
            <v>155</v>
          </cell>
          <cell r="S221">
            <v>51</v>
          </cell>
          <cell r="T221">
            <v>21</v>
          </cell>
          <cell r="U221">
            <v>191</v>
          </cell>
          <cell r="V221"/>
          <cell r="W221" t="str">
            <v>박순홍</v>
          </cell>
          <cell r="X221" t="str">
            <v>(인)</v>
          </cell>
          <cell r="Y221" t="str">
            <v>박순홍</v>
          </cell>
          <cell r="Z221" t="str">
            <v>(인)</v>
          </cell>
          <cell r="AA221" t="str">
            <v>이루비</v>
          </cell>
          <cell r="AB221" t="str">
            <v>(인)</v>
          </cell>
          <cell r="AC221" t="str">
            <v>정창인</v>
          </cell>
          <cell r="AD221" t="str">
            <v>(인)</v>
          </cell>
          <cell r="AE221">
            <v>171.7</v>
          </cell>
          <cell r="AF221" t="str">
            <v>표준</v>
          </cell>
          <cell r="AG221">
            <v>3</v>
          </cell>
          <cell r="AH221">
            <v>0</v>
          </cell>
        </row>
        <row r="222">
          <cell r="G222">
            <v>2404220304</v>
          </cell>
          <cell r="H222" t="str">
            <v>110동</v>
          </cell>
          <cell r="I222">
            <v>240422</v>
          </cell>
          <cell r="J222" t="str">
            <v>110동 기초</v>
          </cell>
          <cell r="K222">
            <v>650</v>
          </cell>
          <cell r="L222">
            <v>648</v>
          </cell>
          <cell r="M222">
            <v>2415</v>
          </cell>
          <cell r="N222" t="str">
            <v>대성</v>
          </cell>
          <cell r="O222" t="str">
            <v>펌프카(1대)</v>
          </cell>
          <cell r="P222">
            <v>745</v>
          </cell>
          <cell r="Q222">
            <v>1734</v>
          </cell>
          <cell r="R222">
            <v>160</v>
          </cell>
          <cell r="S222">
            <v>45</v>
          </cell>
          <cell r="T222">
            <v>43</v>
          </cell>
          <cell r="U222">
            <v>183</v>
          </cell>
          <cell r="V222"/>
          <cell r="W222" t="str">
            <v>박순홍</v>
          </cell>
          <cell r="X222" t="str">
            <v>(인)</v>
          </cell>
          <cell r="Y222" t="str">
            <v>박순홍</v>
          </cell>
          <cell r="Z222" t="str">
            <v>(인)</v>
          </cell>
          <cell r="AA222" t="str">
            <v>이루비</v>
          </cell>
          <cell r="AB222" t="str">
            <v>(인)</v>
          </cell>
          <cell r="AC222" t="str">
            <v>정창인</v>
          </cell>
          <cell r="AD222" t="str">
            <v>(인)</v>
          </cell>
          <cell r="AE222">
            <v>172</v>
          </cell>
          <cell r="AF222" t="str">
            <v>표준</v>
          </cell>
          <cell r="AG222">
            <v>4</v>
          </cell>
          <cell r="AH222">
            <v>1</v>
          </cell>
          <cell r="AL222">
            <v>3391</v>
          </cell>
          <cell r="AM222">
            <v>3376</v>
          </cell>
          <cell r="AN222">
            <v>3255</v>
          </cell>
          <cell r="AO222">
            <v>3402</v>
          </cell>
          <cell r="AP222">
            <v>3363</v>
          </cell>
          <cell r="AQ222">
            <v>3241</v>
          </cell>
          <cell r="AR222">
            <v>3374</v>
          </cell>
          <cell r="AS222">
            <v>3346</v>
          </cell>
          <cell r="AT222">
            <v>264200</v>
          </cell>
        </row>
        <row r="223">
          <cell r="G223">
            <v>2404220305</v>
          </cell>
          <cell r="H223" t="str">
            <v>110동</v>
          </cell>
          <cell r="I223">
            <v>240422</v>
          </cell>
          <cell r="J223" t="str">
            <v>110동 기초</v>
          </cell>
          <cell r="K223">
            <v>650</v>
          </cell>
          <cell r="L223">
            <v>648</v>
          </cell>
          <cell r="M223">
            <v>2415</v>
          </cell>
          <cell r="N223" t="str">
            <v>대성</v>
          </cell>
          <cell r="O223" t="str">
            <v>펌프카(1대)</v>
          </cell>
          <cell r="P223">
            <v>745</v>
          </cell>
          <cell r="Q223">
            <v>1734</v>
          </cell>
          <cell r="R223">
            <v>150</v>
          </cell>
          <cell r="S223">
            <v>50</v>
          </cell>
          <cell r="T223">
            <v>17</v>
          </cell>
          <cell r="U223">
            <v>216</v>
          </cell>
          <cell r="V223"/>
          <cell r="W223" t="str">
            <v>박순홍</v>
          </cell>
          <cell r="X223" t="str">
            <v>(인)</v>
          </cell>
          <cell r="Y223" t="str">
            <v>박순홍</v>
          </cell>
          <cell r="Z223" t="str">
            <v>(인)</v>
          </cell>
          <cell r="AA223" t="str">
            <v>이루비</v>
          </cell>
          <cell r="AB223" t="str">
            <v>(인)</v>
          </cell>
          <cell r="AC223" t="str">
            <v>정창인</v>
          </cell>
          <cell r="AD223" t="str">
            <v>(인)</v>
          </cell>
          <cell r="AE223">
            <v>171</v>
          </cell>
          <cell r="AF223" t="str">
            <v>표준</v>
          </cell>
          <cell r="AG223">
            <v>5</v>
          </cell>
          <cell r="AH223">
            <v>0</v>
          </cell>
        </row>
        <row r="224">
          <cell r="G224">
            <v>2404220306</v>
          </cell>
          <cell r="H224" t="str">
            <v>110동</v>
          </cell>
          <cell r="I224">
            <v>240422</v>
          </cell>
          <cell r="J224" t="str">
            <v>110동 기초</v>
          </cell>
          <cell r="K224">
            <v>650</v>
          </cell>
          <cell r="L224">
            <v>648</v>
          </cell>
          <cell r="M224">
            <v>2415</v>
          </cell>
          <cell r="N224" t="str">
            <v>대성</v>
          </cell>
          <cell r="O224" t="str">
            <v>펌프카(1대)</v>
          </cell>
          <cell r="P224">
            <v>745</v>
          </cell>
          <cell r="Q224">
            <v>1734</v>
          </cell>
          <cell r="R224">
            <v>155</v>
          </cell>
          <cell r="S224">
            <v>52</v>
          </cell>
          <cell r="T224">
            <v>21</v>
          </cell>
          <cell r="U224">
            <v>198</v>
          </cell>
          <cell r="V224"/>
          <cell r="W224" t="str">
            <v>박순홍</v>
          </cell>
          <cell r="X224" t="str">
            <v>(인)</v>
          </cell>
          <cell r="Y224" t="str">
            <v>박순홍</v>
          </cell>
          <cell r="Z224" t="str">
            <v>(인)</v>
          </cell>
          <cell r="AA224" t="str">
            <v>이루비</v>
          </cell>
          <cell r="AB224" t="str">
            <v>(인)</v>
          </cell>
          <cell r="AC224" t="str">
            <v>정창인</v>
          </cell>
          <cell r="AD224" t="str">
            <v>(인)</v>
          </cell>
          <cell r="AE224">
            <v>177.8</v>
          </cell>
          <cell r="AF224" t="str">
            <v>표준</v>
          </cell>
          <cell r="AG224">
            <v>6</v>
          </cell>
          <cell r="AH224">
            <v>0</v>
          </cell>
        </row>
        <row r="225">
          <cell r="G225">
            <v>2404230101</v>
          </cell>
          <cell r="H225" t="str">
            <v>101동</v>
          </cell>
          <cell r="I225">
            <v>240423</v>
          </cell>
          <cell r="J225" t="str">
            <v>101동 및 주변주차장, 114동 EV 기초</v>
          </cell>
          <cell r="K225">
            <v>810</v>
          </cell>
          <cell r="L225">
            <v>810</v>
          </cell>
          <cell r="M225">
            <v>2415</v>
          </cell>
          <cell r="N225" t="str">
            <v>대원</v>
          </cell>
          <cell r="O225" t="str">
            <v>펌프카(1대)</v>
          </cell>
          <cell r="P225">
            <v>735</v>
          </cell>
          <cell r="Q225">
            <v>1601</v>
          </cell>
          <cell r="R225">
            <v>170</v>
          </cell>
          <cell r="S225">
            <v>45</v>
          </cell>
          <cell r="T225">
            <v>45</v>
          </cell>
          <cell r="U225">
            <v>183</v>
          </cell>
          <cell r="V225"/>
          <cell r="W225" t="str">
            <v>박순홍</v>
          </cell>
          <cell r="X225" t="str">
            <v>(인)</v>
          </cell>
          <cell r="Y225" t="str">
            <v>박순홍</v>
          </cell>
          <cell r="Z225" t="str">
            <v>(인)</v>
          </cell>
          <cell r="AA225" t="str">
            <v>이홍걸</v>
          </cell>
          <cell r="AB225" t="str">
            <v>(인)</v>
          </cell>
          <cell r="AC225" t="str">
            <v>이홍걸</v>
          </cell>
          <cell r="AD225" t="str">
            <v>(인)</v>
          </cell>
          <cell r="AE225">
            <v>189.6</v>
          </cell>
          <cell r="AF225" t="str">
            <v>표준</v>
          </cell>
          <cell r="AG225">
            <v>1</v>
          </cell>
          <cell r="AH225">
            <v>1</v>
          </cell>
          <cell r="AI225">
            <v>2333</v>
          </cell>
          <cell r="AJ225">
            <v>2324</v>
          </cell>
          <cell r="AK225">
            <v>184400</v>
          </cell>
          <cell r="AL225">
            <v>3245</v>
          </cell>
          <cell r="AM225">
            <v>3396</v>
          </cell>
          <cell r="AN225">
            <v>3435</v>
          </cell>
          <cell r="AO225">
            <v>3247</v>
          </cell>
          <cell r="AP225">
            <v>3327</v>
          </cell>
          <cell r="AQ225">
            <v>3382</v>
          </cell>
          <cell r="AR225">
            <v>3284</v>
          </cell>
          <cell r="AS225">
            <v>3391</v>
          </cell>
          <cell r="AT225">
            <v>265400</v>
          </cell>
        </row>
        <row r="226">
          <cell r="G226">
            <v>2404230102</v>
          </cell>
          <cell r="H226" t="str">
            <v>101동</v>
          </cell>
          <cell r="I226">
            <v>240423</v>
          </cell>
          <cell r="J226" t="str">
            <v>101동 및 주변주차장, 114동 EV 기초</v>
          </cell>
          <cell r="K226">
            <v>810</v>
          </cell>
          <cell r="L226">
            <v>810</v>
          </cell>
          <cell r="M226">
            <v>2415</v>
          </cell>
          <cell r="N226" t="str">
            <v>대원</v>
          </cell>
          <cell r="O226" t="str">
            <v>펌프카(1대)</v>
          </cell>
          <cell r="P226">
            <v>735</v>
          </cell>
          <cell r="Q226">
            <v>1601</v>
          </cell>
          <cell r="R226">
            <v>175</v>
          </cell>
          <cell r="S226">
            <v>42</v>
          </cell>
          <cell r="T226">
            <v>21</v>
          </cell>
          <cell r="U226">
            <v>189</v>
          </cell>
          <cell r="V226"/>
          <cell r="W226" t="str">
            <v>박순홍</v>
          </cell>
          <cell r="X226" t="str">
            <v>(인)</v>
          </cell>
          <cell r="Y226" t="str">
            <v>박순홍</v>
          </cell>
          <cell r="Z226" t="str">
            <v>(인)</v>
          </cell>
          <cell r="AA226" t="str">
            <v>이홍걸</v>
          </cell>
          <cell r="AB226" t="str">
            <v>(인)</v>
          </cell>
          <cell r="AC226" t="str">
            <v>이홍걸</v>
          </cell>
          <cell r="AD226" t="str">
            <v>(인)</v>
          </cell>
          <cell r="AE226">
            <v>181.2</v>
          </cell>
          <cell r="AF226" t="str">
            <v>표준</v>
          </cell>
          <cell r="AG226">
            <v>2</v>
          </cell>
          <cell r="AH226">
            <v>0</v>
          </cell>
        </row>
        <row r="227">
          <cell r="G227">
            <v>2404230103</v>
          </cell>
          <cell r="H227" t="str">
            <v>101동</v>
          </cell>
          <cell r="I227">
            <v>240423</v>
          </cell>
          <cell r="J227" t="str">
            <v>101동 및 주변주차장, 114동 EV 기초</v>
          </cell>
          <cell r="K227">
            <v>810</v>
          </cell>
          <cell r="L227">
            <v>810</v>
          </cell>
          <cell r="M227">
            <v>2415</v>
          </cell>
          <cell r="N227" t="str">
            <v>대원</v>
          </cell>
          <cell r="O227" t="str">
            <v>펌프카(1대)</v>
          </cell>
          <cell r="P227">
            <v>735</v>
          </cell>
          <cell r="Q227">
            <v>1601</v>
          </cell>
          <cell r="R227">
            <v>175</v>
          </cell>
          <cell r="S227">
            <v>47</v>
          </cell>
          <cell r="T227">
            <v>38</v>
          </cell>
          <cell r="U227">
            <v>193</v>
          </cell>
          <cell r="V227"/>
          <cell r="W227" t="str">
            <v>박순홍</v>
          </cell>
          <cell r="X227" t="str">
            <v>(인)</v>
          </cell>
          <cell r="Y227" t="str">
            <v>박순홍</v>
          </cell>
          <cell r="Z227" t="str">
            <v>(인)</v>
          </cell>
          <cell r="AA227" t="str">
            <v>이홍걸</v>
          </cell>
          <cell r="AB227" t="str">
            <v>(인)</v>
          </cell>
          <cell r="AC227" t="str">
            <v>이홍걸</v>
          </cell>
          <cell r="AD227" t="str">
            <v>(인)</v>
          </cell>
          <cell r="AE227">
            <v>184.5</v>
          </cell>
          <cell r="AF227" t="str">
            <v>표준</v>
          </cell>
          <cell r="AG227">
            <v>3</v>
          </cell>
          <cell r="AH227">
            <v>0</v>
          </cell>
        </row>
        <row r="228">
          <cell r="G228">
            <v>2404230104</v>
          </cell>
          <cell r="H228" t="str">
            <v>101동</v>
          </cell>
          <cell r="I228">
            <v>240423</v>
          </cell>
          <cell r="J228" t="str">
            <v>101동 및 주변주차장, 114동 EV 기초</v>
          </cell>
          <cell r="K228">
            <v>810</v>
          </cell>
          <cell r="L228">
            <v>810</v>
          </cell>
          <cell r="M228">
            <v>2415</v>
          </cell>
          <cell r="N228" t="str">
            <v>대원</v>
          </cell>
          <cell r="O228" t="str">
            <v>펌프카(1대)</v>
          </cell>
          <cell r="P228">
            <v>735</v>
          </cell>
          <cell r="Q228">
            <v>1601</v>
          </cell>
          <cell r="R228">
            <v>160</v>
          </cell>
          <cell r="S228">
            <v>47</v>
          </cell>
          <cell r="T228">
            <v>18</v>
          </cell>
          <cell r="U228">
            <v>181</v>
          </cell>
          <cell r="V228"/>
          <cell r="W228" t="str">
            <v>박순홍</v>
          </cell>
          <cell r="X228" t="str">
            <v>(인)</v>
          </cell>
          <cell r="Y228" t="str">
            <v>박순홍</v>
          </cell>
          <cell r="Z228" t="str">
            <v>(인)</v>
          </cell>
          <cell r="AA228" t="str">
            <v>이홍걸</v>
          </cell>
          <cell r="AB228" t="str">
            <v>(인)</v>
          </cell>
          <cell r="AC228" t="str">
            <v>이홍걸</v>
          </cell>
          <cell r="AD228" t="str">
            <v>(인)</v>
          </cell>
          <cell r="AE228">
            <v>179.3</v>
          </cell>
          <cell r="AF228" t="str">
            <v>표준</v>
          </cell>
          <cell r="AG228">
            <v>4</v>
          </cell>
          <cell r="AH228">
            <v>1</v>
          </cell>
          <cell r="AL228">
            <v>3271</v>
          </cell>
          <cell r="AM228">
            <v>3343</v>
          </cell>
          <cell r="AN228">
            <v>3411</v>
          </cell>
          <cell r="AO228">
            <v>3262</v>
          </cell>
          <cell r="AP228">
            <v>3434</v>
          </cell>
          <cell r="AQ228">
            <v>3388</v>
          </cell>
          <cell r="AR228">
            <v>3351</v>
          </cell>
          <cell r="AS228">
            <v>3310</v>
          </cell>
          <cell r="AT228">
            <v>263600</v>
          </cell>
        </row>
        <row r="229">
          <cell r="G229">
            <v>2404230105</v>
          </cell>
          <cell r="H229" t="str">
            <v>101동</v>
          </cell>
          <cell r="I229">
            <v>240423</v>
          </cell>
          <cell r="J229" t="str">
            <v>101동 및 주변주차장, 114동 EV 기초</v>
          </cell>
          <cell r="K229">
            <v>810</v>
          </cell>
          <cell r="L229">
            <v>810</v>
          </cell>
          <cell r="M229">
            <v>2415</v>
          </cell>
          <cell r="N229" t="str">
            <v>대원</v>
          </cell>
          <cell r="O229" t="str">
            <v>펌프카(1대)</v>
          </cell>
          <cell r="P229">
            <v>735</v>
          </cell>
          <cell r="Q229">
            <v>1601</v>
          </cell>
          <cell r="R229">
            <v>165</v>
          </cell>
          <cell r="S229">
            <v>47</v>
          </cell>
          <cell r="T229">
            <v>22</v>
          </cell>
          <cell r="U229">
            <v>185</v>
          </cell>
          <cell r="V229"/>
          <cell r="W229" t="str">
            <v>박순홍</v>
          </cell>
          <cell r="X229" t="str">
            <v>(인)</v>
          </cell>
          <cell r="Y229" t="str">
            <v>박순홍</v>
          </cell>
          <cell r="Z229" t="str">
            <v>(인)</v>
          </cell>
          <cell r="AA229" t="str">
            <v>이홍걸</v>
          </cell>
          <cell r="AB229" t="str">
            <v>(인)</v>
          </cell>
          <cell r="AC229" t="str">
            <v>이홍걸</v>
          </cell>
          <cell r="AD229" t="str">
            <v>(인)</v>
          </cell>
          <cell r="AE229">
            <v>164.1</v>
          </cell>
          <cell r="AF229" t="str">
            <v>표준</v>
          </cell>
          <cell r="AG229">
            <v>5</v>
          </cell>
          <cell r="AH229">
            <v>0</v>
          </cell>
        </row>
        <row r="230">
          <cell r="G230">
            <v>2404230106</v>
          </cell>
          <cell r="H230" t="str">
            <v>101동</v>
          </cell>
          <cell r="I230">
            <v>240423</v>
          </cell>
          <cell r="J230" t="str">
            <v>101동 및 주변주차장, 114동 EV 기초</v>
          </cell>
          <cell r="K230">
            <v>810</v>
          </cell>
          <cell r="L230">
            <v>810</v>
          </cell>
          <cell r="M230">
            <v>2415</v>
          </cell>
          <cell r="N230" t="str">
            <v>대원</v>
          </cell>
          <cell r="O230" t="str">
            <v>펌프카(1대)</v>
          </cell>
          <cell r="P230">
            <v>735</v>
          </cell>
          <cell r="Q230">
            <v>1601</v>
          </cell>
          <cell r="R230">
            <v>155</v>
          </cell>
          <cell r="S230">
            <v>51</v>
          </cell>
          <cell r="T230">
            <v>25</v>
          </cell>
          <cell r="U230">
            <v>174</v>
          </cell>
          <cell r="V230"/>
          <cell r="W230" t="str">
            <v>박순홍</v>
          </cell>
          <cell r="X230" t="str">
            <v>(인)</v>
          </cell>
          <cell r="Y230" t="str">
            <v>박순홍</v>
          </cell>
          <cell r="Z230" t="str">
            <v>(인)</v>
          </cell>
          <cell r="AA230" t="str">
            <v>이홍걸</v>
          </cell>
          <cell r="AB230" t="str">
            <v>(인)</v>
          </cell>
          <cell r="AC230" t="str">
            <v>이홍걸</v>
          </cell>
          <cell r="AD230" t="str">
            <v>(인)</v>
          </cell>
          <cell r="AE230">
            <v>171.4</v>
          </cell>
          <cell r="AF230" t="str">
            <v>표준</v>
          </cell>
          <cell r="AG230">
            <v>6</v>
          </cell>
          <cell r="AH230">
            <v>0</v>
          </cell>
        </row>
        <row r="231">
          <cell r="G231">
            <v>2404230107</v>
          </cell>
          <cell r="H231" t="str">
            <v>101동</v>
          </cell>
          <cell r="I231">
            <v>240423</v>
          </cell>
          <cell r="J231" t="str">
            <v>101동 및 주변주차장, 114동 EV 기초</v>
          </cell>
          <cell r="K231">
            <v>810</v>
          </cell>
          <cell r="L231">
            <v>810</v>
          </cell>
          <cell r="M231">
            <v>2415</v>
          </cell>
          <cell r="N231" t="str">
            <v>대원</v>
          </cell>
          <cell r="O231" t="str">
            <v>펌프카(1대)</v>
          </cell>
          <cell r="P231">
            <v>735</v>
          </cell>
          <cell r="Q231">
            <v>1601</v>
          </cell>
          <cell r="R231">
            <v>160</v>
          </cell>
          <cell r="S231">
            <v>46</v>
          </cell>
          <cell r="T231">
            <v>31</v>
          </cell>
          <cell r="U231">
            <v>198</v>
          </cell>
          <cell r="V231"/>
          <cell r="W231" t="str">
            <v>박순홍</v>
          </cell>
          <cell r="X231" t="str">
            <v>(인)</v>
          </cell>
          <cell r="Y231" t="str">
            <v>박순홍</v>
          </cell>
          <cell r="Z231" t="str">
            <v>(인)</v>
          </cell>
          <cell r="AA231" t="str">
            <v>이홍걸</v>
          </cell>
          <cell r="AB231" t="str">
            <v>(인)</v>
          </cell>
          <cell r="AC231" t="str">
            <v>이홍걸</v>
          </cell>
          <cell r="AD231" t="str">
            <v>(인)</v>
          </cell>
          <cell r="AE231">
            <v>171.3</v>
          </cell>
          <cell r="AF231" t="str">
            <v>표준</v>
          </cell>
          <cell r="AG231">
            <v>7</v>
          </cell>
          <cell r="AH231">
            <v>1</v>
          </cell>
          <cell r="AL231">
            <v>3324</v>
          </cell>
          <cell r="AM231">
            <v>3315</v>
          </cell>
          <cell r="AN231">
            <v>3265</v>
          </cell>
          <cell r="AO231">
            <v>3420</v>
          </cell>
          <cell r="AP231">
            <v>3382</v>
          </cell>
          <cell r="AQ231">
            <v>3363</v>
          </cell>
          <cell r="AR231">
            <v>3417</v>
          </cell>
          <cell r="AS231">
            <v>3386</v>
          </cell>
          <cell r="AT231">
            <v>272000</v>
          </cell>
        </row>
        <row r="232">
          <cell r="G232">
            <v>2404230201</v>
          </cell>
          <cell r="H232" t="str">
            <v>101동</v>
          </cell>
          <cell r="I232">
            <v>240423</v>
          </cell>
          <cell r="J232" t="str">
            <v>101동 및 주변주차장 기초</v>
          </cell>
          <cell r="K232">
            <v>560</v>
          </cell>
          <cell r="L232">
            <v>558</v>
          </cell>
          <cell r="M232">
            <v>2415</v>
          </cell>
          <cell r="N232" t="str">
            <v>울산</v>
          </cell>
          <cell r="O232" t="str">
            <v>펌프카(1대)</v>
          </cell>
          <cell r="P232">
            <v>750</v>
          </cell>
          <cell r="Q232">
            <v>1514</v>
          </cell>
          <cell r="R232">
            <v>165</v>
          </cell>
          <cell r="S232">
            <v>46</v>
          </cell>
          <cell r="T232">
            <v>50</v>
          </cell>
          <cell r="U232">
            <v>180</v>
          </cell>
          <cell r="V232"/>
          <cell r="W232" t="str">
            <v>박순홍</v>
          </cell>
          <cell r="X232" t="str">
            <v>(인)</v>
          </cell>
          <cell r="Y232" t="str">
            <v>박순홍</v>
          </cell>
          <cell r="Z232" t="str">
            <v>(인)</v>
          </cell>
          <cell r="AA232" t="str">
            <v>이홍걸</v>
          </cell>
          <cell r="AB232" t="str">
            <v>(인)</v>
          </cell>
          <cell r="AC232" t="str">
            <v>이홍걸</v>
          </cell>
          <cell r="AD232" t="str">
            <v>(인)</v>
          </cell>
          <cell r="AE232">
            <v>177.5</v>
          </cell>
          <cell r="AF232" t="str">
            <v>표준</v>
          </cell>
          <cell r="AG232">
            <v>1</v>
          </cell>
          <cell r="AH232">
            <v>1</v>
          </cell>
          <cell r="AI232">
            <v>2095</v>
          </cell>
          <cell r="AJ232">
            <v>2033</v>
          </cell>
          <cell r="AK232">
            <v>163800</v>
          </cell>
          <cell r="AL232">
            <v>2787</v>
          </cell>
          <cell r="AM232">
            <v>2824</v>
          </cell>
          <cell r="AN232">
            <v>2836</v>
          </cell>
          <cell r="AO232">
            <v>2821</v>
          </cell>
          <cell r="AP232">
            <v>2943</v>
          </cell>
          <cell r="AQ232">
            <v>2968</v>
          </cell>
          <cell r="AR232">
            <v>2810</v>
          </cell>
          <cell r="AS232">
            <v>2816</v>
          </cell>
          <cell r="AT232">
            <v>229600</v>
          </cell>
        </row>
        <row r="233">
          <cell r="G233">
            <v>2404230202</v>
          </cell>
          <cell r="H233" t="str">
            <v>101동</v>
          </cell>
          <cell r="I233">
            <v>240423</v>
          </cell>
          <cell r="J233" t="str">
            <v>101동 및 주변주차장 기초</v>
          </cell>
          <cell r="K233">
            <v>560</v>
          </cell>
          <cell r="L233">
            <v>558</v>
          </cell>
          <cell r="M233">
            <v>2415</v>
          </cell>
          <cell r="N233" t="str">
            <v>울산</v>
          </cell>
          <cell r="O233" t="str">
            <v>펌프카(1대)</v>
          </cell>
          <cell r="P233">
            <v>750</v>
          </cell>
          <cell r="Q233">
            <v>1514</v>
          </cell>
          <cell r="R233">
            <v>170</v>
          </cell>
          <cell r="S233">
            <v>48</v>
          </cell>
          <cell r="T233">
            <v>29</v>
          </cell>
          <cell r="U233">
            <v>189</v>
          </cell>
          <cell r="V233"/>
          <cell r="W233" t="str">
            <v>박순홍</v>
          </cell>
          <cell r="X233" t="str">
            <v>(인)</v>
          </cell>
          <cell r="Y233" t="str">
            <v>박순홍</v>
          </cell>
          <cell r="Z233" t="str">
            <v>(인)</v>
          </cell>
          <cell r="AA233" t="str">
            <v>이홍걸</v>
          </cell>
          <cell r="AB233" t="str">
            <v>(인)</v>
          </cell>
          <cell r="AC233" t="str">
            <v>이홍걸</v>
          </cell>
          <cell r="AD233" t="str">
            <v>(인)</v>
          </cell>
          <cell r="AE233">
            <v>178.3</v>
          </cell>
          <cell r="AF233" t="str">
            <v>표준</v>
          </cell>
          <cell r="AG233">
            <v>2</v>
          </cell>
          <cell r="AH233">
            <v>0</v>
          </cell>
        </row>
        <row r="234">
          <cell r="G234">
            <v>2404230203</v>
          </cell>
          <cell r="H234" t="str">
            <v>101동</v>
          </cell>
          <cell r="I234">
            <v>240423</v>
          </cell>
          <cell r="J234" t="str">
            <v>101동 및 주변주차장 기초</v>
          </cell>
          <cell r="K234">
            <v>560</v>
          </cell>
          <cell r="L234">
            <v>558</v>
          </cell>
          <cell r="M234">
            <v>2415</v>
          </cell>
          <cell r="N234" t="str">
            <v>울산</v>
          </cell>
          <cell r="O234" t="str">
            <v>펌프카(1대)</v>
          </cell>
          <cell r="P234">
            <v>750</v>
          </cell>
          <cell r="Q234">
            <v>1514</v>
          </cell>
          <cell r="R234">
            <v>170</v>
          </cell>
          <cell r="S234">
            <v>46</v>
          </cell>
          <cell r="T234">
            <v>24</v>
          </cell>
          <cell r="U234">
            <v>184</v>
          </cell>
          <cell r="V234"/>
          <cell r="W234" t="str">
            <v>박순홍</v>
          </cell>
          <cell r="X234" t="str">
            <v>(인)</v>
          </cell>
          <cell r="Y234" t="str">
            <v>박순홍</v>
          </cell>
          <cell r="Z234" t="str">
            <v>(인)</v>
          </cell>
          <cell r="AA234" t="str">
            <v>이홍걸</v>
          </cell>
          <cell r="AB234" t="str">
            <v>(인)</v>
          </cell>
          <cell r="AC234" t="str">
            <v>이홍걸</v>
          </cell>
          <cell r="AD234" t="str">
            <v>(인)</v>
          </cell>
          <cell r="AE234">
            <v>169.2</v>
          </cell>
          <cell r="AF234" t="str">
            <v>표준</v>
          </cell>
          <cell r="AG234">
            <v>3</v>
          </cell>
          <cell r="AH234">
            <v>0</v>
          </cell>
        </row>
        <row r="235">
          <cell r="G235">
            <v>2404230204</v>
          </cell>
          <cell r="H235" t="str">
            <v>101동</v>
          </cell>
          <cell r="I235">
            <v>240423</v>
          </cell>
          <cell r="J235" t="str">
            <v>101동 및 주변주차장 기초</v>
          </cell>
          <cell r="K235">
            <v>560</v>
          </cell>
          <cell r="L235">
            <v>558</v>
          </cell>
          <cell r="M235">
            <v>2415</v>
          </cell>
          <cell r="N235" t="str">
            <v>울산</v>
          </cell>
          <cell r="O235" t="str">
            <v>펌프카(1대)</v>
          </cell>
          <cell r="P235">
            <v>750</v>
          </cell>
          <cell r="Q235">
            <v>1514</v>
          </cell>
          <cell r="R235">
            <v>145</v>
          </cell>
          <cell r="S235">
            <v>42</v>
          </cell>
          <cell r="T235">
            <v>14</v>
          </cell>
          <cell r="U235">
            <v>195</v>
          </cell>
          <cell r="V235"/>
          <cell r="W235" t="str">
            <v>박순홍</v>
          </cell>
          <cell r="X235" t="str">
            <v>(인)</v>
          </cell>
          <cell r="Y235" t="str">
            <v>박순홍</v>
          </cell>
          <cell r="Z235" t="str">
            <v>(인)</v>
          </cell>
          <cell r="AA235" t="str">
            <v>이홍걸</v>
          </cell>
          <cell r="AB235" t="str">
            <v>(인)</v>
          </cell>
          <cell r="AC235" t="str">
            <v>이홍걸</v>
          </cell>
          <cell r="AD235" t="str">
            <v>(인)</v>
          </cell>
          <cell r="AE235">
            <v>178.7</v>
          </cell>
          <cell r="AF235" t="str">
            <v>표준</v>
          </cell>
          <cell r="AG235">
            <v>4</v>
          </cell>
          <cell r="AH235">
            <v>1</v>
          </cell>
          <cell r="AL235">
            <v>2904</v>
          </cell>
          <cell r="AM235">
            <v>2846</v>
          </cell>
          <cell r="AN235">
            <v>2857</v>
          </cell>
          <cell r="AO235">
            <v>2866</v>
          </cell>
          <cell r="AP235">
            <v>2919</v>
          </cell>
          <cell r="AQ235">
            <v>2858</v>
          </cell>
          <cell r="AR235">
            <v>2746</v>
          </cell>
          <cell r="AS235">
            <v>2857</v>
          </cell>
          <cell r="AT235">
            <v>221800</v>
          </cell>
        </row>
        <row r="236">
          <cell r="G236">
            <v>2404230205</v>
          </cell>
          <cell r="H236" t="str">
            <v>101동</v>
          </cell>
          <cell r="I236">
            <v>240423</v>
          </cell>
          <cell r="J236" t="str">
            <v>101동 및 주변주차장 기초</v>
          </cell>
          <cell r="K236">
            <v>560</v>
          </cell>
          <cell r="L236">
            <v>558</v>
          </cell>
          <cell r="M236">
            <v>2415</v>
          </cell>
          <cell r="N236" t="str">
            <v>울산</v>
          </cell>
          <cell r="O236" t="str">
            <v>펌프카(1대)</v>
          </cell>
          <cell r="P236">
            <v>750</v>
          </cell>
          <cell r="Q236">
            <v>1514</v>
          </cell>
          <cell r="R236">
            <v>155</v>
          </cell>
          <cell r="S236">
            <v>42</v>
          </cell>
          <cell r="T236">
            <v>15</v>
          </cell>
          <cell r="U236">
            <v>197</v>
          </cell>
          <cell r="V236"/>
          <cell r="W236" t="str">
            <v>박순홍</v>
          </cell>
          <cell r="X236" t="str">
            <v>(인)</v>
          </cell>
          <cell r="Y236" t="str">
            <v>박순홍</v>
          </cell>
          <cell r="Z236" t="str">
            <v>(인)</v>
          </cell>
          <cell r="AA236" t="str">
            <v>이홍걸</v>
          </cell>
          <cell r="AB236" t="str">
            <v>(인)</v>
          </cell>
          <cell r="AC236" t="str">
            <v>이홍걸</v>
          </cell>
          <cell r="AD236" t="str">
            <v>(인)</v>
          </cell>
          <cell r="AE236">
            <v>180.2</v>
          </cell>
          <cell r="AF236" t="str">
            <v>표준</v>
          </cell>
          <cell r="AG236">
            <v>5</v>
          </cell>
          <cell r="AH236">
            <v>0</v>
          </cell>
        </row>
        <row r="237">
          <cell r="G237">
            <v>2404230301</v>
          </cell>
          <cell r="H237" t="str">
            <v>114동, 117동</v>
          </cell>
          <cell r="I237">
            <v>240423</v>
          </cell>
          <cell r="J237" t="str">
            <v>114동~117동 사이 발전기실, 전기실 버림</v>
          </cell>
          <cell r="K237">
            <v>80</v>
          </cell>
          <cell r="L237">
            <v>78</v>
          </cell>
          <cell r="M237">
            <v>1812</v>
          </cell>
          <cell r="N237" t="str">
            <v>대원</v>
          </cell>
          <cell r="O237" t="str">
            <v>펌프카(1대)</v>
          </cell>
          <cell r="P237">
            <v>1600</v>
          </cell>
          <cell r="Q237">
            <v>1708</v>
          </cell>
          <cell r="R237">
            <v>125</v>
          </cell>
          <cell r="S237">
            <v>42</v>
          </cell>
          <cell r="T237">
            <v>10</v>
          </cell>
          <cell r="U237">
            <v>186</v>
          </cell>
          <cell r="V237"/>
          <cell r="W237" t="str">
            <v>박순홍</v>
          </cell>
          <cell r="X237" t="str">
            <v>(인)</v>
          </cell>
          <cell r="Y237" t="str">
            <v>박순홍</v>
          </cell>
          <cell r="Z237" t="str">
            <v>(인)</v>
          </cell>
          <cell r="AA237" t="str">
            <v>장덕만</v>
          </cell>
          <cell r="AB237" t="str">
            <v>(인)</v>
          </cell>
          <cell r="AC237" t="str">
            <v>장덕만</v>
          </cell>
          <cell r="AD237" t="str">
            <v>(인)</v>
          </cell>
          <cell r="AE237">
            <v>171.4</v>
          </cell>
          <cell r="AF237" t="str">
            <v>표준</v>
          </cell>
          <cell r="AG237">
            <v>1</v>
          </cell>
          <cell r="AH237">
            <v>1</v>
          </cell>
          <cell r="AI237">
            <v>1482</v>
          </cell>
          <cell r="AJ237">
            <v>1542</v>
          </cell>
          <cell r="AK237">
            <v>116000</v>
          </cell>
          <cell r="AL237">
            <v>2355</v>
          </cell>
          <cell r="AM237">
            <v>2327</v>
          </cell>
          <cell r="AN237">
            <v>2296</v>
          </cell>
          <cell r="AO237">
            <v>2307</v>
          </cell>
          <cell r="AP237">
            <v>2321</v>
          </cell>
          <cell r="AQ237">
            <v>2401</v>
          </cell>
          <cell r="AR237">
            <v>2267</v>
          </cell>
          <cell r="AS237">
            <v>2394</v>
          </cell>
          <cell r="AT237">
            <v>184000</v>
          </cell>
        </row>
        <row r="238">
          <cell r="G238">
            <v>2404250101</v>
          </cell>
          <cell r="H238" t="str">
            <v>108동</v>
          </cell>
          <cell r="I238">
            <v>240425</v>
          </cell>
          <cell r="J238" t="str">
            <v>108동 주변주차장 E-1구간 기초</v>
          </cell>
          <cell r="K238">
            <v>900</v>
          </cell>
          <cell r="L238">
            <v>900</v>
          </cell>
          <cell r="M238">
            <v>2415</v>
          </cell>
          <cell r="N238" t="str">
            <v>용호</v>
          </cell>
          <cell r="O238" t="str">
            <v>펌프카(1대)</v>
          </cell>
          <cell r="P238">
            <v>747</v>
          </cell>
          <cell r="Q238">
            <v>1525</v>
          </cell>
          <cell r="R238">
            <v>165</v>
          </cell>
          <cell r="S238">
            <v>38</v>
          </cell>
          <cell r="T238">
            <v>31</v>
          </cell>
          <cell r="U238">
            <v>174</v>
          </cell>
          <cell r="V238"/>
          <cell r="W238" t="str">
            <v>박순홍</v>
          </cell>
          <cell r="X238" t="str">
            <v>(인)</v>
          </cell>
          <cell r="Y238" t="str">
            <v>박순홍</v>
          </cell>
          <cell r="Z238" t="str">
            <v>(인)</v>
          </cell>
          <cell r="AA238" t="str">
            <v>정창인</v>
          </cell>
          <cell r="AB238" t="str">
            <v>(인)</v>
          </cell>
          <cell r="AC238" t="str">
            <v>이루비</v>
          </cell>
          <cell r="AD238" t="str">
            <v>(인)</v>
          </cell>
          <cell r="AE238">
            <v>170.4</v>
          </cell>
          <cell r="AF238" t="str">
            <v>표준</v>
          </cell>
          <cell r="AG238">
            <v>1</v>
          </cell>
          <cell r="AH238">
            <v>1</v>
          </cell>
          <cell r="AI238">
            <v>2297</v>
          </cell>
          <cell r="AJ238">
            <v>2318</v>
          </cell>
          <cell r="AK238">
            <v>183200</v>
          </cell>
          <cell r="AL238">
            <v>3374</v>
          </cell>
          <cell r="AM238">
            <v>3277</v>
          </cell>
          <cell r="AN238">
            <v>3290</v>
          </cell>
          <cell r="AO238">
            <v>3402</v>
          </cell>
          <cell r="AP238">
            <v>3392</v>
          </cell>
          <cell r="AQ238">
            <v>3278</v>
          </cell>
          <cell r="AR238">
            <v>3306</v>
          </cell>
          <cell r="AS238">
            <v>3429</v>
          </cell>
          <cell r="AT238">
            <v>264600</v>
          </cell>
        </row>
        <row r="239">
          <cell r="G239">
            <v>2404250102</v>
          </cell>
          <cell r="H239" t="str">
            <v>108동</v>
          </cell>
          <cell r="I239">
            <v>240425</v>
          </cell>
          <cell r="J239" t="str">
            <v>108동 주변주차장 E-1구간 기초</v>
          </cell>
          <cell r="K239">
            <v>900</v>
          </cell>
          <cell r="L239">
            <v>900</v>
          </cell>
          <cell r="M239">
            <v>2415</v>
          </cell>
          <cell r="N239" t="str">
            <v>용호</v>
          </cell>
          <cell r="O239" t="str">
            <v>펌프카(1대)</v>
          </cell>
          <cell r="P239">
            <v>747</v>
          </cell>
          <cell r="Q239">
            <v>1525</v>
          </cell>
          <cell r="R239">
            <v>165</v>
          </cell>
          <cell r="S239">
            <v>43</v>
          </cell>
          <cell r="T239">
            <v>28</v>
          </cell>
          <cell r="U239">
            <v>189</v>
          </cell>
          <cell r="V239"/>
          <cell r="W239" t="str">
            <v>박순홍</v>
          </cell>
          <cell r="X239" t="str">
            <v>(인)</v>
          </cell>
          <cell r="Y239" t="str">
            <v>박순홍</v>
          </cell>
          <cell r="Z239" t="str">
            <v>(인)</v>
          </cell>
          <cell r="AA239" t="str">
            <v>이루비</v>
          </cell>
          <cell r="AB239" t="str">
            <v>(인)</v>
          </cell>
          <cell r="AC239" t="str">
            <v>이루비</v>
          </cell>
          <cell r="AD239" t="str">
            <v>(인)</v>
          </cell>
          <cell r="AE239">
            <v>178.6</v>
          </cell>
          <cell r="AF239" t="str">
            <v>표준</v>
          </cell>
          <cell r="AG239">
            <v>2</v>
          </cell>
          <cell r="AH239">
            <v>0</v>
          </cell>
        </row>
        <row r="240">
          <cell r="G240">
            <v>2404250103</v>
          </cell>
          <cell r="H240" t="str">
            <v>108동</v>
          </cell>
          <cell r="I240">
            <v>240425</v>
          </cell>
          <cell r="J240" t="str">
            <v>108동 주변주차장 E-1구간 기초</v>
          </cell>
          <cell r="K240">
            <v>900</v>
          </cell>
          <cell r="L240">
            <v>900</v>
          </cell>
          <cell r="M240">
            <v>2415</v>
          </cell>
          <cell r="N240" t="str">
            <v>용호</v>
          </cell>
          <cell r="O240" t="str">
            <v>펌프카(1대)</v>
          </cell>
          <cell r="P240">
            <v>747</v>
          </cell>
          <cell r="Q240">
            <v>1525</v>
          </cell>
          <cell r="R240">
            <v>165</v>
          </cell>
          <cell r="S240">
            <v>49</v>
          </cell>
          <cell r="T240">
            <v>39</v>
          </cell>
          <cell r="U240">
            <v>202</v>
          </cell>
          <cell r="V240"/>
          <cell r="W240" t="str">
            <v>박순홍</v>
          </cell>
          <cell r="X240" t="str">
            <v>(인)</v>
          </cell>
          <cell r="Y240" t="str">
            <v>박순홍</v>
          </cell>
          <cell r="Z240" t="str">
            <v>(인)</v>
          </cell>
          <cell r="AA240" t="str">
            <v>이루비</v>
          </cell>
          <cell r="AB240" t="str">
            <v>(인)</v>
          </cell>
          <cell r="AC240" t="str">
            <v>이루비</v>
          </cell>
          <cell r="AD240" t="str">
            <v>(인)</v>
          </cell>
          <cell r="AE240">
            <v>179.1</v>
          </cell>
          <cell r="AF240" t="str">
            <v>표준</v>
          </cell>
          <cell r="AG240">
            <v>3</v>
          </cell>
          <cell r="AH240">
            <v>0</v>
          </cell>
        </row>
        <row r="241">
          <cell r="G241">
            <v>2404250104</v>
          </cell>
          <cell r="H241" t="str">
            <v>108동</v>
          </cell>
          <cell r="I241">
            <v>240425</v>
          </cell>
          <cell r="J241" t="str">
            <v>108동 주변주차장 E-1구간 기초</v>
          </cell>
          <cell r="K241">
            <v>900</v>
          </cell>
          <cell r="L241">
            <v>900</v>
          </cell>
          <cell r="M241">
            <v>2415</v>
          </cell>
          <cell r="N241" t="str">
            <v>용호</v>
          </cell>
          <cell r="O241" t="str">
            <v>펌프카(1대)</v>
          </cell>
          <cell r="P241">
            <v>747</v>
          </cell>
          <cell r="Q241">
            <v>1525</v>
          </cell>
          <cell r="R241">
            <v>170</v>
          </cell>
          <cell r="S241">
            <v>48</v>
          </cell>
          <cell r="T241">
            <v>42</v>
          </cell>
          <cell r="U241">
            <v>196</v>
          </cell>
          <cell r="V241"/>
          <cell r="W241" t="str">
            <v>박순홍</v>
          </cell>
          <cell r="X241" t="str">
            <v>(인)</v>
          </cell>
          <cell r="Y241" t="str">
            <v>박순홍</v>
          </cell>
          <cell r="Z241" t="str">
            <v>(인)</v>
          </cell>
          <cell r="AA241" t="str">
            <v>이루비</v>
          </cell>
          <cell r="AB241" t="str">
            <v>(인)</v>
          </cell>
          <cell r="AC241" t="str">
            <v>이루비</v>
          </cell>
          <cell r="AD241" t="str">
            <v>(인)</v>
          </cell>
          <cell r="AE241">
            <v>179.2</v>
          </cell>
          <cell r="AF241" t="str">
            <v>표준</v>
          </cell>
          <cell r="AG241">
            <v>4</v>
          </cell>
          <cell r="AH241">
            <v>1</v>
          </cell>
          <cell r="AL241">
            <v>3338</v>
          </cell>
          <cell r="AM241">
            <v>3333</v>
          </cell>
          <cell r="AN241">
            <v>3445</v>
          </cell>
          <cell r="AO241">
            <v>3429</v>
          </cell>
          <cell r="AP241">
            <v>3423</v>
          </cell>
          <cell r="AQ241">
            <v>3392</v>
          </cell>
          <cell r="AR241">
            <v>3406</v>
          </cell>
          <cell r="AS241">
            <v>3372</v>
          </cell>
          <cell r="AT241">
            <v>270400</v>
          </cell>
        </row>
        <row r="242">
          <cell r="G242">
            <v>2404250105</v>
          </cell>
          <cell r="H242" t="str">
            <v>108동</v>
          </cell>
          <cell r="I242">
            <v>240425</v>
          </cell>
          <cell r="J242" t="str">
            <v>108동 주변주차장 E-1구간 기초</v>
          </cell>
          <cell r="K242">
            <v>900</v>
          </cell>
          <cell r="L242">
            <v>900</v>
          </cell>
          <cell r="M242">
            <v>2415</v>
          </cell>
          <cell r="N242" t="str">
            <v>용호</v>
          </cell>
          <cell r="O242" t="str">
            <v>펌프카(1대)</v>
          </cell>
          <cell r="P242">
            <v>747</v>
          </cell>
          <cell r="Q242">
            <v>1525</v>
          </cell>
          <cell r="R242">
            <v>165</v>
          </cell>
          <cell r="S242">
            <v>44</v>
          </cell>
          <cell r="T242">
            <v>44</v>
          </cell>
          <cell r="U242">
            <v>213</v>
          </cell>
          <cell r="V242"/>
          <cell r="W242" t="str">
            <v>박순홍</v>
          </cell>
          <cell r="X242" t="str">
            <v>(인)</v>
          </cell>
          <cell r="Y242" t="str">
            <v>박순홍</v>
          </cell>
          <cell r="Z242" t="str">
            <v>(인)</v>
          </cell>
          <cell r="AA242" t="str">
            <v>이루비</v>
          </cell>
          <cell r="AB242" t="str">
            <v>(인)</v>
          </cell>
          <cell r="AC242" t="str">
            <v>이루비</v>
          </cell>
          <cell r="AD242" t="str">
            <v>(인)</v>
          </cell>
          <cell r="AE242">
            <v>179.1</v>
          </cell>
          <cell r="AF242" t="str">
            <v>표준</v>
          </cell>
          <cell r="AG242">
            <v>5</v>
          </cell>
          <cell r="AH242">
            <v>0</v>
          </cell>
        </row>
        <row r="243">
          <cell r="G243">
            <v>2404250106</v>
          </cell>
          <cell r="H243" t="str">
            <v>108동</v>
          </cell>
          <cell r="I243">
            <v>240425</v>
          </cell>
          <cell r="J243" t="str">
            <v>108동 주변주차장 E-1구간 기초</v>
          </cell>
          <cell r="K243">
            <v>900</v>
          </cell>
          <cell r="L243">
            <v>900</v>
          </cell>
          <cell r="M243">
            <v>2415</v>
          </cell>
          <cell r="N243" t="str">
            <v>용호</v>
          </cell>
          <cell r="O243" t="str">
            <v>펌프카(1대)</v>
          </cell>
          <cell r="P243">
            <v>747</v>
          </cell>
          <cell r="Q243">
            <v>1525</v>
          </cell>
          <cell r="R243">
            <v>170</v>
          </cell>
          <cell r="S243">
            <v>46</v>
          </cell>
          <cell r="T243">
            <v>33</v>
          </cell>
          <cell r="U243">
            <v>203</v>
          </cell>
          <cell r="V243"/>
          <cell r="W243" t="str">
            <v>박순홍</v>
          </cell>
          <cell r="X243" t="str">
            <v>(인)</v>
          </cell>
          <cell r="Y243" t="str">
            <v>박순홍</v>
          </cell>
          <cell r="Z243" t="str">
            <v>(인)</v>
          </cell>
          <cell r="AA243" t="str">
            <v>이루비</v>
          </cell>
          <cell r="AB243" t="str">
            <v>(인)</v>
          </cell>
          <cell r="AC243" t="str">
            <v>이루비</v>
          </cell>
          <cell r="AD243" t="str">
            <v>(인)</v>
          </cell>
          <cell r="AE243">
            <v>184</v>
          </cell>
          <cell r="AF243" t="str">
            <v>표준</v>
          </cell>
          <cell r="AG243">
            <v>6</v>
          </cell>
          <cell r="AH243">
            <v>0</v>
          </cell>
        </row>
        <row r="244">
          <cell r="G244">
            <v>2404250107</v>
          </cell>
          <cell r="H244" t="str">
            <v>108동</v>
          </cell>
          <cell r="I244">
            <v>240425</v>
          </cell>
          <cell r="J244" t="str">
            <v>108동 주변주차장 E-1구간 기초</v>
          </cell>
          <cell r="K244">
            <v>900</v>
          </cell>
          <cell r="L244">
            <v>900</v>
          </cell>
          <cell r="M244">
            <v>2415</v>
          </cell>
          <cell r="N244" t="str">
            <v>용호</v>
          </cell>
          <cell r="O244" t="str">
            <v>펌프카(1대)</v>
          </cell>
          <cell r="P244">
            <v>747</v>
          </cell>
          <cell r="Q244">
            <v>1525</v>
          </cell>
          <cell r="R244">
            <v>170</v>
          </cell>
          <cell r="S244">
            <v>39</v>
          </cell>
          <cell r="T244">
            <v>47</v>
          </cell>
          <cell r="U244">
            <v>217</v>
          </cell>
          <cell r="V244"/>
          <cell r="W244" t="str">
            <v>박순홍</v>
          </cell>
          <cell r="X244" t="str">
            <v>(인)</v>
          </cell>
          <cell r="Y244" t="str">
            <v>박순홍</v>
          </cell>
          <cell r="Z244" t="str">
            <v>(인)</v>
          </cell>
          <cell r="AA244" t="str">
            <v>이루비</v>
          </cell>
          <cell r="AB244" t="str">
            <v>(인)</v>
          </cell>
          <cell r="AC244" t="str">
            <v>이루비</v>
          </cell>
          <cell r="AD244" t="str">
            <v>(인)</v>
          </cell>
          <cell r="AE244">
            <v>184.2</v>
          </cell>
          <cell r="AF244" t="str">
            <v>표준</v>
          </cell>
          <cell r="AG244">
            <v>7</v>
          </cell>
          <cell r="AH244">
            <v>1</v>
          </cell>
          <cell r="AL244">
            <v>3363</v>
          </cell>
          <cell r="AM244">
            <v>3302</v>
          </cell>
          <cell r="AN244">
            <v>3371</v>
          </cell>
          <cell r="AO244">
            <v>3429</v>
          </cell>
          <cell r="AP244">
            <v>3506</v>
          </cell>
          <cell r="AQ244">
            <v>3429</v>
          </cell>
          <cell r="AR244">
            <v>3396</v>
          </cell>
          <cell r="AS244">
            <v>3402</v>
          </cell>
          <cell r="AT244">
            <v>275200</v>
          </cell>
        </row>
        <row r="245">
          <cell r="G245">
            <v>2404250108</v>
          </cell>
          <cell r="H245" t="str">
            <v>108동</v>
          </cell>
          <cell r="I245">
            <v>240425</v>
          </cell>
          <cell r="J245" t="str">
            <v>108동 주변주차장 E-1구간 기초</v>
          </cell>
          <cell r="K245">
            <v>900</v>
          </cell>
          <cell r="L245">
            <v>900</v>
          </cell>
          <cell r="M245">
            <v>2415</v>
          </cell>
          <cell r="N245" t="str">
            <v>용호</v>
          </cell>
          <cell r="O245" t="str">
            <v>펌프카(1대)</v>
          </cell>
          <cell r="P245">
            <v>747</v>
          </cell>
          <cell r="Q245">
            <v>1525</v>
          </cell>
          <cell r="R245">
            <v>160</v>
          </cell>
          <cell r="S245">
            <v>37</v>
          </cell>
          <cell r="T245">
            <v>33</v>
          </cell>
          <cell r="U245">
            <v>182</v>
          </cell>
          <cell r="V245"/>
          <cell r="W245" t="str">
            <v>박순홍</v>
          </cell>
          <cell r="X245" t="str">
            <v>(인)</v>
          </cell>
          <cell r="Y245" t="str">
            <v>박순홍</v>
          </cell>
          <cell r="Z245" t="str">
            <v>(인)</v>
          </cell>
          <cell r="AA245" t="str">
            <v>이루비</v>
          </cell>
          <cell r="AB245" t="str">
            <v>(인)</v>
          </cell>
          <cell r="AC245" t="str">
            <v>이루비</v>
          </cell>
          <cell r="AD245" t="str">
            <v>(인)</v>
          </cell>
          <cell r="AE245">
            <v>183.5</v>
          </cell>
          <cell r="AF245" t="str">
            <v>표준</v>
          </cell>
          <cell r="AG245">
            <v>8</v>
          </cell>
          <cell r="AH245">
            <v>0</v>
          </cell>
        </row>
        <row r="246">
          <cell r="G246">
            <v>2404260101</v>
          </cell>
          <cell r="H246" t="str">
            <v>근린생활시설</v>
          </cell>
          <cell r="I246">
            <v>240426</v>
          </cell>
          <cell r="J246" t="str">
            <v>근린생활시설1 슬라브</v>
          </cell>
          <cell r="K246">
            <v>250</v>
          </cell>
          <cell r="L246">
            <v>246</v>
          </cell>
          <cell r="M246">
            <v>3015</v>
          </cell>
          <cell r="N246" t="str">
            <v>동양</v>
          </cell>
          <cell r="O246" t="str">
            <v>펌프카(1대)</v>
          </cell>
          <cell r="P246">
            <v>925</v>
          </cell>
          <cell r="Q246">
            <v>1500</v>
          </cell>
          <cell r="R246">
            <v>160</v>
          </cell>
          <cell r="S246">
            <v>43</v>
          </cell>
          <cell r="T246">
            <v>66</v>
          </cell>
          <cell r="U246">
            <v>178</v>
          </cell>
          <cell r="V246"/>
          <cell r="W246" t="str">
            <v>박순홍</v>
          </cell>
          <cell r="X246" t="str">
            <v>(인)</v>
          </cell>
          <cell r="Y246" t="str">
            <v>박순홍</v>
          </cell>
          <cell r="Z246" t="str">
            <v>(인)</v>
          </cell>
          <cell r="AA246" t="str">
            <v>정창인</v>
          </cell>
          <cell r="AB246" t="str">
            <v>(인)</v>
          </cell>
          <cell r="AC246" t="str">
            <v>정창인</v>
          </cell>
          <cell r="AD246" t="str">
            <v>(인)</v>
          </cell>
          <cell r="AE246">
            <v>175.4</v>
          </cell>
          <cell r="AF246" t="str">
            <v>표준</v>
          </cell>
          <cell r="AG246">
            <v>1</v>
          </cell>
          <cell r="AH246">
            <v>1</v>
          </cell>
          <cell r="AI246">
            <v>2834</v>
          </cell>
          <cell r="AJ246">
            <v>2876</v>
          </cell>
          <cell r="AK246">
            <v>234800</v>
          </cell>
          <cell r="AL246">
            <v>3864</v>
          </cell>
          <cell r="AM246">
            <v>3799</v>
          </cell>
          <cell r="AN246">
            <v>3875</v>
          </cell>
          <cell r="AO246">
            <v>3926</v>
          </cell>
          <cell r="AP246">
            <v>3877</v>
          </cell>
          <cell r="AQ246">
            <v>3926</v>
          </cell>
          <cell r="AR246">
            <v>3903</v>
          </cell>
          <cell r="AS246">
            <v>4012</v>
          </cell>
          <cell r="AT246">
            <v>305800</v>
          </cell>
        </row>
        <row r="247">
          <cell r="G247">
            <v>2404260102</v>
          </cell>
          <cell r="H247" t="str">
            <v>근린생활시설</v>
          </cell>
          <cell r="I247">
            <v>240426</v>
          </cell>
          <cell r="J247" t="str">
            <v>근린생활시설1 슬라브</v>
          </cell>
          <cell r="K247">
            <v>250</v>
          </cell>
          <cell r="L247">
            <v>246</v>
          </cell>
          <cell r="M247">
            <v>3015</v>
          </cell>
          <cell r="N247" t="str">
            <v>동양</v>
          </cell>
          <cell r="O247" t="str">
            <v>펌프카(1대)</v>
          </cell>
          <cell r="P247">
            <v>925</v>
          </cell>
          <cell r="Q247">
            <v>1500</v>
          </cell>
          <cell r="R247">
            <v>160</v>
          </cell>
          <cell r="S247">
            <v>46</v>
          </cell>
          <cell r="T247">
            <v>52</v>
          </cell>
          <cell r="U247">
            <v>217</v>
          </cell>
          <cell r="V247"/>
          <cell r="W247" t="str">
            <v>박순홍</v>
          </cell>
          <cell r="X247" t="str">
            <v>(인)</v>
          </cell>
          <cell r="Y247" t="str">
            <v>박순홍</v>
          </cell>
          <cell r="Z247" t="str">
            <v>(인)</v>
          </cell>
          <cell r="AA247" t="str">
            <v>이루비</v>
          </cell>
          <cell r="AB247" t="str">
            <v>(인)</v>
          </cell>
          <cell r="AC247" t="str">
            <v>정창인</v>
          </cell>
          <cell r="AD247" t="str">
            <v>(인)</v>
          </cell>
          <cell r="AE247">
            <v>173.6</v>
          </cell>
          <cell r="AF247" t="str">
            <v>표준</v>
          </cell>
          <cell r="AG247">
            <v>2</v>
          </cell>
          <cell r="AH247">
            <v>0</v>
          </cell>
        </row>
        <row r="248">
          <cell r="G248">
            <v>2404260103</v>
          </cell>
          <cell r="H248" t="str">
            <v>근린생활시설</v>
          </cell>
          <cell r="I248">
            <v>240426</v>
          </cell>
          <cell r="J248" t="str">
            <v>근린생활시설1 슬라브</v>
          </cell>
          <cell r="K248">
            <v>250</v>
          </cell>
          <cell r="L248">
            <v>246</v>
          </cell>
          <cell r="M248">
            <v>3015</v>
          </cell>
          <cell r="N248" t="str">
            <v>동양</v>
          </cell>
          <cell r="O248" t="str">
            <v>펌프카(1대)</v>
          </cell>
          <cell r="P248">
            <v>925</v>
          </cell>
          <cell r="Q248">
            <v>1500</v>
          </cell>
          <cell r="R248">
            <v>155</v>
          </cell>
          <cell r="S248">
            <v>46</v>
          </cell>
          <cell r="T248">
            <v>28</v>
          </cell>
          <cell r="U248">
            <v>175</v>
          </cell>
          <cell r="V248"/>
          <cell r="W248" t="str">
            <v>박순홍</v>
          </cell>
          <cell r="X248" t="str">
            <v>(인)</v>
          </cell>
          <cell r="Y248" t="str">
            <v>박순홍</v>
          </cell>
          <cell r="Z248" t="str">
            <v>(인)</v>
          </cell>
          <cell r="AA248" t="str">
            <v>이루비</v>
          </cell>
          <cell r="AB248" t="str">
            <v>(인)</v>
          </cell>
          <cell r="AC248" t="str">
            <v>정창인</v>
          </cell>
          <cell r="AD248" t="str">
            <v>(인)</v>
          </cell>
          <cell r="AE248">
            <v>171.7</v>
          </cell>
          <cell r="AF248" t="str">
            <v>표준</v>
          </cell>
          <cell r="AG248">
            <v>3</v>
          </cell>
          <cell r="AH248">
            <v>0</v>
          </cell>
        </row>
        <row r="249">
          <cell r="G249">
            <v>2404260201</v>
          </cell>
          <cell r="H249" t="str">
            <v>근린생활시설</v>
          </cell>
          <cell r="I249">
            <v>240426</v>
          </cell>
          <cell r="J249" t="str">
            <v>근린생활시설1 슬라브</v>
          </cell>
          <cell r="K249">
            <v>60</v>
          </cell>
          <cell r="L249">
            <v>66</v>
          </cell>
          <cell r="M249">
            <v>2715</v>
          </cell>
          <cell r="N249" t="str">
            <v>동양</v>
          </cell>
          <cell r="O249" t="str">
            <v>펌프카(1대)</v>
          </cell>
          <cell r="P249">
            <v>1122</v>
          </cell>
          <cell r="Q249">
            <v>1232</v>
          </cell>
          <cell r="R249">
            <v>145</v>
          </cell>
          <cell r="S249">
            <v>40</v>
          </cell>
          <cell r="T249">
            <v>129</v>
          </cell>
          <cell r="U249">
            <v>200</v>
          </cell>
          <cell r="V249"/>
          <cell r="W249" t="str">
            <v>박순홍</v>
          </cell>
          <cell r="X249" t="str">
            <v>(인)</v>
          </cell>
          <cell r="Y249" t="str">
            <v>박순홍</v>
          </cell>
          <cell r="Z249" t="str">
            <v>(인)</v>
          </cell>
          <cell r="AA249" t="str">
            <v>이루비</v>
          </cell>
          <cell r="AB249" t="str">
            <v>(인)</v>
          </cell>
          <cell r="AC249" t="str">
            <v>정창인</v>
          </cell>
          <cell r="AD249" t="str">
            <v>(인)</v>
          </cell>
          <cell r="AE249">
            <v>181.9</v>
          </cell>
          <cell r="AF249" t="str">
            <v>표준</v>
          </cell>
          <cell r="AG249">
            <v>1</v>
          </cell>
          <cell r="AH249">
            <v>1</v>
          </cell>
          <cell r="AI249">
            <v>2543</v>
          </cell>
          <cell r="AJ249">
            <v>2527</v>
          </cell>
          <cell r="AK249">
            <v>200000</v>
          </cell>
          <cell r="AL249">
            <v>3561</v>
          </cell>
          <cell r="AM249">
            <v>3428</v>
          </cell>
          <cell r="AN249">
            <v>3488</v>
          </cell>
          <cell r="AO249">
            <v>3542</v>
          </cell>
          <cell r="AP249">
            <v>3532</v>
          </cell>
          <cell r="AQ249">
            <v>3572</v>
          </cell>
          <cell r="AR249">
            <v>3484</v>
          </cell>
          <cell r="AS249">
            <v>3557</v>
          </cell>
          <cell r="AT249">
            <v>283400</v>
          </cell>
        </row>
        <row r="250">
          <cell r="G250">
            <v>2404260301</v>
          </cell>
          <cell r="H250" t="str">
            <v>109동, 110동</v>
          </cell>
          <cell r="I250">
            <v>240426</v>
          </cell>
          <cell r="J250" t="str">
            <v>109~110동 사이 주변주차장 버림</v>
          </cell>
          <cell r="K250">
            <v>150</v>
          </cell>
          <cell r="L250">
            <v>150</v>
          </cell>
          <cell r="M250">
            <v>1812</v>
          </cell>
          <cell r="N250" t="str">
            <v>동양</v>
          </cell>
          <cell r="O250" t="str">
            <v>펌프카(1대)</v>
          </cell>
          <cell r="P250">
            <v>1455</v>
          </cell>
          <cell r="Q250">
            <v>1740</v>
          </cell>
          <cell r="R250">
            <v>120</v>
          </cell>
          <cell r="S250">
            <v>46</v>
          </cell>
          <cell r="T250">
            <v>29</v>
          </cell>
          <cell r="U250">
            <v>214</v>
          </cell>
          <cell r="V250"/>
          <cell r="W250" t="str">
            <v>박순홍</v>
          </cell>
          <cell r="X250" t="str">
            <v>(인)</v>
          </cell>
          <cell r="Y250" t="str">
            <v>박순홍</v>
          </cell>
          <cell r="Z250" t="str">
            <v>(인)</v>
          </cell>
          <cell r="AA250" t="str">
            <v>이루비</v>
          </cell>
          <cell r="AB250" t="str">
            <v>(인)</v>
          </cell>
          <cell r="AC250" t="str">
            <v>정창인</v>
          </cell>
          <cell r="AD250" t="str">
            <v>(인)</v>
          </cell>
          <cell r="AE250">
            <v>172</v>
          </cell>
          <cell r="AF250" t="str">
            <v>표준</v>
          </cell>
          <cell r="AG250">
            <v>1</v>
          </cell>
          <cell r="AH250">
            <v>1</v>
          </cell>
          <cell r="AI250">
            <v>1515</v>
          </cell>
          <cell r="AJ250">
            <v>1537</v>
          </cell>
          <cell r="AK250">
            <v>122400</v>
          </cell>
          <cell r="AL250">
            <v>2247</v>
          </cell>
          <cell r="AM250">
            <v>2258</v>
          </cell>
          <cell r="AN250">
            <v>2340</v>
          </cell>
          <cell r="AO250">
            <v>2210</v>
          </cell>
          <cell r="AP250">
            <v>2372</v>
          </cell>
          <cell r="AQ250">
            <v>2296</v>
          </cell>
          <cell r="AR250">
            <v>2272</v>
          </cell>
          <cell r="AS250">
            <v>2147</v>
          </cell>
          <cell r="AT250">
            <v>179200</v>
          </cell>
        </row>
        <row r="251">
          <cell r="G251">
            <v>2404260302</v>
          </cell>
          <cell r="H251" t="str">
            <v>109동, 110동</v>
          </cell>
          <cell r="I251">
            <v>240426</v>
          </cell>
          <cell r="J251" t="str">
            <v>109~110동 사이 주변주차장 버림</v>
          </cell>
          <cell r="K251">
            <v>150</v>
          </cell>
          <cell r="L251">
            <v>150</v>
          </cell>
          <cell r="M251">
            <v>1812</v>
          </cell>
          <cell r="N251" t="str">
            <v>동양</v>
          </cell>
          <cell r="O251" t="str">
            <v>펌프카(1대)</v>
          </cell>
          <cell r="P251">
            <v>1455</v>
          </cell>
          <cell r="Q251">
            <v>1740</v>
          </cell>
          <cell r="R251">
            <v>125</v>
          </cell>
          <cell r="S251">
            <v>48</v>
          </cell>
          <cell r="T251">
            <v>21</v>
          </cell>
          <cell r="U251">
            <v>204</v>
          </cell>
          <cell r="V251"/>
          <cell r="W251" t="str">
            <v>박순홍</v>
          </cell>
          <cell r="X251" t="str">
            <v>(인)</v>
          </cell>
          <cell r="Y251" t="str">
            <v>박순홍</v>
          </cell>
          <cell r="Z251" t="str">
            <v>(인)</v>
          </cell>
          <cell r="AA251" t="str">
            <v>이루비</v>
          </cell>
          <cell r="AB251" t="str">
            <v>(인)</v>
          </cell>
          <cell r="AC251" t="str">
            <v>정창인</v>
          </cell>
          <cell r="AD251" t="str">
            <v>(인)</v>
          </cell>
          <cell r="AE251">
            <v>176.7</v>
          </cell>
          <cell r="AF251" t="str">
            <v>표준</v>
          </cell>
          <cell r="AG251">
            <v>2</v>
          </cell>
          <cell r="AH251">
            <v>0</v>
          </cell>
        </row>
        <row r="252">
          <cell r="G252">
            <v>2404260401</v>
          </cell>
          <cell r="H252" t="str">
            <v>101동</v>
          </cell>
          <cell r="I252">
            <v>240426</v>
          </cell>
          <cell r="J252" t="str">
            <v>101동 주변주차장 버림</v>
          </cell>
          <cell r="K252">
            <v>40</v>
          </cell>
          <cell r="L252">
            <v>42</v>
          </cell>
          <cell r="M252">
            <v>1812</v>
          </cell>
          <cell r="N252" t="str">
            <v>영진</v>
          </cell>
          <cell r="O252" t="str">
            <v>펌프카(1대)</v>
          </cell>
          <cell r="P252">
            <v>1643</v>
          </cell>
          <cell r="Q252">
            <v>1735</v>
          </cell>
          <cell r="R252">
            <v>120</v>
          </cell>
          <cell r="S252">
            <v>50</v>
          </cell>
          <cell r="T252">
            <v>19</v>
          </cell>
          <cell r="U252">
            <v>172</v>
          </cell>
          <cell r="V252"/>
          <cell r="W252" t="str">
            <v>박순홍</v>
          </cell>
          <cell r="X252" t="str">
            <v>(인)</v>
          </cell>
          <cell r="Y252" t="str">
            <v>박순홍</v>
          </cell>
          <cell r="Z252" t="str">
            <v>(인)</v>
          </cell>
          <cell r="AA252" t="str">
            <v>최상옥</v>
          </cell>
          <cell r="AB252" t="str">
            <v>(인)</v>
          </cell>
          <cell r="AC252" t="str">
            <v>이홍걸</v>
          </cell>
          <cell r="AD252" t="str">
            <v>(인)</v>
          </cell>
          <cell r="AE252">
            <v>172.7</v>
          </cell>
          <cell r="AF252" t="str">
            <v>표준</v>
          </cell>
          <cell r="AG252">
            <v>1</v>
          </cell>
          <cell r="AH252">
            <v>1</v>
          </cell>
          <cell r="AI252">
            <v>1413</v>
          </cell>
          <cell r="AJ252">
            <v>1439</v>
          </cell>
          <cell r="AK252">
            <v>116000</v>
          </cell>
          <cell r="AL252">
            <v>2219</v>
          </cell>
          <cell r="AM252">
            <v>2184</v>
          </cell>
          <cell r="AN252">
            <v>2197</v>
          </cell>
          <cell r="AO252">
            <v>2179</v>
          </cell>
          <cell r="AP252">
            <v>2302</v>
          </cell>
          <cell r="AQ252">
            <v>2111</v>
          </cell>
          <cell r="AR252">
            <v>2207</v>
          </cell>
          <cell r="AS252">
            <v>2214</v>
          </cell>
          <cell r="AT252">
            <v>173400</v>
          </cell>
        </row>
        <row r="253">
          <cell r="G253">
            <v>2404300101</v>
          </cell>
          <cell r="H253" t="str">
            <v>106동</v>
          </cell>
          <cell r="I253">
            <v>240430</v>
          </cell>
          <cell r="J253" t="str">
            <v>106동 1차</v>
          </cell>
          <cell r="K253">
            <v>420</v>
          </cell>
          <cell r="L253">
            <v>414</v>
          </cell>
          <cell r="M253">
            <v>3015</v>
          </cell>
          <cell r="N253" t="str">
            <v>용호</v>
          </cell>
          <cell r="O253" t="str">
            <v>펌프카(1대)</v>
          </cell>
          <cell r="P253">
            <v>730</v>
          </cell>
          <cell r="Q253">
            <v>1405</v>
          </cell>
          <cell r="R253">
            <v>160</v>
          </cell>
          <cell r="S253">
            <v>43</v>
          </cell>
          <cell r="T253">
            <v>33</v>
          </cell>
          <cell r="U253">
            <v>171</v>
          </cell>
          <cell r="V253"/>
          <cell r="W253" t="str">
            <v>박순홍</v>
          </cell>
          <cell r="X253" t="str">
            <v>(인)</v>
          </cell>
          <cell r="Y253" t="str">
            <v>박순홍</v>
          </cell>
          <cell r="Z253" t="str">
            <v>(인)</v>
          </cell>
          <cell r="AA253" t="str">
            <v>정창인</v>
          </cell>
          <cell r="AB253" t="str">
            <v>(인)</v>
          </cell>
          <cell r="AC253" t="str">
            <v>정창인</v>
          </cell>
          <cell r="AD253" t="str">
            <v>(인)</v>
          </cell>
          <cell r="AE253">
            <v>171.9</v>
          </cell>
          <cell r="AF253" t="str">
            <v>표준</v>
          </cell>
          <cell r="AG253">
            <v>1</v>
          </cell>
          <cell r="AH253">
            <v>1</v>
          </cell>
          <cell r="AI253">
            <v>2920</v>
          </cell>
          <cell r="AJ253">
            <v>2917</v>
          </cell>
          <cell r="AK253">
            <v>230000</v>
          </cell>
          <cell r="AL253">
            <v>3969</v>
          </cell>
          <cell r="AM253">
            <v>3893</v>
          </cell>
          <cell r="AN253">
            <v>3969</v>
          </cell>
          <cell r="AO253">
            <v>3806</v>
          </cell>
          <cell r="AP253">
            <v>3926</v>
          </cell>
          <cell r="AQ253">
            <v>3933</v>
          </cell>
          <cell r="AR253">
            <v>3867</v>
          </cell>
          <cell r="AS253">
            <v>3926</v>
          </cell>
          <cell r="AT253">
            <v>298000</v>
          </cell>
        </row>
        <row r="254">
          <cell r="G254">
            <v>2404300102</v>
          </cell>
          <cell r="H254" t="str">
            <v>106동</v>
          </cell>
          <cell r="I254">
            <v>240430</v>
          </cell>
          <cell r="J254" t="str">
            <v>106동 1차</v>
          </cell>
          <cell r="K254">
            <v>420</v>
          </cell>
          <cell r="L254">
            <v>414</v>
          </cell>
          <cell r="M254">
            <v>3015</v>
          </cell>
          <cell r="N254" t="str">
            <v>용호</v>
          </cell>
          <cell r="O254" t="str">
            <v>펌프카(1대)</v>
          </cell>
          <cell r="P254">
            <v>730</v>
          </cell>
          <cell r="Q254">
            <v>1405</v>
          </cell>
          <cell r="R254">
            <v>170</v>
          </cell>
          <cell r="S254">
            <v>39</v>
          </cell>
          <cell r="T254">
            <v>41</v>
          </cell>
          <cell r="U254">
            <v>156</v>
          </cell>
          <cell r="V254"/>
          <cell r="W254" t="str">
            <v>박순홍</v>
          </cell>
          <cell r="X254" t="str">
            <v>(인)</v>
          </cell>
          <cell r="Y254" t="str">
            <v>박순홍</v>
          </cell>
          <cell r="Z254" t="str">
            <v>(인)</v>
          </cell>
          <cell r="AA254" t="str">
            <v>정창인</v>
          </cell>
          <cell r="AB254" t="str">
            <v>(인)</v>
          </cell>
          <cell r="AC254" t="str">
            <v>정창인</v>
          </cell>
          <cell r="AD254" t="str">
            <v>(인)</v>
          </cell>
          <cell r="AE254">
            <v>181.1</v>
          </cell>
          <cell r="AF254" t="str">
            <v>표준</v>
          </cell>
          <cell r="AG254">
            <v>2</v>
          </cell>
          <cell r="AH254">
            <v>0</v>
          </cell>
        </row>
        <row r="255">
          <cell r="G255">
            <v>2404300103</v>
          </cell>
          <cell r="H255" t="str">
            <v>106동</v>
          </cell>
          <cell r="I255">
            <v>240430</v>
          </cell>
          <cell r="J255" t="str">
            <v>106동 1차</v>
          </cell>
          <cell r="K255">
            <v>420</v>
          </cell>
          <cell r="L255">
            <v>414</v>
          </cell>
          <cell r="M255">
            <v>3015</v>
          </cell>
          <cell r="N255" t="str">
            <v>용호</v>
          </cell>
          <cell r="O255" t="str">
            <v>펌프카(1대)</v>
          </cell>
          <cell r="P255">
            <v>730</v>
          </cell>
          <cell r="Q255">
            <v>1405</v>
          </cell>
          <cell r="R255">
            <v>165</v>
          </cell>
          <cell r="S255">
            <v>47</v>
          </cell>
          <cell r="T255">
            <v>41</v>
          </cell>
          <cell r="U255">
            <v>162</v>
          </cell>
          <cell r="V255"/>
          <cell r="W255" t="str">
            <v>박순홍</v>
          </cell>
          <cell r="X255" t="str">
            <v>(인)</v>
          </cell>
          <cell r="Y255" t="str">
            <v>박순홍</v>
          </cell>
          <cell r="Z255" t="str">
            <v>(인)</v>
          </cell>
          <cell r="AA255" t="str">
            <v>이루비</v>
          </cell>
          <cell r="AB255" t="str">
            <v>(인)</v>
          </cell>
          <cell r="AC255" t="str">
            <v>정창인</v>
          </cell>
          <cell r="AD255" t="str">
            <v>(인)</v>
          </cell>
          <cell r="AE255">
            <v>181.7</v>
          </cell>
          <cell r="AF255" t="str">
            <v>표준</v>
          </cell>
          <cell r="AG255">
            <v>3</v>
          </cell>
          <cell r="AH255">
            <v>0</v>
          </cell>
        </row>
        <row r="256">
          <cell r="G256">
            <v>2404300104</v>
          </cell>
          <cell r="H256" t="str">
            <v>106동</v>
          </cell>
          <cell r="I256">
            <v>240430</v>
          </cell>
          <cell r="J256" t="str">
            <v>106동 1차</v>
          </cell>
          <cell r="K256">
            <v>420</v>
          </cell>
          <cell r="L256">
            <v>414</v>
          </cell>
          <cell r="M256">
            <v>3015</v>
          </cell>
          <cell r="N256" t="str">
            <v>용호</v>
          </cell>
          <cell r="O256" t="str">
            <v>펌프카(1대)</v>
          </cell>
          <cell r="P256">
            <v>730</v>
          </cell>
          <cell r="Q256">
            <v>1405</v>
          </cell>
          <cell r="R256">
            <v>170</v>
          </cell>
          <cell r="S256">
            <v>51</v>
          </cell>
          <cell r="T256">
            <v>44</v>
          </cell>
          <cell r="U256">
            <v>181</v>
          </cell>
          <cell r="V256"/>
          <cell r="W256" t="str">
            <v>박순홍</v>
          </cell>
          <cell r="X256" t="str">
            <v>(인)</v>
          </cell>
          <cell r="Y256" t="str">
            <v>박순홍</v>
          </cell>
          <cell r="Z256" t="str">
            <v>(인)</v>
          </cell>
          <cell r="AA256" t="str">
            <v>이루비</v>
          </cell>
          <cell r="AB256" t="str">
            <v>(인)</v>
          </cell>
          <cell r="AC256" t="str">
            <v>정창인</v>
          </cell>
          <cell r="AD256" t="str">
            <v>(인)</v>
          </cell>
          <cell r="AE256">
            <v>189.3</v>
          </cell>
          <cell r="AF256" t="str">
            <v>표준</v>
          </cell>
          <cell r="AG256">
            <v>4</v>
          </cell>
          <cell r="AH256">
            <v>1</v>
          </cell>
          <cell r="AL256">
            <v>4061</v>
          </cell>
          <cell r="AM256">
            <v>3766</v>
          </cell>
          <cell r="AN256">
            <v>3985</v>
          </cell>
          <cell r="AO256">
            <v>3891</v>
          </cell>
          <cell r="AP256">
            <v>4011</v>
          </cell>
          <cell r="AQ256">
            <v>4052</v>
          </cell>
          <cell r="AR256">
            <v>3912</v>
          </cell>
          <cell r="AS256">
            <v>4050</v>
          </cell>
          <cell r="AT256">
            <v>311200</v>
          </cell>
        </row>
        <row r="257">
          <cell r="G257">
            <v>2404300201</v>
          </cell>
          <cell r="H257" t="str">
            <v>106동</v>
          </cell>
          <cell r="I257">
            <v>240430</v>
          </cell>
          <cell r="J257" t="str">
            <v>106동 1차</v>
          </cell>
          <cell r="K257">
            <v>80</v>
          </cell>
          <cell r="L257">
            <v>72</v>
          </cell>
          <cell r="M257">
            <v>2715</v>
          </cell>
          <cell r="N257" t="str">
            <v>용호</v>
          </cell>
          <cell r="O257" t="str">
            <v>펌프카(1대)</v>
          </cell>
          <cell r="P257">
            <v>1132</v>
          </cell>
          <cell r="Q257">
            <v>1222</v>
          </cell>
          <cell r="R257">
            <v>165</v>
          </cell>
          <cell r="S257">
            <v>50</v>
          </cell>
          <cell r="T257">
            <v>56</v>
          </cell>
          <cell r="U257">
            <v>194</v>
          </cell>
          <cell r="V257"/>
          <cell r="W257" t="str">
            <v>박순홍</v>
          </cell>
          <cell r="X257" t="str">
            <v>(인)</v>
          </cell>
          <cell r="Y257" t="str">
            <v>박순홍</v>
          </cell>
          <cell r="Z257" t="str">
            <v>(인)</v>
          </cell>
          <cell r="AA257" t="str">
            <v>정창인</v>
          </cell>
          <cell r="AB257" t="str">
            <v>(인)</v>
          </cell>
          <cell r="AC257" t="str">
            <v>정창인</v>
          </cell>
          <cell r="AD257" t="str">
            <v>(인)</v>
          </cell>
          <cell r="AE257">
            <v>176.1</v>
          </cell>
          <cell r="AF257" t="str">
            <v>표준</v>
          </cell>
          <cell r="AG257">
            <v>1</v>
          </cell>
          <cell r="AH257">
            <v>1</v>
          </cell>
          <cell r="AI257">
            <v>2648</v>
          </cell>
          <cell r="AJ257">
            <v>2589</v>
          </cell>
          <cell r="AK257">
            <v>204800</v>
          </cell>
          <cell r="AL257">
            <v>3562</v>
          </cell>
          <cell r="AM257">
            <v>3594</v>
          </cell>
          <cell r="AN257">
            <v>3506</v>
          </cell>
          <cell r="AO257">
            <v>3427</v>
          </cell>
          <cell r="AP257">
            <v>3430</v>
          </cell>
          <cell r="AQ257">
            <v>3527</v>
          </cell>
          <cell r="AR257">
            <v>3529</v>
          </cell>
          <cell r="AS257">
            <v>3462</v>
          </cell>
          <cell r="AT257">
            <v>274400</v>
          </cell>
        </row>
        <row r="258">
          <cell r="G258">
            <v>2404300301</v>
          </cell>
          <cell r="H258" t="str">
            <v>114동</v>
          </cell>
          <cell r="I258">
            <v>240430</v>
          </cell>
          <cell r="J258" t="str">
            <v>114동 및 주변주차장 기초</v>
          </cell>
          <cell r="K258">
            <v>810</v>
          </cell>
          <cell r="L258">
            <v>810</v>
          </cell>
          <cell r="M258">
            <v>2415</v>
          </cell>
          <cell r="N258" t="str">
            <v>대공</v>
          </cell>
          <cell r="O258" t="str">
            <v>펌프카(1대)</v>
          </cell>
          <cell r="P258">
            <v>745</v>
          </cell>
          <cell r="Q258">
            <v>1556</v>
          </cell>
          <cell r="R258">
            <v>170</v>
          </cell>
          <cell r="S258">
            <v>41</v>
          </cell>
          <cell r="T258">
            <v>32</v>
          </cell>
          <cell r="U258">
            <v>169</v>
          </cell>
          <cell r="V258"/>
          <cell r="W258" t="str">
            <v>박순홍</v>
          </cell>
          <cell r="X258" t="str">
            <v>(인)</v>
          </cell>
          <cell r="Y258" t="str">
            <v>박순홍</v>
          </cell>
          <cell r="Z258" t="str">
            <v>(인)</v>
          </cell>
          <cell r="AA258" t="str">
            <v>장덕만</v>
          </cell>
          <cell r="AB258" t="str">
            <v>(인)</v>
          </cell>
          <cell r="AC258" t="str">
            <v>장덕만</v>
          </cell>
          <cell r="AD258" t="str">
            <v>(인)</v>
          </cell>
          <cell r="AE258">
            <v>178.3</v>
          </cell>
          <cell r="AF258" t="str">
            <v>표준</v>
          </cell>
          <cell r="AG258">
            <v>1</v>
          </cell>
          <cell r="AH258">
            <v>1</v>
          </cell>
          <cell r="AI258">
            <v>2434</v>
          </cell>
          <cell r="AJ258">
            <v>2392</v>
          </cell>
          <cell r="AK258">
            <v>186600</v>
          </cell>
          <cell r="AL258">
            <v>3379</v>
          </cell>
          <cell r="AM258">
            <v>3381</v>
          </cell>
          <cell r="AN258">
            <v>3302</v>
          </cell>
          <cell r="AO258">
            <v>3279</v>
          </cell>
          <cell r="AP258">
            <v>3306</v>
          </cell>
          <cell r="AQ258">
            <v>3292</v>
          </cell>
          <cell r="AR258">
            <v>3307</v>
          </cell>
          <cell r="AS258">
            <v>3392</v>
          </cell>
          <cell r="AT258">
            <v>257600</v>
          </cell>
        </row>
        <row r="259">
          <cell r="G259">
            <v>2404300302</v>
          </cell>
          <cell r="H259" t="str">
            <v>114동</v>
          </cell>
          <cell r="I259">
            <v>240430</v>
          </cell>
          <cell r="J259" t="str">
            <v>114동 및 주변주차장 기초</v>
          </cell>
          <cell r="K259">
            <v>810</v>
          </cell>
          <cell r="L259">
            <v>810</v>
          </cell>
          <cell r="M259">
            <v>2415</v>
          </cell>
          <cell r="N259" t="str">
            <v>대공</v>
          </cell>
          <cell r="O259" t="str">
            <v>펌프카(1대)</v>
          </cell>
          <cell r="P259">
            <v>745</v>
          </cell>
          <cell r="Q259">
            <v>1556</v>
          </cell>
          <cell r="R259">
            <v>175</v>
          </cell>
          <cell r="S259">
            <v>45</v>
          </cell>
          <cell r="T259">
            <v>38</v>
          </cell>
          <cell r="U259">
            <v>157</v>
          </cell>
          <cell r="V259"/>
          <cell r="W259" t="str">
            <v>박순홍</v>
          </cell>
          <cell r="X259" t="str">
            <v>(인)</v>
          </cell>
          <cell r="Y259" t="str">
            <v>박순홍</v>
          </cell>
          <cell r="Z259" t="str">
            <v>(인)</v>
          </cell>
          <cell r="AA259" t="str">
            <v>장덕만</v>
          </cell>
          <cell r="AB259" t="str">
            <v>(인)</v>
          </cell>
          <cell r="AC259" t="str">
            <v>장덕만</v>
          </cell>
          <cell r="AD259" t="str">
            <v>(인)</v>
          </cell>
          <cell r="AE259">
            <v>181.2</v>
          </cell>
          <cell r="AF259" t="str">
            <v>표준</v>
          </cell>
          <cell r="AG259">
            <v>2</v>
          </cell>
          <cell r="AH259">
            <v>0</v>
          </cell>
        </row>
        <row r="260">
          <cell r="G260">
            <v>2404300303</v>
          </cell>
          <cell r="H260" t="str">
            <v>114동</v>
          </cell>
          <cell r="I260">
            <v>240430</v>
          </cell>
          <cell r="J260" t="str">
            <v>114동 및 주변주차장 기초</v>
          </cell>
          <cell r="K260">
            <v>810</v>
          </cell>
          <cell r="L260">
            <v>810</v>
          </cell>
          <cell r="M260">
            <v>2415</v>
          </cell>
          <cell r="N260" t="str">
            <v>대공</v>
          </cell>
          <cell r="O260" t="str">
            <v>펌프카(1대)</v>
          </cell>
          <cell r="P260">
            <v>745</v>
          </cell>
          <cell r="Q260">
            <v>1556</v>
          </cell>
          <cell r="R260">
            <v>175</v>
          </cell>
          <cell r="S260">
            <v>48</v>
          </cell>
          <cell r="T260">
            <v>45</v>
          </cell>
          <cell r="U260">
            <v>170</v>
          </cell>
          <cell r="V260"/>
          <cell r="W260" t="str">
            <v>박순홍</v>
          </cell>
          <cell r="X260" t="str">
            <v>(인)</v>
          </cell>
          <cell r="Y260" t="str">
            <v>박순홍</v>
          </cell>
          <cell r="Z260" t="str">
            <v>(인)</v>
          </cell>
          <cell r="AA260" t="str">
            <v>장덕만</v>
          </cell>
          <cell r="AB260" t="str">
            <v>(인)</v>
          </cell>
          <cell r="AC260" t="str">
            <v>장덕만</v>
          </cell>
          <cell r="AD260" t="str">
            <v>(인)</v>
          </cell>
          <cell r="AE260">
            <v>164.1</v>
          </cell>
          <cell r="AF260" t="str">
            <v>표준</v>
          </cell>
          <cell r="AG260">
            <v>3</v>
          </cell>
          <cell r="AH260">
            <v>0</v>
          </cell>
        </row>
        <row r="261">
          <cell r="G261">
            <v>2404300304</v>
          </cell>
          <cell r="H261" t="str">
            <v>114동</v>
          </cell>
          <cell r="I261">
            <v>240430</v>
          </cell>
          <cell r="J261" t="str">
            <v>114동 및 주변주차장 기초</v>
          </cell>
          <cell r="K261">
            <v>810</v>
          </cell>
          <cell r="L261">
            <v>810</v>
          </cell>
          <cell r="M261">
            <v>2415</v>
          </cell>
          <cell r="N261" t="str">
            <v>대공</v>
          </cell>
          <cell r="O261" t="str">
            <v>펌프카(1대)</v>
          </cell>
          <cell r="P261">
            <v>745</v>
          </cell>
          <cell r="Q261">
            <v>1556</v>
          </cell>
          <cell r="R261">
            <v>170</v>
          </cell>
          <cell r="S261">
            <v>35</v>
          </cell>
          <cell r="T261">
            <v>60</v>
          </cell>
          <cell r="U261">
            <v>162</v>
          </cell>
          <cell r="V261"/>
          <cell r="W261" t="str">
            <v>박순홍</v>
          </cell>
          <cell r="X261" t="str">
            <v>(인)</v>
          </cell>
          <cell r="Y261" t="str">
            <v>박순홍</v>
          </cell>
          <cell r="Z261" t="str">
            <v>(인)</v>
          </cell>
          <cell r="AA261" t="str">
            <v>장덕만</v>
          </cell>
          <cell r="AB261" t="str">
            <v>(인)</v>
          </cell>
          <cell r="AC261" t="str">
            <v>장덕만</v>
          </cell>
          <cell r="AD261" t="str">
            <v>(인)</v>
          </cell>
          <cell r="AE261">
            <v>189.1</v>
          </cell>
          <cell r="AF261" t="str">
            <v>표준</v>
          </cell>
          <cell r="AG261">
            <v>4</v>
          </cell>
          <cell r="AH261">
            <v>1</v>
          </cell>
          <cell r="AL261">
            <v>3320</v>
          </cell>
          <cell r="AM261">
            <v>3470</v>
          </cell>
          <cell r="AN261">
            <v>3329</v>
          </cell>
          <cell r="AO261">
            <v>3402</v>
          </cell>
          <cell r="AP261">
            <v>3369</v>
          </cell>
          <cell r="AQ261">
            <v>3402</v>
          </cell>
          <cell r="AR261">
            <v>3327</v>
          </cell>
          <cell r="AS261">
            <v>3392</v>
          </cell>
          <cell r="AT261">
            <v>262200</v>
          </cell>
        </row>
        <row r="262">
          <cell r="G262">
            <v>2404300305</v>
          </cell>
          <cell r="H262" t="str">
            <v>114동</v>
          </cell>
          <cell r="I262">
            <v>240430</v>
          </cell>
          <cell r="J262" t="str">
            <v>114동 및 주변주차장 기초</v>
          </cell>
          <cell r="K262">
            <v>810</v>
          </cell>
          <cell r="L262">
            <v>810</v>
          </cell>
          <cell r="M262">
            <v>2415</v>
          </cell>
          <cell r="N262" t="str">
            <v>대공</v>
          </cell>
          <cell r="O262" t="str">
            <v>펌프카(1대)</v>
          </cell>
          <cell r="P262">
            <v>745</v>
          </cell>
          <cell r="Q262">
            <v>1556</v>
          </cell>
          <cell r="R262">
            <v>170</v>
          </cell>
          <cell r="S262">
            <v>40</v>
          </cell>
          <cell r="T262">
            <v>57</v>
          </cell>
          <cell r="U262">
            <v>151</v>
          </cell>
          <cell r="V262"/>
          <cell r="W262" t="str">
            <v>박순홍</v>
          </cell>
          <cell r="X262" t="str">
            <v>(인)</v>
          </cell>
          <cell r="Y262" t="str">
            <v>박순홍</v>
          </cell>
          <cell r="Z262" t="str">
            <v>(인)</v>
          </cell>
          <cell r="AA262" t="str">
            <v>장덕만</v>
          </cell>
          <cell r="AB262" t="str">
            <v>(인)</v>
          </cell>
          <cell r="AC262" t="str">
            <v>장덕만</v>
          </cell>
          <cell r="AD262" t="str">
            <v>(인)</v>
          </cell>
          <cell r="AE262">
            <v>188</v>
          </cell>
          <cell r="AF262" t="str">
            <v>표준</v>
          </cell>
          <cell r="AG262">
            <v>5</v>
          </cell>
          <cell r="AH262">
            <v>0</v>
          </cell>
        </row>
        <row r="263">
          <cell r="G263">
            <v>2404300306</v>
          </cell>
          <cell r="H263" t="str">
            <v>114동</v>
          </cell>
          <cell r="I263">
            <v>240430</v>
          </cell>
          <cell r="J263" t="str">
            <v>114동 및 주변주차장 기초</v>
          </cell>
          <cell r="K263">
            <v>810</v>
          </cell>
          <cell r="L263">
            <v>810</v>
          </cell>
          <cell r="M263">
            <v>2415</v>
          </cell>
          <cell r="N263" t="str">
            <v>대공</v>
          </cell>
          <cell r="O263" t="str">
            <v>펌프카(1대)</v>
          </cell>
          <cell r="P263">
            <v>745</v>
          </cell>
          <cell r="Q263">
            <v>1556</v>
          </cell>
          <cell r="R263">
            <v>175</v>
          </cell>
          <cell r="S263">
            <v>45</v>
          </cell>
          <cell r="T263">
            <v>53</v>
          </cell>
          <cell r="U263">
            <v>153</v>
          </cell>
          <cell r="V263"/>
          <cell r="W263" t="str">
            <v>박순홍</v>
          </cell>
          <cell r="X263" t="str">
            <v>(인)</v>
          </cell>
          <cell r="Y263" t="str">
            <v>박순홍</v>
          </cell>
          <cell r="Z263" t="str">
            <v>(인)</v>
          </cell>
          <cell r="AA263" t="str">
            <v>장덕만</v>
          </cell>
          <cell r="AB263" t="str">
            <v>(인)</v>
          </cell>
          <cell r="AC263" t="str">
            <v>장덕만</v>
          </cell>
          <cell r="AD263" t="str">
            <v>(인)</v>
          </cell>
          <cell r="AE263">
            <v>180.9</v>
          </cell>
          <cell r="AF263" t="str">
            <v>표준</v>
          </cell>
          <cell r="AG263">
            <v>6</v>
          </cell>
          <cell r="AH263">
            <v>0</v>
          </cell>
        </row>
        <row r="264">
          <cell r="G264">
            <v>2404300307</v>
          </cell>
          <cell r="H264" t="str">
            <v>114동</v>
          </cell>
          <cell r="I264">
            <v>240430</v>
          </cell>
          <cell r="J264" t="str">
            <v>114동 및 주변주차장 기초</v>
          </cell>
          <cell r="K264">
            <v>810</v>
          </cell>
          <cell r="L264">
            <v>810</v>
          </cell>
          <cell r="M264">
            <v>2415</v>
          </cell>
          <cell r="N264" t="str">
            <v>대공</v>
          </cell>
          <cell r="O264" t="str">
            <v>펌프카(1대)</v>
          </cell>
          <cell r="P264">
            <v>745</v>
          </cell>
          <cell r="Q264">
            <v>1556</v>
          </cell>
          <cell r="R264">
            <v>160</v>
          </cell>
          <cell r="S264">
            <v>44</v>
          </cell>
          <cell r="T264">
            <v>32</v>
          </cell>
          <cell r="U264">
            <v>187</v>
          </cell>
          <cell r="V264"/>
          <cell r="W264" t="str">
            <v>박순홍</v>
          </cell>
          <cell r="X264" t="str">
            <v>(인)</v>
          </cell>
          <cell r="Y264" t="str">
            <v>박순홍</v>
          </cell>
          <cell r="Z264" t="str">
            <v>(인)</v>
          </cell>
          <cell r="AA264" t="str">
            <v>장덕만</v>
          </cell>
          <cell r="AB264" t="str">
            <v>(인)</v>
          </cell>
          <cell r="AC264" t="str">
            <v>장덕만</v>
          </cell>
          <cell r="AD264" t="str">
            <v>(인)</v>
          </cell>
          <cell r="AE264">
            <v>183.9</v>
          </cell>
          <cell r="AF264" t="str">
            <v>표준</v>
          </cell>
          <cell r="AG264">
            <v>7</v>
          </cell>
          <cell r="AH264">
            <v>1</v>
          </cell>
          <cell r="AL264">
            <v>3323</v>
          </cell>
          <cell r="AM264">
            <v>3356</v>
          </cell>
          <cell r="AN264">
            <v>3406</v>
          </cell>
          <cell r="AO264">
            <v>3297</v>
          </cell>
          <cell r="AP264">
            <v>3288</v>
          </cell>
          <cell r="AQ264">
            <v>3429</v>
          </cell>
          <cell r="AR264">
            <v>3309</v>
          </cell>
          <cell r="AS264">
            <v>3327</v>
          </cell>
          <cell r="AT264">
            <v>263200</v>
          </cell>
        </row>
        <row r="265">
          <cell r="G265">
            <v>2404300401</v>
          </cell>
          <cell r="H265" t="str">
            <v>114동</v>
          </cell>
          <cell r="I265">
            <v>240430</v>
          </cell>
          <cell r="J265" t="str">
            <v>114동 및 주변주차장 기초</v>
          </cell>
          <cell r="K265">
            <v>940</v>
          </cell>
          <cell r="L265">
            <v>936</v>
          </cell>
          <cell r="M265">
            <v>2415</v>
          </cell>
          <cell r="N265" t="str">
            <v>영진</v>
          </cell>
          <cell r="O265" t="str">
            <v>펌프카(1대)</v>
          </cell>
          <cell r="P265">
            <v>725</v>
          </cell>
          <cell r="Q265">
            <v>1630</v>
          </cell>
          <cell r="R265">
            <v>170</v>
          </cell>
          <cell r="S265">
            <v>43</v>
          </cell>
          <cell r="T265">
            <v>35</v>
          </cell>
          <cell r="U265">
            <v>167</v>
          </cell>
          <cell r="V265"/>
          <cell r="W265" t="str">
            <v>박순홍</v>
          </cell>
          <cell r="X265" t="str">
            <v>(인)</v>
          </cell>
          <cell r="Y265" t="str">
            <v>박순홍</v>
          </cell>
          <cell r="Z265" t="str">
            <v>(인)</v>
          </cell>
          <cell r="AA265" t="str">
            <v>장덕만</v>
          </cell>
          <cell r="AB265" t="str">
            <v>(인)</v>
          </cell>
          <cell r="AC265" t="str">
            <v>장덕만</v>
          </cell>
          <cell r="AD265" t="str">
            <v>(인)</v>
          </cell>
          <cell r="AE265">
            <v>174.8</v>
          </cell>
          <cell r="AF265" t="str">
            <v>표준</v>
          </cell>
          <cell r="AG265">
            <v>1</v>
          </cell>
          <cell r="AH265">
            <v>1</v>
          </cell>
          <cell r="AI265">
            <v>2055</v>
          </cell>
          <cell r="AJ265">
            <v>2067</v>
          </cell>
          <cell r="AK265">
            <v>2034</v>
          </cell>
          <cell r="AL265">
            <v>2941</v>
          </cell>
          <cell r="AM265">
            <v>2961</v>
          </cell>
          <cell r="AN265">
            <v>3012</v>
          </cell>
          <cell r="AO265">
            <v>3062</v>
          </cell>
          <cell r="AP265">
            <v>2927</v>
          </cell>
          <cell r="AQ265">
            <v>2927</v>
          </cell>
          <cell r="AR265">
            <v>3012</v>
          </cell>
          <cell r="AS265">
            <v>2964</v>
          </cell>
          <cell r="AT265">
            <v>231600</v>
          </cell>
        </row>
        <row r="266">
          <cell r="G266">
            <v>2404300402</v>
          </cell>
          <cell r="H266" t="str">
            <v>114동</v>
          </cell>
          <cell r="I266">
            <v>240430</v>
          </cell>
          <cell r="J266" t="str">
            <v>114동 및 주변주차장 기초</v>
          </cell>
          <cell r="K266">
            <v>940</v>
          </cell>
          <cell r="L266">
            <v>936</v>
          </cell>
          <cell r="M266">
            <v>2415</v>
          </cell>
          <cell r="N266" t="str">
            <v>영진</v>
          </cell>
          <cell r="O266" t="str">
            <v>펌프카(1대)</v>
          </cell>
          <cell r="P266">
            <v>725</v>
          </cell>
          <cell r="Q266">
            <v>1630</v>
          </cell>
          <cell r="R266">
            <v>175</v>
          </cell>
          <cell r="S266">
            <v>50</v>
          </cell>
          <cell r="T266">
            <v>18</v>
          </cell>
          <cell r="U266">
            <v>158</v>
          </cell>
          <cell r="V266"/>
          <cell r="W266" t="str">
            <v>박순홍</v>
          </cell>
          <cell r="X266" t="str">
            <v>(인)</v>
          </cell>
          <cell r="Y266" t="str">
            <v>박순홍</v>
          </cell>
          <cell r="Z266" t="str">
            <v>(인)</v>
          </cell>
          <cell r="AA266" t="str">
            <v>장덕만</v>
          </cell>
          <cell r="AB266" t="str">
            <v>(인)</v>
          </cell>
          <cell r="AC266" t="str">
            <v>장덕만</v>
          </cell>
          <cell r="AD266" t="str">
            <v>(인)</v>
          </cell>
          <cell r="AE266">
            <v>177.2</v>
          </cell>
          <cell r="AF266" t="str">
            <v>표준</v>
          </cell>
          <cell r="AG266">
            <v>2</v>
          </cell>
          <cell r="AH266">
            <v>0</v>
          </cell>
        </row>
        <row r="267">
          <cell r="G267">
            <v>2404300403</v>
          </cell>
          <cell r="H267" t="str">
            <v>114동</v>
          </cell>
          <cell r="I267">
            <v>240430</v>
          </cell>
          <cell r="J267" t="str">
            <v>114동 및 주변주차장 기초</v>
          </cell>
          <cell r="K267">
            <v>940</v>
          </cell>
          <cell r="L267">
            <v>936</v>
          </cell>
          <cell r="M267">
            <v>2415</v>
          </cell>
          <cell r="N267" t="str">
            <v>영진</v>
          </cell>
          <cell r="O267" t="str">
            <v>펌프카(1대)</v>
          </cell>
          <cell r="P267">
            <v>725</v>
          </cell>
          <cell r="Q267">
            <v>1630</v>
          </cell>
          <cell r="R267">
            <v>175</v>
          </cell>
          <cell r="S267">
            <v>52</v>
          </cell>
          <cell r="T267">
            <v>27</v>
          </cell>
          <cell r="U267">
            <v>161</v>
          </cell>
          <cell r="V267"/>
          <cell r="W267" t="str">
            <v>박순홍</v>
          </cell>
          <cell r="X267" t="str">
            <v>(인)</v>
          </cell>
          <cell r="Y267" t="str">
            <v>박순홍</v>
          </cell>
          <cell r="Z267" t="str">
            <v>(인)</v>
          </cell>
          <cell r="AA267" t="str">
            <v>장덕만</v>
          </cell>
          <cell r="AB267" t="str">
            <v>(인)</v>
          </cell>
          <cell r="AC267" t="str">
            <v>장덕만</v>
          </cell>
          <cell r="AD267" t="str">
            <v>(인)</v>
          </cell>
          <cell r="AE267">
            <v>175.9</v>
          </cell>
          <cell r="AF267" t="str">
            <v>표준</v>
          </cell>
          <cell r="AG267">
            <v>3</v>
          </cell>
          <cell r="AH267">
            <v>0</v>
          </cell>
        </row>
        <row r="268">
          <cell r="G268">
            <v>2404300404</v>
          </cell>
          <cell r="H268" t="str">
            <v>114동</v>
          </cell>
          <cell r="I268">
            <v>240430</v>
          </cell>
          <cell r="J268" t="str">
            <v>114동 및 주변주차장 기초</v>
          </cell>
          <cell r="K268">
            <v>940</v>
          </cell>
          <cell r="L268">
            <v>936</v>
          </cell>
          <cell r="M268">
            <v>2415</v>
          </cell>
          <cell r="N268" t="str">
            <v>영진</v>
          </cell>
          <cell r="O268" t="str">
            <v>펌프카(1대)</v>
          </cell>
          <cell r="P268">
            <v>725</v>
          </cell>
          <cell r="Q268">
            <v>1630</v>
          </cell>
          <cell r="R268">
            <v>165</v>
          </cell>
          <cell r="S268">
            <v>36</v>
          </cell>
          <cell r="T268">
            <v>40</v>
          </cell>
          <cell r="U268">
            <v>164</v>
          </cell>
          <cell r="V268"/>
          <cell r="W268" t="str">
            <v>박순홍</v>
          </cell>
          <cell r="X268" t="str">
            <v>(인)</v>
          </cell>
          <cell r="Y268" t="str">
            <v>박순홍</v>
          </cell>
          <cell r="Z268" t="str">
            <v>(인)</v>
          </cell>
          <cell r="AA268" t="str">
            <v>장덕만</v>
          </cell>
          <cell r="AB268" t="str">
            <v>(인)</v>
          </cell>
          <cell r="AC268" t="str">
            <v>장덕만</v>
          </cell>
          <cell r="AD268" t="str">
            <v>(인)</v>
          </cell>
          <cell r="AE268">
            <v>179.8</v>
          </cell>
          <cell r="AF268" t="str">
            <v>표준</v>
          </cell>
          <cell r="AG268">
            <v>4</v>
          </cell>
          <cell r="AH268">
            <v>1</v>
          </cell>
          <cell r="AL268">
            <v>3007</v>
          </cell>
          <cell r="AM268">
            <v>2962</v>
          </cell>
          <cell r="AN268">
            <v>3013</v>
          </cell>
          <cell r="AO268">
            <v>3062</v>
          </cell>
          <cell r="AP268">
            <v>2978</v>
          </cell>
          <cell r="AQ268">
            <v>2966</v>
          </cell>
          <cell r="AR268">
            <v>2927</v>
          </cell>
          <cell r="AS268">
            <v>3033</v>
          </cell>
          <cell r="AT268">
            <v>237800</v>
          </cell>
        </row>
        <row r="269">
          <cell r="G269">
            <v>2404300405</v>
          </cell>
          <cell r="H269" t="str">
            <v>114동</v>
          </cell>
          <cell r="I269">
            <v>240430</v>
          </cell>
          <cell r="J269" t="str">
            <v>114동 및 주변주차장 기초</v>
          </cell>
          <cell r="K269">
            <v>940</v>
          </cell>
          <cell r="L269">
            <v>936</v>
          </cell>
          <cell r="M269">
            <v>2415</v>
          </cell>
          <cell r="N269" t="str">
            <v>영진</v>
          </cell>
          <cell r="O269" t="str">
            <v>펌프카(1대)</v>
          </cell>
          <cell r="P269">
            <v>725</v>
          </cell>
          <cell r="Q269">
            <v>1630</v>
          </cell>
          <cell r="R269">
            <v>170</v>
          </cell>
          <cell r="S269">
            <v>48</v>
          </cell>
          <cell r="T269">
            <v>47</v>
          </cell>
          <cell r="U269">
            <v>171</v>
          </cell>
          <cell r="V269"/>
          <cell r="W269" t="str">
            <v>박순홍</v>
          </cell>
          <cell r="X269" t="str">
            <v>(인)</v>
          </cell>
          <cell r="Y269" t="str">
            <v>박순홍</v>
          </cell>
          <cell r="Z269" t="str">
            <v>(인)</v>
          </cell>
          <cell r="AA269" t="str">
            <v>장덕만</v>
          </cell>
          <cell r="AB269" t="str">
            <v>(인)</v>
          </cell>
          <cell r="AC269" t="str">
            <v>장덕만</v>
          </cell>
          <cell r="AD269" t="str">
            <v>(인)</v>
          </cell>
          <cell r="AE269">
            <v>180.5</v>
          </cell>
          <cell r="AF269" t="str">
            <v>표준</v>
          </cell>
          <cell r="AG269">
            <v>5</v>
          </cell>
          <cell r="AH269">
            <v>0</v>
          </cell>
        </row>
        <row r="270">
          <cell r="G270">
            <v>2404300406</v>
          </cell>
          <cell r="H270" t="str">
            <v>114동</v>
          </cell>
          <cell r="I270">
            <v>240430</v>
          </cell>
          <cell r="J270" t="str">
            <v>114동 및 주변주차장 기초</v>
          </cell>
          <cell r="K270">
            <v>940</v>
          </cell>
          <cell r="L270">
            <v>936</v>
          </cell>
          <cell r="M270">
            <v>2415</v>
          </cell>
          <cell r="N270" t="str">
            <v>영진</v>
          </cell>
          <cell r="O270" t="str">
            <v>펌프카(1대)</v>
          </cell>
          <cell r="P270">
            <v>725</v>
          </cell>
          <cell r="Q270">
            <v>1630</v>
          </cell>
          <cell r="R270">
            <v>175</v>
          </cell>
          <cell r="S270">
            <v>50</v>
          </cell>
          <cell r="T270">
            <v>46</v>
          </cell>
          <cell r="U270">
            <v>162</v>
          </cell>
          <cell r="V270"/>
          <cell r="W270" t="str">
            <v>박순홍</v>
          </cell>
          <cell r="X270" t="str">
            <v>(인)</v>
          </cell>
          <cell r="Y270" t="str">
            <v>박순홍</v>
          </cell>
          <cell r="Z270" t="str">
            <v>(인)</v>
          </cell>
          <cell r="AA270" t="str">
            <v>장덕만</v>
          </cell>
          <cell r="AB270" t="str">
            <v>(인)</v>
          </cell>
          <cell r="AC270" t="str">
            <v>장덕만</v>
          </cell>
          <cell r="AD270" t="str">
            <v>(인)</v>
          </cell>
          <cell r="AE270">
            <v>167.5</v>
          </cell>
          <cell r="AF270" t="str">
            <v>표준</v>
          </cell>
          <cell r="AG270">
            <v>6</v>
          </cell>
          <cell r="AH270">
            <v>0</v>
          </cell>
        </row>
        <row r="271">
          <cell r="G271">
            <v>2404300407</v>
          </cell>
          <cell r="H271" t="str">
            <v>114동</v>
          </cell>
          <cell r="I271">
            <v>240430</v>
          </cell>
          <cell r="J271" t="str">
            <v>114동 및 주변주차장 기초</v>
          </cell>
          <cell r="K271">
            <v>940</v>
          </cell>
          <cell r="L271">
            <v>936</v>
          </cell>
          <cell r="M271">
            <v>2415</v>
          </cell>
          <cell r="N271" t="str">
            <v>영진</v>
          </cell>
          <cell r="O271" t="str">
            <v>펌프카(1대)</v>
          </cell>
          <cell r="P271">
            <v>725</v>
          </cell>
          <cell r="Q271">
            <v>1630</v>
          </cell>
          <cell r="R271">
            <v>155</v>
          </cell>
          <cell r="S271">
            <v>38</v>
          </cell>
          <cell r="T271">
            <v>33</v>
          </cell>
          <cell r="U271">
            <v>188</v>
          </cell>
          <cell r="V271"/>
          <cell r="W271" t="str">
            <v>박순홍</v>
          </cell>
          <cell r="X271" t="str">
            <v>(인)</v>
          </cell>
          <cell r="Y271" t="str">
            <v>박순홍</v>
          </cell>
          <cell r="Z271" t="str">
            <v>(인)</v>
          </cell>
          <cell r="AA271" t="str">
            <v>장덕만</v>
          </cell>
          <cell r="AB271" t="str">
            <v>(인)</v>
          </cell>
          <cell r="AC271" t="str">
            <v>장덕만</v>
          </cell>
          <cell r="AD271" t="str">
            <v>(인)</v>
          </cell>
          <cell r="AE271">
            <v>172.3</v>
          </cell>
          <cell r="AF271" t="str">
            <v>표준</v>
          </cell>
          <cell r="AG271">
            <v>7</v>
          </cell>
          <cell r="AH271">
            <v>1</v>
          </cell>
          <cell r="AL271">
            <v>2938</v>
          </cell>
          <cell r="AM271">
            <v>3009</v>
          </cell>
          <cell r="AN271">
            <v>3027</v>
          </cell>
          <cell r="AO271">
            <v>2923</v>
          </cell>
          <cell r="AP271">
            <v>2976</v>
          </cell>
          <cell r="AQ271">
            <v>3006</v>
          </cell>
          <cell r="AR271">
            <v>2929</v>
          </cell>
          <cell r="AS271">
            <v>2923</v>
          </cell>
          <cell r="AT271">
            <v>234200</v>
          </cell>
        </row>
        <row r="272">
          <cell r="G272">
            <v>2404300408</v>
          </cell>
          <cell r="H272" t="str">
            <v>114동</v>
          </cell>
          <cell r="I272">
            <v>240430</v>
          </cell>
          <cell r="J272" t="str">
            <v>114동 및 주변주차장 기초</v>
          </cell>
          <cell r="K272">
            <v>940</v>
          </cell>
          <cell r="L272">
            <v>936</v>
          </cell>
          <cell r="M272">
            <v>2415</v>
          </cell>
          <cell r="N272" t="str">
            <v>영진</v>
          </cell>
          <cell r="O272" t="str">
            <v>펌프카(1대)</v>
          </cell>
          <cell r="P272">
            <v>725</v>
          </cell>
          <cell r="Q272">
            <v>1630</v>
          </cell>
          <cell r="R272">
            <v>160</v>
          </cell>
          <cell r="S272">
            <v>45</v>
          </cell>
          <cell r="T272">
            <v>51</v>
          </cell>
          <cell r="U272">
            <v>179</v>
          </cell>
          <cell r="V272"/>
          <cell r="W272" t="str">
            <v>박순홍</v>
          </cell>
          <cell r="X272" t="str">
            <v>(인)</v>
          </cell>
          <cell r="Y272" t="str">
            <v>박순홍</v>
          </cell>
          <cell r="Z272" t="str">
            <v>(인)</v>
          </cell>
          <cell r="AA272" t="str">
            <v>장덕만</v>
          </cell>
          <cell r="AB272" t="str">
            <v>(인)</v>
          </cell>
          <cell r="AC272" t="str">
            <v>장덕만</v>
          </cell>
          <cell r="AD272" t="str">
            <v>(인)</v>
          </cell>
          <cell r="AE272">
            <v>174.7</v>
          </cell>
          <cell r="AF272" t="str">
            <v>표준</v>
          </cell>
          <cell r="AG272">
            <v>8</v>
          </cell>
          <cell r="AH272">
            <v>0</v>
          </cell>
        </row>
        <row r="273">
          <cell r="G273">
            <v>2405020101</v>
          </cell>
          <cell r="H273" t="str">
            <v>113동</v>
          </cell>
          <cell r="I273">
            <v>240502</v>
          </cell>
          <cell r="J273" t="str">
            <v>113동 B3F</v>
          </cell>
          <cell r="K273">
            <v>480</v>
          </cell>
          <cell r="L273">
            <v>480</v>
          </cell>
          <cell r="M273">
            <v>3015</v>
          </cell>
          <cell r="N273" t="str">
            <v>용호</v>
          </cell>
          <cell r="O273" t="str">
            <v>펌프카(1대)</v>
          </cell>
          <cell r="P273">
            <v>740</v>
          </cell>
          <cell r="Q273">
            <v>1657</v>
          </cell>
          <cell r="R273">
            <v>165</v>
          </cell>
          <cell r="S273">
            <v>47</v>
          </cell>
          <cell r="T273">
            <v>43</v>
          </cell>
          <cell r="U273">
            <v>175</v>
          </cell>
          <cell r="V273"/>
          <cell r="W273" t="str">
            <v>박순홍</v>
          </cell>
          <cell r="X273" t="str">
            <v>(인)</v>
          </cell>
          <cell r="Y273" t="str">
            <v>박순홍</v>
          </cell>
          <cell r="Z273" t="str">
            <v>(인)</v>
          </cell>
          <cell r="AA273" t="str">
            <v>장덕만</v>
          </cell>
          <cell r="AB273" t="str">
            <v>(인)</v>
          </cell>
          <cell r="AC273" t="str">
            <v>장덕만</v>
          </cell>
          <cell r="AD273" t="str">
            <v>(인)</v>
          </cell>
          <cell r="AE273">
            <v>167.9</v>
          </cell>
          <cell r="AF273" t="str">
            <v>표준</v>
          </cell>
          <cell r="AG273">
            <v>1</v>
          </cell>
          <cell r="AH273">
            <v>1</v>
          </cell>
          <cell r="AI273">
            <v>2737</v>
          </cell>
          <cell r="AJ273">
            <v>2806</v>
          </cell>
          <cell r="AK273">
            <v>221000</v>
          </cell>
          <cell r="AL273">
            <v>3931</v>
          </cell>
          <cell r="AM273">
            <v>3924</v>
          </cell>
          <cell r="AN273">
            <v>3949</v>
          </cell>
          <cell r="AO273">
            <v>3926</v>
          </cell>
          <cell r="AP273">
            <v>3874</v>
          </cell>
          <cell r="AQ273">
            <v>3936</v>
          </cell>
          <cell r="AR273">
            <v>3862</v>
          </cell>
          <cell r="AS273">
            <v>3927</v>
          </cell>
          <cell r="AT273">
            <v>314200</v>
          </cell>
        </row>
        <row r="274">
          <cell r="G274">
            <v>2405020102</v>
          </cell>
          <cell r="H274" t="str">
            <v>113동</v>
          </cell>
          <cell r="I274">
            <v>240502</v>
          </cell>
          <cell r="J274" t="str">
            <v>113동 B3F</v>
          </cell>
          <cell r="K274">
            <v>480</v>
          </cell>
          <cell r="L274">
            <v>480</v>
          </cell>
          <cell r="M274">
            <v>3015</v>
          </cell>
          <cell r="N274" t="str">
            <v>용호</v>
          </cell>
          <cell r="O274" t="str">
            <v>펌프카(1대)</v>
          </cell>
          <cell r="P274">
            <v>740</v>
          </cell>
          <cell r="Q274">
            <v>1657</v>
          </cell>
          <cell r="R274">
            <v>165</v>
          </cell>
          <cell r="S274">
            <v>50</v>
          </cell>
          <cell r="T274">
            <v>37</v>
          </cell>
          <cell r="U274">
            <v>183</v>
          </cell>
          <cell r="V274"/>
          <cell r="W274" t="str">
            <v>박순홍</v>
          </cell>
          <cell r="X274" t="str">
            <v>(인)</v>
          </cell>
          <cell r="Y274" t="str">
            <v>박순홍</v>
          </cell>
          <cell r="Z274" t="str">
            <v>(인)</v>
          </cell>
          <cell r="AA274" t="str">
            <v>장덕만</v>
          </cell>
          <cell r="AB274" t="str">
            <v>(인)</v>
          </cell>
          <cell r="AC274" t="str">
            <v>장덕만</v>
          </cell>
          <cell r="AD274" t="str">
            <v>(인)</v>
          </cell>
          <cell r="AE274">
            <v>189.1</v>
          </cell>
          <cell r="AF274" t="str">
            <v>표준</v>
          </cell>
          <cell r="AG274">
            <v>2</v>
          </cell>
          <cell r="AH274">
            <v>0</v>
          </cell>
        </row>
        <row r="275">
          <cell r="G275">
            <v>2405020103</v>
          </cell>
          <cell r="H275" t="str">
            <v>113동</v>
          </cell>
          <cell r="I275">
            <v>240502</v>
          </cell>
          <cell r="J275" t="str">
            <v>113동 B3F</v>
          </cell>
          <cell r="K275">
            <v>480</v>
          </cell>
          <cell r="L275">
            <v>480</v>
          </cell>
          <cell r="M275">
            <v>3015</v>
          </cell>
          <cell r="N275" t="str">
            <v>용호</v>
          </cell>
          <cell r="O275" t="str">
            <v>펌프카(1대)</v>
          </cell>
          <cell r="P275">
            <v>740</v>
          </cell>
          <cell r="Q275">
            <v>1657</v>
          </cell>
          <cell r="R275">
            <v>170</v>
          </cell>
          <cell r="S275">
            <v>40</v>
          </cell>
          <cell r="T275">
            <v>57</v>
          </cell>
          <cell r="U275">
            <v>186</v>
          </cell>
          <cell r="V275"/>
          <cell r="W275" t="str">
            <v>박순홍</v>
          </cell>
          <cell r="X275" t="str">
            <v>(인)</v>
          </cell>
          <cell r="Y275" t="str">
            <v>박순홍</v>
          </cell>
          <cell r="Z275" t="str">
            <v>(인)</v>
          </cell>
          <cell r="AA275" t="str">
            <v>장덕만</v>
          </cell>
          <cell r="AB275" t="str">
            <v>(인)</v>
          </cell>
          <cell r="AC275" t="str">
            <v>장덕만</v>
          </cell>
          <cell r="AD275" t="str">
            <v>(인)</v>
          </cell>
          <cell r="AE275">
            <v>180.5</v>
          </cell>
          <cell r="AF275" t="str">
            <v>표준</v>
          </cell>
          <cell r="AG275">
            <v>3</v>
          </cell>
          <cell r="AH275">
            <v>0</v>
          </cell>
        </row>
        <row r="276">
          <cell r="G276">
            <v>2405020104</v>
          </cell>
          <cell r="H276" t="str">
            <v>113동</v>
          </cell>
          <cell r="I276">
            <v>240502</v>
          </cell>
          <cell r="J276" t="str">
            <v>113동 B3F</v>
          </cell>
          <cell r="K276">
            <v>480</v>
          </cell>
          <cell r="L276">
            <v>480</v>
          </cell>
          <cell r="M276">
            <v>3015</v>
          </cell>
          <cell r="N276" t="str">
            <v>용호</v>
          </cell>
          <cell r="O276" t="str">
            <v>펌프카(1대)</v>
          </cell>
          <cell r="P276">
            <v>740</v>
          </cell>
          <cell r="Q276">
            <v>1657</v>
          </cell>
          <cell r="R276">
            <v>155</v>
          </cell>
          <cell r="S276">
            <v>35</v>
          </cell>
          <cell r="T276">
            <v>22</v>
          </cell>
          <cell r="U276">
            <v>196</v>
          </cell>
          <cell r="V276"/>
          <cell r="W276" t="str">
            <v>박순홍</v>
          </cell>
          <cell r="X276" t="str">
            <v>(인)</v>
          </cell>
          <cell r="Y276" t="str">
            <v>박순홍</v>
          </cell>
          <cell r="Z276" t="str">
            <v>(인)</v>
          </cell>
          <cell r="AA276" t="str">
            <v>장덕만</v>
          </cell>
          <cell r="AB276" t="str">
            <v>(인)</v>
          </cell>
          <cell r="AC276" t="str">
            <v>장덕만</v>
          </cell>
          <cell r="AD276" t="str">
            <v>(인)</v>
          </cell>
          <cell r="AE276">
            <v>179.3</v>
          </cell>
          <cell r="AF276" t="str">
            <v>표준</v>
          </cell>
          <cell r="AG276">
            <v>4</v>
          </cell>
          <cell r="AH276">
            <v>1</v>
          </cell>
          <cell r="AL276">
            <v>3926</v>
          </cell>
          <cell r="AM276">
            <v>4037</v>
          </cell>
          <cell r="AN276">
            <v>3949</v>
          </cell>
          <cell r="AO276">
            <v>3876</v>
          </cell>
          <cell r="AP276">
            <v>4027</v>
          </cell>
          <cell r="AQ276">
            <v>3943</v>
          </cell>
          <cell r="AR276">
            <v>4129</v>
          </cell>
          <cell r="AS276">
            <v>4088</v>
          </cell>
          <cell r="AT276">
            <v>313600</v>
          </cell>
        </row>
        <row r="277">
          <cell r="G277">
            <v>2405020201</v>
          </cell>
          <cell r="H277" t="str">
            <v>113동</v>
          </cell>
          <cell r="I277">
            <v>240502</v>
          </cell>
          <cell r="J277" t="str">
            <v>113동 B3F</v>
          </cell>
          <cell r="K277">
            <v>440</v>
          </cell>
          <cell r="L277">
            <v>444</v>
          </cell>
          <cell r="M277">
            <v>3015</v>
          </cell>
          <cell r="N277" t="str">
            <v>대원</v>
          </cell>
          <cell r="O277" t="str">
            <v>펌프카(1대)</v>
          </cell>
          <cell r="P277">
            <v>728</v>
          </cell>
          <cell r="Q277">
            <v>1545</v>
          </cell>
          <cell r="R277">
            <v>170</v>
          </cell>
          <cell r="S277">
            <v>41</v>
          </cell>
          <cell r="T277">
            <v>54</v>
          </cell>
          <cell r="U277">
            <v>178</v>
          </cell>
          <cell r="V277"/>
          <cell r="W277" t="str">
            <v>박순홍</v>
          </cell>
          <cell r="X277" t="str">
            <v>(인)</v>
          </cell>
          <cell r="Y277" t="str">
            <v>박순홍</v>
          </cell>
          <cell r="Z277" t="str">
            <v>(인)</v>
          </cell>
          <cell r="AA277" t="str">
            <v>장덕만</v>
          </cell>
          <cell r="AB277" t="str">
            <v>(인)</v>
          </cell>
          <cell r="AC277" t="str">
            <v>장덕만</v>
          </cell>
          <cell r="AD277" t="str">
            <v>(인)</v>
          </cell>
          <cell r="AE277">
            <v>180</v>
          </cell>
          <cell r="AF277" t="str">
            <v>표준</v>
          </cell>
          <cell r="AG277">
            <v>1</v>
          </cell>
          <cell r="AH277">
            <v>1</v>
          </cell>
          <cell r="AI277">
            <v>2812</v>
          </cell>
          <cell r="AJ277">
            <v>2720</v>
          </cell>
          <cell r="AK277">
            <v>2719</v>
          </cell>
          <cell r="AL277">
            <v>3995</v>
          </cell>
          <cell r="AM277">
            <v>3936</v>
          </cell>
          <cell r="AN277">
            <v>4012</v>
          </cell>
          <cell r="AO277">
            <v>3962</v>
          </cell>
          <cell r="AP277">
            <v>4062</v>
          </cell>
          <cell r="AQ277">
            <v>3876</v>
          </cell>
          <cell r="AR277">
            <v>3933</v>
          </cell>
          <cell r="AS277">
            <v>4043</v>
          </cell>
          <cell r="AT277">
            <v>315200</v>
          </cell>
        </row>
        <row r="278">
          <cell r="G278">
            <v>2405020202</v>
          </cell>
          <cell r="H278" t="str">
            <v>113동</v>
          </cell>
          <cell r="I278">
            <v>240502</v>
          </cell>
          <cell r="J278" t="str">
            <v>113동 B3F</v>
          </cell>
          <cell r="K278">
            <v>440</v>
          </cell>
          <cell r="L278">
            <v>444</v>
          </cell>
          <cell r="M278">
            <v>3015</v>
          </cell>
          <cell r="N278" t="str">
            <v>대원</v>
          </cell>
          <cell r="O278" t="str">
            <v>펌프카(1대)</v>
          </cell>
          <cell r="P278">
            <v>728</v>
          </cell>
          <cell r="Q278">
            <v>1545</v>
          </cell>
          <cell r="R278">
            <v>170</v>
          </cell>
          <cell r="S278">
            <v>43</v>
          </cell>
          <cell r="T278">
            <v>23</v>
          </cell>
          <cell r="U278">
            <v>185</v>
          </cell>
          <cell r="V278"/>
          <cell r="W278" t="str">
            <v>박순홍</v>
          </cell>
          <cell r="X278" t="str">
            <v>(인)</v>
          </cell>
          <cell r="Y278" t="str">
            <v>박순홍</v>
          </cell>
          <cell r="Z278" t="str">
            <v>(인)</v>
          </cell>
          <cell r="AA278" t="str">
            <v>장덕만</v>
          </cell>
          <cell r="AB278" t="str">
            <v>(인)</v>
          </cell>
          <cell r="AC278" t="str">
            <v>장덕만</v>
          </cell>
          <cell r="AD278" t="str">
            <v>(인)</v>
          </cell>
          <cell r="AE278">
            <v>173.1</v>
          </cell>
          <cell r="AF278" t="str">
            <v>표준</v>
          </cell>
          <cell r="AG278">
            <v>2</v>
          </cell>
          <cell r="AH278">
            <v>0</v>
          </cell>
        </row>
        <row r="279">
          <cell r="G279">
            <v>2405020203</v>
          </cell>
          <cell r="H279" t="str">
            <v>113동</v>
          </cell>
          <cell r="I279">
            <v>240502</v>
          </cell>
          <cell r="J279" t="str">
            <v>113동 B3F</v>
          </cell>
          <cell r="K279">
            <v>440</v>
          </cell>
          <cell r="L279">
            <v>444</v>
          </cell>
          <cell r="M279">
            <v>3015</v>
          </cell>
          <cell r="N279" t="str">
            <v>대원</v>
          </cell>
          <cell r="O279" t="str">
            <v>펌프카(1대)</v>
          </cell>
          <cell r="P279">
            <v>728</v>
          </cell>
          <cell r="Q279">
            <v>1545</v>
          </cell>
          <cell r="R279">
            <v>155</v>
          </cell>
          <cell r="S279">
            <v>46</v>
          </cell>
          <cell r="T279">
            <v>18</v>
          </cell>
          <cell r="U279">
            <v>174</v>
          </cell>
          <cell r="V279"/>
          <cell r="W279" t="str">
            <v>박순홍</v>
          </cell>
          <cell r="X279" t="str">
            <v>(인)</v>
          </cell>
          <cell r="Y279" t="str">
            <v>박순홍</v>
          </cell>
          <cell r="Z279" t="str">
            <v>(인)</v>
          </cell>
          <cell r="AA279" t="str">
            <v>장덕만</v>
          </cell>
          <cell r="AB279" t="str">
            <v>(인)</v>
          </cell>
          <cell r="AC279" t="str">
            <v>장덕만</v>
          </cell>
          <cell r="AD279" t="str">
            <v>(인)</v>
          </cell>
          <cell r="AE279">
            <v>183.9</v>
          </cell>
          <cell r="AF279" t="str">
            <v>표준</v>
          </cell>
          <cell r="AG279">
            <v>3</v>
          </cell>
          <cell r="AH279">
            <v>0</v>
          </cell>
        </row>
        <row r="280">
          <cell r="G280">
            <v>2405020204</v>
          </cell>
          <cell r="H280" t="str">
            <v>113동</v>
          </cell>
          <cell r="I280">
            <v>240502</v>
          </cell>
          <cell r="J280" t="str">
            <v>113동 B3F</v>
          </cell>
          <cell r="K280">
            <v>440</v>
          </cell>
          <cell r="L280">
            <v>444</v>
          </cell>
          <cell r="M280">
            <v>3015</v>
          </cell>
          <cell r="N280" t="str">
            <v>대원</v>
          </cell>
          <cell r="O280" t="str">
            <v>펌프카(1대)</v>
          </cell>
          <cell r="P280">
            <v>728</v>
          </cell>
          <cell r="Q280">
            <v>1545</v>
          </cell>
          <cell r="R280">
            <v>165</v>
          </cell>
          <cell r="S280">
            <v>46</v>
          </cell>
          <cell r="T280">
            <v>29</v>
          </cell>
          <cell r="U280">
            <v>199</v>
          </cell>
          <cell r="V280"/>
          <cell r="W280" t="str">
            <v>박순홍</v>
          </cell>
          <cell r="X280" t="str">
            <v>(인)</v>
          </cell>
          <cell r="Y280" t="str">
            <v>박순홍</v>
          </cell>
          <cell r="Z280" t="str">
            <v>(인)</v>
          </cell>
          <cell r="AA280" t="str">
            <v>장덕만</v>
          </cell>
          <cell r="AB280" t="str">
            <v>(인)</v>
          </cell>
          <cell r="AC280" t="str">
            <v>장덕만</v>
          </cell>
          <cell r="AD280" t="str">
            <v>(인)</v>
          </cell>
          <cell r="AE280">
            <v>183.2</v>
          </cell>
          <cell r="AF280" t="str">
            <v>표준</v>
          </cell>
          <cell r="AG280">
            <v>4</v>
          </cell>
          <cell r="AH280">
            <v>1</v>
          </cell>
          <cell r="AL280">
            <v>3960</v>
          </cell>
          <cell r="AM280">
            <v>4197</v>
          </cell>
          <cell r="AN280">
            <v>3974</v>
          </cell>
          <cell r="AO280">
            <v>4002</v>
          </cell>
          <cell r="AP280">
            <v>3924</v>
          </cell>
          <cell r="AQ280">
            <v>3876</v>
          </cell>
          <cell r="AR280">
            <v>3926</v>
          </cell>
          <cell r="AS280">
            <v>3933</v>
          </cell>
          <cell r="AT280">
            <v>307200</v>
          </cell>
        </row>
        <row r="281">
          <cell r="G281">
            <v>2405020301</v>
          </cell>
          <cell r="H281" t="str">
            <v>113동</v>
          </cell>
          <cell r="I281">
            <v>240502</v>
          </cell>
          <cell r="J281" t="str">
            <v>113동 B3F</v>
          </cell>
          <cell r="K281">
            <v>90</v>
          </cell>
          <cell r="L281">
            <v>90</v>
          </cell>
          <cell r="M281">
            <v>2715</v>
          </cell>
          <cell r="N281" t="str">
            <v>용호</v>
          </cell>
          <cell r="O281" t="str">
            <v>펌프카(1대)</v>
          </cell>
          <cell r="P281">
            <v>1255</v>
          </cell>
          <cell r="Q281">
            <v>1427</v>
          </cell>
          <cell r="R281">
            <v>170</v>
          </cell>
          <cell r="S281">
            <v>42</v>
          </cell>
          <cell r="T281">
            <v>27</v>
          </cell>
          <cell r="U281">
            <v>207</v>
          </cell>
          <cell r="V281"/>
          <cell r="W281" t="str">
            <v>박순홍</v>
          </cell>
          <cell r="X281" t="str">
            <v>(인)</v>
          </cell>
          <cell r="Y281" t="str">
            <v>박순홍</v>
          </cell>
          <cell r="Z281" t="str">
            <v>(인)</v>
          </cell>
          <cell r="AA281" t="str">
            <v>장덕만</v>
          </cell>
          <cell r="AB281" t="str">
            <v>(인)</v>
          </cell>
          <cell r="AC281" t="str">
            <v>장덕만</v>
          </cell>
          <cell r="AD281" t="str">
            <v>(인)</v>
          </cell>
          <cell r="AE281">
            <v>176.9</v>
          </cell>
          <cell r="AF281" t="str">
            <v>표준</v>
          </cell>
          <cell r="AG281">
            <v>1</v>
          </cell>
          <cell r="AH281">
            <v>1</v>
          </cell>
          <cell r="AI281">
            <v>2462</v>
          </cell>
          <cell r="AJ281">
            <v>2416</v>
          </cell>
          <cell r="AK281">
            <v>191400</v>
          </cell>
          <cell r="AL281">
            <v>3608</v>
          </cell>
          <cell r="AM281">
            <v>3535</v>
          </cell>
          <cell r="AN281">
            <v>3527</v>
          </cell>
          <cell r="AO281">
            <v>3603</v>
          </cell>
          <cell r="AP281">
            <v>3602</v>
          </cell>
          <cell r="AQ281">
            <v>3672</v>
          </cell>
          <cell r="AR281">
            <v>3594</v>
          </cell>
          <cell r="AS281">
            <v>3602</v>
          </cell>
          <cell r="AT281">
            <v>284400</v>
          </cell>
        </row>
        <row r="282">
          <cell r="G282">
            <v>2405020401</v>
          </cell>
          <cell r="H282" t="str">
            <v>113동</v>
          </cell>
          <cell r="I282">
            <v>240502</v>
          </cell>
          <cell r="J282" t="str">
            <v>113동 B3F</v>
          </cell>
          <cell r="K282">
            <v>60</v>
          </cell>
          <cell r="L282">
            <v>54</v>
          </cell>
          <cell r="M282">
            <v>2715</v>
          </cell>
          <cell r="N282" t="str">
            <v>대원</v>
          </cell>
          <cell r="O282" t="str">
            <v>펌프카(1대)</v>
          </cell>
          <cell r="P282">
            <v>1255</v>
          </cell>
          <cell r="Q282">
            <v>1355</v>
          </cell>
          <cell r="R282">
            <v>160</v>
          </cell>
          <cell r="S282">
            <v>46</v>
          </cell>
          <cell r="T282">
            <v>53</v>
          </cell>
          <cell r="U282">
            <v>234</v>
          </cell>
          <cell r="V282"/>
          <cell r="W282" t="str">
            <v>박순홍</v>
          </cell>
          <cell r="X282" t="str">
            <v>(인)</v>
          </cell>
          <cell r="Y282" t="str">
            <v>박순홍</v>
          </cell>
          <cell r="Z282" t="str">
            <v>(인)</v>
          </cell>
          <cell r="AA282" t="str">
            <v>장덕만</v>
          </cell>
          <cell r="AB282" t="str">
            <v>(인)</v>
          </cell>
          <cell r="AC282" t="str">
            <v>장덕만</v>
          </cell>
          <cell r="AD282" t="str">
            <v>(인)</v>
          </cell>
          <cell r="AE282">
            <v>180.5</v>
          </cell>
          <cell r="AF282" t="str">
            <v>표준</v>
          </cell>
          <cell r="AG282">
            <v>1</v>
          </cell>
          <cell r="AH282">
            <v>1</v>
          </cell>
          <cell r="AI282">
            <v>2416</v>
          </cell>
          <cell r="AJ282">
            <v>2432</v>
          </cell>
          <cell r="AK282">
            <v>195600</v>
          </cell>
          <cell r="AL282">
            <v>3626</v>
          </cell>
          <cell r="AM282">
            <v>3558</v>
          </cell>
          <cell r="AN282">
            <v>3553</v>
          </cell>
          <cell r="AO282">
            <v>3677</v>
          </cell>
          <cell r="AP282">
            <v>3602</v>
          </cell>
          <cell r="AQ282">
            <v>3579</v>
          </cell>
          <cell r="AR282">
            <v>3524</v>
          </cell>
          <cell r="AS282">
            <v>3606</v>
          </cell>
          <cell r="AT282">
            <v>286800</v>
          </cell>
        </row>
        <row r="283">
          <cell r="G283">
            <v>2405030101</v>
          </cell>
          <cell r="H283" t="str">
            <v>103동</v>
          </cell>
          <cell r="I283">
            <v>240503</v>
          </cell>
          <cell r="J283" t="str">
            <v>103동 2층 바닥</v>
          </cell>
          <cell r="K283">
            <v>310</v>
          </cell>
          <cell r="L283">
            <v>312</v>
          </cell>
          <cell r="M283">
            <v>3018</v>
          </cell>
          <cell r="N283" t="str">
            <v>동양</v>
          </cell>
          <cell r="O283" t="str">
            <v>펌프카(1대)</v>
          </cell>
          <cell r="P283">
            <v>737</v>
          </cell>
          <cell r="Q283">
            <v>1236</v>
          </cell>
          <cell r="R283">
            <v>195</v>
          </cell>
          <cell r="S283">
            <v>46</v>
          </cell>
          <cell r="T283">
            <v>32</v>
          </cell>
          <cell r="U283">
            <v>171</v>
          </cell>
          <cell r="V283"/>
          <cell r="W283" t="str">
            <v>박순홍</v>
          </cell>
          <cell r="X283" t="str">
            <v>(인)</v>
          </cell>
          <cell r="Y283" t="str">
            <v>박순홍</v>
          </cell>
          <cell r="Z283" t="str">
            <v>(인)</v>
          </cell>
          <cell r="AA283" t="str">
            <v>최상옥</v>
          </cell>
          <cell r="AB283" t="str">
            <v>(인)</v>
          </cell>
          <cell r="AC283" t="str">
            <v>이홍걸</v>
          </cell>
          <cell r="AD283" t="str">
            <v>(인)</v>
          </cell>
          <cell r="AE283">
            <v>179.5</v>
          </cell>
          <cell r="AF283" t="str">
            <v>표준</v>
          </cell>
          <cell r="AG283">
            <v>1</v>
          </cell>
          <cell r="AH283">
            <v>1</v>
          </cell>
          <cell r="AI283">
            <v>2953</v>
          </cell>
          <cell r="AJ283">
            <v>2964</v>
          </cell>
          <cell r="AK283">
            <v>231600</v>
          </cell>
          <cell r="AL283">
            <v>3954</v>
          </cell>
          <cell r="AM283">
            <v>3873</v>
          </cell>
          <cell r="AN283">
            <v>3901</v>
          </cell>
          <cell r="AO283">
            <v>3923</v>
          </cell>
          <cell r="AP283">
            <v>3926</v>
          </cell>
          <cell r="AQ283">
            <v>3877</v>
          </cell>
          <cell r="AR283">
            <v>3964</v>
          </cell>
          <cell r="AS283">
            <v>4031</v>
          </cell>
          <cell r="AT283">
            <v>307000</v>
          </cell>
        </row>
        <row r="284">
          <cell r="G284">
            <v>2405030102</v>
          </cell>
          <cell r="H284" t="str">
            <v>103동</v>
          </cell>
          <cell r="I284">
            <v>240503</v>
          </cell>
          <cell r="J284" t="str">
            <v>103동 2층 바닥</v>
          </cell>
          <cell r="K284">
            <v>310</v>
          </cell>
          <cell r="L284">
            <v>312</v>
          </cell>
          <cell r="M284">
            <v>3018</v>
          </cell>
          <cell r="N284" t="str">
            <v>동양</v>
          </cell>
          <cell r="O284" t="str">
            <v>펌프카(1대)</v>
          </cell>
          <cell r="P284">
            <v>737</v>
          </cell>
          <cell r="Q284">
            <v>1236</v>
          </cell>
          <cell r="R284">
            <v>200</v>
          </cell>
          <cell r="S284">
            <v>49</v>
          </cell>
          <cell r="T284">
            <v>89</v>
          </cell>
          <cell r="U284">
            <v>191</v>
          </cell>
          <cell r="V284"/>
          <cell r="W284" t="str">
            <v>박순홍</v>
          </cell>
          <cell r="X284" t="str">
            <v>(인)</v>
          </cell>
          <cell r="Y284" t="str">
            <v>박순홍</v>
          </cell>
          <cell r="Z284" t="str">
            <v>(인)</v>
          </cell>
          <cell r="AA284" t="str">
            <v>최상옥</v>
          </cell>
          <cell r="AB284" t="str">
            <v>(인)</v>
          </cell>
          <cell r="AC284" t="str">
            <v>이홍걸</v>
          </cell>
          <cell r="AD284" t="str">
            <v>(인)</v>
          </cell>
          <cell r="AE284">
            <v>179.3</v>
          </cell>
          <cell r="AF284" t="str">
            <v>표준</v>
          </cell>
          <cell r="AG284">
            <v>2</v>
          </cell>
          <cell r="AH284">
            <v>0</v>
          </cell>
        </row>
        <row r="285">
          <cell r="G285">
            <v>2405030103</v>
          </cell>
          <cell r="H285" t="str">
            <v>103동</v>
          </cell>
          <cell r="I285">
            <v>240503</v>
          </cell>
          <cell r="J285" t="str">
            <v>103동 2층 바닥</v>
          </cell>
          <cell r="K285">
            <v>310</v>
          </cell>
          <cell r="L285">
            <v>312</v>
          </cell>
          <cell r="M285">
            <v>3018</v>
          </cell>
          <cell r="N285" t="str">
            <v>동양</v>
          </cell>
          <cell r="O285" t="str">
            <v>펌프카(1대)</v>
          </cell>
          <cell r="P285">
            <v>737</v>
          </cell>
          <cell r="Q285">
            <v>1236</v>
          </cell>
          <cell r="R285">
            <v>200</v>
          </cell>
          <cell r="S285">
            <v>38</v>
          </cell>
          <cell r="T285">
            <v>60</v>
          </cell>
          <cell r="U285">
            <v>168</v>
          </cell>
          <cell r="V285"/>
          <cell r="W285" t="str">
            <v>박순홍</v>
          </cell>
          <cell r="X285" t="str">
            <v>(인)</v>
          </cell>
          <cell r="Y285" t="str">
            <v>박순홍</v>
          </cell>
          <cell r="Z285" t="str">
            <v>(인)</v>
          </cell>
          <cell r="AA285" t="str">
            <v>최상옥</v>
          </cell>
          <cell r="AB285" t="str">
            <v>(인)</v>
          </cell>
          <cell r="AC285" t="str">
            <v>이홍걸</v>
          </cell>
          <cell r="AD285" t="str">
            <v>(인)</v>
          </cell>
          <cell r="AE285">
            <v>191.9</v>
          </cell>
          <cell r="AF285" t="str">
            <v>표준</v>
          </cell>
          <cell r="AG285">
            <v>3</v>
          </cell>
          <cell r="AH285">
            <v>0</v>
          </cell>
        </row>
        <row r="286">
          <cell r="G286">
            <v>2405030201</v>
          </cell>
          <cell r="H286" t="str">
            <v>109동</v>
          </cell>
          <cell r="I286">
            <v>240503</v>
          </cell>
          <cell r="J286" t="str">
            <v>109동 저수조</v>
          </cell>
          <cell r="K286">
            <v>100</v>
          </cell>
          <cell r="L286">
            <v>102</v>
          </cell>
          <cell r="M286">
            <v>3018</v>
          </cell>
          <cell r="N286" t="str">
            <v>영진</v>
          </cell>
          <cell r="O286" t="str">
            <v>펌프카(1대)</v>
          </cell>
          <cell r="P286">
            <v>738</v>
          </cell>
          <cell r="Q286">
            <v>1657</v>
          </cell>
          <cell r="R286">
            <v>180</v>
          </cell>
          <cell r="S286">
            <v>40</v>
          </cell>
          <cell r="T286">
            <v>57</v>
          </cell>
          <cell r="U286">
            <v>192</v>
          </cell>
          <cell r="V286"/>
          <cell r="W286" t="str">
            <v>박순홍</v>
          </cell>
          <cell r="X286" t="str">
            <v>(인)</v>
          </cell>
          <cell r="Y286" t="str">
            <v>박순홍</v>
          </cell>
          <cell r="Z286" t="str">
            <v>(인)</v>
          </cell>
          <cell r="AA286" t="str">
            <v>정창인</v>
          </cell>
          <cell r="AB286" t="str">
            <v>(인)</v>
          </cell>
          <cell r="AC286" t="str">
            <v>정창인</v>
          </cell>
          <cell r="AD286" t="str">
            <v>(인)</v>
          </cell>
          <cell r="AE286">
            <v>179.2</v>
          </cell>
          <cell r="AF286" t="str">
            <v>표준</v>
          </cell>
          <cell r="AG286">
            <v>1</v>
          </cell>
          <cell r="AH286">
            <v>1</v>
          </cell>
          <cell r="AI286">
            <v>2495</v>
          </cell>
          <cell r="AJ286">
            <v>2475</v>
          </cell>
          <cell r="AK286">
            <v>195400</v>
          </cell>
          <cell r="AL286">
            <v>3516</v>
          </cell>
          <cell r="AM286">
            <v>3567</v>
          </cell>
          <cell r="AN286">
            <v>3542</v>
          </cell>
          <cell r="AO286">
            <v>3606</v>
          </cell>
          <cell r="AP286">
            <v>3529</v>
          </cell>
          <cell r="AQ286">
            <v>3541</v>
          </cell>
          <cell r="AR286">
            <v>3479</v>
          </cell>
          <cell r="AS286">
            <v>3506</v>
          </cell>
          <cell r="AT286">
            <v>278600</v>
          </cell>
        </row>
        <row r="287">
          <cell r="G287">
            <v>2405030301</v>
          </cell>
          <cell r="H287" t="str">
            <v>109, 110동</v>
          </cell>
          <cell r="I287">
            <v>240503</v>
          </cell>
          <cell r="J287" t="str">
            <v>109동~110동 사이 기초</v>
          </cell>
          <cell r="K287">
            <v>750</v>
          </cell>
          <cell r="L287">
            <v>753</v>
          </cell>
          <cell r="M287">
            <v>2415</v>
          </cell>
          <cell r="N287" t="str">
            <v>영진</v>
          </cell>
          <cell r="O287" t="str">
            <v>펌프카(1대)</v>
          </cell>
          <cell r="P287">
            <v>930</v>
          </cell>
          <cell r="Q287">
            <v>1720</v>
          </cell>
          <cell r="R287">
            <v>155</v>
          </cell>
          <cell r="S287">
            <v>40</v>
          </cell>
          <cell r="T287">
            <v>98</v>
          </cell>
          <cell r="U287">
            <v>219</v>
          </cell>
          <cell r="V287"/>
          <cell r="W287" t="str">
            <v>박순홍</v>
          </cell>
          <cell r="X287" t="str">
            <v>(인)</v>
          </cell>
          <cell r="Y287" t="str">
            <v>박순홍</v>
          </cell>
          <cell r="Z287" t="str">
            <v>(인)</v>
          </cell>
          <cell r="AA287" t="str">
            <v>이루비</v>
          </cell>
          <cell r="AB287" t="str">
            <v>(인)</v>
          </cell>
          <cell r="AC287" t="str">
            <v>정창인</v>
          </cell>
          <cell r="AD287" t="str">
            <v>(인)</v>
          </cell>
          <cell r="AE287">
            <v>175.4</v>
          </cell>
          <cell r="AF287" t="str">
            <v>표준</v>
          </cell>
          <cell r="AG287">
            <v>1</v>
          </cell>
          <cell r="AH287">
            <v>1</v>
          </cell>
          <cell r="AI287">
            <v>1970</v>
          </cell>
          <cell r="AJ287">
            <v>1972</v>
          </cell>
          <cell r="AK287">
            <v>157600</v>
          </cell>
          <cell r="AL287">
            <v>2961</v>
          </cell>
          <cell r="AM287">
            <v>3062</v>
          </cell>
          <cell r="AN287">
            <v>2917</v>
          </cell>
          <cell r="AO287">
            <v>2912</v>
          </cell>
          <cell r="AP287">
            <v>2964</v>
          </cell>
          <cell r="AQ287">
            <v>2967</v>
          </cell>
          <cell r="AR287">
            <v>3064</v>
          </cell>
          <cell r="AS287">
            <v>2967</v>
          </cell>
          <cell r="AT287">
            <v>229600</v>
          </cell>
        </row>
        <row r="288">
          <cell r="G288">
            <v>2405030302</v>
          </cell>
          <cell r="H288" t="str">
            <v>109, 110동</v>
          </cell>
          <cell r="I288">
            <v>240503</v>
          </cell>
          <cell r="J288" t="str">
            <v>109동~110동 사이 기초</v>
          </cell>
          <cell r="K288">
            <v>750</v>
          </cell>
          <cell r="L288">
            <v>753</v>
          </cell>
          <cell r="M288">
            <v>2415</v>
          </cell>
          <cell r="N288" t="str">
            <v>영진</v>
          </cell>
          <cell r="O288" t="str">
            <v>펌프카(1대)</v>
          </cell>
          <cell r="P288">
            <v>930</v>
          </cell>
          <cell r="Q288">
            <v>1720</v>
          </cell>
          <cell r="R288">
            <v>160</v>
          </cell>
          <cell r="S288">
            <v>47</v>
          </cell>
          <cell r="T288">
            <v>90</v>
          </cell>
          <cell r="U288">
            <v>226</v>
          </cell>
          <cell r="V288"/>
          <cell r="W288" t="str">
            <v>박순홍</v>
          </cell>
          <cell r="X288" t="str">
            <v>(인)</v>
          </cell>
          <cell r="Y288" t="str">
            <v>박순홍</v>
          </cell>
          <cell r="Z288" t="str">
            <v>(인)</v>
          </cell>
          <cell r="AA288" t="str">
            <v>이루비</v>
          </cell>
          <cell r="AB288" t="str">
            <v>(인)</v>
          </cell>
          <cell r="AC288" t="str">
            <v>정창인</v>
          </cell>
          <cell r="AD288" t="str">
            <v>(인)</v>
          </cell>
          <cell r="AE288">
            <v>178.7</v>
          </cell>
          <cell r="AF288" t="str">
            <v>표준</v>
          </cell>
          <cell r="AG288">
            <v>2</v>
          </cell>
          <cell r="AH288">
            <v>0</v>
          </cell>
        </row>
        <row r="289">
          <cell r="G289">
            <v>2405030303</v>
          </cell>
          <cell r="H289" t="str">
            <v>109, 110동</v>
          </cell>
          <cell r="I289">
            <v>240503</v>
          </cell>
          <cell r="J289" t="str">
            <v>109동~110동 사이 기초</v>
          </cell>
          <cell r="K289">
            <v>750</v>
          </cell>
          <cell r="L289">
            <v>753</v>
          </cell>
          <cell r="M289">
            <v>2415</v>
          </cell>
          <cell r="N289" t="str">
            <v>영진</v>
          </cell>
          <cell r="O289" t="str">
            <v>펌프카(1대)</v>
          </cell>
          <cell r="P289">
            <v>930</v>
          </cell>
          <cell r="Q289">
            <v>1720</v>
          </cell>
          <cell r="R289">
            <v>160</v>
          </cell>
          <cell r="S289">
            <v>44</v>
          </cell>
          <cell r="T289">
            <v>45</v>
          </cell>
          <cell r="U289">
            <v>231</v>
          </cell>
          <cell r="V289"/>
          <cell r="W289" t="str">
            <v>박순홍</v>
          </cell>
          <cell r="X289" t="str">
            <v>(인)</v>
          </cell>
          <cell r="Y289" t="str">
            <v>박순홍</v>
          </cell>
          <cell r="Z289" t="str">
            <v>(인)</v>
          </cell>
          <cell r="AA289" t="str">
            <v>이루비</v>
          </cell>
          <cell r="AB289" t="str">
            <v>(인)</v>
          </cell>
          <cell r="AC289" t="str">
            <v>정창인</v>
          </cell>
          <cell r="AD289" t="str">
            <v>(인)</v>
          </cell>
          <cell r="AE289">
            <v>176.4</v>
          </cell>
          <cell r="AF289" t="str">
            <v>표준</v>
          </cell>
          <cell r="AG289">
            <v>3</v>
          </cell>
          <cell r="AH289">
            <v>0</v>
          </cell>
        </row>
        <row r="290">
          <cell r="G290">
            <v>2405030304</v>
          </cell>
          <cell r="H290" t="str">
            <v>109, 110동</v>
          </cell>
          <cell r="I290">
            <v>240503</v>
          </cell>
          <cell r="J290" t="str">
            <v>109동~110동 사이 기초</v>
          </cell>
          <cell r="K290">
            <v>750</v>
          </cell>
          <cell r="L290">
            <v>753</v>
          </cell>
          <cell r="M290">
            <v>2415</v>
          </cell>
          <cell r="N290" t="str">
            <v>영진</v>
          </cell>
          <cell r="O290" t="str">
            <v>펌프카(1대)</v>
          </cell>
          <cell r="P290">
            <v>930</v>
          </cell>
          <cell r="Q290">
            <v>1720</v>
          </cell>
          <cell r="R290">
            <v>150</v>
          </cell>
          <cell r="S290">
            <v>38</v>
          </cell>
          <cell r="T290">
            <v>19</v>
          </cell>
          <cell r="U290">
            <v>210</v>
          </cell>
          <cell r="V290"/>
          <cell r="W290" t="str">
            <v>박순홍</v>
          </cell>
          <cell r="X290" t="str">
            <v>(인)</v>
          </cell>
          <cell r="Y290" t="str">
            <v>박순홍</v>
          </cell>
          <cell r="Z290" t="str">
            <v>(인)</v>
          </cell>
          <cell r="AA290" t="str">
            <v>이루비</v>
          </cell>
          <cell r="AB290" t="str">
            <v>(인)</v>
          </cell>
          <cell r="AC290" t="str">
            <v>정창인</v>
          </cell>
          <cell r="AD290" t="str">
            <v>(인)</v>
          </cell>
          <cell r="AE290">
            <v>178.6</v>
          </cell>
          <cell r="AF290" t="str">
            <v>표준</v>
          </cell>
          <cell r="AG290">
            <v>4</v>
          </cell>
          <cell r="AH290">
            <v>1</v>
          </cell>
          <cell r="AL290">
            <v>2989</v>
          </cell>
          <cell r="AM290">
            <v>3012</v>
          </cell>
          <cell r="AN290">
            <v>2962</v>
          </cell>
          <cell r="AO290">
            <v>2879</v>
          </cell>
          <cell r="AP290">
            <v>2962</v>
          </cell>
          <cell r="AQ290">
            <v>3031</v>
          </cell>
          <cell r="AR290">
            <v>2964</v>
          </cell>
          <cell r="AS290">
            <v>3010</v>
          </cell>
          <cell r="AT290">
            <v>232400</v>
          </cell>
        </row>
        <row r="291">
          <cell r="G291">
            <v>2405030305</v>
          </cell>
          <cell r="H291" t="str">
            <v>109, 110동</v>
          </cell>
          <cell r="I291">
            <v>240503</v>
          </cell>
          <cell r="J291" t="str">
            <v>109동~110동 사이 기초</v>
          </cell>
          <cell r="K291">
            <v>750</v>
          </cell>
          <cell r="L291">
            <v>753</v>
          </cell>
          <cell r="M291">
            <v>2415</v>
          </cell>
          <cell r="N291" t="str">
            <v>영진</v>
          </cell>
          <cell r="O291" t="str">
            <v>펌프카(1대)</v>
          </cell>
          <cell r="P291">
            <v>930</v>
          </cell>
          <cell r="Q291">
            <v>1720</v>
          </cell>
          <cell r="R291">
            <v>150</v>
          </cell>
          <cell r="S291">
            <v>44</v>
          </cell>
          <cell r="T291">
            <v>57</v>
          </cell>
          <cell r="U291">
            <v>265</v>
          </cell>
          <cell r="V291"/>
          <cell r="W291" t="str">
            <v>박순홍</v>
          </cell>
          <cell r="X291" t="str">
            <v>(인)</v>
          </cell>
          <cell r="Y291" t="str">
            <v>박순홍</v>
          </cell>
          <cell r="Z291" t="str">
            <v>(인)</v>
          </cell>
          <cell r="AA291" t="str">
            <v>이루비</v>
          </cell>
          <cell r="AB291" t="str">
            <v>(인)</v>
          </cell>
          <cell r="AC291" t="str">
            <v>정창인</v>
          </cell>
          <cell r="AD291" t="str">
            <v>(인)</v>
          </cell>
          <cell r="AE291">
            <v>174.2</v>
          </cell>
          <cell r="AF291" t="str">
            <v>표준</v>
          </cell>
          <cell r="AG291">
            <v>5</v>
          </cell>
          <cell r="AH291">
            <v>0</v>
          </cell>
        </row>
        <row r="292">
          <cell r="G292">
            <v>2405030306</v>
          </cell>
          <cell r="H292" t="str">
            <v>109, 110동</v>
          </cell>
          <cell r="I292">
            <v>240503</v>
          </cell>
          <cell r="J292" t="str">
            <v>109동~110동 사이 기초</v>
          </cell>
          <cell r="K292">
            <v>750</v>
          </cell>
          <cell r="L292">
            <v>753</v>
          </cell>
          <cell r="M292">
            <v>2415</v>
          </cell>
          <cell r="N292" t="str">
            <v>영진</v>
          </cell>
          <cell r="O292" t="str">
            <v>펌프카(1대)</v>
          </cell>
          <cell r="P292">
            <v>930</v>
          </cell>
          <cell r="Q292">
            <v>1720</v>
          </cell>
          <cell r="R292">
            <v>155</v>
          </cell>
          <cell r="S292">
            <v>49</v>
          </cell>
          <cell r="T292">
            <v>34</v>
          </cell>
          <cell r="U292">
            <v>257</v>
          </cell>
          <cell r="V292"/>
          <cell r="W292" t="str">
            <v>박순홍</v>
          </cell>
          <cell r="X292" t="str">
            <v>(인)</v>
          </cell>
          <cell r="Y292" t="str">
            <v>박순홍</v>
          </cell>
          <cell r="Z292" t="str">
            <v>(인)</v>
          </cell>
          <cell r="AA292" t="str">
            <v>이루비</v>
          </cell>
          <cell r="AB292" t="str">
            <v>(인)</v>
          </cell>
          <cell r="AC292" t="str">
            <v>정창인</v>
          </cell>
          <cell r="AD292" t="str">
            <v>(인)</v>
          </cell>
          <cell r="AE292">
            <v>179.2</v>
          </cell>
          <cell r="AF292" t="str">
            <v>표준</v>
          </cell>
          <cell r="AG292">
            <v>6</v>
          </cell>
          <cell r="AH292">
            <v>0</v>
          </cell>
        </row>
        <row r="293">
          <cell r="G293">
            <v>2405030307</v>
          </cell>
          <cell r="H293" t="str">
            <v>109, 110동</v>
          </cell>
          <cell r="I293">
            <v>240503</v>
          </cell>
          <cell r="J293" t="str">
            <v>109동~110동 사이 기초</v>
          </cell>
          <cell r="K293">
            <v>750</v>
          </cell>
          <cell r="L293">
            <v>753</v>
          </cell>
          <cell r="M293">
            <v>2415</v>
          </cell>
          <cell r="N293" t="str">
            <v>영진</v>
          </cell>
          <cell r="O293" t="str">
            <v>펌프카(1대)</v>
          </cell>
          <cell r="P293">
            <v>930</v>
          </cell>
          <cell r="Q293">
            <v>1720</v>
          </cell>
          <cell r="R293">
            <v>160</v>
          </cell>
          <cell r="S293">
            <v>52</v>
          </cell>
          <cell r="T293">
            <v>38</v>
          </cell>
          <cell r="U293">
            <v>260</v>
          </cell>
          <cell r="V293"/>
          <cell r="W293" t="str">
            <v>박순홍</v>
          </cell>
          <cell r="X293" t="str">
            <v>(인)</v>
          </cell>
          <cell r="Y293" t="str">
            <v>박순홍</v>
          </cell>
          <cell r="Z293" t="str">
            <v>(인)</v>
          </cell>
          <cell r="AA293" t="str">
            <v>이루비</v>
          </cell>
          <cell r="AB293" t="str">
            <v>(인)</v>
          </cell>
          <cell r="AC293" t="str">
            <v>정창인</v>
          </cell>
          <cell r="AD293" t="str">
            <v>(인)</v>
          </cell>
          <cell r="AE293">
            <v>177.2</v>
          </cell>
          <cell r="AF293" t="str">
            <v>표준</v>
          </cell>
          <cell r="AG293">
            <v>7</v>
          </cell>
          <cell r="AH293">
            <v>1</v>
          </cell>
          <cell r="AL293">
            <v>2930</v>
          </cell>
          <cell r="AM293">
            <v>2864</v>
          </cell>
          <cell r="AN293">
            <v>2962</v>
          </cell>
          <cell r="AO293">
            <v>2930</v>
          </cell>
          <cell r="AP293">
            <v>3062</v>
          </cell>
          <cell r="AQ293">
            <v>2866</v>
          </cell>
          <cell r="AR293">
            <v>2930</v>
          </cell>
          <cell r="AS293">
            <v>3033</v>
          </cell>
          <cell r="AT293">
            <v>227400</v>
          </cell>
        </row>
        <row r="294">
          <cell r="G294">
            <v>2405030401</v>
          </cell>
          <cell r="H294" t="str">
            <v>105동</v>
          </cell>
          <cell r="I294">
            <v>240503</v>
          </cell>
          <cell r="J294" t="str">
            <v>105동 2차</v>
          </cell>
          <cell r="K294">
            <v>310</v>
          </cell>
          <cell r="L294">
            <v>312</v>
          </cell>
          <cell r="M294">
            <v>3015</v>
          </cell>
          <cell r="N294" t="str">
            <v>용호</v>
          </cell>
          <cell r="O294" t="str">
            <v>펌프카(1대)</v>
          </cell>
          <cell r="P294">
            <v>735</v>
          </cell>
          <cell r="Q294">
            <v>1356</v>
          </cell>
          <cell r="R294">
            <v>170</v>
          </cell>
          <cell r="S294">
            <v>40</v>
          </cell>
          <cell r="T294">
            <v>106</v>
          </cell>
          <cell r="U294">
            <v>193</v>
          </cell>
          <cell r="V294"/>
          <cell r="W294" t="str">
            <v>박순홍</v>
          </cell>
          <cell r="X294" t="str">
            <v>(인)</v>
          </cell>
          <cell r="Y294" t="str">
            <v>박순홍</v>
          </cell>
          <cell r="Z294" t="str">
            <v>(인)</v>
          </cell>
          <cell r="AA294" t="str">
            <v>최상옥</v>
          </cell>
          <cell r="AB294" t="str">
            <v>(인)</v>
          </cell>
          <cell r="AC294" t="str">
            <v>이홍걸</v>
          </cell>
          <cell r="AD294" t="str">
            <v>(인)</v>
          </cell>
          <cell r="AE294">
            <v>170.2</v>
          </cell>
          <cell r="AF294" t="str">
            <v>표준</v>
          </cell>
          <cell r="AG294">
            <v>1</v>
          </cell>
          <cell r="AH294">
            <v>1</v>
          </cell>
          <cell r="AI294">
            <v>2872</v>
          </cell>
          <cell r="AJ294">
            <v>2877</v>
          </cell>
          <cell r="AK294">
            <v>228400</v>
          </cell>
          <cell r="AL294">
            <v>3880</v>
          </cell>
          <cell r="AM294">
            <v>3952</v>
          </cell>
          <cell r="AN294">
            <v>3885</v>
          </cell>
          <cell r="AO294">
            <v>3962</v>
          </cell>
          <cell r="AP294">
            <v>3972</v>
          </cell>
          <cell r="AQ294">
            <v>3864</v>
          </cell>
          <cell r="AR294">
            <v>3929</v>
          </cell>
          <cell r="AS294">
            <v>4013</v>
          </cell>
          <cell r="AT294">
            <v>310200</v>
          </cell>
        </row>
        <row r="295">
          <cell r="G295">
            <v>2405030402</v>
          </cell>
          <cell r="H295" t="str">
            <v>105동</v>
          </cell>
          <cell r="I295">
            <v>240503</v>
          </cell>
          <cell r="J295" t="str">
            <v>105동 2차</v>
          </cell>
          <cell r="K295">
            <v>310</v>
          </cell>
          <cell r="L295">
            <v>312</v>
          </cell>
          <cell r="M295">
            <v>3015</v>
          </cell>
          <cell r="N295" t="str">
            <v>용호</v>
          </cell>
          <cell r="O295" t="str">
            <v>펌프카(1대)</v>
          </cell>
          <cell r="P295">
            <v>735</v>
          </cell>
          <cell r="Q295">
            <v>1356</v>
          </cell>
          <cell r="R295">
            <v>170</v>
          </cell>
          <cell r="S295">
            <v>45</v>
          </cell>
          <cell r="T295">
            <v>54</v>
          </cell>
          <cell r="U295">
            <v>168</v>
          </cell>
          <cell r="V295"/>
          <cell r="W295" t="str">
            <v>박순홍</v>
          </cell>
          <cell r="X295" t="str">
            <v>(인)</v>
          </cell>
          <cell r="Y295" t="str">
            <v>박순홍</v>
          </cell>
          <cell r="Z295" t="str">
            <v>(인)</v>
          </cell>
          <cell r="AA295" t="str">
            <v>최상옥</v>
          </cell>
          <cell r="AB295" t="str">
            <v>(인)</v>
          </cell>
          <cell r="AC295" t="str">
            <v>이홍걸</v>
          </cell>
          <cell r="AD295" t="str">
            <v>(인)</v>
          </cell>
          <cell r="AE295">
            <v>184.4</v>
          </cell>
          <cell r="AF295" t="str">
            <v>표준</v>
          </cell>
          <cell r="AG295">
            <v>2</v>
          </cell>
          <cell r="AH295">
            <v>0</v>
          </cell>
        </row>
        <row r="296">
          <cell r="G296">
            <v>2405030403</v>
          </cell>
          <cell r="H296" t="str">
            <v>105동</v>
          </cell>
          <cell r="I296">
            <v>240503</v>
          </cell>
          <cell r="J296" t="str">
            <v>105동 2차</v>
          </cell>
          <cell r="K296">
            <v>310</v>
          </cell>
          <cell r="L296">
            <v>312</v>
          </cell>
          <cell r="M296">
            <v>3015</v>
          </cell>
          <cell r="N296" t="str">
            <v>용호</v>
          </cell>
          <cell r="O296" t="str">
            <v>펌프카(1대)</v>
          </cell>
          <cell r="P296">
            <v>735</v>
          </cell>
          <cell r="Q296">
            <v>1356</v>
          </cell>
          <cell r="R296">
            <v>175</v>
          </cell>
          <cell r="S296">
            <v>42</v>
          </cell>
          <cell r="T296">
            <v>88</v>
          </cell>
          <cell r="U296">
            <v>178</v>
          </cell>
          <cell r="V296"/>
          <cell r="W296" t="str">
            <v>박순홍</v>
          </cell>
          <cell r="X296" t="str">
            <v>(인)</v>
          </cell>
          <cell r="Y296" t="str">
            <v>박순홍</v>
          </cell>
          <cell r="Z296" t="str">
            <v>(인)</v>
          </cell>
          <cell r="AA296" t="str">
            <v>최상옥</v>
          </cell>
          <cell r="AB296" t="str">
            <v>(인)</v>
          </cell>
          <cell r="AC296" t="str">
            <v>이홍걸</v>
          </cell>
          <cell r="AD296" t="str">
            <v>(인)</v>
          </cell>
          <cell r="AE296">
            <v>183.2</v>
          </cell>
          <cell r="AF296" t="str">
            <v>표준</v>
          </cell>
          <cell r="AG296">
            <v>3</v>
          </cell>
          <cell r="AH296">
            <v>0</v>
          </cell>
        </row>
        <row r="297">
          <cell r="G297">
            <v>2405030501</v>
          </cell>
          <cell r="H297" t="str">
            <v>주차장</v>
          </cell>
          <cell r="I297">
            <v>240503</v>
          </cell>
          <cell r="J297" t="str">
            <v>D구간 버림</v>
          </cell>
          <cell r="K297">
            <v>90</v>
          </cell>
          <cell r="L297">
            <v>90</v>
          </cell>
          <cell r="M297">
            <v>1812</v>
          </cell>
          <cell r="N297" t="str">
            <v>용호</v>
          </cell>
          <cell r="O297" t="str">
            <v>펌프카(1대)</v>
          </cell>
          <cell r="P297">
            <v>1520</v>
          </cell>
          <cell r="Q297">
            <v>1629</v>
          </cell>
          <cell r="R297">
            <v>120</v>
          </cell>
          <cell r="S297">
            <v>39</v>
          </cell>
          <cell r="T297">
            <v>31</v>
          </cell>
          <cell r="U297">
            <v>226</v>
          </cell>
          <cell r="V297"/>
          <cell r="W297" t="str">
            <v>박순홍</v>
          </cell>
          <cell r="X297" t="str">
            <v>(인)</v>
          </cell>
          <cell r="Y297" t="str">
            <v>박순홍</v>
          </cell>
          <cell r="Z297" t="str">
            <v>(인)</v>
          </cell>
          <cell r="AA297" t="str">
            <v>이루비</v>
          </cell>
          <cell r="AB297" t="str">
            <v>(인)</v>
          </cell>
          <cell r="AC297" t="str">
            <v>정창인</v>
          </cell>
          <cell r="AD297" t="str">
            <v>(인)</v>
          </cell>
          <cell r="AE297">
            <v>177.3</v>
          </cell>
          <cell r="AF297" t="str">
            <v>표준</v>
          </cell>
          <cell r="AG297">
            <v>1</v>
          </cell>
          <cell r="AH297">
            <v>1</v>
          </cell>
          <cell r="AI297">
            <v>1695</v>
          </cell>
          <cell r="AJ297">
            <v>1712</v>
          </cell>
          <cell r="AK297">
            <v>133200</v>
          </cell>
          <cell r="AL297">
            <v>2266</v>
          </cell>
          <cell r="AM297">
            <v>2370</v>
          </cell>
          <cell r="AN297">
            <v>2220</v>
          </cell>
          <cell r="AO297">
            <v>2327</v>
          </cell>
          <cell r="AP297">
            <v>2277</v>
          </cell>
          <cell r="AQ297">
            <v>2306</v>
          </cell>
          <cell r="AR297">
            <v>2262</v>
          </cell>
          <cell r="AS297">
            <v>2302</v>
          </cell>
          <cell r="AT297">
            <v>178000</v>
          </cell>
        </row>
        <row r="298">
          <cell r="G298">
            <v>2405030600</v>
          </cell>
          <cell r="H298" t="str">
            <v>주차장</v>
          </cell>
          <cell r="I298">
            <v>240503</v>
          </cell>
          <cell r="J298" t="str">
            <v>15구간 버림</v>
          </cell>
          <cell r="K298">
            <v>18</v>
          </cell>
          <cell r="L298">
            <v>18</v>
          </cell>
          <cell r="M298">
            <v>1812</v>
          </cell>
          <cell r="N298" t="str">
            <v>동양</v>
          </cell>
          <cell r="O298" t="str">
            <v>펌프카(1대)</v>
          </cell>
          <cell r="P298">
            <v>1220</v>
          </cell>
          <cell r="Q298">
            <v>1400</v>
          </cell>
          <cell r="R298">
            <v>140</v>
          </cell>
          <cell r="S298">
            <v>50</v>
          </cell>
          <cell r="T298">
            <v>33</v>
          </cell>
          <cell r="U298">
            <v>258</v>
          </cell>
          <cell r="V298"/>
          <cell r="W298" t="str">
            <v>박순홍</v>
          </cell>
          <cell r="X298" t="str">
            <v>(인)</v>
          </cell>
          <cell r="Y298" t="str">
            <v>박순홍</v>
          </cell>
          <cell r="Z298" t="str">
            <v>(인)</v>
          </cell>
          <cell r="AA298" t="str">
            <v>이루비</v>
          </cell>
          <cell r="AB298" t="str">
            <v>(인)</v>
          </cell>
          <cell r="AC298" t="str">
            <v>정창인</v>
          </cell>
          <cell r="AD298" t="str">
            <v>(인)</v>
          </cell>
          <cell r="AE298">
            <v>176.2</v>
          </cell>
          <cell r="AF298" t="str">
            <v>표준</v>
          </cell>
          <cell r="AG298">
            <v>0</v>
          </cell>
          <cell r="AH298">
            <v>0</v>
          </cell>
        </row>
        <row r="299">
          <cell r="G299">
            <v>2405060101</v>
          </cell>
          <cell r="H299" t="str">
            <v>114동</v>
          </cell>
          <cell r="I299">
            <v>240506</v>
          </cell>
          <cell r="J299" t="str">
            <v>기계실 기초</v>
          </cell>
          <cell r="K299">
            <v>390</v>
          </cell>
          <cell r="L299">
            <v>390</v>
          </cell>
          <cell r="M299">
            <v>2415</v>
          </cell>
          <cell r="N299" t="str">
            <v>영진</v>
          </cell>
          <cell r="O299" t="str">
            <v>펌프카(1대)</v>
          </cell>
          <cell r="P299">
            <v>856</v>
          </cell>
          <cell r="Q299">
            <v>1349</v>
          </cell>
          <cell r="R299">
            <v>170</v>
          </cell>
          <cell r="S299">
            <v>34</v>
          </cell>
          <cell r="T299">
            <v>56</v>
          </cell>
          <cell r="U299">
            <v>218</v>
          </cell>
          <cell r="V299"/>
          <cell r="W299" t="str">
            <v>박순홍</v>
          </cell>
          <cell r="X299" t="str">
            <v>(인)</v>
          </cell>
          <cell r="Y299" t="str">
            <v>박순홍</v>
          </cell>
          <cell r="Z299" t="str">
            <v>(인)</v>
          </cell>
          <cell r="AA299" t="str">
            <v>최인철</v>
          </cell>
          <cell r="AB299" t="str">
            <v>(인)</v>
          </cell>
          <cell r="AC299" t="str">
            <v>장덕만</v>
          </cell>
          <cell r="AD299" t="str">
            <v>(인)</v>
          </cell>
          <cell r="AE299">
            <v>176.1</v>
          </cell>
          <cell r="AF299" t="str">
            <v>표준</v>
          </cell>
          <cell r="AG299">
            <v>1</v>
          </cell>
          <cell r="AH299">
            <v>1</v>
          </cell>
          <cell r="AI299">
            <v>2024</v>
          </cell>
          <cell r="AJ299">
            <v>2006</v>
          </cell>
          <cell r="AK299">
            <v>153400</v>
          </cell>
          <cell r="AL299">
            <v>2980</v>
          </cell>
          <cell r="AM299">
            <v>2958</v>
          </cell>
          <cell r="AN299">
            <v>2930</v>
          </cell>
          <cell r="AO299">
            <v>2976</v>
          </cell>
          <cell r="AP299">
            <v>3009</v>
          </cell>
          <cell r="AQ299">
            <v>3016</v>
          </cell>
          <cell r="AR299">
            <v>2926</v>
          </cell>
          <cell r="AS299">
            <v>2977</v>
          </cell>
          <cell r="AT299">
            <v>236800</v>
          </cell>
        </row>
        <row r="300">
          <cell r="G300">
            <v>2405060102</v>
          </cell>
          <cell r="H300" t="str">
            <v>114동</v>
          </cell>
          <cell r="I300">
            <v>240506</v>
          </cell>
          <cell r="J300" t="str">
            <v>기계실 기초</v>
          </cell>
          <cell r="K300">
            <v>390</v>
          </cell>
          <cell r="L300">
            <v>390</v>
          </cell>
          <cell r="M300">
            <v>2415</v>
          </cell>
          <cell r="N300" t="str">
            <v>영진</v>
          </cell>
          <cell r="O300" t="str">
            <v>펌프카(1대)</v>
          </cell>
          <cell r="P300">
            <v>856</v>
          </cell>
          <cell r="Q300">
            <v>1349</v>
          </cell>
          <cell r="R300">
            <v>150</v>
          </cell>
          <cell r="S300">
            <v>35</v>
          </cell>
          <cell r="T300">
            <v>58</v>
          </cell>
          <cell r="U300">
            <v>227</v>
          </cell>
          <cell r="V300"/>
          <cell r="W300" t="str">
            <v>박순홍</v>
          </cell>
          <cell r="X300" t="str">
            <v>(인)</v>
          </cell>
          <cell r="Y300" t="str">
            <v>박순홍</v>
          </cell>
          <cell r="Z300" t="str">
            <v>(인)</v>
          </cell>
          <cell r="AA300" t="str">
            <v>최인철</v>
          </cell>
          <cell r="AB300" t="str">
            <v>(인)</v>
          </cell>
          <cell r="AC300" t="str">
            <v>장덕만</v>
          </cell>
          <cell r="AD300" t="str">
            <v>(인)</v>
          </cell>
          <cell r="AE300">
            <v>175.9</v>
          </cell>
          <cell r="AF300" t="str">
            <v>표준</v>
          </cell>
          <cell r="AG300">
            <v>2</v>
          </cell>
          <cell r="AH300">
            <v>0</v>
          </cell>
        </row>
        <row r="301">
          <cell r="G301">
            <v>2405060103</v>
          </cell>
          <cell r="H301" t="str">
            <v>114동</v>
          </cell>
          <cell r="I301">
            <v>240506</v>
          </cell>
          <cell r="J301" t="str">
            <v>기계실 기초</v>
          </cell>
          <cell r="K301">
            <v>390</v>
          </cell>
          <cell r="L301">
            <v>390</v>
          </cell>
          <cell r="M301">
            <v>2415</v>
          </cell>
          <cell r="N301" t="str">
            <v>영진</v>
          </cell>
          <cell r="O301" t="str">
            <v>펌프카(1대)</v>
          </cell>
          <cell r="P301">
            <v>856</v>
          </cell>
          <cell r="Q301">
            <v>1349</v>
          </cell>
          <cell r="R301">
            <v>155</v>
          </cell>
          <cell r="S301">
            <v>39</v>
          </cell>
          <cell r="T301">
            <v>95</v>
          </cell>
          <cell r="U301">
            <v>249</v>
          </cell>
          <cell r="V301"/>
          <cell r="W301" t="str">
            <v>박순홍</v>
          </cell>
          <cell r="X301" t="str">
            <v>(인)</v>
          </cell>
          <cell r="Y301" t="str">
            <v>박순홍</v>
          </cell>
          <cell r="Z301" t="str">
            <v>(인)</v>
          </cell>
          <cell r="AA301" t="str">
            <v>최인철</v>
          </cell>
          <cell r="AB301" t="str">
            <v>(인)</v>
          </cell>
          <cell r="AC301" t="str">
            <v>장덕만</v>
          </cell>
          <cell r="AD301" t="str">
            <v>(인)</v>
          </cell>
          <cell r="AE301">
            <v>176.1</v>
          </cell>
          <cell r="AF301" t="str">
            <v>표준</v>
          </cell>
          <cell r="AG301">
            <v>3</v>
          </cell>
          <cell r="AH301">
            <v>0</v>
          </cell>
        </row>
        <row r="302">
          <cell r="G302">
            <v>2405060104</v>
          </cell>
          <cell r="H302" t="str">
            <v>114동</v>
          </cell>
          <cell r="I302">
            <v>240506</v>
          </cell>
          <cell r="J302" t="str">
            <v>기계실 기초</v>
          </cell>
          <cell r="K302">
            <v>390</v>
          </cell>
          <cell r="L302">
            <v>390</v>
          </cell>
          <cell r="M302">
            <v>2415</v>
          </cell>
          <cell r="N302" t="str">
            <v>영진</v>
          </cell>
          <cell r="O302" t="str">
            <v>펌프카(1대)</v>
          </cell>
          <cell r="P302">
            <v>856</v>
          </cell>
          <cell r="Q302">
            <v>1349</v>
          </cell>
          <cell r="R302">
            <v>150</v>
          </cell>
          <cell r="S302">
            <v>40</v>
          </cell>
          <cell r="T302">
            <v>30</v>
          </cell>
          <cell r="U302">
            <v>242</v>
          </cell>
          <cell r="V302"/>
          <cell r="W302" t="str">
            <v>박순홍</v>
          </cell>
          <cell r="X302" t="str">
            <v>(인)</v>
          </cell>
          <cell r="Y302" t="str">
            <v>박순홍</v>
          </cell>
          <cell r="Z302" t="str">
            <v>(인)</v>
          </cell>
          <cell r="AA302" t="str">
            <v>최인철</v>
          </cell>
          <cell r="AB302" t="str">
            <v>(인)</v>
          </cell>
          <cell r="AC302" t="str">
            <v>장덕만</v>
          </cell>
          <cell r="AD302" t="str">
            <v>(인)</v>
          </cell>
          <cell r="AE302">
            <v>166</v>
          </cell>
          <cell r="AF302" t="str">
            <v>표준</v>
          </cell>
          <cell r="AG302">
            <v>4</v>
          </cell>
          <cell r="AH302">
            <v>1</v>
          </cell>
          <cell r="AL302">
            <v>3068</v>
          </cell>
          <cell r="AM302">
            <v>2961</v>
          </cell>
          <cell r="AN302">
            <v>3071</v>
          </cell>
          <cell r="AO302">
            <v>3077</v>
          </cell>
          <cell r="AP302">
            <v>3129</v>
          </cell>
          <cell r="AQ302">
            <v>3064</v>
          </cell>
          <cell r="AR302">
            <v>3062</v>
          </cell>
          <cell r="AS302">
            <v>3133</v>
          </cell>
          <cell r="AT302">
            <v>234200</v>
          </cell>
        </row>
        <row r="303">
          <cell r="G303">
            <v>2405060201</v>
          </cell>
          <cell r="H303" t="str">
            <v>114동</v>
          </cell>
          <cell r="I303">
            <v>240506</v>
          </cell>
          <cell r="J303" t="str">
            <v>기계실 기초</v>
          </cell>
          <cell r="K303">
            <v>610</v>
          </cell>
          <cell r="L303">
            <v>612</v>
          </cell>
          <cell r="M303">
            <v>2415</v>
          </cell>
          <cell r="N303" t="str">
            <v>대원</v>
          </cell>
          <cell r="O303" t="str">
            <v>펌프카(1대)</v>
          </cell>
          <cell r="P303">
            <v>847</v>
          </cell>
          <cell r="Q303">
            <v>1603</v>
          </cell>
          <cell r="R303">
            <v>165</v>
          </cell>
          <cell r="S303">
            <v>37</v>
          </cell>
          <cell r="T303">
            <v>42</v>
          </cell>
          <cell r="U303">
            <v>220</v>
          </cell>
          <cell r="V303"/>
          <cell r="W303" t="str">
            <v>박순홍</v>
          </cell>
          <cell r="X303" t="str">
            <v>(인)</v>
          </cell>
          <cell r="Y303" t="str">
            <v>박순홍</v>
          </cell>
          <cell r="Z303" t="str">
            <v>(인)</v>
          </cell>
          <cell r="AA303" t="str">
            <v>최인철</v>
          </cell>
          <cell r="AB303" t="str">
            <v>(인)</v>
          </cell>
          <cell r="AC303" t="str">
            <v>장덕만</v>
          </cell>
          <cell r="AD303" t="str">
            <v>(인)</v>
          </cell>
          <cell r="AE303">
            <v>174.2</v>
          </cell>
          <cell r="AF303" t="str">
            <v>표준</v>
          </cell>
          <cell r="AG303">
            <v>1</v>
          </cell>
          <cell r="AH303">
            <v>1</v>
          </cell>
          <cell r="AI303">
            <v>2312</v>
          </cell>
          <cell r="AJ303">
            <v>2327</v>
          </cell>
          <cell r="AK303">
            <v>182800</v>
          </cell>
          <cell r="AL303">
            <v>3363</v>
          </cell>
          <cell r="AM303">
            <v>3403</v>
          </cell>
          <cell r="AN303">
            <v>3346</v>
          </cell>
          <cell r="AO303">
            <v>3396</v>
          </cell>
          <cell r="AP303">
            <v>3426</v>
          </cell>
          <cell r="AQ303">
            <v>3477</v>
          </cell>
          <cell r="AR303">
            <v>3421</v>
          </cell>
          <cell r="AS303">
            <v>3394</v>
          </cell>
          <cell r="AT303">
            <v>272800</v>
          </cell>
        </row>
        <row r="304">
          <cell r="G304">
            <v>2405060202</v>
          </cell>
          <cell r="H304" t="str">
            <v>114동</v>
          </cell>
          <cell r="I304">
            <v>240506</v>
          </cell>
          <cell r="J304" t="str">
            <v>기계실 기초</v>
          </cell>
          <cell r="K304">
            <v>610</v>
          </cell>
          <cell r="L304">
            <v>612</v>
          </cell>
          <cell r="M304">
            <v>2415</v>
          </cell>
          <cell r="N304" t="str">
            <v>대원</v>
          </cell>
          <cell r="O304" t="str">
            <v>펌프카(1대)</v>
          </cell>
          <cell r="P304">
            <v>847</v>
          </cell>
          <cell r="Q304">
            <v>1603</v>
          </cell>
          <cell r="R304">
            <v>150</v>
          </cell>
          <cell r="S304">
            <v>41</v>
          </cell>
          <cell r="T304">
            <v>32</v>
          </cell>
          <cell r="U304">
            <v>224</v>
          </cell>
          <cell r="V304"/>
          <cell r="W304" t="str">
            <v>박순홍</v>
          </cell>
          <cell r="X304" t="str">
            <v>(인)</v>
          </cell>
          <cell r="Y304" t="str">
            <v>박순홍</v>
          </cell>
          <cell r="Z304" t="str">
            <v>(인)</v>
          </cell>
          <cell r="AA304" t="str">
            <v>최인철</v>
          </cell>
          <cell r="AB304" t="str">
            <v>(인)</v>
          </cell>
          <cell r="AC304" t="str">
            <v>장덕만</v>
          </cell>
          <cell r="AD304" t="str">
            <v>(인)</v>
          </cell>
          <cell r="AE304">
            <v>177.2</v>
          </cell>
          <cell r="AF304" t="str">
            <v>표준</v>
          </cell>
          <cell r="AG304">
            <v>2</v>
          </cell>
          <cell r="AH304">
            <v>0</v>
          </cell>
        </row>
        <row r="305">
          <cell r="G305">
            <v>2405060203</v>
          </cell>
          <cell r="H305" t="str">
            <v>114동</v>
          </cell>
          <cell r="I305">
            <v>240506</v>
          </cell>
          <cell r="J305" t="str">
            <v>기계실 기초</v>
          </cell>
          <cell r="K305">
            <v>610</v>
          </cell>
          <cell r="L305">
            <v>612</v>
          </cell>
          <cell r="M305">
            <v>2415</v>
          </cell>
          <cell r="N305" t="str">
            <v>대원</v>
          </cell>
          <cell r="O305" t="str">
            <v>펌프카(1대)</v>
          </cell>
          <cell r="P305">
            <v>847</v>
          </cell>
          <cell r="Q305">
            <v>1603</v>
          </cell>
          <cell r="R305">
            <v>145</v>
          </cell>
          <cell r="S305">
            <v>37</v>
          </cell>
          <cell r="T305">
            <v>51</v>
          </cell>
          <cell r="U305">
            <v>247</v>
          </cell>
          <cell r="V305"/>
          <cell r="W305" t="str">
            <v>박순홍</v>
          </cell>
          <cell r="X305" t="str">
            <v>(인)</v>
          </cell>
          <cell r="Y305" t="str">
            <v>박순홍</v>
          </cell>
          <cell r="Z305" t="str">
            <v>(인)</v>
          </cell>
          <cell r="AA305" t="str">
            <v>최인철</v>
          </cell>
          <cell r="AB305" t="str">
            <v>(인)</v>
          </cell>
          <cell r="AC305" t="str">
            <v>장덕만</v>
          </cell>
          <cell r="AD305" t="str">
            <v>(인)</v>
          </cell>
          <cell r="AE305">
            <v>166</v>
          </cell>
          <cell r="AF305" t="str">
            <v>표준</v>
          </cell>
          <cell r="AG305">
            <v>3</v>
          </cell>
          <cell r="AH305">
            <v>0</v>
          </cell>
        </row>
        <row r="306">
          <cell r="G306">
            <v>2405060204</v>
          </cell>
          <cell r="H306" t="str">
            <v>114동</v>
          </cell>
          <cell r="I306">
            <v>240506</v>
          </cell>
          <cell r="J306" t="str">
            <v>기계실 기초</v>
          </cell>
          <cell r="K306">
            <v>610</v>
          </cell>
          <cell r="L306">
            <v>612</v>
          </cell>
          <cell r="M306">
            <v>2415</v>
          </cell>
          <cell r="N306" t="str">
            <v>대원</v>
          </cell>
          <cell r="O306" t="str">
            <v>펌프카(1대)</v>
          </cell>
          <cell r="P306">
            <v>847</v>
          </cell>
          <cell r="Q306">
            <v>1603</v>
          </cell>
          <cell r="R306">
            <v>150</v>
          </cell>
          <cell r="S306">
            <v>36</v>
          </cell>
          <cell r="T306">
            <v>33</v>
          </cell>
          <cell r="U306">
            <v>278</v>
          </cell>
          <cell r="V306"/>
          <cell r="W306" t="str">
            <v>박순홍</v>
          </cell>
          <cell r="X306" t="str">
            <v>(인)</v>
          </cell>
          <cell r="Y306" t="str">
            <v>박순홍</v>
          </cell>
          <cell r="Z306" t="str">
            <v>(인)</v>
          </cell>
          <cell r="AA306" t="str">
            <v>최인철</v>
          </cell>
          <cell r="AB306" t="str">
            <v>(인)</v>
          </cell>
          <cell r="AC306" t="str">
            <v>장덕만</v>
          </cell>
          <cell r="AD306" t="str">
            <v>(인)</v>
          </cell>
          <cell r="AE306">
            <v>166.5</v>
          </cell>
          <cell r="AF306" t="str">
            <v>표준</v>
          </cell>
          <cell r="AG306">
            <v>4</v>
          </cell>
          <cell r="AH306">
            <v>1</v>
          </cell>
          <cell r="AL306">
            <v>3389</v>
          </cell>
          <cell r="AM306">
            <v>3343</v>
          </cell>
          <cell r="AN306">
            <v>3475</v>
          </cell>
          <cell r="AO306">
            <v>3319</v>
          </cell>
          <cell r="AP306">
            <v>3417</v>
          </cell>
          <cell r="AQ306">
            <v>3294</v>
          </cell>
          <cell r="AR306">
            <v>3469</v>
          </cell>
          <cell r="AS306">
            <v>3431</v>
          </cell>
          <cell r="AT306">
            <v>267200</v>
          </cell>
        </row>
        <row r="307">
          <cell r="G307">
            <v>2405060205</v>
          </cell>
          <cell r="H307" t="str">
            <v>114동</v>
          </cell>
          <cell r="I307">
            <v>240506</v>
          </cell>
          <cell r="J307" t="str">
            <v>기계실 기초</v>
          </cell>
          <cell r="K307">
            <v>610</v>
          </cell>
          <cell r="L307">
            <v>612</v>
          </cell>
          <cell r="M307">
            <v>2415</v>
          </cell>
          <cell r="N307" t="str">
            <v>대원</v>
          </cell>
          <cell r="O307" t="str">
            <v>펌프카(1대)</v>
          </cell>
          <cell r="P307">
            <v>847</v>
          </cell>
          <cell r="Q307">
            <v>1603</v>
          </cell>
          <cell r="R307">
            <v>150</v>
          </cell>
          <cell r="S307">
            <v>46</v>
          </cell>
          <cell r="T307">
            <v>78</v>
          </cell>
          <cell r="U307">
            <v>254</v>
          </cell>
          <cell r="V307"/>
          <cell r="W307" t="str">
            <v>박순홍</v>
          </cell>
          <cell r="X307" t="str">
            <v>(인)</v>
          </cell>
          <cell r="Y307" t="str">
            <v>박순홍</v>
          </cell>
          <cell r="Z307" t="str">
            <v>(인)</v>
          </cell>
          <cell r="AA307" t="str">
            <v>최인철</v>
          </cell>
          <cell r="AB307" t="str">
            <v>(인)</v>
          </cell>
          <cell r="AC307" t="str">
            <v>장덕만</v>
          </cell>
          <cell r="AD307" t="str">
            <v>(인)</v>
          </cell>
          <cell r="AE307">
            <v>160.4</v>
          </cell>
          <cell r="AF307" t="str">
            <v>표준</v>
          </cell>
          <cell r="AG307">
            <v>5</v>
          </cell>
          <cell r="AH307">
            <v>0</v>
          </cell>
        </row>
        <row r="308">
          <cell r="G308">
            <v>2405060206</v>
          </cell>
          <cell r="H308" t="str">
            <v>114동</v>
          </cell>
          <cell r="I308">
            <v>240506</v>
          </cell>
          <cell r="J308" t="str">
            <v>기계실 기초</v>
          </cell>
          <cell r="K308">
            <v>610</v>
          </cell>
          <cell r="L308">
            <v>612</v>
          </cell>
          <cell r="M308">
            <v>2415</v>
          </cell>
          <cell r="N308" t="str">
            <v>대원</v>
          </cell>
          <cell r="O308" t="str">
            <v>펌프카(1대)</v>
          </cell>
          <cell r="P308">
            <v>847</v>
          </cell>
          <cell r="Q308">
            <v>1603</v>
          </cell>
          <cell r="R308">
            <v>165</v>
          </cell>
          <cell r="S308">
            <v>41</v>
          </cell>
          <cell r="T308">
            <v>58</v>
          </cell>
          <cell r="U308">
            <v>250</v>
          </cell>
          <cell r="V308"/>
          <cell r="W308" t="str">
            <v>박순홍</v>
          </cell>
          <cell r="X308" t="str">
            <v>(인)</v>
          </cell>
          <cell r="Y308" t="str">
            <v>박순홍</v>
          </cell>
          <cell r="Z308" t="str">
            <v>(인)</v>
          </cell>
          <cell r="AA308" t="str">
            <v>최인철</v>
          </cell>
          <cell r="AB308" t="str">
            <v>(인)</v>
          </cell>
          <cell r="AC308" t="str">
            <v>장덕만</v>
          </cell>
          <cell r="AD308" t="str">
            <v>(인)</v>
          </cell>
          <cell r="AE308">
            <v>177.2</v>
          </cell>
          <cell r="AF308" t="str">
            <v>표준</v>
          </cell>
          <cell r="AG308">
            <v>6</v>
          </cell>
          <cell r="AH308">
            <v>0</v>
          </cell>
        </row>
        <row r="309">
          <cell r="G309">
            <v>2405060301</v>
          </cell>
          <cell r="H309" t="str">
            <v>113동</v>
          </cell>
          <cell r="I309">
            <v>240506</v>
          </cell>
          <cell r="J309" t="str">
            <v>113동 주변 버림</v>
          </cell>
          <cell r="K309">
            <v>40</v>
          </cell>
          <cell r="L309">
            <v>42</v>
          </cell>
          <cell r="M309">
            <v>1812</v>
          </cell>
          <cell r="N309" t="str">
            <v>영진</v>
          </cell>
          <cell r="O309" t="str">
            <v>펌프카(1대)</v>
          </cell>
          <cell r="P309">
            <v>1523</v>
          </cell>
          <cell r="Q309">
            <v>1600</v>
          </cell>
          <cell r="R309">
            <v>130</v>
          </cell>
          <cell r="S309">
            <v>42</v>
          </cell>
          <cell r="T309">
            <v>45</v>
          </cell>
          <cell r="U309">
            <v>238</v>
          </cell>
          <cell r="V309"/>
          <cell r="W309" t="str">
            <v>박순홍</v>
          </cell>
          <cell r="X309" t="str">
            <v>(인)</v>
          </cell>
          <cell r="Y309" t="str">
            <v>박순홍</v>
          </cell>
          <cell r="Z309" t="str">
            <v>(인)</v>
          </cell>
          <cell r="AA309" t="str">
            <v>최인철</v>
          </cell>
          <cell r="AB309" t="str">
            <v>(인)</v>
          </cell>
          <cell r="AC309" t="str">
            <v>장덕만</v>
          </cell>
          <cell r="AD309" t="str">
            <v>(인)</v>
          </cell>
          <cell r="AE309">
            <v>171.5</v>
          </cell>
          <cell r="AF309" t="str">
            <v>표준</v>
          </cell>
          <cell r="AG309">
            <v>1</v>
          </cell>
          <cell r="AH309">
            <v>1</v>
          </cell>
          <cell r="AI309">
            <v>1535</v>
          </cell>
          <cell r="AJ309">
            <v>1622</v>
          </cell>
          <cell r="AK309">
            <v>116400</v>
          </cell>
          <cell r="AL309">
            <v>2337</v>
          </cell>
          <cell r="AM309">
            <v>2312</v>
          </cell>
          <cell r="AN309">
            <v>2240</v>
          </cell>
          <cell r="AO309">
            <v>2296</v>
          </cell>
          <cell r="AP309">
            <v>2178</v>
          </cell>
          <cell r="AQ309">
            <v>2306</v>
          </cell>
          <cell r="AR309">
            <v>2304</v>
          </cell>
          <cell r="AS309">
            <v>2219</v>
          </cell>
          <cell r="AT309">
            <v>181600</v>
          </cell>
        </row>
        <row r="310">
          <cell r="G310">
            <v>2405070101</v>
          </cell>
          <cell r="H310" t="str">
            <v>101동</v>
          </cell>
          <cell r="I310">
            <v>240507</v>
          </cell>
          <cell r="J310" t="str">
            <v>101동 주변주차장 기초</v>
          </cell>
          <cell r="K310">
            <v>710</v>
          </cell>
          <cell r="L310">
            <v>714</v>
          </cell>
          <cell r="M310">
            <v>2415</v>
          </cell>
          <cell r="N310" t="str">
            <v>쌍용</v>
          </cell>
          <cell r="O310" t="str">
            <v>펌프카(1대)</v>
          </cell>
          <cell r="P310">
            <v>738</v>
          </cell>
          <cell r="Q310">
            <v>1723</v>
          </cell>
          <cell r="R310">
            <v>140</v>
          </cell>
          <cell r="S310">
            <v>39</v>
          </cell>
          <cell r="T310">
            <v>27</v>
          </cell>
          <cell r="U310">
            <v>188</v>
          </cell>
          <cell r="V310"/>
          <cell r="W310" t="str">
            <v>박순홍</v>
          </cell>
          <cell r="X310" t="str">
            <v>(인)</v>
          </cell>
          <cell r="Y310" t="str">
            <v>박순홍</v>
          </cell>
          <cell r="Z310" t="str">
            <v>(인)</v>
          </cell>
          <cell r="AA310" t="str">
            <v>최상옥</v>
          </cell>
          <cell r="AB310" t="str">
            <v>(인)</v>
          </cell>
          <cell r="AC310" t="str">
            <v>최상옥</v>
          </cell>
          <cell r="AD310" t="str">
            <v>(인)</v>
          </cell>
          <cell r="AE310">
            <v>173</v>
          </cell>
          <cell r="AF310" t="str">
            <v>표준</v>
          </cell>
          <cell r="AG310">
            <v>1</v>
          </cell>
          <cell r="AH310">
            <v>1</v>
          </cell>
          <cell r="AI310">
            <v>2009</v>
          </cell>
          <cell r="AJ310">
            <v>2012</v>
          </cell>
          <cell r="AK310">
            <v>153800</v>
          </cell>
          <cell r="AL310">
            <v>3153</v>
          </cell>
          <cell r="AM310">
            <v>3166</v>
          </cell>
          <cell r="AN310">
            <v>3066</v>
          </cell>
          <cell r="AO310">
            <v>3111</v>
          </cell>
          <cell r="AP310">
            <v>3142</v>
          </cell>
          <cell r="AQ310">
            <v>3066</v>
          </cell>
          <cell r="AR310">
            <v>3123</v>
          </cell>
          <cell r="AS310">
            <v>3082</v>
          </cell>
          <cell r="AT310">
            <v>244800</v>
          </cell>
        </row>
        <row r="311">
          <cell r="G311">
            <v>2405070102</v>
          </cell>
          <cell r="H311" t="str">
            <v>101동</v>
          </cell>
          <cell r="I311">
            <v>240507</v>
          </cell>
          <cell r="J311" t="str">
            <v>101동 주변주차장 기초</v>
          </cell>
          <cell r="K311">
            <v>710</v>
          </cell>
          <cell r="L311">
            <v>714</v>
          </cell>
          <cell r="M311">
            <v>2415</v>
          </cell>
          <cell r="N311" t="str">
            <v>쌍용</v>
          </cell>
          <cell r="O311" t="str">
            <v>펌프카(1대)</v>
          </cell>
          <cell r="P311">
            <v>738</v>
          </cell>
          <cell r="Q311">
            <v>1723</v>
          </cell>
          <cell r="R311">
            <v>150</v>
          </cell>
          <cell r="S311">
            <v>43</v>
          </cell>
          <cell r="T311">
            <v>37</v>
          </cell>
          <cell r="U311">
            <v>225</v>
          </cell>
          <cell r="V311"/>
          <cell r="W311" t="str">
            <v>박순홍</v>
          </cell>
          <cell r="X311" t="str">
            <v>(인)</v>
          </cell>
          <cell r="Y311" t="str">
            <v>박순홍</v>
          </cell>
          <cell r="Z311" t="str">
            <v>(인)</v>
          </cell>
          <cell r="AA311" t="str">
            <v>최상옥</v>
          </cell>
          <cell r="AB311" t="str">
            <v>(인)</v>
          </cell>
          <cell r="AC311" t="str">
            <v>최상옥</v>
          </cell>
          <cell r="AD311" t="str">
            <v>(인)</v>
          </cell>
          <cell r="AE311">
            <v>173.7</v>
          </cell>
          <cell r="AF311" t="str">
            <v>표준</v>
          </cell>
          <cell r="AG311">
            <v>2</v>
          </cell>
          <cell r="AH311">
            <v>0</v>
          </cell>
        </row>
        <row r="312">
          <cell r="G312">
            <v>2405070103</v>
          </cell>
          <cell r="H312" t="str">
            <v>101동</v>
          </cell>
          <cell r="I312">
            <v>240507</v>
          </cell>
          <cell r="J312" t="str">
            <v>101동 주변주차장 기초</v>
          </cell>
          <cell r="K312">
            <v>710</v>
          </cell>
          <cell r="L312">
            <v>714</v>
          </cell>
          <cell r="M312">
            <v>2415</v>
          </cell>
          <cell r="N312" t="str">
            <v>쌍용</v>
          </cell>
          <cell r="O312" t="str">
            <v>펌프카(1대)</v>
          </cell>
          <cell r="P312">
            <v>738</v>
          </cell>
          <cell r="Q312">
            <v>1723</v>
          </cell>
          <cell r="R312">
            <v>155</v>
          </cell>
          <cell r="S312">
            <v>46</v>
          </cell>
          <cell r="T312">
            <v>23</v>
          </cell>
          <cell r="U312">
            <v>205</v>
          </cell>
          <cell r="V312"/>
          <cell r="W312" t="str">
            <v>박순홍</v>
          </cell>
          <cell r="X312" t="str">
            <v>(인)</v>
          </cell>
          <cell r="Y312" t="str">
            <v>박순홍</v>
          </cell>
          <cell r="Z312" t="str">
            <v>(인)</v>
          </cell>
          <cell r="AA312" t="str">
            <v>최상옥</v>
          </cell>
          <cell r="AB312" t="str">
            <v>(인)</v>
          </cell>
          <cell r="AC312" t="str">
            <v>최상옥</v>
          </cell>
          <cell r="AD312" t="str">
            <v>(인)</v>
          </cell>
          <cell r="AE312">
            <v>181.9</v>
          </cell>
          <cell r="AF312" t="str">
            <v>표준</v>
          </cell>
          <cell r="AG312">
            <v>3</v>
          </cell>
          <cell r="AH312">
            <v>0</v>
          </cell>
        </row>
        <row r="313">
          <cell r="G313">
            <v>2405070104</v>
          </cell>
          <cell r="H313" t="str">
            <v>101동</v>
          </cell>
          <cell r="I313">
            <v>240507</v>
          </cell>
          <cell r="J313" t="str">
            <v>101동 주변주차장 기초</v>
          </cell>
          <cell r="K313">
            <v>710</v>
          </cell>
          <cell r="L313">
            <v>714</v>
          </cell>
          <cell r="M313">
            <v>2415</v>
          </cell>
          <cell r="N313" t="str">
            <v>쌍용</v>
          </cell>
          <cell r="O313" t="str">
            <v>펌프카(1대)</v>
          </cell>
          <cell r="P313">
            <v>738</v>
          </cell>
          <cell r="Q313">
            <v>1723</v>
          </cell>
          <cell r="R313">
            <v>160</v>
          </cell>
          <cell r="S313">
            <v>40</v>
          </cell>
          <cell r="T313">
            <v>14</v>
          </cell>
          <cell r="U313">
            <v>205</v>
          </cell>
          <cell r="V313"/>
          <cell r="W313" t="str">
            <v>박순홍</v>
          </cell>
          <cell r="X313" t="str">
            <v>(인)</v>
          </cell>
          <cell r="Y313" t="str">
            <v>박순홍</v>
          </cell>
          <cell r="Z313" t="str">
            <v>(인)</v>
          </cell>
          <cell r="AA313" t="str">
            <v>이홍걸</v>
          </cell>
          <cell r="AB313" t="str">
            <v>(인)</v>
          </cell>
          <cell r="AC313" t="str">
            <v>최상옥</v>
          </cell>
          <cell r="AD313" t="str">
            <v>(인)</v>
          </cell>
          <cell r="AE313">
            <v>181.8</v>
          </cell>
          <cell r="AF313" t="str">
            <v>표준</v>
          </cell>
          <cell r="AG313">
            <v>4</v>
          </cell>
          <cell r="AH313">
            <v>1</v>
          </cell>
          <cell r="AL313">
            <v>3067</v>
          </cell>
          <cell r="AM313">
            <v>3106</v>
          </cell>
          <cell r="AN313">
            <v>3042</v>
          </cell>
          <cell r="AO313">
            <v>3033</v>
          </cell>
          <cell r="AP313">
            <v>3125</v>
          </cell>
          <cell r="AQ313">
            <v>3063</v>
          </cell>
          <cell r="AR313">
            <v>3118</v>
          </cell>
          <cell r="AS313">
            <v>3046</v>
          </cell>
          <cell r="AT313">
            <v>235200</v>
          </cell>
        </row>
        <row r="314">
          <cell r="G314">
            <v>2405070105</v>
          </cell>
          <cell r="H314" t="str">
            <v>101동</v>
          </cell>
          <cell r="I314">
            <v>240507</v>
          </cell>
          <cell r="J314" t="str">
            <v>101동 주변주차장 기초</v>
          </cell>
          <cell r="K314">
            <v>710</v>
          </cell>
          <cell r="L314">
            <v>714</v>
          </cell>
          <cell r="M314">
            <v>2415</v>
          </cell>
          <cell r="N314" t="str">
            <v>쌍용</v>
          </cell>
          <cell r="O314" t="str">
            <v>펌프카(1대)</v>
          </cell>
          <cell r="P314">
            <v>738</v>
          </cell>
          <cell r="Q314">
            <v>1723</v>
          </cell>
          <cell r="R314">
            <v>160</v>
          </cell>
          <cell r="S314">
            <v>46</v>
          </cell>
          <cell r="T314">
            <v>14</v>
          </cell>
          <cell r="U314">
            <v>198</v>
          </cell>
          <cell r="V314"/>
          <cell r="W314" t="str">
            <v>박순홍</v>
          </cell>
          <cell r="X314" t="str">
            <v>(인)</v>
          </cell>
          <cell r="Y314" t="str">
            <v>박순홍</v>
          </cell>
          <cell r="Z314" t="str">
            <v>(인)</v>
          </cell>
          <cell r="AA314" t="str">
            <v>이홍걸</v>
          </cell>
          <cell r="AB314" t="str">
            <v>(인)</v>
          </cell>
          <cell r="AC314" t="str">
            <v>최상옥</v>
          </cell>
          <cell r="AD314" t="str">
            <v>(인)</v>
          </cell>
          <cell r="AE314">
            <v>173.6</v>
          </cell>
          <cell r="AF314" t="str">
            <v>표준</v>
          </cell>
          <cell r="AG314">
            <v>5</v>
          </cell>
          <cell r="AH314">
            <v>0</v>
          </cell>
        </row>
        <row r="315">
          <cell r="G315">
            <v>2405070106</v>
          </cell>
          <cell r="H315" t="str">
            <v>101동</v>
          </cell>
          <cell r="I315">
            <v>240507</v>
          </cell>
          <cell r="J315" t="str">
            <v>101동 주변주차장 기초</v>
          </cell>
          <cell r="K315">
            <v>710</v>
          </cell>
          <cell r="L315">
            <v>714</v>
          </cell>
          <cell r="M315">
            <v>2415</v>
          </cell>
          <cell r="N315" t="str">
            <v>쌍용</v>
          </cell>
          <cell r="O315" t="str">
            <v>펌프카(1대)</v>
          </cell>
          <cell r="P315">
            <v>738</v>
          </cell>
          <cell r="Q315">
            <v>1723</v>
          </cell>
          <cell r="R315">
            <v>175</v>
          </cell>
          <cell r="S315">
            <v>50</v>
          </cell>
          <cell r="T315">
            <v>15</v>
          </cell>
          <cell r="U315">
            <v>185</v>
          </cell>
          <cell r="V315"/>
          <cell r="W315" t="str">
            <v>박순홍</v>
          </cell>
          <cell r="X315" t="str">
            <v>(인)</v>
          </cell>
          <cell r="Y315" t="str">
            <v>박순홍</v>
          </cell>
          <cell r="Z315" t="str">
            <v>(인)</v>
          </cell>
          <cell r="AA315" t="str">
            <v>이홍걸</v>
          </cell>
          <cell r="AB315" t="str">
            <v>(인)</v>
          </cell>
          <cell r="AC315" t="str">
            <v>최상옥</v>
          </cell>
          <cell r="AD315" t="str">
            <v>(인)</v>
          </cell>
          <cell r="AE315">
            <v>174.7</v>
          </cell>
          <cell r="AF315" t="str">
            <v>표준</v>
          </cell>
          <cell r="AG315">
            <v>6</v>
          </cell>
          <cell r="AH315">
            <v>0</v>
          </cell>
        </row>
        <row r="316">
          <cell r="G316">
            <v>2405080100</v>
          </cell>
          <cell r="H316" t="str">
            <v>101동</v>
          </cell>
          <cell r="I316">
            <v>240508</v>
          </cell>
          <cell r="J316" t="str">
            <v>101동 주변주차장 버림</v>
          </cell>
          <cell r="K316">
            <v>6</v>
          </cell>
          <cell r="L316">
            <v>6</v>
          </cell>
          <cell r="M316">
            <v>1812</v>
          </cell>
          <cell r="N316" t="str">
            <v>용호</v>
          </cell>
          <cell r="O316" t="str">
            <v>직접타설</v>
          </cell>
          <cell r="P316">
            <v>1000</v>
          </cell>
          <cell r="Q316">
            <v>1035</v>
          </cell>
          <cell r="R316">
            <v>145</v>
          </cell>
          <cell r="S316">
            <v>39</v>
          </cell>
          <cell r="T316">
            <v>29</v>
          </cell>
          <cell r="U316">
            <v>219</v>
          </cell>
          <cell r="V316"/>
          <cell r="W316" t="str">
            <v>박순홍</v>
          </cell>
          <cell r="X316" t="str">
            <v>(인)</v>
          </cell>
          <cell r="Y316" t="str">
            <v>박순홍</v>
          </cell>
          <cell r="Z316" t="str">
            <v>(인)</v>
          </cell>
          <cell r="AA316" t="str">
            <v>이홍걸</v>
          </cell>
          <cell r="AB316" t="str">
            <v>(인)</v>
          </cell>
          <cell r="AC316" t="str">
            <v>최상옥</v>
          </cell>
          <cell r="AD316" t="str">
            <v>(인)</v>
          </cell>
          <cell r="AE316">
            <v>175.4</v>
          </cell>
          <cell r="AF316" t="str">
            <v>표준</v>
          </cell>
          <cell r="AG316">
            <v>0</v>
          </cell>
          <cell r="AH316">
            <v>0</v>
          </cell>
        </row>
        <row r="317">
          <cell r="G317">
            <v>2405090101</v>
          </cell>
          <cell r="H317" t="str">
            <v>101동</v>
          </cell>
          <cell r="I317">
            <v>240509</v>
          </cell>
          <cell r="J317" t="str">
            <v>101동 및 주변주차장 합벽</v>
          </cell>
          <cell r="K317">
            <v>40</v>
          </cell>
          <cell r="L317">
            <v>42</v>
          </cell>
          <cell r="M317">
            <v>2715</v>
          </cell>
          <cell r="N317" t="str">
            <v>한라</v>
          </cell>
          <cell r="O317" t="str">
            <v>펌프카(1대)</v>
          </cell>
          <cell r="P317">
            <v>820</v>
          </cell>
          <cell r="Q317">
            <v>1010</v>
          </cell>
          <cell r="R317">
            <v>145</v>
          </cell>
          <cell r="S317">
            <v>36</v>
          </cell>
          <cell r="T317">
            <v>67</v>
          </cell>
          <cell r="U317">
            <v>262</v>
          </cell>
          <cell r="V317"/>
          <cell r="W317" t="str">
            <v>박순홍</v>
          </cell>
          <cell r="X317" t="str">
            <v>(인)</v>
          </cell>
          <cell r="Y317" t="str">
            <v>박순홍</v>
          </cell>
          <cell r="Z317" t="str">
            <v>(인)</v>
          </cell>
          <cell r="AA317" t="str">
            <v>이홍걸</v>
          </cell>
          <cell r="AB317" t="str">
            <v>(인)</v>
          </cell>
          <cell r="AC317" t="str">
            <v>정창인</v>
          </cell>
          <cell r="AD317" t="str">
            <v>(인)</v>
          </cell>
          <cell r="AE317">
            <v>169.3</v>
          </cell>
          <cell r="AF317" t="str">
            <v>표준</v>
          </cell>
          <cell r="AG317">
            <v>1</v>
          </cell>
          <cell r="AH317">
            <v>1</v>
          </cell>
          <cell r="AI317">
            <v>2365</v>
          </cell>
          <cell r="AJ317">
            <v>2394</v>
          </cell>
          <cell r="AK317">
            <v>192600</v>
          </cell>
          <cell r="AL317">
            <v>3371</v>
          </cell>
          <cell r="AM317">
            <v>3147</v>
          </cell>
          <cell r="AN317">
            <v>3263</v>
          </cell>
          <cell r="AO317">
            <v>3369</v>
          </cell>
          <cell r="AP317">
            <v>3227</v>
          </cell>
          <cell r="AQ317">
            <v>3236</v>
          </cell>
          <cell r="AR317">
            <v>3241</v>
          </cell>
          <cell r="AS317">
            <v>3333</v>
          </cell>
          <cell r="AT317">
            <v>254400</v>
          </cell>
        </row>
        <row r="318">
          <cell r="G318">
            <v>2405090201</v>
          </cell>
          <cell r="H318" t="str">
            <v>116동, T/C</v>
          </cell>
          <cell r="I318">
            <v>240509</v>
          </cell>
          <cell r="J318" t="str">
            <v>116동 및 주변주차장, T/C(#9,10) 버림</v>
          </cell>
          <cell r="K318">
            <v>180</v>
          </cell>
          <cell r="L318">
            <v>180</v>
          </cell>
          <cell r="M318">
            <v>1812</v>
          </cell>
          <cell r="N318" t="str">
            <v>한라</v>
          </cell>
          <cell r="O318" t="str">
            <v>펌프카(1대)</v>
          </cell>
          <cell r="P318">
            <v>1045</v>
          </cell>
          <cell r="Q318">
            <v>1725</v>
          </cell>
          <cell r="R318">
            <v>125</v>
          </cell>
          <cell r="S318">
            <v>47</v>
          </cell>
          <cell r="T318">
            <v>44</v>
          </cell>
          <cell r="U318">
            <v>213</v>
          </cell>
          <cell r="V318"/>
          <cell r="W318" t="str">
            <v>박순홍</v>
          </cell>
          <cell r="X318" t="str">
            <v>(인)</v>
          </cell>
          <cell r="Y318" t="str">
            <v>박순홍</v>
          </cell>
          <cell r="Z318" t="str">
            <v>(인)</v>
          </cell>
          <cell r="AA318" t="str">
            <v>최인철</v>
          </cell>
          <cell r="AB318" t="str">
            <v>(인)</v>
          </cell>
          <cell r="AC318" t="str">
            <v>정창인</v>
          </cell>
          <cell r="AD318" t="str">
            <v>(인)</v>
          </cell>
          <cell r="AE318">
            <v>173</v>
          </cell>
          <cell r="AF318" t="str">
            <v>표준</v>
          </cell>
          <cell r="AG318">
            <v>1</v>
          </cell>
          <cell r="AH318">
            <v>1</v>
          </cell>
          <cell r="AI318">
            <v>1499</v>
          </cell>
          <cell r="AJ318">
            <v>1476</v>
          </cell>
          <cell r="AK318">
            <v>116400</v>
          </cell>
          <cell r="AL318">
            <v>2236</v>
          </cell>
          <cell r="AM318">
            <v>2263</v>
          </cell>
          <cell r="AN318">
            <v>2169</v>
          </cell>
          <cell r="AO318">
            <v>2149</v>
          </cell>
          <cell r="AP318">
            <v>2231</v>
          </cell>
          <cell r="AQ318">
            <v>2166</v>
          </cell>
          <cell r="AR318">
            <v>2147</v>
          </cell>
          <cell r="AS318">
            <v>2210</v>
          </cell>
          <cell r="AT318">
            <v>175400</v>
          </cell>
        </row>
        <row r="319">
          <cell r="G319">
            <v>2405090202</v>
          </cell>
          <cell r="H319" t="str">
            <v>116동, T/C</v>
          </cell>
          <cell r="I319">
            <v>240509</v>
          </cell>
          <cell r="J319" t="str">
            <v>116동 및 주변주차장, T/C(#9,10) 버림</v>
          </cell>
          <cell r="K319">
            <v>180</v>
          </cell>
          <cell r="L319">
            <v>180</v>
          </cell>
          <cell r="M319">
            <v>1812</v>
          </cell>
          <cell r="N319" t="str">
            <v>한라</v>
          </cell>
          <cell r="O319" t="str">
            <v>펌프카(1대)</v>
          </cell>
          <cell r="P319">
            <v>1045</v>
          </cell>
          <cell r="Q319">
            <v>1725</v>
          </cell>
          <cell r="R319">
            <v>135</v>
          </cell>
          <cell r="S319">
            <v>40</v>
          </cell>
          <cell r="T319">
            <v>9</v>
          </cell>
          <cell r="U319">
            <v>227</v>
          </cell>
          <cell r="V319"/>
          <cell r="W319" t="str">
            <v>박순홍</v>
          </cell>
          <cell r="X319" t="str">
            <v>(인)</v>
          </cell>
          <cell r="Y319" t="str">
            <v>박순홍</v>
          </cell>
          <cell r="Z319" t="str">
            <v>(인)</v>
          </cell>
          <cell r="AA319" t="str">
            <v>최인철</v>
          </cell>
          <cell r="AB319" t="str">
            <v>(인)</v>
          </cell>
          <cell r="AC319" t="str">
            <v>정창인</v>
          </cell>
          <cell r="AD319" t="str">
            <v>(인)</v>
          </cell>
          <cell r="AE319">
            <v>173.7</v>
          </cell>
          <cell r="AF319" t="str">
            <v>표준</v>
          </cell>
          <cell r="AG319">
            <v>2</v>
          </cell>
          <cell r="AH319">
            <v>0</v>
          </cell>
        </row>
        <row r="320">
          <cell r="G320">
            <v>2405100101</v>
          </cell>
          <cell r="H320" t="str">
            <v>114동</v>
          </cell>
          <cell r="I320">
            <v>240510</v>
          </cell>
          <cell r="J320" t="str">
            <v>D구간 기초(114동 주변)</v>
          </cell>
          <cell r="K320">
            <v>830</v>
          </cell>
          <cell r="L320">
            <v>831</v>
          </cell>
          <cell r="M320">
            <v>2415</v>
          </cell>
          <cell r="N320" t="str">
            <v>용호</v>
          </cell>
          <cell r="O320" t="str">
            <v>펌프카(1대)</v>
          </cell>
          <cell r="P320">
            <v>717</v>
          </cell>
          <cell r="Q320">
            <v>1610</v>
          </cell>
          <cell r="R320">
            <v>150</v>
          </cell>
          <cell r="S320">
            <v>48</v>
          </cell>
          <cell r="T320">
            <v>38</v>
          </cell>
          <cell r="U320">
            <v>210</v>
          </cell>
          <cell r="V320"/>
          <cell r="W320" t="str">
            <v>박순홍</v>
          </cell>
          <cell r="X320" t="str">
            <v>(인)</v>
          </cell>
          <cell r="Y320" t="str">
            <v>박순홍</v>
          </cell>
          <cell r="Z320" t="str">
            <v>(인)</v>
          </cell>
          <cell r="AA320" t="str">
            <v>장덕만</v>
          </cell>
          <cell r="AB320" t="str">
            <v>(인)</v>
          </cell>
          <cell r="AC320" t="str">
            <v>이루비</v>
          </cell>
          <cell r="AD320" t="str">
            <v>(인)</v>
          </cell>
          <cell r="AE320">
            <v>178.6</v>
          </cell>
          <cell r="AF320" t="str">
            <v>표준</v>
          </cell>
          <cell r="AG320">
            <v>1</v>
          </cell>
          <cell r="AH320">
            <v>1</v>
          </cell>
          <cell r="AI320">
            <v>2414</v>
          </cell>
          <cell r="AJ320">
            <v>2392</v>
          </cell>
          <cell r="AK320">
            <v>185400</v>
          </cell>
          <cell r="AL320">
            <v>3083</v>
          </cell>
          <cell r="AM320">
            <v>3292</v>
          </cell>
          <cell r="AN320">
            <v>3369</v>
          </cell>
          <cell r="AO320">
            <v>3310</v>
          </cell>
          <cell r="AP320">
            <v>3216</v>
          </cell>
          <cell r="AQ320">
            <v>3304</v>
          </cell>
          <cell r="AR320">
            <v>3406</v>
          </cell>
          <cell r="AS320">
            <v>3306</v>
          </cell>
          <cell r="AT320">
            <v>255600</v>
          </cell>
        </row>
        <row r="321">
          <cell r="G321">
            <v>2405100102</v>
          </cell>
          <cell r="H321" t="str">
            <v>114동</v>
          </cell>
          <cell r="I321">
            <v>240510</v>
          </cell>
          <cell r="J321" t="str">
            <v>D구간 기초(114동 주변)</v>
          </cell>
          <cell r="K321">
            <v>830</v>
          </cell>
          <cell r="L321">
            <v>831</v>
          </cell>
          <cell r="M321">
            <v>2415</v>
          </cell>
          <cell r="N321" t="str">
            <v>용호</v>
          </cell>
          <cell r="O321" t="str">
            <v>펌프카(1대)</v>
          </cell>
          <cell r="P321">
            <v>717</v>
          </cell>
          <cell r="Q321">
            <v>1610</v>
          </cell>
          <cell r="R321">
            <v>155</v>
          </cell>
          <cell r="S321">
            <v>49</v>
          </cell>
          <cell r="T321">
            <v>52</v>
          </cell>
          <cell r="U321">
            <v>187</v>
          </cell>
          <cell r="V321"/>
          <cell r="W321" t="str">
            <v>박순홍</v>
          </cell>
          <cell r="X321" t="str">
            <v>(인)</v>
          </cell>
          <cell r="Y321" t="str">
            <v>박순홍</v>
          </cell>
          <cell r="Z321" t="str">
            <v>(인)</v>
          </cell>
          <cell r="AA321" t="str">
            <v>장덕만</v>
          </cell>
          <cell r="AB321" t="str">
            <v>(인)</v>
          </cell>
          <cell r="AC321" t="str">
            <v>이루비</v>
          </cell>
          <cell r="AD321" t="str">
            <v>(인)</v>
          </cell>
          <cell r="AE321">
            <v>179.1</v>
          </cell>
          <cell r="AF321" t="str">
            <v>표준</v>
          </cell>
          <cell r="AG321">
            <v>2</v>
          </cell>
          <cell r="AH321">
            <v>0</v>
          </cell>
        </row>
        <row r="322">
          <cell r="G322">
            <v>2405100103</v>
          </cell>
          <cell r="H322" t="str">
            <v>114동</v>
          </cell>
          <cell r="I322">
            <v>240510</v>
          </cell>
          <cell r="J322" t="str">
            <v>D구간 기초(114동 주변)</v>
          </cell>
          <cell r="K322">
            <v>830</v>
          </cell>
          <cell r="L322">
            <v>831</v>
          </cell>
          <cell r="M322">
            <v>2415</v>
          </cell>
          <cell r="N322" t="str">
            <v>용호</v>
          </cell>
          <cell r="O322" t="str">
            <v>펌프카(1대)</v>
          </cell>
          <cell r="P322">
            <v>717</v>
          </cell>
          <cell r="Q322">
            <v>1610</v>
          </cell>
          <cell r="R322">
            <v>155</v>
          </cell>
          <cell r="S322">
            <v>50</v>
          </cell>
          <cell r="T322">
            <v>56</v>
          </cell>
          <cell r="U322">
            <v>214</v>
          </cell>
          <cell r="V322"/>
          <cell r="W322" t="str">
            <v>박순홍</v>
          </cell>
          <cell r="X322" t="str">
            <v>(인)</v>
          </cell>
          <cell r="Y322" t="str">
            <v>박순홍</v>
          </cell>
          <cell r="Z322" t="str">
            <v>(인)</v>
          </cell>
          <cell r="AA322" t="str">
            <v>장덕만</v>
          </cell>
          <cell r="AB322" t="str">
            <v>(인)</v>
          </cell>
          <cell r="AC322" t="str">
            <v>이루비</v>
          </cell>
          <cell r="AD322" t="str">
            <v>(인)</v>
          </cell>
          <cell r="AE322">
            <v>179.2</v>
          </cell>
          <cell r="AF322" t="str">
            <v>표준</v>
          </cell>
          <cell r="AG322">
            <v>3</v>
          </cell>
          <cell r="AH322">
            <v>0</v>
          </cell>
        </row>
        <row r="323">
          <cell r="G323">
            <v>2405100104</v>
          </cell>
          <cell r="H323" t="str">
            <v>114동</v>
          </cell>
          <cell r="I323">
            <v>240510</v>
          </cell>
          <cell r="J323" t="str">
            <v>D구간 기초(114동 주변)</v>
          </cell>
          <cell r="K323">
            <v>830</v>
          </cell>
          <cell r="L323">
            <v>831</v>
          </cell>
          <cell r="M323">
            <v>2415</v>
          </cell>
          <cell r="N323" t="str">
            <v>용호</v>
          </cell>
          <cell r="O323" t="str">
            <v>펌프카(1대)</v>
          </cell>
          <cell r="P323">
            <v>717</v>
          </cell>
          <cell r="Q323">
            <v>1610</v>
          </cell>
          <cell r="R323">
            <v>160</v>
          </cell>
          <cell r="S323">
            <v>45</v>
          </cell>
          <cell r="T323">
            <v>32</v>
          </cell>
          <cell r="U323">
            <v>182</v>
          </cell>
          <cell r="V323"/>
          <cell r="W323" t="str">
            <v>박순홍</v>
          </cell>
          <cell r="X323" t="str">
            <v>(인)</v>
          </cell>
          <cell r="Y323" t="str">
            <v>박순홍</v>
          </cell>
          <cell r="Z323" t="str">
            <v>(인)</v>
          </cell>
          <cell r="AA323" t="str">
            <v>장덕만</v>
          </cell>
          <cell r="AB323" t="str">
            <v>(인)</v>
          </cell>
          <cell r="AC323" t="str">
            <v>이루비</v>
          </cell>
          <cell r="AD323" t="str">
            <v>(인)</v>
          </cell>
          <cell r="AE323">
            <v>178.2</v>
          </cell>
          <cell r="AF323" t="str">
            <v>표준</v>
          </cell>
          <cell r="AG323">
            <v>4</v>
          </cell>
          <cell r="AH323">
            <v>1</v>
          </cell>
          <cell r="AL323">
            <v>3335</v>
          </cell>
          <cell r="AM323">
            <v>3292</v>
          </cell>
          <cell r="AN323">
            <v>3210</v>
          </cell>
          <cell r="AO323">
            <v>3217</v>
          </cell>
          <cell r="AP323">
            <v>3192</v>
          </cell>
          <cell r="AQ323">
            <v>3406</v>
          </cell>
          <cell r="AR323">
            <v>3364</v>
          </cell>
          <cell r="AS323">
            <v>3279</v>
          </cell>
          <cell r="AT323">
            <v>260000</v>
          </cell>
        </row>
        <row r="324">
          <cell r="G324">
            <v>2405100105</v>
          </cell>
          <cell r="H324" t="str">
            <v>114동</v>
          </cell>
          <cell r="I324">
            <v>240510</v>
          </cell>
          <cell r="J324" t="str">
            <v>D구간 기초(114동 주변)</v>
          </cell>
          <cell r="K324">
            <v>830</v>
          </cell>
          <cell r="L324">
            <v>831</v>
          </cell>
          <cell r="M324">
            <v>2415</v>
          </cell>
          <cell r="N324" t="str">
            <v>용호</v>
          </cell>
          <cell r="O324" t="str">
            <v>펌프카(1대)</v>
          </cell>
          <cell r="P324">
            <v>717</v>
          </cell>
          <cell r="Q324">
            <v>1610</v>
          </cell>
          <cell r="R324">
            <v>155</v>
          </cell>
          <cell r="S324">
            <v>44</v>
          </cell>
          <cell r="T324">
            <v>32</v>
          </cell>
          <cell r="U324">
            <v>201</v>
          </cell>
          <cell r="V324"/>
          <cell r="W324" t="str">
            <v>박순홍</v>
          </cell>
          <cell r="X324" t="str">
            <v>(인)</v>
          </cell>
          <cell r="Y324" t="str">
            <v>박순홍</v>
          </cell>
          <cell r="Z324" t="str">
            <v>(인)</v>
          </cell>
          <cell r="AA324" t="str">
            <v>장덕만</v>
          </cell>
          <cell r="AB324" t="str">
            <v>(인)</v>
          </cell>
          <cell r="AC324" t="str">
            <v>이루비</v>
          </cell>
          <cell r="AD324" t="str">
            <v>(인)</v>
          </cell>
          <cell r="AE324">
            <v>182.3</v>
          </cell>
          <cell r="AF324" t="str">
            <v>표준</v>
          </cell>
          <cell r="AG324">
            <v>5</v>
          </cell>
          <cell r="AH324">
            <v>0</v>
          </cell>
        </row>
        <row r="325">
          <cell r="G325">
            <v>2405100106</v>
          </cell>
          <cell r="H325" t="str">
            <v>114동</v>
          </cell>
          <cell r="I325">
            <v>240510</v>
          </cell>
          <cell r="J325" t="str">
            <v>D구간 기초(114동 주변)</v>
          </cell>
          <cell r="K325">
            <v>830</v>
          </cell>
          <cell r="L325">
            <v>831</v>
          </cell>
          <cell r="M325">
            <v>2415</v>
          </cell>
          <cell r="N325" t="str">
            <v>용호</v>
          </cell>
          <cell r="O325" t="str">
            <v>펌프카(1대)</v>
          </cell>
          <cell r="P325">
            <v>717</v>
          </cell>
          <cell r="Q325">
            <v>1610</v>
          </cell>
          <cell r="R325">
            <v>165</v>
          </cell>
          <cell r="S325">
            <v>50</v>
          </cell>
          <cell r="T325">
            <v>34</v>
          </cell>
          <cell r="U325">
            <v>215</v>
          </cell>
          <cell r="V325"/>
          <cell r="W325" t="str">
            <v>박순홍</v>
          </cell>
          <cell r="X325" t="str">
            <v>(인)</v>
          </cell>
          <cell r="Y325" t="str">
            <v>박순홍</v>
          </cell>
          <cell r="Z325" t="str">
            <v>(인)</v>
          </cell>
          <cell r="AA325" t="str">
            <v>장덕만</v>
          </cell>
          <cell r="AB325" t="str">
            <v>(인)</v>
          </cell>
          <cell r="AC325" t="str">
            <v>이루비</v>
          </cell>
          <cell r="AD325" t="str">
            <v>(인)</v>
          </cell>
          <cell r="AE325">
            <v>179.2</v>
          </cell>
          <cell r="AF325" t="str">
            <v>표준</v>
          </cell>
          <cell r="AG325">
            <v>6</v>
          </cell>
          <cell r="AH325">
            <v>0</v>
          </cell>
        </row>
        <row r="326">
          <cell r="G326">
            <v>2405100107</v>
          </cell>
          <cell r="H326" t="str">
            <v>114동</v>
          </cell>
          <cell r="I326">
            <v>240510</v>
          </cell>
          <cell r="J326" t="str">
            <v>D구간 기초(114동 주변)</v>
          </cell>
          <cell r="K326">
            <v>830</v>
          </cell>
          <cell r="L326">
            <v>831</v>
          </cell>
          <cell r="M326">
            <v>2415</v>
          </cell>
          <cell r="N326" t="str">
            <v>용호</v>
          </cell>
          <cell r="O326" t="str">
            <v>펌프카(1대)</v>
          </cell>
          <cell r="P326">
            <v>717</v>
          </cell>
          <cell r="Q326">
            <v>1610</v>
          </cell>
          <cell r="R326">
            <v>150</v>
          </cell>
          <cell r="S326">
            <v>46</v>
          </cell>
          <cell r="T326">
            <v>24</v>
          </cell>
          <cell r="U326">
            <v>242</v>
          </cell>
          <cell r="V326"/>
          <cell r="W326" t="str">
            <v>박순홍</v>
          </cell>
          <cell r="X326" t="str">
            <v>(인)</v>
          </cell>
          <cell r="Y326" t="str">
            <v>박순홍</v>
          </cell>
          <cell r="Z326" t="str">
            <v>(인)</v>
          </cell>
          <cell r="AA326" t="str">
            <v>장덕만</v>
          </cell>
          <cell r="AB326" t="str">
            <v>(인)</v>
          </cell>
          <cell r="AC326" t="str">
            <v>이루비</v>
          </cell>
          <cell r="AD326" t="str">
            <v>(인)</v>
          </cell>
          <cell r="AE326">
            <v>178.9</v>
          </cell>
          <cell r="AF326" t="str">
            <v>표준</v>
          </cell>
          <cell r="AG326">
            <v>7</v>
          </cell>
          <cell r="AH326">
            <v>1</v>
          </cell>
          <cell r="AL326">
            <v>3254</v>
          </cell>
          <cell r="AM326">
            <v>3358</v>
          </cell>
          <cell r="AN326">
            <v>3279</v>
          </cell>
          <cell r="AO326">
            <v>3306</v>
          </cell>
          <cell r="AP326">
            <v>3279</v>
          </cell>
          <cell r="AQ326">
            <v>3402</v>
          </cell>
          <cell r="AR326">
            <v>3264</v>
          </cell>
          <cell r="AS326">
            <v>3306</v>
          </cell>
          <cell r="AT326">
            <v>259400</v>
          </cell>
        </row>
        <row r="327">
          <cell r="G327">
            <v>2405100201</v>
          </cell>
          <cell r="H327" t="str">
            <v>106동</v>
          </cell>
          <cell r="I327">
            <v>240510</v>
          </cell>
          <cell r="J327" t="str">
            <v>106동 2차</v>
          </cell>
          <cell r="K327">
            <v>340</v>
          </cell>
          <cell r="L327">
            <v>342</v>
          </cell>
          <cell r="M327">
            <v>3015</v>
          </cell>
          <cell r="N327" t="str">
            <v>신우</v>
          </cell>
          <cell r="O327" t="str">
            <v>펌프카(1대)</v>
          </cell>
          <cell r="P327">
            <v>752</v>
          </cell>
          <cell r="Q327">
            <v>1205</v>
          </cell>
          <cell r="R327">
            <v>155</v>
          </cell>
          <cell r="S327">
            <v>38</v>
          </cell>
          <cell r="T327">
            <v>60</v>
          </cell>
          <cell r="U327">
            <v>219</v>
          </cell>
          <cell r="V327"/>
          <cell r="W327" t="str">
            <v>박순홍</v>
          </cell>
          <cell r="X327" t="str">
            <v>(인)</v>
          </cell>
          <cell r="Y327" t="str">
            <v>박순홍</v>
          </cell>
          <cell r="Z327" t="str">
            <v>(인)</v>
          </cell>
          <cell r="AA327" t="str">
            <v>정창인</v>
          </cell>
          <cell r="AB327" t="str">
            <v>(인)</v>
          </cell>
          <cell r="AC327" t="str">
            <v>이루비</v>
          </cell>
          <cell r="AD327" t="str">
            <v>(인)</v>
          </cell>
          <cell r="AE327">
            <v>179.5</v>
          </cell>
          <cell r="AF327" t="str">
            <v>표준</v>
          </cell>
          <cell r="AG327">
            <v>1</v>
          </cell>
          <cell r="AH327">
            <v>1</v>
          </cell>
          <cell r="AI327">
            <v>2907</v>
          </cell>
          <cell r="AJ327">
            <v>2931</v>
          </cell>
          <cell r="AK327">
            <v>226600</v>
          </cell>
          <cell r="AL327">
            <v>3982</v>
          </cell>
          <cell r="AM327">
            <v>3804</v>
          </cell>
          <cell r="AN327">
            <v>3908</v>
          </cell>
          <cell r="AO327">
            <v>3722</v>
          </cell>
          <cell r="AP327">
            <v>3876</v>
          </cell>
          <cell r="AQ327">
            <v>3902</v>
          </cell>
          <cell r="AR327">
            <v>3927</v>
          </cell>
          <cell r="AS327">
            <v>3876</v>
          </cell>
          <cell r="AT327">
            <v>308800</v>
          </cell>
        </row>
        <row r="328">
          <cell r="G328">
            <v>2405100202</v>
          </cell>
          <cell r="H328" t="str">
            <v>106동</v>
          </cell>
          <cell r="I328">
            <v>240510</v>
          </cell>
          <cell r="J328" t="str">
            <v>106동 2차</v>
          </cell>
          <cell r="K328">
            <v>340</v>
          </cell>
          <cell r="L328">
            <v>342</v>
          </cell>
          <cell r="M328">
            <v>3015</v>
          </cell>
          <cell r="N328" t="str">
            <v>신우</v>
          </cell>
          <cell r="O328" t="str">
            <v>펌프카(1대)</v>
          </cell>
          <cell r="P328">
            <v>752</v>
          </cell>
          <cell r="Q328">
            <v>1205</v>
          </cell>
          <cell r="R328">
            <v>155</v>
          </cell>
          <cell r="S328">
            <v>42</v>
          </cell>
          <cell r="T328">
            <v>22</v>
          </cell>
          <cell r="U328">
            <v>181</v>
          </cell>
          <cell r="V328"/>
          <cell r="W328" t="str">
            <v>박순홍</v>
          </cell>
          <cell r="X328" t="str">
            <v>(인)</v>
          </cell>
          <cell r="Y328" t="str">
            <v>박순홍</v>
          </cell>
          <cell r="Z328" t="str">
            <v>(인)</v>
          </cell>
          <cell r="AA328" t="str">
            <v>이루비</v>
          </cell>
          <cell r="AB328" t="str">
            <v>(인)</v>
          </cell>
          <cell r="AC328" t="str">
            <v>이루비</v>
          </cell>
          <cell r="AD328" t="str">
            <v>(인)</v>
          </cell>
          <cell r="AE328">
            <v>187.7</v>
          </cell>
          <cell r="AF328" t="str">
            <v>표준</v>
          </cell>
          <cell r="AG328">
            <v>2</v>
          </cell>
          <cell r="AH328">
            <v>0</v>
          </cell>
        </row>
        <row r="329">
          <cell r="G329">
            <v>2405100203</v>
          </cell>
          <cell r="H329" t="str">
            <v>106동</v>
          </cell>
          <cell r="I329">
            <v>240510</v>
          </cell>
          <cell r="J329" t="str">
            <v>106동 2차</v>
          </cell>
          <cell r="K329">
            <v>340</v>
          </cell>
          <cell r="L329">
            <v>342</v>
          </cell>
          <cell r="M329">
            <v>3015</v>
          </cell>
          <cell r="N329" t="str">
            <v>신우</v>
          </cell>
          <cell r="O329" t="str">
            <v>펌프카(1대)</v>
          </cell>
          <cell r="P329">
            <v>752</v>
          </cell>
          <cell r="Q329">
            <v>1205</v>
          </cell>
          <cell r="R329">
            <v>160</v>
          </cell>
          <cell r="S329">
            <v>42</v>
          </cell>
          <cell r="T329">
            <v>24</v>
          </cell>
          <cell r="U329">
            <v>198</v>
          </cell>
          <cell r="V329"/>
          <cell r="W329" t="str">
            <v>박순홍</v>
          </cell>
          <cell r="X329" t="str">
            <v>(인)</v>
          </cell>
          <cell r="Y329" t="str">
            <v>박순홍</v>
          </cell>
          <cell r="Z329" t="str">
            <v>(인)</v>
          </cell>
          <cell r="AA329" t="str">
            <v>이루비</v>
          </cell>
          <cell r="AB329" t="str">
            <v>(인)</v>
          </cell>
          <cell r="AC329" t="str">
            <v>이루비</v>
          </cell>
          <cell r="AD329" t="str">
            <v>(인)</v>
          </cell>
          <cell r="AE329">
            <v>192.1</v>
          </cell>
          <cell r="AF329" t="str">
            <v>표준</v>
          </cell>
          <cell r="AG329">
            <v>3</v>
          </cell>
          <cell r="AH329">
            <v>0</v>
          </cell>
        </row>
        <row r="330">
          <cell r="G330">
            <v>2405100301</v>
          </cell>
          <cell r="H330" t="str">
            <v>110동, 111동</v>
          </cell>
          <cell r="I330">
            <v>240510</v>
          </cell>
          <cell r="J330" t="str">
            <v>110동~111동 사이 기초(15구간)</v>
          </cell>
          <cell r="K330">
            <v>170</v>
          </cell>
          <cell r="L330">
            <v>168</v>
          </cell>
          <cell r="M330">
            <v>2415</v>
          </cell>
          <cell r="N330" t="str">
            <v>신우</v>
          </cell>
          <cell r="O330" t="str">
            <v>펌프카(1대)</v>
          </cell>
          <cell r="P330">
            <v>1251</v>
          </cell>
          <cell r="Q330">
            <v>1520</v>
          </cell>
          <cell r="R330">
            <v>150</v>
          </cell>
          <cell r="S330">
            <v>42</v>
          </cell>
          <cell r="T330">
            <v>90</v>
          </cell>
          <cell r="U330">
            <v>251</v>
          </cell>
          <cell r="V330"/>
          <cell r="W330" t="str">
            <v>박순홍</v>
          </cell>
          <cell r="X330" t="str">
            <v>(인)</v>
          </cell>
          <cell r="Y330" t="str">
            <v>박순홍</v>
          </cell>
          <cell r="Z330" t="str">
            <v>(인)</v>
          </cell>
          <cell r="AA330" t="str">
            <v>이루비</v>
          </cell>
          <cell r="AB330" t="str">
            <v>(인)</v>
          </cell>
          <cell r="AC330" t="str">
            <v>이루비</v>
          </cell>
          <cell r="AD330" t="str">
            <v>(인)</v>
          </cell>
          <cell r="AE330">
            <v>191.7</v>
          </cell>
          <cell r="AF330" t="str">
            <v>표준</v>
          </cell>
          <cell r="AG330">
            <v>1</v>
          </cell>
          <cell r="AH330">
            <v>1</v>
          </cell>
          <cell r="AI330">
            <v>2307</v>
          </cell>
          <cell r="AJ330">
            <v>2329</v>
          </cell>
          <cell r="AK330">
            <v>186000</v>
          </cell>
          <cell r="AL330">
            <v>3277</v>
          </cell>
          <cell r="AM330">
            <v>3162</v>
          </cell>
          <cell r="AN330">
            <v>3323</v>
          </cell>
          <cell r="AO330">
            <v>3307</v>
          </cell>
          <cell r="AP330">
            <v>3279</v>
          </cell>
          <cell r="AQ330">
            <v>3301</v>
          </cell>
          <cell r="AR330">
            <v>3279</v>
          </cell>
          <cell r="AS330">
            <v>3306</v>
          </cell>
          <cell r="AT330">
            <v>253000</v>
          </cell>
        </row>
        <row r="331">
          <cell r="G331">
            <v>2405100302</v>
          </cell>
          <cell r="H331" t="str">
            <v>110동, 111동</v>
          </cell>
          <cell r="I331">
            <v>240510</v>
          </cell>
          <cell r="J331" t="str">
            <v>110동~111동 사이 기초(15구간)</v>
          </cell>
          <cell r="K331">
            <v>170</v>
          </cell>
          <cell r="L331">
            <v>168</v>
          </cell>
          <cell r="M331">
            <v>2415</v>
          </cell>
          <cell r="N331" t="str">
            <v>신우</v>
          </cell>
          <cell r="O331" t="str">
            <v>펌프카(1대)</v>
          </cell>
          <cell r="P331">
            <v>1251</v>
          </cell>
          <cell r="Q331">
            <v>1520</v>
          </cell>
          <cell r="R331">
            <v>155</v>
          </cell>
          <cell r="S331">
            <v>45</v>
          </cell>
          <cell r="T331">
            <v>32</v>
          </cell>
          <cell r="U331">
            <v>242</v>
          </cell>
          <cell r="V331"/>
          <cell r="W331" t="str">
            <v>박순홍</v>
          </cell>
          <cell r="X331" t="str">
            <v>(인)</v>
          </cell>
          <cell r="Y331" t="str">
            <v>박순홍</v>
          </cell>
          <cell r="Z331" t="str">
            <v>(인)</v>
          </cell>
          <cell r="AA331" t="str">
            <v>이루비</v>
          </cell>
          <cell r="AB331" t="str">
            <v>(인)</v>
          </cell>
          <cell r="AC331" t="str">
            <v>이루비</v>
          </cell>
          <cell r="AD331" t="str">
            <v>(인)</v>
          </cell>
          <cell r="AE331">
            <v>179.2</v>
          </cell>
          <cell r="AF331" t="str">
            <v>표준</v>
          </cell>
          <cell r="AG331">
            <v>2</v>
          </cell>
          <cell r="AH331">
            <v>0</v>
          </cell>
        </row>
        <row r="332">
          <cell r="G332">
            <v>2405100400</v>
          </cell>
          <cell r="H332" t="str">
            <v>116동</v>
          </cell>
          <cell r="I332">
            <v>240510</v>
          </cell>
          <cell r="J332" t="str">
            <v>116동 버림</v>
          </cell>
          <cell r="K332">
            <v>30</v>
          </cell>
          <cell r="L332">
            <v>26</v>
          </cell>
          <cell r="M332">
            <v>1812</v>
          </cell>
          <cell r="N332" t="str">
            <v>신우</v>
          </cell>
          <cell r="O332">
            <v>176</v>
          </cell>
          <cell r="P332">
            <v>1600</v>
          </cell>
          <cell r="Q332">
            <v>1650</v>
          </cell>
          <cell r="R332">
            <v>115</v>
          </cell>
          <cell r="S332">
            <v>40</v>
          </cell>
          <cell r="T332">
            <v>15</v>
          </cell>
          <cell r="U332">
            <v>170.2</v>
          </cell>
          <cell r="V332"/>
          <cell r="W332" t="str">
            <v>박순홍</v>
          </cell>
          <cell r="X332" t="str">
            <v>(인)</v>
          </cell>
          <cell r="Y332" t="str">
            <v>박순홍</v>
          </cell>
          <cell r="Z332" t="str">
            <v>(인)</v>
          </cell>
          <cell r="AA332" t="str">
            <v>최인철</v>
          </cell>
          <cell r="AB332" t="str">
            <v>(인)</v>
          </cell>
          <cell r="AC332" t="str">
            <v>최인철</v>
          </cell>
          <cell r="AD332" t="str">
            <v>(인)</v>
          </cell>
          <cell r="AE332">
            <v>170.2</v>
          </cell>
          <cell r="AF332" t="str">
            <v>표준</v>
          </cell>
          <cell r="AG332">
            <v>0</v>
          </cell>
          <cell r="AH332">
            <v>0</v>
          </cell>
        </row>
        <row r="333">
          <cell r="G333">
            <v>2405130101</v>
          </cell>
          <cell r="H333" t="str">
            <v>110동</v>
          </cell>
          <cell r="I333">
            <v>240513</v>
          </cell>
          <cell r="J333" t="str">
            <v>110동 우수조</v>
          </cell>
          <cell r="K333">
            <v>80</v>
          </cell>
          <cell r="L333">
            <v>84</v>
          </cell>
          <cell r="M333">
            <v>3018</v>
          </cell>
          <cell r="N333" t="str">
            <v>대공</v>
          </cell>
          <cell r="O333" t="str">
            <v>펌프카(1대)</v>
          </cell>
          <cell r="P333">
            <v>828</v>
          </cell>
          <cell r="Q333">
            <v>1023</v>
          </cell>
          <cell r="R333">
            <v>170</v>
          </cell>
          <cell r="S333">
            <v>45</v>
          </cell>
          <cell r="T333">
            <v>85</v>
          </cell>
          <cell r="U333">
            <v>226</v>
          </cell>
          <cell r="V333"/>
          <cell r="W333" t="str">
            <v>박순홍</v>
          </cell>
          <cell r="X333" t="str">
            <v>(인)</v>
          </cell>
          <cell r="Y333" t="str">
            <v>박순홍</v>
          </cell>
          <cell r="Z333" t="str">
            <v>(인)</v>
          </cell>
          <cell r="AA333" t="str">
            <v>정창인</v>
          </cell>
          <cell r="AB333" t="str">
            <v>(인)</v>
          </cell>
          <cell r="AC333" t="str">
            <v>정창인</v>
          </cell>
          <cell r="AD333" t="str">
            <v>(인)</v>
          </cell>
          <cell r="AE333">
            <v>179.3</v>
          </cell>
          <cell r="AF333" t="str">
            <v>표준</v>
          </cell>
          <cell r="AG333">
            <v>1</v>
          </cell>
          <cell r="AH333">
            <v>1</v>
          </cell>
          <cell r="AI333">
            <v>2988</v>
          </cell>
          <cell r="AJ333">
            <v>2844</v>
          </cell>
          <cell r="AK333">
            <v>229400</v>
          </cell>
          <cell r="AL333">
            <v>3731</v>
          </cell>
          <cell r="AM333">
            <v>3638</v>
          </cell>
          <cell r="AN333">
            <v>3709</v>
          </cell>
          <cell r="AO333">
            <v>3628</v>
          </cell>
          <cell r="AP333">
            <v>3666</v>
          </cell>
          <cell r="AQ333">
            <v>3712</v>
          </cell>
          <cell r="AR333">
            <v>3618</v>
          </cell>
          <cell r="AS333">
            <v>3725</v>
          </cell>
          <cell r="AT333">
            <v>286600</v>
          </cell>
        </row>
        <row r="334">
          <cell r="G334">
            <v>2405130201</v>
          </cell>
          <cell r="H334" t="str">
            <v>101동, 114동</v>
          </cell>
          <cell r="I334">
            <v>240513</v>
          </cell>
          <cell r="J334" t="str">
            <v>101동 주변주차장 기초 및 114동 기초 패드</v>
          </cell>
          <cell r="K334">
            <v>110</v>
          </cell>
          <cell r="L334">
            <v>113</v>
          </cell>
          <cell r="M334">
            <v>2415</v>
          </cell>
          <cell r="N334" t="str">
            <v>대공</v>
          </cell>
          <cell r="O334" t="str">
            <v>펌프카(1대)</v>
          </cell>
          <cell r="P334">
            <v>1054</v>
          </cell>
          <cell r="Q334">
            <v>1448</v>
          </cell>
          <cell r="R334">
            <v>140</v>
          </cell>
          <cell r="S334">
            <v>36</v>
          </cell>
          <cell r="T334">
            <v>109</v>
          </cell>
          <cell r="U334">
            <v>272</v>
          </cell>
          <cell r="V334"/>
          <cell r="W334" t="str">
            <v>박순홍</v>
          </cell>
          <cell r="X334" t="str">
            <v>(인)</v>
          </cell>
          <cell r="Y334" t="str">
            <v>박순홍</v>
          </cell>
          <cell r="Z334" t="str">
            <v>(인)</v>
          </cell>
          <cell r="AA334" t="str">
            <v>이홍걸</v>
          </cell>
          <cell r="AB334" t="str">
            <v>(인)</v>
          </cell>
          <cell r="AC334" t="str">
            <v>이홍걸</v>
          </cell>
          <cell r="AD334" t="str">
            <v>(인)</v>
          </cell>
          <cell r="AE334">
            <v>180.2</v>
          </cell>
          <cell r="AF334" t="str">
            <v>표준</v>
          </cell>
          <cell r="AG334">
            <v>1</v>
          </cell>
          <cell r="AH334">
            <v>1</v>
          </cell>
          <cell r="AI334">
            <v>2274</v>
          </cell>
          <cell r="AJ334">
            <v>2362</v>
          </cell>
          <cell r="AK334">
            <v>186400</v>
          </cell>
          <cell r="AL334">
            <v>2963</v>
          </cell>
          <cell r="AM334">
            <v>3020</v>
          </cell>
          <cell r="AN334">
            <v>3014</v>
          </cell>
          <cell r="AO334">
            <v>2966</v>
          </cell>
          <cell r="AP334">
            <v>2873</v>
          </cell>
          <cell r="AQ334">
            <v>2941</v>
          </cell>
          <cell r="AR334">
            <v>2936</v>
          </cell>
          <cell r="AS334">
            <v>3027</v>
          </cell>
          <cell r="AT334">
            <v>227200</v>
          </cell>
        </row>
        <row r="335">
          <cell r="G335">
            <v>2405140101</v>
          </cell>
          <cell r="H335" t="str">
            <v>104동</v>
          </cell>
          <cell r="I335">
            <v>240514</v>
          </cell>
          <cell r="J335" t="str">
            <v>104동 2층 바닥</v>
          </cell>
          <cell r="K335">
            <v>290</v>
          </cell>
          <cell r="L335">
            <v>288</v>
          </cell>
          <cell r="M335">
            <v>3018</v>
          </cell>
          <cell r="N335" t="str">
            <v>영진</v>
          </cell>
          <cell r="O335" t="str">
            <v>펌프카(1대)</v>
          </cell>
          <cell r="P335">
            <v>726</v>
          </cell>
          <cell r="Q335">
            <v>1201</v>
          </cell>
          <cell r="R335">
            <v>195</v>
          </cell>
          <cell r="S335">
            <v>42</v>
          </cell>
          <cell r="T335">
            <v>180</v>
          </cell>
          <cell r="U335">
            <v>190</v>
          </cell>
          <cell r="V335"/>
          <cell r="W335" t="str">
            <v>박순홍</v>
          </cell>
          <cell r="X335" t="str">
            <v>(인)</v>
          </cell>
          <cell r="Y335" t="str">
            <v>박순홍</v>
          </cell>
          <cell r="Z335" t="str">
            <v>(인)</v>
          </cell>
          <cell r="AA335" t="str">
            <v>최상옥</v>
          </cell>
          <cell r="AB335" t="str">
            <v>(인)</v>
          </cell>
          <cell r="AC335" t="str">
            <v>이홍걸</v>
          </cell>
          <cell r="AD335" t="str">
            <v>(인)</v>
          </cell>
          <cell r="AE335">
            <v>174.1</v>
          </cell>
          <cell r="AF335" t="str">
            <v>표준</v>
          </cell>
          <cell r="AG335">
            <v>1</v>
          </cell>
          <cell r="AH335">
            <v>1</v>
          </cell>
          <cell r="AI335">
            <v>2486</v>
          </cell>
          <cell r="AJ335">
            <v>2492</v>
          </cell>
          <cell r="AK335">
            <v>200200</v>
          </cell>
          <cell r="AL335">
            <v>3468</v>
          </cell>
          <cell r="AM335">
            <v>3524</v>
          </cell>
          <cell r="AN335">
            <v>3552</v>
          </cell>
          <cell r="AO335">
            <v>3472</v>
          </cell>
          <cell r="AP335">
            <v>3502</v>
          </cell>
          <cell r="AQ335">
            <v>3670</v>
          </cell>
          <cell r="AR335">
            <v>3496</v>
          </cell>
          <cell r="AS335">
            <v>3562</v>
          </cell>
          <cell r="AT335">
            <v>274600</v>
          </cell>
        </row>
        <row r="336">
          <cell r="G336">
            <v>2405140102</v>
          </cell>
          <cell r="H336" t="str">
            <v>104동</v>
          </cell>
          <cell r="I336">
            <v>240514</v>
          </cell>
          <cell r="J336" t="str">
            <v>104동 2층 바닥</v>
          </cell>
          <cell r="K336">
            <v>290</v>
          </cell>
          <cell r="L336">
            <v>288</v>
          </cell>
          <cell r="M336">
            <v>3018</v>
          </cell>
          <cell r="N336" t="str">
            <v>영진</v>
          </cell>
          <cell r="O336" t="str">
            <v>펌프카(1대)</v>
          </cell>
          <cell r="P336">
            <v>726</v>
          </cell>
          <cell r="Q336">
            <v>1201</v>
          </cell>
          <cell r="R336">
            <v>195</v>
          </cell>
          <cell r="S336">
            <v>44</v>
          </cell>
          <cell r="T336">
            <v>125</v>
          </cell>
          <cell r="U336">
            <v>221</v>
          </cell>
          <cell r="V336"/>
          <cell r="W336" t="str">
            <v>박순홍</v>
          </cell>
          <cell r="X336" t="str">
            <v>(인)</v>
          </cell>
          <cell r="Y336" t="str">
            <v>박순홍</v>
          </cell>
          <cell r="Z336" t="str">
            <v>(인)</v>
          </cell>
          <cell r="AA336" t="str">
            <v>최상옥</v>
          </cell>
          <cell r="AB336" t="str">
            <v>(인)</v>
          </cell>
          <cell r="AC336" t="str">
            <v>이홍걸</v>
          </cell>
          <cell r="AD336" t="str">
            <v>(인)</v>
          </cell>
          <cell r="AE336">
            <v>175.3</v>
          </cell>
          <cell r="AF336" t="str">
            <v>표준</v>
          </cell>
          <cell r="AG336">
            <v>2</v>
          </cell>
          <cell r="AH336">
            <v>0</v>
          </cell>
        </row>
        <row r="337">
          <cell r="G337">
            <v>2405140103</v>
          </cell>
          <cell r="H337" t="str">
            <v>104동</v>
          </cell>
          <cell r="I337">
            <v>240514</v>
          </cell>
          <cell r="J337" t="str">
            <v>104동 2층 바닥</v>
          </cell>
          <cell r="K337">
            <v>290</v>
          </cell>
          <cell r="L337">
            <v>288</v>
          </cell>
          <cell r="M337">
            <v>3018</v>
          </cell>
          <cell r="N337" t="str">
            <v>영진</v>
          </cell>
          <cell r="O337" t="str">
            <v>펌프카(1대)</v>
          </cell>
          <cell r="P337">
            <v>726</v>
          </cell>
          <cell r="Q337">
            <v>1201</v>
          </cell>
          <cell r="R337">
            <v>200</v>
          </cell>
          <cell r="S337">
            <v>50</v>
          </cell>
          <cell r="T337">
            <v>140</v>
          </cell>
          <cell r="U337">
            <v>202</v>
          </cell>
          <cell r="V337"/>
          <cell r="W337" t="str">
            <v>박순홍</v>
          </cell>
          <cell r="X337" t="str">
            <v>(인)</v>
          </cell>
          <cell r="Y337" t="str">
            <v>박순홍</v>
          </cell>
          <cell r="Z337" t="str">
            <v>(인)</v>
          </cell>
          <cell r="AA337" t="str">
            <v>최상옥</v>
          </cell>
          <cell r="AB337" t="str">
            <v>(인)</v>
          </cell>
          <cell r="AC337" t="str">
            <v>이홍걸</v>
          </cell>
          <cell r="AD337" t="str">
            <v>(인)</v>
          </cell>
          <cell r="AE337">
            <v>177.3</v>
          </cell>
          <cell r="AF337" t="str">
            <v>표준</v>
          </cell>
          <cell r="AG337">
            <v>3</v>
          </cell>
          <cell r="AH337">
            <v>0</v>
          </cell>
        </row>
        <row r="338">
          <cell r="G338">
            <v>2405140201</v>
          </cell>
          <cell r="H338" t="str">
            <v>103동</v>
          </cell>
          <cell r="I338">
            <v>240514</v>
          </cell>
          <cell r="J338" t="str">
            <v>103동 3층 바닥</v>
          </cell>
          <cell r="K338">
            <v>290</v>
          </cell>
          <cell r="L338">
            <v>294</v>
          </cell>
          <cell r="M338">
            <v>3018</v>
          </cell>
          <cell r="N338" t="str">
            <v>영진</v>
          </cell>
          <cell r="O338" t="str">
            <v>펌프카(1대)</v>
          </cell>
          <cell r="P338">
            <v>1033</v>
          </cell>
          <cell r="Q338">
            <v>1457</v>
          </cell>
          <cell r="R338">
            <v>190</v>
          </cell>
          <cell r="S338">
            <v>38</v>
          </cell>
          <cell r="T338">
            <v>60</v>
          </cell>
          <cell r="U338">
            <v>263</v>
          </cell>
          <cell r="V338"/>
          <cell r="W338" t="str">
            <v>박순홍</v>
          </cell>
          <cell r="X338" t="str">
            <v>(인)</v>
          </cell>
          <cell r="Y338" t="str">
            <v>박순홍</v>
          </cell>
          <cell r="Z338" t="str">
            <v>(인)</v>
          </cell>
          <cell r="AA338" t="str">
            <v>이홍걸</v>
          </cell>
          <cell r="AB338" t="str">
            <v>(인)</v>
          </cell>
          <cell r="AC338" t="str">
            <v>이홍걸</v>
          </cell>
          <cell r="AD338" t="str">
            <v>(인)</v>
          </cell>
          <cell r="AE338">
            <v>179.6</v>
          </cell>
          <cell r="AF338" t="str">
            <v>표준</v>
          </cell>
          <cell r="AG338">
            <v>1</v>
          </cell>
          <cell r="AH338">
            <v>1</v>
          </cell>
          <cell r="AI338">
            <v>2481</v>
          </cell>
          <cell r="AJ338">
            <v>2564</v>
          </cell>
          <cell r="AK338">
            <v>196200</v>
          </cell>
          <cell r="AL338">
            <v>3458</v>
          </cell>
          <cell r="AM338">
            <v>3529</v>
          </cell>
          <cell r="AN338">
            <v>3503</v>
          </cell>
          <cell r="AO338">
            <v>3567</v>
          </cell>
          <cell r="AP338">
            <v>3427</v>
          </cell>
          <cell r="AQ338">
            <v>3469</v>
          </cell>
          <cell r="AR338">
            <v>3506</v>
          </cell>
          <cell r="AS338">
            <v>3429</v>
          </cell>
          <cell r="AT338">
            <v>276200</v>
          </cell>
        </row>
        <row r="339">
          <cell r="G339">
            <v>2405140202</v>
          </cell>
          <cell r="H339" t="str">
            <v>103동</v>
          </cell>
          <cell r="I339">
            <v>240514</v>
          </cell>
          <cell r="J339" t="str">
            <v>103동 3층 바닥</v>
          </cell>
          <cell r="K339">
            <v>290</v>
          </cell>
          <cell r="L339">
            <v>294</v>
          </cell>
          <cell r="M339">
            <v>3018</v>
          </cell>
          <cell r="N339" t="str">
            <v>영진</v>
          </cell>
          <cell r="O339" t="str">
            <v>펌프카(1대)</v>
          </cell>
          <cell r="P339">
            <v>1033</v>
          </cell>
          <cell r="Q339">
            <v>1457</v>
          </cell>
          <cell r="R339">
            <v>195</v>
          </cell>
          <cell r="S339">
            <v>40</v>
          </cell>
          <cell r="T339">
            <v>76</v>
          </cell>
          <cell r="U339">
            <v>269</v>
          </cell>
          <cell r="V339"/>
          <cell r="W339" t="str">
            <v>박순홍</v>
          </cell>
          <cell r="X339" t="str">
            <v>(인)</v>
          </cell>
          <cell r="Y339" t="str">
            <v>박순홍</v>
          </cell>
          <cell r="Z339" t="str">
            <v>(인)</v>
          </cell>
          <cell r="AA339" t="str">
            <v>이홍걸</v>
          </cell>
          <cell r="AB339" t="str">
            <v>(인)</v>
          </cell>
          <cell r="AC339" t="str">
            <v>이홍걸</v>
          </cell>
          <cell r="AD339" t="str">
            <v>(인)</v>
          </cell>
          <cell r="AE339">
            <v>181.3</v>
          </cell>
          <cell r="AF339" t="str">
            <v>표준</v>
          </cell>
          <cell r="AG339">
            <v>2</v>
          </cell>
          <cell r="AH339">
            <v>0</v>
          </cell>
        </row>
        <row r="340">
          <cell r="G340">
            <v>2405140203</v>
          </cell>
          <cell r="H340" t="str">
            <v>103동</v>
          </cell>
          <cell r="I340">
            <v>240514</v>
          </cell>
          <cell r="J340" t="str">
            <v>103동 3층 바닥</v>
          </cell>
          <cell r="K340">
            <v>290</v>
          </cell>
          <cell r="L340">
            <v>294</v>
          </cell>
          <cell r="M340">
            <v>3018</v>
          </cell>
          <cell r="N340" t="str">
            <v>영진</v>
          </cell>
          <cell r="O340" t="str">
            <v>펌프카(1대)</v>
          </cell>
          <cell r="P340">
            <v>1033</v>
          </cell>
          <cell r="Q340">
            <v>1457</v>
          </cell>
          <cell r="R340">
            <v>200</v>
          </cell>
          <cell r="S340">
            <v>49</v>
          </cell>
          <cell r="T340">
            <v>93</v>
          </cell>
          <cell r="U340">
            <v>264</v>
          </cell>
          <cell r="V340"/>
          <cell r="W340" t="str">
            <v>박순홍</v>
          </cell>
          <cell r="X340" t="str">
            <v>(인)</v>
          </cell>
          <cell r="Y340" t="str">
            <v>박순홍</v>
          </cell>
          <cell r="Z340" t="str">
            <v>(인)</v>
          </cell>
          <cell r="AA340" t="str">
            <v>이홍걸</v>
          </cell>
          <cell r="AB340" t="str">
            <v>(인)</v>
          </cell>
          <cell r="AC340" t="str">
            <v>이홍걸</v>
          </cell>
          <cell r="AD340" t="str">
            <v>(인)</v>
          </cell>
          <cell r="AE340">
            <v>182.6</v>
          </cell>
          <cell r="AF340" t="str">
            <v>표준</v>
          </cell>
          <cell r="AG340">
            <v>3</v>
          </cell>
          <cell r="AH340">
            <v>0</v>
          </cell>
        </row>
        <row r="341">
          <cell r="G341">
            <v>2405150101</v>
          </cell>
          <cell r="H341" t="str">
            <v>113동</v>
          </cell>
          <cell r="I341">
            <v>240515</v>
          </cell>
          <cell r="J341" t="str">
            <v>20구간 기초</v>
          </cell>
          <cell r="K341">
            <v>500</v>
          </cell>
          <cell r="L341">
            <v>498</v>
          </cell>
          <cell r="M341">
            <v>2415</v>
          </cell>
          <cell r="N341" t="str">
            <v>한진</v>
          </cell>
          <cell r="O341" t="str">
            <v>펌프카(1대)</v>
          </cell>
          <cell r="P341">
            <v>755</v>
          </cell>
          <cell r="Q341">
            <v>1357</v>
          </cell>
          <cell r="R341">
            <v>150</v>
          </cell>
          <cell r="S341">
            <v>45</v>
          </cell>
          <cell r="T341">
            <v>40</v>
          </cell>
          <cell r="U341">
            <v>216</v>
          </cell>
          <cell r="V341"/>
          <cell r="W341" t="str">
            <v>박순홍</v>
          </cell>
          <cell r="X341" t="str">
            <v>(인)</v>
          </cell>
          <cell r="Y341" t="str">
            <v>박순홍</v>
          </cell>
          <cell r="Z341" t="str">
            <v>(인)</v>
          </cell>
          <cell r="AA341" t="str">
            <v>정창인</v>
          </cell>
          <cell r="AB341" t="str">
            <v>(인)</v>
          </cell>
          <cell r="AC341" t="str">
            <v>정창인</v>
          </cell>
          <cell r="AD341" t="str">
            <v>(인)</v>
          </cell>
          <cell r="AE341">
            <v>184.4</v>
          </cell>
          <cell r="AF341" t="str">
            <v>표준</v>
          </cell>
          <cell r="AG341">
            <v>1</v>
          </cell>
          <cell r="AH341">
            <v>1</v>
          </cell>
          <cell r="AI341">
            <v>2360</v>
          </cell>
          <cell r="AJ341">
            <v>2320</v>
          </cell>
          <cell r="AK341">
            <v>182000</v>
          </cell>
          <cell r="AL341">
            <v>3287</v>
          </cell>
          <cell r="AM341">
            <v>3335</v>
          </cell>
          <cell r="AN341">
            <v>3346</v>
          </cell>
          <cell r="AO341">
            <v>3406</v>
          </cell>
          <cell r="AP341">
            <v>3306</v>
          </cell>
          <cell r="AQ341">
            <v>3279</v>
          </cell>
          <cell r="AR341">
            <v>3304</v>
          </cell>
          <cell r="AS341">
            <v>3274</v>
          </cell>
          <cell r="AT341">
            <v>265000</v>
          </cell>
        </row>
        <row r="342">
          <cell r="G342">
            <v>2405150102</v>
          </cell>
          <cell r="H342" t="str">
            <v>113동</v>
          </cell>
          <cell r="I342">
            <v>240515</v>
          </cell>
          <cell r="J342" t="str">
            <v>20구간 기초</v>
          </cell>
          <cell r="K342">
            <v>500</v>
          </cell>
          <cell r="L342">
            <v>498</v>
          </cell>
          <cell r="M342">
            <v>2415</v>
          </cell>
          <cell r="N342" t="str">
            <v>한진</v>
          </cell>
          <cell r="O342" t="str">
            <v>펌프카(1대)</v>
          </cell>
          <cell r="P342">
            <v>755</v>
          </cell>
          <cell r="Q342">
            <v>1357</v>
          </cell>
          <cell r="R342">
            <v>145</v>
          </cell>
          <cell r="S342">
            <v>36</v>
          </cell>
          <cell r="T342">
            <v>48</v>
          </cell>
          <cell r="U342">
            <v>250</v>
          </cell>
          <cell r="V342"/>
          <cell r="W342" t="str">
            <v>박순홍</v>
          </cell>
          <cell r="X342" t="str">
            <v>(인)</v>
          </cell>
          <cell r="Y342" t="str">
            <v>박순홍</v>
          </cell>
          <cell r="Z342" t="str">
            <v>(인)</v>
          </cell>
          <cell r="AA342" t="str">
            <v>이루비</v>
          </cell>
          <cell r="AB342" t="str">
            <v>(인)</v>
          </cell>
          <cell r="AC342" t="str">
            <v>정창인</v>
          </cell>
          <cell r="AD342" t="str">
            <v>(인)</v>
          </cell>
          <cell r="AE342">
            <v>183.7</v>
          </cell>
          <cell r="AF342" t="str">
            <v>표준</v>
          </cell>
          <cell r="AG342">
            <v>2</v>
          </cell>
          <cell r="AH342">
            <v>0</v>
          </cell>
        </row>
        <row r="343">
          <cell r="G343">
            <v>2405150103</v>
          </cell>
          <cell r="H343" t="str">
            <v>113동</v>
          </cell>
          <cell r="I343">
            <v>240515</v>
          </cell>
          <cell r="J343" t="str">
            <v>20구간 기초</v>
          </cell>
          <cell r="K343">
            <v>500</v>
          </cell>
          <cell r="L343">
            <v>498</v>
          </cell>
          <cell r="M343">
            <v>2415</v>
          </cell>
          <cell r="N343" t="str">
            <v>한진</v>
          </cell>
          <cell r="O343" t="str">
            <v>펌프카(1대)</v>
          </cell>
          <cell r="P343">
            <v>755</v>
          </cell>
          <cell r="Q343">
            <v>1357</v>
          </cell>
          <cell r="R343">
            <v>150</v>
          </cell>
          <cell r="S343">
            <v>40</v>
          </cell>
          <cell r="T343">
            <v>100</v>
          </cell>
          <cell r="U343">
            <v>244</v>
          </cell>
          <cell r="V343"/>
          <cell r="W343" t="str">
            <v>박순홍</v>
          </cell>
          <cell r="X343" t="str">
            <v>(인)</v>
          </cell>
          <cell r="Y343" t="str">
            <v>박순홍</v>
          </cell>
          <cell r="Z343" t="str">
            <v>(인)</v>
          </cell>
          <cell r="AA343" t="str">
            <v>이루비</v>
          </cell>
          <cell r="AB343" t="str">
            <v>(인)</v>
          </cell>
          <cell r="AC343" t="str">
            <v>정창인</v>
          </cell>
          <cell r="AD343" t="str">
            <v>(인)</v>
          </cell>
          <cell r="AE343">
            <v>187.2</v>
          </cell>
          <cell r="AF343" t="str">
            <v>표준</v>
          </cell>
          <cell r="AG343">
            <v>3</v>
          </cell>
          <cell r="AH343">
            <v>0</v>
          </cell>
        </row>
        <row r="344">
          <cell r="G344">
            <v>2405150104</v>
          </cell>
          <cell r="H344" t="str">
            <v>113동</v>
          </cell>
          <cell r="I344">
            <v>240515</v>
          </cell>
          <cell r="J344" t="str">
            <v>20구간 기초</v>
          </cell>
          <cell r="K344">
            <v>500</v>
          </cell>
          <cell r="L344">
            <v>498</v>
          </cell>
          <cell r="M344">
            <v>2415</v>
          </cell>
          <cell r="N344" t="str">
            <v>한진</v>
          </cell>
          <cell r="O344" t="str">
            <v>펌프카(1대)</v>
          </cell>
          <cell r="P344">
            <v>755</v>
          </cell>
          <cell r="Q344">
            <v>1357</v>
          </cell>
          <cell r="R344">
            <v>155</v>
          </cell>
          <cell r="S344">
            <v>49</v>
          </cell>
          <cell r="T344">
            <v>59</v>
          </cell>
          <cell r="U344">
            <v>278</v>
          </cell>
          <cell r="V344"/>
          <cell r="W344" t="str">
            <v>박순홍</v>
          </cell>
          <cell r="X344" t="str">
            <v>(인)</v>
          </cell>
          <cell r="Y344" t="str">
            <v>박순홍</v>
          </cell>
          <cell r="Z344" t="str">
            <v>(인)</v>
          </cell>
          <cell r="AA344" t="str">
            <v>이루비</v>
          </cell>
          <cell r="AB344" t="str">
            <v>(인)</v>
          </cell>
          <cell r="AC344" t="str">
            <v>정창인</v>
          </cell>
          <cell r="AD344" t="str">
            <v>(인)</v>
          </cell>
          <cell r="AE344">
            <v>187.2</v>
          </cell>
          <cell r="AF344" t="str">
            <v>표준</v>
          </cell>
          <cell r="AG344">
            <v>4</v>
          </cell>
          <cell r="AH344">
            <v>1</v>
          </cell>
          <cell r="AL344">
            <v>3440</v>
          </cell>
          <cell r="AM344">
            <v>3384</v>
          </cell>
          <cell r="AN344">
            <v>3323</v>
          </cell>
          <cell r="AO344">
            <v>3462</v>
          </cell>
          <cell r="AP344">
            <v>3392</v>
          </cell>
          <cell r="AQ344">
            <v>3276</v>
          </cell>
          <cell r="AR344">
            <v>3294</v>
          </cell>
          <cell r="AS344">
            <v>3367</v>
          </cell>
          <cell r="AT344">
            <v>257400</v>
          </cell>
        </row>
        <row r="345">
          <cell r="G345">
            <v>2405150105</v>
          </cell>
          <cell r="H345" t="str">
            <v>113동</v>
          </cell>
          <cell r="I345">
            <v>240515</v>
          </cell>
          <cell r="J345" t="str">
            <v>20구간 기초</v>
          </cell>
          <cell r="K345">
            <v>500</v>
          </cell>
          <cell r="L345">
            <v>498</v>
          </cell>
          <cell r="M345">
            <v>2415</v>
          </cell>
          <cell r="N345" t="str">
            <v>한진</v>
          </cell>
          <cell r="O345" t="str">
            <v>펌프카(1대)</v>
          </cell>
          <cell r="P345">
            <v>755</v>
          </cell>
          <cell r="Q345">
            <v>1357</v>
          </cell>
          <cell r="R345">
            <v>150</v>
          </cell>
          <cell r="S345">
            <v>46</v>
          </cell>
          <cell r="T345">
            <v>86</v>
          </cell>
          <cell r="U345">
            <v>279</v>
          </cell>
          <cell r="V345"/>
          <cell r="W345" t="str">
            <v>박순홍</v>
          </cell>
          <cell r="X345" t="str">
            <v>(인)</v>
          </cell>
          <cell r="Y345" t="str">
            <v>박순홍</v>
          </cell>
          <cell r="Z345" t="str">
            <v>(인)</v>
          </cell>
          <cell r="AA345" t="str">
            <v>이루비</v>
          </cell>
          <cell r="AB345" t="str">
            <v>(인)</v>
          </cell>
          <cell r="AC345" t="str">
            <v>정창인</v>
          </cell>
          <cell r="AD345" t="str">
            <v>(인)</v>
          </cell>
          <cell r="AE345">
            <v>182.3</v>
          </cell>
          <cell r="AF345" t="str">
            <v>표준</v>
          </cell>
          <cell r="AG345">
            <v>5</v>
          </cell>
          <cell r="AH345">
            <v>0</v>
          </cell>
        </row>
        <row r="346">
          <cell r="G346">
            <v>2405150201</v>
          </cell>
          <cell r="H346" t="str">
            <v>113동</v>
          </cell>
          <cell r="I346">
            <v>240515</v>
          </cell>
          <cell r="J346" t="str">
            <v>21구간 버림</v>
          </cell>
          <cell r="K346">
            <v>40</v>
          </cell>
          <cell r="L346">
            <v>42</v>
          </cell>
          <cell r="M346">
            <v>1812</v>
          </cell>
          <cell r="N346" t="str">
            <v>한진</v>
          </cell>
          <cell r="O346" t="str">
            <v>펌프카(1대)</v>
          </cell>
          <cell r="P346">
            <v>1405</v>
          </cell>
          <cell r="Q346">
            <v>1519</v>
          </cell>
          <cell r="R346">
            <v>130</v>
          </cell>
          <cell r="S346">
            <v>46</v>
          </cell>
          <cell r="T346">
            <v>86</v>
          </cell>
          <cell r="U346">
            <v>273</v>
          </cell>
          <cell r="V346"/>
          <cell r="W346" t="str">
            <v>박순홍</v>
          </cell>
          <cell r="X346" t="str">
            <v>(인)</v>
          </cell>
          <cell r="Y346" t="str">
            <v>박순홍</v>
          </cell>
          <cell r="Z346" t="str">
            <v>(인)</v>
          </cell>
          <cell r="AA346" t="str">
            <v>이루비</v>
          </cell>
          <cell r="AB346" t="str">
            <v>(인)</v>
          </cell>
          <cell r="AC346" t="str">
            <v>정창인</v>
          </cell>
          <cell r="AD346" t="str">
            <v>(인)</v>
          </cell>
          <cell r="AE346">
            <v>179.2</v>
          </cell>
          <cell r="AF346" t="str">
            <v>표준</v>
          </cell>
          <cell r="AG346">
            <v>1</v>
          </cell>
          <cell r="AH346">
            <v>1</v>
          </cell>
          <cell r="AI346">
            <v>1538</v>
          </cell>
          <cell r="AJ346">
            <v>1520</v>
          </cell>
          <cell r="AK346">
            <v>124400</v>
          </cell>
          <cell r="AL346">
            <v>2271</v>
          </cell>
          <cell r="AM346">
            <v>2330</v>
          </cell>
          <cell r="AN346">
            <v>2286</v>
          </cell>
          <cell r="AO346">
            <v>2302</v>
          </cell>
          <cell r="AP346">
            <v>2279</v>
          </cell>
          <cell r="AQ346">
            <v>2284</v>
          </cell>
          <cell r="AR346">
            <v>2264</v>
          </cell>
          <cell r="AS346">
            <v>2307</v>
          </cell>
          <cell r="AT346">
            <v>177400</v>
          </cell>
        </row>
        <row r="347">
          <cell r="G347">
            <v>2405150301</v>
          </cell>
          <cell r="H347" t="str">
            <v>T/C, 116동</v>
          </cell>
          <cell r="I347">
            <v>240515</v>
          </cell>
          <cell r="J347" t="str">
            <v>T/C(9,10호기) 및 116동 E/V 기초</v>
          </cell>
          <cell r="K347">
            <v>580</v>
          </cell>
          <cell r="L347">
            <v>582</v>
          </cell>
          <cell r="M347">
            <v>2415</v>
          </cell>
          <cell r="N347" t="str">
            <v>대원</v>
          </cell>
          <cell r="O347" t="str">
            <v>펌프카(1대)</v>
          </cell>
          <cell r="P347">
            <v>727</v>
          </cell>
          <cell r="Q347">
            <v>1648</v>
          </cell>
          <cell r="R347">
            <v>140</v>
          </cell>
          <cell r="S347">
            <v>50</v>
          </cell>
          <cell r="T347">
            <v>64</v>
          </cell>
          <cell r="U347">
            <v>205</v>
          </cell>
          <cell r="V347"/>
          <cell r="W347" t="str">
            <v>박순홍</v>
          </cell>
          <cell r="X347" t="str">
            <v>(인)</v>
          </cell>
          <cell r="Y347" t="str">
            <v>박순홍</v>
          </cell>
          <cell r="Z347" t="str">
            <v>(인)</v>
          </cell>
          <cell r="AA347" t="str">
            <v>정창인</v>
          </cell>
          <cell r="AB347" t="str">
            <v>(인)</v>
          </cell>
          <cell r="AC347" t="str">
            <v>최인철</v>
          </cell>
          <cell r="AD347" t="str">
            <v>(인)</v>
          </cell>
          <cell r="AE347">
            <v>170.2</v>
          </cell>
          <cell r="AF347" t="str">
            <v>표준</v>
          </cell>
          <cell r="AG347">
            <v>1</v>
          </cell>
          <cell r="AH347">
            <v>1</v>
          </cell>
          <cell r="AI347">
            <v>2350</v>
          </cell>
          <cell r="AJ347">
            <v>2327</v>
          </cell>
          <cell r="AK347">
            <v>184200</v>
          </cell>
          <cell r="AL347">
            <v>3340</v>
          </cell>
          <cell r="AM347">
            <v>3389</v>
          </cell>
          <cell r="AN347">
            <v>3251</v>
          </cell>
          <cell r="AO347">
            <v>3343</v>
          </cell>
          <cell r="AP347">
            <v>3379</v>
          </cell>
          <cell r="AQ347">
            <v>3264</v>
          </cell>
          <cell r="AR347">
            <v>3392</v>
          </cell>
          <cell r="AS347">
            <v>3416</v>
          </cell>
          <cell r="AT347">
            <v>248800</v>
          </cell>
        </row>
        <row r="348">
          <cell r="G348">
            <v>2405150302</v>
          </cell>
          <cell r="H348" t="str">
            <v>T/C, 116동</v>
          </cell>
          <cell r="I348">
            <v>240515</v>
          </cell>
          <cell r="J348" t="str">
            <v>T/C(9,10호기) 및 116동 E/V 기초</v>
          </cell>
          <cell r="K348">
            <v>580</v>
          </cell>
          <cell r="L348">
            <v>582</v>
          </cell>
          <cell r="M348">
            <v>2415</v>
          </cell>
          <cell r="N348" t="str">
            <v>대원</v>
          </cell>
          <cell r="O348" t="str">
            <v>펌프카(1대)</v>
          </cell>
          <cell r="P348">
            <v>727</v>
          </cell>
          <cell r="Q348">
            <v>1648</v>
          </cell>
          <cell r="R348">
            <v>165</v>
          </cell>
          <cell r="S348">
            <v>42</v>
          </cell>
          <cell r="T348">
            <v>23</v>
          </cell>
          <cell r="U348">
            <v>248</v>
          </cell>
          <cell r="V348"/>
          <cell r="W348" t="str">
            <v>박순홍</v>
          </cell>
          <cell r="X348" t="str">
            <v>(인)</v>
          </cell>
          <cell r="Y348" t="str">
            <v>박순홍</v>
          </cell>
          <cell r="Z348" t="str">
            <v>(인)</v>
          </cell>
          <cell r="AA348" t="str">
            <v>이루비</v>
          </cell>
          <cell r="AB348" t="str">
            <v>(인)</v>
          </cell>
          <cell r="AC348" t="str">
            <v>최인철</v>
          </cell>
          <cell r="AD348" t="str">
            <v>(인)</v>
          </cell>
          <cell r="AE348">
            <v>177.6</v>
          </cell>
          <cell r="AF348" t="str">
            <v>표준</v>
          </cell>
          <cell r="AG348">
            <v>2</v>
          </cell>
          <cell r="AH348">
            <v>0</v>
          </cell>
        </row>
        <row r="349">
          <cell r="G349">
            <v>2405150303</v>
          </cell>
          <cell r="H349" t="str">
            <v>T/C, 116동</v>
          </cell>
          <cell r="I349">
            <v>240515</v>
          </cell>
          <cell r="J349" t="str">
            <v>T/C(9,10호기) 및 116동 E/V 기초</v>
          </cell>
          <cell r="K349">
            <v>580</v>
          </cell>
          <cell r="L349">
            <v>582</v>
          </cell>
          <cell r="M349">
            <v>2415</v>
          </cell>
          <cell r="N349" t="str">
            <v>대원</v>
          </cell>
          <cell r="O349" t="str">
            <v>펌프카(1대)</v>
          </cell>
          <cell r="P349">
            <v>727</v>
          </cell>
          <cell r="Q349">
            <v>1648</v>
          </cell>
          <cell r="R349">
            <v>165</v>
          </cell>
          <cell r="S349">
            <v>43</v>
          </cell>
          <cell r="T349">
            <v>64</v>
          </cell>
          <cell r="U349">
            <v>253</v>
          </cell>
          <cell r="V349"/>
          <cell r="W349" t="str">
            <v>박순홍</v>
          </cell>
          <cell r="X349" t="str">
            <v>(인)</v>
          </cell>
          <cell r="Y349" t="str">
            <v>박순홍</v>
          </cell>
          <cell r="Z349" t="str">
            <v>(인)</v>
          </cell>
          <cell r="AA349" t="str">
            <v>이루비</v>
          </cell>
          <cell r="AB349" t="str">
            <v>(인)</v>
          </cell>
          <cell r="AC349" t="str">
            <v>최인철</v>
          </cell>
          <cell r="AD349" t="str">
            <v>(인)</v>
          </cell>
          <cell r="AE349">
            <v>179.2</v>
          </cell>
          <cell r="AF349" t="str">
            <v>표준</v>
          </cell>
          <cell r="AG349">
            <v>3</v>
          </cell>
          <cell r="AH349">
            <v>0</v>
          </cell>
        </row>
        <row r="350">
          <cell r="G350">
            <v>2405150304</v>
          </cell>
          <cell r="H350" t="str">
            <v>T/C, 116동</v>
          </cell>
          <cell r="I350">
            <v>240515</v>
          </cell>
          <cell r="J350" t="str">
            <v>T/C(9,10호기) 및 116동 E/V 기초</v>
          </cell>
          <cell r="K350">
            <v>580</v>
          </cell>
          <cell r="L350">
            <v>582</v>
          </cell>
          <cell r="M350">
            <v>2415</v>
          </cell>
          <cell r="N350" t="str">
            <v>대원</v>
          </cell>
          <cell r="O350" t="str">
            <v>펌프카(1대)</v>
          </cell>
          <cell r="P350">
            <v>727</v>
          </cell>
          <cell r="Q350">
            <v>1648</v>
          </cell>
          <cell r="R350">
            <v>160</v>
          </cell>
          <cell r="S350">
            <v>52</v>
          </cell>
          <cell r="T350">
            <v>15</v>
          </cell>
          <cell r="U350">
            <v>259</v>
          </cell>
          <cell r="V350"/>
          <cell r="W350" t="str">
            <v>박순홍</v>
          </cell>
          <cell r="X350" t="str">
            <v>(인)</v>
          </cell>
          <cell r="Y350" t="str">
            <v>박순홍</v>
          </cell>
          <cell r="Z350" t="str">
            <v>(인)</v>
          </cell>
          <cell r="AA350" t="str">
            <v>이루비</v>
          </cell>
          <cell r="AB350" t="str">
            <v>(인)</v>
          </cell>
          <cell r="AC350" t="str">
            <v>최인철</v>
          </cell>
          <cell r="AD350" t="str">
            <v>(인)</v>
          </cell>
          <cell r="AE350">
            <v>178.7</v>
          </cell>
          <cell r="AF350" t="str">
            <v>표준</v>
          </cell>
          <cell r="AG350">
            <v>4</v>
          </cell>
          <cell r="AH350">
            <v>1</v>
          </cell>
          <cell r="AL350">
            <v>3371</v>
          </cell>
          <cell r="AM350">
            <v>3290</v>
          </cell>
          <cell r="AN350">
            <v>3216</v>
          </cell>
          <cell r="AO350">
            <v>3419</v>
          </cell>
          <cell r="AP350">
            <v>3361</v>
          </cell>
          <cell r="AQ350">
            <v>3361</v>
          </cell>
          <cell r="AR350">
            <v>3294</v>
          </cell>
          <cell r="AS350">
            <v>3364</v>
          </cell>
          <cell r="AT350">
            <v>267600</v>
          </cell>
        </row>
        <row r="351">
          <cell r="G351">
            <v>2405150305</v>
          </cell>
          <cell r="H351" t="str">
            <v>T/C, 116동</v>
          </cell>
          <cell r="I351">
            <v>240515</v>
          </cell>
          <cell r="J351" t="str">
            <v>T/C(9,10호기) 및 116동 E/V 기초</v>
          </cell>
          <cell r="K351">
            <v>580</v>
          </cell>
          <cell r="L351">
            <v>582</v>
          </cell>
          <cell r="M351">
            <v>2415</v>
          </cell>
          <cell r="N351" t="str">
            <v>대원</v>
          </cell>
          <cell r="O351" t="str">
            <v>펌프카(1대)</v>
          </cell>
          <cell r="P351">
            <v>727</v>
          </cell>
          <cell r="Q351">
            <v>1648</v>
          </cell>
          <cell r="R351">
            <v>165</v>
          </cell>
          <cell r="S351">
            <v>51</v>
          </cell>
          <cell r="T351">
            <v>82</v>
          </cell>
          <cell r="U351">
            <v>261</v>
          </cell>
          <cell r="V351"/>
          <cell r="W351" t="str">
            <v>박순홍</v>
          </cell>
          <cell r="X351" t="str">
            <v>(인)</v>
          </cell>
          <cell r="Y351" t="str">
            <v>박순홍</v>
          </cell>
          <cell r="Z351" t="str">
            <v>(인)</v>
          </cell>
          <cell r="AA351" t="str">
            <v>이루비</v>
          </cell>
          <cell r="AB351" t="str">
            <v>(인)</v>
          </cell>
          <cell r="AC351" t="str">
            <v>최인철</v>
          </cell>
          <cell r="AD351" t="str">
            <v>(인)</v>
          </cell>
          <cell r="AE351">
            <v>180.6</v>
          </cell>
          <cell r="AF351" t="str">
            <v>표준</v>
          </cell>
          <cell r="AG351">
            <v>5</v>
          </cell>
          <cell r="AH351">
            <v>0</v>
          </cell>
        </row>
        <row r="352">
          <cell r="G352">
            <v>2405150401</v>
          </cell>
          <cell r="H352" t="str">
            <v>117동</v>
          </cell>
          <cell r="I352">
            <v>240515</v>
          </cell>
          <cell r="J352" t="str">
            <v>117동 및 주변주차장 버림</v>
          </cell>
          <cell r="K352">
            <v>120</v>
          </cell>
          <cell r="L352">
            <v>120</v>
          </cell>
          <cell r="M352">
            <v>1812</v>
          </cell>
          <cell r="N352" t="str">
            <v>대원</v>
          </cell>
          <cell r="O352" t="str">
            <v>펌프카(1대)</v>
          </cell>
          <cell r="P352">
            <v>1537</v>
          </cell>
          <cell r="Q352">
            <v>1725</v>
          </cell>
          <cell r="R352">
            <v>105</v>
          </cell>
          <cell r="S352">
            <v>46</v>
          </cell>
          <cell r="T352">
            <v>76</v>
          </cell>
          <cell r="U352">
            <v>271</v>
          </cell>
          <cell r="V352"/>
          <cell r="W352" t="str">
            <v>박순홍</v>
          </cell>
          <cell r="X352" t="str">
            <v>(인)</v>
          </cell>
          <cell r="Y352" t="str">
            <v>박순홍</v>
          </cell>
          <cell r="Z352" t="str">
            <v>(인)</v>
          </cell>
          <cell r="AA352" t="str">
            <v>이루비</v>
          </cell>
          <cell r="AB352" t="str">
            <v>(인)</v>
          </cell>
          <cell r="AC352" t="str">
            <v>최인철</v>
          </cell>
          <cell r="AD352" t="str">
            <v>(인)</v>
          </cell>
          <cell r="AE352">
            <v>168.9</v>
          </cell>
          <cell r="AF352" t="str">
            <v>표준</v>
          </cell>
          <cell r="AG352">
            <v>1</v>
          </cell>
          <cell r="AH352">
            <v>1</v>
          </cell>
          <cell r="AI352">
            <v>1578</v>
          </cell>
          <cell r="AJ352">
            <v>1576</v>
          </cell>
          <cell r="AK352">
            <v>124800</v>
          </cell>
          <cell r="AL352">
            <v>2319</v>
          </cell>
          <cell r="AM352">
            <v>2284</v>
          </cell>
          <cell r="AN352">
            <v>2289</v>
          </cell>
          <cell r="AO352">
            <v>2279</v>
          </cell>
          <cell r="AP352">
            <v>2284</v>
          </cell>
          <cell r="AQ352">
            <v>2306</v>
          </cell>
          <cell r="AR352">
            <v>2377</v>
          </cell>
          <cell r="AS352">
            <v>2306</v>
          </cell>
          <cell r="AT352">
            <v>176600</v>
          </cell>
        </row>
        <row r="353">
          <cell r="G353">
            <v>2405160101</v>
          </cell>
          <cell r="H353" t="str">
            <v>102동</v>
          </cell>
          <cell r="I353">
            <v>240516</v>
          </cell>
          <cell r="J353" t="str">
            <v>102동 1차</v>
          </cell>
          <cell r="K353">
            <v>280</v>
          </cell>
          <cell r="L353">
            <v>276</v>
          </cell>
          <cell r="M353">
            <v>3015</v>
          </cell>
          <cell r="N353" t="str">
            <v>대공</v>
          </cell>
          <cell r="O353" t="str">
            <v>펌프카(1대)</v>
          </cell>
          <cell r="P353">
            <v>744</v>
          </cell>
          <cell r="Q353">
            <v>1333</v>
          </cell>
          <cell r="R353">
            <v>155</v>
          </cell>
          <cell r="S353">
            <v>40</v>
          </cell>
          <cell r="T353">
            <v>24</v>
          </cell>
          <cell r="U353">
            <v>175</v>
          </cell>
          <cell r="V353"/>
          <cell r="W353" t="str">
            <v>박순홍</v>
          </cell>
          <cell r="X353" t="str">
            <v>(인)</v>
          </cell>
          <cell r="Y353" t="str">
            <v>박순홍</v>
          </cell>
          <cell r="Z353" t="str">
            <v>(인)</v>
          </cell>
          <cell r="AA353" t="str">
            <v>이홍걸</v>
          </cell>
          <cell r="AB353" t="str">
            <v>(인)</v>
          </cell>
          <cell r="AC353" t="str">
            <v>이홍걸</v>
          </cell>
          <cell r="AD353" t="str">
            <v>(인)</v>
          </cell>
          <cell r="AE353">
            <v>175.4</v>
          </cell>
          <cell r="AF353" t="str">
            <v>표준</v>
          </cell>
          <cell r="AG353">
            <v>1</v>
          </cell>
          <cell r="AH353">
            <v>1</v>
          </cell>
          <cell r="AI353">
            <v>3017</v>
          </cell>
          <cell r="AJ353">
            <v>2986</v>
          </cell>
          <cell r="AK353">
            <v>234000</v>
          </cell>
          <cell r="AL353">
            <v>3627</v>
          </cell>
          <cell r="AM353">
            <v>3844</v>
          </cell>
          <cell r="AN353">
            <v>3571</v>
          </cell>
          <cell r="AO353">
            <v>3888</v>
          </cell>
          <cell r="AP353">
            <v>3841</v>
          </cell>
          <cell r="AQ353">
            <v>3639</v>
          </cell>
          <cell r="AR353">
            <v>3710</v>
          </cell>
          <cell r="AS353">
            <v>3615</v>
          </cell>
          <cell r="AT353">
            <v>312400</v>
          </cell>
        </row>
        <row r="354">
          <cell r="G354">
            <v>2405160102</v>
          </cell>
          <cell r="H354" t="str">
            <v>102동</v>
          </cell>
          <cell r="I354">
            <v>240516</v>
          </cell>
          <cell r="J354" t="str">
            <v>102동 1차</v>
          </cell>
          <cell r="K354">
            <v>280</v>
          </cell>
          <cell r="L354">
            <v>276</v>
          </cell>
          <cell r="M354">
            <v>3015</v>
          </cell>
          <cell r="N354" t="str">
            <v>대공</v>
          </cell>
          <cell r="O354" t="str">
            <v>펌프카(1대)</v>
          </cell>
          <cell r="P354">
            <v>744</v>
          </cell>
          <cell r="Q354">
            <v>1333</v>
          </cell>
          <cell r="R354">
            <v>160</v>
          </cell>
          <cell r="S354">
            <v>47</v>
          </cell>
          <cell r="T354">
            <v>42</v>
          </cell>
          <cell r="U354">
            <v>179</v>
          </cell>
          <cell r="V354"/>
          <cell r="W354" t="str">
            <v>박순홍</v>
          </cell>
          <cell r="X354" t="str">
            <v>(인)</v>
          </cell>
          <cell r="Y354" t="str">
            <v>박순홍</v>
          </cell>
          <cell r="Z354" t="str">
            <v>(인)</v>
          </cell>
          <cell r="AA354" t="str">
            <v>이홍걸</v>
          </cell>
          <cell r="AB354" t="str">
            <v>(인)</v>
          </cell>
          <cell r="AC354" t="str">
            <v>이홍걸</v>
          </cell>
          <cell r="AD354" t="str">
            <v>(인)</v>
          </cell>
          <cell r="AE354">
            <v>176.3</v>
          </cell>
          <cell r="AF354" t="str">
            <v>표준</v>
          </cell>
          <cell r="AG354">
            <v>2</v>
          </cell>
          <cell r="AH354">
            <v>0</v>
          </cell>
        </row>
        <row r="355">
          <cell r="G355">
            <v>2405160103</v>
          </cell>
          <cell r="H355" t="str">
            <v>102동</v>
          </cell>
          <cell r="I355">
            <v>240516</v>
          </cell>
          <cell r="J355" t="str">
            <v>102동 1차</v>
          </cell>
          <cell r="K355">
            <v>280</v>
          </cell>
          <cell r="L355">
            <v>276</v>
          </cell>
          <cell r="M355">
            <v>3015</v>
          </cell>
          <cell r="N355" t="str">
            <v>대공</v>
          </cell>
          <cell r="O355" t="str">
            <v>펌프카(1대)</v>
          </cell>
          <cell r="P355">
            <v>744</v>
          </cell>
          <cell r="Q355">
            <v>1333</v>
          </cell>
          <cell r="R355">
            <v>165</v>
          </cell>
          <cell r="S355">
            <v>50</v>
          </cell>
          <cell r="T355">
            <v>48</v>
          </cell>
          <cell r="U355">
            <v>172</v>
          </cell>
          <cell r="V355"/>
          <cell r="W355" t="str">
            <v>박순홍</v>
          </cell>
          <cell r="X355" t="str">
            <v>(인)</v>
          </cell>
          <cell r="Y355" t="str">
            <v>박순홍</v>
          </cell>
          <cell r="Z355" t="str">
            <v>(인)</v>
          </cell>
          <cell r="AA355" t="str">
            <v>이홍걸</v>
          </cell>
          <cell r="AB355" t="str">
            <v>(인)</v>
          </cell>
          <cell r="AC355" t="str">
            <v>이홍걸</v>
          </cell>
          <cell r="AD355" t="str">
            <v>(인)</v>
          </cell>
          <cell r="AE355">
            <v>174.3</v>
          </cell>
          <cell r="AF355" t="str">
            <v>표준</v>
          </cell>
          <cell r="AG355">
            <v>3</v>
          </cell>
          <cell r="AH355">
            <v>0</v>
          </cell>
        </row>
        <row r="356">
          <cell r="G356">
            <v>2405160201</v>
          </cell>
          <cell r="H356" t="str">
            <v>102동</v>
          </cell>
          <cell r="I356">
            <v>240516</v>
          </cell>
          <cell r="J356" t="str">
            <v>102동 1차</v>
          </cell>
          <cell r="K356">
            <v>300</v>
          </cell>
          <cell r="L356">
            <v>300</v>
          </cell>
          <cell r="M356">
            <v>3015</v>
          </cell>
          <cell r="N356" t="str">
            <v>대성</v>
          </cell>
          <cell r="O356" t="str">
            <v>펌프카(1대)</v>
          </cell>
          <cell r="P356">
            <v>750</v>
          </cell>
          <cell r="Q356">
            <v>1344</v>
          </cell>
          <cell r="R356">
            <v>165</v>
          </cell>
          <cell r="S356">
            <v>46</v>
          </cell>
          <cell r="T356">
            <v>71</v>
          </cell>
          <cell r="U356">
            <v>159</v>
          </cell>
          <cell r="V356"/>
          <cell r="W356" t="str">
            <v>박순홍</v>
          </cell>
          <cell r="X356" t="str">
            <v>(인)</v>
          </cell>
          <cell r="Y356" t="str">
            <v>박순홍</v>
          </cell>
          <cell r="Z356" t="str">
            <v>(인)</v>
          </cell>
          <cell r="AA356" t="str">
            <v>이홍걸</v>
          </cell>
          <cell r="AB356" t="str">
            <v>(인)</v>
          </cell>
          <cell r="AC356" t="str">
            <v>이홍걸</v>
          </cell>
          <cell r="AD356" t="str">
            <v>(인)</v>
          </cell>
          <cell r="AE356">
            <v>180.6</v>
          </cell>
          <cell r="AF356" t="str">
            <v>표준</v>
          </cell>
          <cell r="AG356">
            <v>1</v>
          </cell>
          <cell r="AH356">
            <v>1</v>
          </cell>
          <cell r="AI356">
            <v>2923</v>
          </cell>
          <cell r="AJ356">
            <v>2906</v>
          </cell>
          <cell r="AK356">
            <v>226200</v>
          </cell>
          <cell r="AL356">
            <v>3868</v>
          </cell>
          <cell r="AM356">
            <v>3944</v>
          </cell>
          <cell r="AN356">
            <v>3893</v>
          </cell>
          <cell r="AO356">
            <v>3927</v>
          </cell>
          <cell r="AP356">
            <v>3864</v>
          </cell>
          <cell r="AQ356">
            <v>4012</v>
          </cell>
          <cell r="AR356">
            <v>3876</v>
          </cell>
          <cell r="AS356">
            <v>3976</v>
          </cell>
          <cell r="AT356">
            <v>309400</v>
          </cell>
        </row>
        <row r="357">
          <cell r="G357">
            <v>2405160202</v>
          </cell>
          <cell r="H357" t="str">
            <v>102동</v>
          </cell>
          <cell r="I357">
            <v>240516</v>
          </cell>
          <cell r="J357" t="str">
            <v>102동 1차</v>
          </cell>
          <cell r="K357">
            <v>300</v>
          </cell>
          <cell r="L357">
            <v>300</v>
          </cell>
          <cell r="M357">
            <v>3015</v>
          </cell>
          <cell r="N357" t="str">
            <v>대성</v>
          </cell>
          <cell r="O357" t="str">
            <v>펌프카(1대)</v>
          </cell>
          <cell r="P357">
            <v>750</v>
          </cell>
          <cell r="Q357">
            <v>1344</v>
          </cell>
          <cell r="R357">
            <v>165</v>
          </cell>
          <cell r="S357">
            <v>52</v>
          </cell>
          <cell r="T357">
            <v>18</v>
          </cell>
          <cell r="U357">
            <v>190</v>
          </cell>
          <cell r="V357"/>
          <cell r="W357" t="str">
            <v>박순홍</v>
          </cell>
          <cell r="X357" t="str">
            <v>(인)</v>
          </cell>
          <cell r="Y357" t="str">
            <v>박순홍</v>
          </cell>
          <cell r="Z357" t="str">
            <v>(인)</v>
          </cell>
          <cell r="AA357" t="str">
            <v>이홍걸</v>
          </cell>
          <cell r="AB357" t="str">
            <v>(인)</v>
          </cell>
          <cell r="AC357" t="str">
            <v>이홍걸</v>
          </cell>
          <cell r="AD357" t="str">
            <v>(인)</v>
          </cell>
          <cell r="AE357">
            <v>179.4</v>
          </cell>
          <cell r="AF357" t="str">
            <v>표준</v>
          </cell>
          <cell r="AG357">
            <v>2</v>
          </cell>
          <cell r="AH357">
            <v>0</v>
          </cell>
        </row>
        <row r="358">
          <cell r="G358">
            <v>2405160203</v>
          </cell>
          <cell r="H358" t="str">
            <v>102동</v>
          </cell>
          <cell r="I358">
            <v>240516</v>
          </cell>
          <cell r="J358" t="str">
            <v>102동 1차</v>
          </cell>
          <cell r="K358">
            <v>300</v>
          </cell>
          <cell r="L358">
            <v>300</v>
          </cell>
          <cell r="M358">
            <v>3015</v>
          </cell>
          <cell r="N358" t="str">
            <v>대성</v>
          </cell>
          <cell r="O358" t="str">
            <v>펌프카(1대)</v>
          </cell>
          <cell r="P358">
            <v>750</v>
          </cell>
          <cell r="Q358">
            <v>1344</v>
          </cell>
          <cell r="R358">
            <v>170</v>
          </cell>
          <cell r="S358">
            <v>44</v>
          </cell>
          <cell r="T358">
            <v>26</v>
          </cell>
          <cell r="U358">
            <v>196</v>
          </cell>
          <cell r="V358"/>
          <cell r="W358" t="str">
            <v>박순홍</v>
          </cell>
          <cell r="X358" t="str">
            <v>(인)</v>
          </cell>
          <cell r="Y358" t="str">
            <v>박순홍</v>
          </cell>
          <cell r="Z358" t="str">
            <v>(인)</v>
          </cell>
          <cell r="AA358" t="str">
            <v>이홍걸</v>
          </cell>
          <cell r="AB358" t="str">
            <v>(인)</v>
          </cell>
          <cell r="AC358" t="str">
            <v>이홍걸</v>
          </cell>
          <cell r="AD358" t="str">
            <v>(인)</v>
          </cell>
          <cell r="AE358">
            <v>180.6</v>
          </cell>
          <cell r="AF358" t="str">
            <v>표준</v>
          </cell>
          <cell r="AG358">
            <v>3</v>
          </cell>
          <cell r="AH358">
            <v>0</v>
          </cell>
        </row>
        <row r="359">
          <cell r="G359">
            <v>2405160301</v>
          </cell>
          <cell r="H359" t="str">
            <v>102동</v>
          </cell>
          <cell r="I359">
            <v>240516</v>
          </cell>
          <cell r="J359" t="str">
            <v>102동 1차</v>
          </cell>
          <cell r="K359">
            <v>120</v>
          </cell>
          <cell r="L359">
            <v>120</v>
          </cell>
          <cell r="M359">
            <v>2715</v>
          </cell>
          <cell r="N359" t="str">
            <v>대공</v>
          </cell>
          <cell r="O359" t="str">
            <v>펌프카(1대)</v>
          </cell>
          <cell r="P359">
            <v>1119</v>
          </cell>
          <cell r="Q359">
            <v>1343</v>
          </cell>
          <cell r="R359">
            <v>155</v>
          </cell>
          <cell r="S359">
            <v>44</v>
          </cell>
          <cell r="T359">
            <v>73</v>
          </cell>
          <cell r="U359">
            <v>262</v>
          </cell>
          <cell r="V359"/>
          <cell r="W359" t="str">
            <v>박순홍</v>
          </cell>
          <cell r="X359" t="str">
            <v>(인)</v>
          </cell>
          <cell r="Y359" t="str">
            <v>박순홍</v>
          </cell>
          <cell r="Z359" t="str">
            <v>(인)</v>
          </cell>
          <cell r="AA359" t="str">
            <v>이홍걸</v>
          </cell>
          <cell r="AB359" t="str">
            <v>(인)</v>
          </cell>
          <cell r="AC359" t="str">
            <v>이홍걸</v>
          </cell>
          <cell r="AD359" t="str">
            <v>(인)</v>
          </cell>
          <cell r="AE359">
            <v>179.3</v>
          </cell>
          <cell r="AF359" t="str">
            <v>표준</v>
          </cell>
          <cell r="AG359">
            <v>1</v>
          </cell>
          <cell r="AH359">
            <v>1</v>
          </cell>
          <cell r="AI359">
            <v>2513</v>
          </cell>
          <cell r="AJ359">
            <v>2506</v>
          </cell>
          <cell r="AK359">
            <v>200000</v>
          </cell>
          <cell r="AL359">
            <v>3539</v>
          </cell>
          <cell r="AM359">
            <v>3501</v>
          </cell>
          <cell r="AN359">
            <v>3622</v>
          </cell>
          <cell r="AO359">
            <v>3520</v>
          </cell>
          <cell r="AP359">
            <v>3601</v>
          </cell>
          <cell r="AQ359">
            <v>3488</v>
          </cell>
          <cell r="AR359">
            <v>3514</v>
          </cell>
          <cell r="AS359">
            <v>3508</v>
          </cell>
          <cell r="AT359">
            <v>272400</v>
          </cell>
        </row>
        <row r="360">
          <cell r="G360">
            <v>2405160401</v>
          </cell>
          <cell r="H360" t="str">
            <v>102동</v>
          </cell>
          <cell r="I360">
            <v>240516</v>
          </cell>
          <cell r="J360" t="str">
            <v>102동 1차</v>
          </cell>
          <cell r="K360">
            <v>60</v>
          </cell>
          <cell r="L360">
            <v>58</v>
          </cell>
          <cell r="M360">
            <v>2715</v>
          </cell>
          <cell r="N360" t="str">
            <v>대성</v>
          </cell>
          <cell r="O360" t="str">
            <v>펌프카(1대)</v>
          </cell>
          <cell r="P360">
            <v>1340</v>
          </cell>
          <cell r="Q360">
            <v>1533</v>
          </cell>
          <cell r="R360">
            <v>165</v>
          </cell>
          <cell r="S360">
            <v>42</v>
          </cell>
          <cell r="T360">
            <v>47</v>
          </cell>
          <cell r="U360">
            <v>205</v>
          </cell>
          <cell r="V360"/>
          <cell r="W360" t="str">
            <v>박순홍</v>
          </cell>
          <cell r="X360" t="str">
            <v>(인)</v>
          </cell>
          <cell r="Y360" t="str">
            <v>박순홍</v>
          </cell>
          <cell r="Z360" t="str">
            <v>(인)</v>
          </cell>
          <cell r="AA360" t="str">
            <v>이홍걸</v>
          </cell>
          <cell r="AB360" t="str">
            <v>(인)</v>
          </cell>
          <cell r="AC360" t="str">
            <v>이홍걸</v>
          </cell>
          <cell r="AD360" t="str">
            <v>(인)</v>
          </cell>
          <cell r="AE360">
            <v>182.3</v>
          </cell>
          <cell r="AF360" t="str">
            <v>표준</v>
          </cell>
          <cell r="AG360">
            <v>1</v>
          </cell>
          <cell r="AH360">
            <v>1</v>
          </cell>
          <cell r="AI360">
            <v>2475</v>
          </cell>
          <cell r="AJ360">
            <v>2502</v>
          </cell>
          <cell r="AK360">
            <v>194800</v>
          </cell>
          <cell r="AL360">
            <v>3478</v>
          </cell>
          <cell r="AM360">
            <v>3542</v>
          </cell>
          <cell r="AN360">
            <v>3552</v>
          </cell>
          <cell r="AO360">
            <v>3607</v>
          </cell>
          <cell r="AP360">
            <v>3489</v>
          </cell>
          <cell r="AQ360">
            <v>3527</v>
          </cell>
          <cell r="AR360">
            <v>3607</v>
          </cell>
          <cell r="AS360">
            <v>3514</v>
          </cell>
          <cell r="AT360">
            <v>281600</v>
          </cell>
        </row>
        <row r="361">
          <cell r="G361">
            <v>2405170101</v>
          </cell>
          <cell r="H361" t="str">
            <v>101동</v>
          </cell>
          <cell r="I361">
            <v>240517</v>
          </cell>
          <cell r="J361" t="str">
            <v>101동 주변 주차장(16구간) 버림</v>
          </cell>
          <cell r="K361">
            <v>80</v>
          </cell>
          <cell r="L361">
            <v>75</v>
          </cell>
          <cell r="M361">
            <v>1812</v>
          </cell>
          <cell r="N361" t="str">
            <v>한라</v>
          </cell>
          <cell r="O361" t="str">
            <v>펌프카(1대)</v>
          </cell>
          <cell r="P361">
            <v>932</v>
          </cell>
          <cell r="Q361">
            <v>1210</v>
          </cell>
          <cell r="R361">
            <v>130</v>
          </cell>
          <cell r="S361">
            <v>36</v>
          </cell>
          <cell r="T361">
            <v>13</v>
          </cell>
          <cell r="U361">
            <v>250</v>
          </cell>
          <cell r="V361"/>
          <cell r="W361" t="str">
            <v>박순홍</v>
          </cell>
          <cell r="X361" t="str">
            <v>(인)</v>
          </cell>
          <cell r="Y361" t="str">
            <v>박순홍</v>
          </cell>
          <cell r="Z361" t="str">
            <v>(인)</v>
          </cell>
          <cell r="AA361" t="str">
            <v>이홍걸</v>
          </cell>
          <cell r="AB361" t="str">
            <v>(인)</v>
          </cell>
          <cell r="AC361" t="str">
            <v>이홍걸</v>
          </cell>
          <cell r="AD361" t="str">
            <v>(인)</v>
          </cell>
          <cell r="AE361">
            <v>164.7</v>
          </cell>
          <cell r="AF361" t="str">
            <v>표준</v>
          </cell>
          <cell r="AG361">
            <v>1</v>
          </cell>
          <cell r="AH361">
            <v>1</v>
          </cell>
          <cell r="AI361">
            <v>1517</v>
          </cell>
          <cell r="AJ361">
            <v>1521</v>
          </cell>
          <cell r="AK361">
            <v>120800</v>
          </cell>
          <cell r="AL361">
            <v>2193</v>
          </cell>
          <cell r="AM361">
            <v>2284</v>
          </cell>
          <cell r="AN361">
            <v>2270</v>
          </cell>
          <cell r="AO361">
            <v>2236</v>
          </cell>
          <cell r="AP361">
            <v>2317</v>
          </cell>
          <cell r="AQ361">
            <v>2266</v>
          </cell>
          <cell r="AR361">
            <v>2329</v>
          </cell>
          <cell r="AS361">
            <v>2243</v>
          </cell>
          <cell r="AT361">
            <v>175000</v>
          </cell>
        </row>
        <row r="362">
          <cell r="G362">
            <v>2405200101</v>
          </cell>
          <cell r="H362" t="str">
            <v>113동</v>
          </cell>
          <cell r="I362">
            <v>240520</v>
          </cell>
          <cell r="J362" t="str">
            <v>113동 주변주차장 (21구간) 기초</v>
          </cell>
          <cell r="K362">
            <v>380</v>
          </cell>
          <cell r="L362">
            <v>378</v>
          </cell>
          <cell r="M362">
            <v>2415</v>
          </cell>
          <cell r="N362" t="str">
            <v>신우</v>
          </cell>
          <cell r="O362" t="str">
            <v>펌프카(1대)</v>
          </cell>
          <cell r="P362">
            <v>757</v>
          </cell>
          <cell r="Q362">
            <v>1330</v>
          </cell>
          <cell r="R362">
            <v>155</v>
          </cell>
          <cell r="S362">
            <v>48</v>
          </cell>
          <cell r="T362">
            <v>41</v>
          </cell>
          <cell r="U362">
            <v>233</v>
          </cell>
          <cell r="V362"/>
          <cell r="W362" t="str">
            <v>박순홍</v>
          </cell>
          <cell r="X362" t="str">
            <v>(인)</v>
          </cell>
          <cell r="Y362" t="str">
            <v>박순홍</v>
          </cell>
          <cell r="Z362" t="str">
            <v>(인)</v>
          </cell>
          <cell r="AA362" t="str">
            <v>정창인</v>
          </cell>
          <cell r="AB362" t="str">
            <v>(인)</v>
          </cell>
          <cell r="AC362" t="str">
            <v>정창인</v>
          </cell>
          <cell r="AD362" t="str">
            <v>(인)</v>
          </cell>
          <cell r="AE362">
            <v>186.2</v>
          </cell>
          <cell r="AF362" t="str">
            <v>표준</v>
          </cell>
          <cell r="AG362">
            <v>1</v>
          </cell>
          <cell r="AH362">
            <v>1</v>
          </cell>
          <cell r="AI362">
            <v>2332</v>
          </cell>
          <cell r="AJ362">
            <v>2262</v>
          </cell>
          <cell r="AK362">
            <v>186600</v>
          </cell>
          <cell r="AL362">
            <v>3216</v>
          </cell>
          <cell r="AM362">
            <v>3246</v>
          </cell>
          <cell r="AN362">
            <v>3292</v>
          </cell>
          <cell r="AO362">
            <v>3116</v>
          </cell>
          <cell r="AP362">
            <v>3178</v>
          </cell>
          <cell r="AQ362">
            <v>3294</v>
          </cell>
          <cell r="AR362">
            <v>3214</v>
          </cell>
          <cell r="AS362">
            <v>3337</v>
          </cell>
          <cell r="AT362">
            <v>258000</v>
          </cell>
        </row>
        <row r="363">
          <cell r="G363">
            <v>2405200102</v>
          </cell>
          <cell r="H363" t="str">
            <v>113동</v>
          </cell>
          <cell r="I363">
            <v>240520</v>
          </cell>
          <cell r="J363" t="str">
            <v>113동 주변주차장 (21구간) 기초</v>
          </cell>
          <cell r="K363">
            <v>380</v>
          </cell>
          <cell r="L363">
            <v>378</v>
          </cell>
          <cell r="M363">
            <v>2415</v>
          </cell>
          <cell r="N363" t="str">
            <v>신우</v>
          </cell>
          <cell r="O363" t="str">
            <v>펌프카(1대)</v>
          </cell>
          <cell r="P363">
            <v>757</v>
          </cell>
          <cell r="Q363">
            <v>1330</v>
          </cell>
          <cell r="R363">
            <v>150</v>
          </cell>
          <cell r="S363">
            <v>42</v>
          </cell>
          <cell r="T363">
            <v>30</v>
          </cell>
          <cell r="U363">
            <v>249</v>
          </cell>
          <cell r="V363"/>
          <cell r="W363" t="str">
            <v>박순홍</v>
          </cell>
          <cell r="X363" t="str">
            <v>(인)</v>
          </cell>
          <cell r="Y363" t="str">
            <v>박순홍</v>
          </cell>
          <cell r="Z363" t="str">
            <v>(인)</v>
          </cell>
          <cell r="AA363" t="str">
            <v>이루비</v>
          </cell>
          <cell r="AB363" t="str">
            <v>(인)</v>
          </cell>
          <cell r="AC363" t="str">
            <v>정창인</v>
          </cell>
          <cell r="AD363" t="str">
            <v>(인)</v>
          </cell>
          <cell r="AE363">
            <v>182.3</v>
          </cell>
          <cell r="AF363" t="str">
            <v>표준</v>
          </cell>
          <cell r="AG363">
            <v>2</v>
          </cell>
          <cell r="AH363">
            <v>0</v>
          </cell>
        </row>
        <row r="364">
          <cell r="G364">
            <v>2405200103</v>
          </cell>
          <cell r="H364" t="str">
            <v>113동</v>
          </cell>
          <cell r="I364">
            <v>240520</v>
          </cell>
          <cell r="J364" t="str">
            <v>113동 주변주차장 (21구간) 기초</v>
          </cell>
          <cell r="K364">
            <v>380</v>
          </cell>
          <cell r="L364">
            <v>378</v>
          </cell>
          <cell r="M364">
            <v>2415</v>
          </cell>
          <cell r="N364" t="str">
            <v>신우</v>
          </cell>
          <cell r="O364" t="str">
            <v>펌프카(1대)</v>
          </cell>
          <cell r="P364">
            <v>757</v>
          </cell>
          <cell r="Q364">
            <v>1330</v>
          </cell>
          <cell r="R364">
            <v>155</v>
          </cell>
          <cell r="S364">
            <v>46</v>
          </cell>
          <cell r="T364">
            <v>28</v>
          </cell>
          <cell r="U364">
            <v>236</v>
          </cell>
          <cell r="V364"/>
          <cell r="W364" t="str">
            <v>박순홍</v>
          </cell>
          <cell r="X364" t="str">
            <v>(인)</v>
          </cell>
          <cell r="Y364" t="str">
            <v>박순홍</v>
          </cell>
          <cell r="Z364" t="str">
            <v>(인)</v>
          </cell>
          <cell r="AA364" t="str">
            <v>이루비</v>
          </cell>
          <cell r="AB364" t="str">
            <v>(인)</v>
          </cell>
          <cell r="AC364" t="str">
            <v>정창인</v>
          </cell>
          <cell r="AD364" t="str">
            <v>(인)</v>
          </cell>
          <cell r="AE364">
            <v>188.7</v>
          </cell>
          <cell r="AF364" t="str">
            <v>표준</v>
          </cell>
          <cell r="AG364">
            <v>3</v>
          </cell>
          <cell r="AH364">
            <v>0</v>
          </cell>
        </row>
        <row r="365">
          <cell r="G365">
            <v>2405200104</v>
          </cell>
          <cell r="H365" t="str">
            <v>113동</v>
          </cell>
          <cell r="I365">
            <v>240520</v>
          </cell>
          <cell r="J365" t="str">
            <v>113동 주변주차장 (21구간) 기초</v>
          </cell>
          <cell r="K365">
            <v>380</v>
          </cell>
          <cell r="L365">
            <v>378</v>
          </cell>
          <cell r="M365">
            <v>2415</v>
          </cell>
          <cell r="N365" t="str">
            <v>신우</v>
          </cell>
          <cell r="O365" t="str">
            <v>펌프카(1대)</v>
          </cell>
          <cell r="P365">
            <v>757</v>
          </cell>
          <cell r="Q365">
            <v>1330</v>
          </cell>
          <cell r="R365">
            <v>160</v>
          </cell>
          <cell r="S365">
            <v>46</v>
          </cell>
          <cell r="T365">
            <v>30</v>
          </cell>
          <cell r="U365">
            <v>248</v>
          </cell>
          <cell r="V365"/>
          <cell r="W365" t="str">
            <v>박순홍</v>
          </cell>
          <cell r="X365" t="str">
            <v>(인)</v>
          </cell>
          <cell r="Y365" t="str">
            <v>박순홍</v>
          </cell>
          <cell r="Z365" t="str">
            <v>(인)</v>
          </cell>
          <cell r="AA365" t="str">
            <v>이루비</v>
          </cell>
          <cell r="AB365" t="str">
            <v>(인)</v>
          </cell>
          <cell r="AC365" t="str">
            <v>정창인</v>
          </cell>
          <cell r="AD365" t="str">
            <v>(인)</v>
          </cell>
          <cell r="AE365">
            <v>191.3</v>
          </cell>
          <cell r="AF365" t="str">
            <v>표준</v>
          </cell>
          <cell r="AG365">
            <v>4</v>
          </cell>
          <cell r="AH365">
            <v>1</v>
          </cell>
          <cell r="AL365">
            <v>3216</v>
          </cell>
          <cell r="AM365">
            <v>3254</v>
          </cell>
          <cell r="AN365">
            <v>3277</v>
          </cell>
          <cell r="AO365">
            <v>3317</v>
          </cell>
          <cell r="AP365">
            <v>3319</v>
          </cell>
          <cell r="AQ365">
            <v>3420</v>
          </cell>
          <cell r="AR365">
            <v>3279</v>
          </cell>
          <cell r="AS365">
            <v>3233</v>
          </cell>
          <cell r="AT365">
            <v>252400</v>
          </cell>
        </row>
        <row r="366">
          <cell r="G366">
            <v>2405210101</v>
          </cell>
          <cell r="H366" t="str">
            <v>116동</v>
          </cell>
          <cell r="I366">
            <v>240521</v>
          </cell>
          <cell r="J366" t="str">
            <v>116동 및 주변주차장 기초</v>
          </cell>
          <cell r="K366">
            <v>670</v>
          </cell>
          <cell r="L366">
            <v>666</v>
          </cell>
          <cell r="M366">
            <v>2415</v>
          </cell>
          <cell r="N366" t="str">
            <v>쌍용</v>
          </cell>
          <cell r="O366" t="str">
            <v>펌프카(1대)</v>
          </cell>
          <cell r="P366">
            <v>737</v>
          </cell>
          <cell r="Q366">
            <v>1550</v>
          </cell>
          <cell r="R366">
            <v>155</v>
          </cell>
          <cell r="S366">
            <v>45</v>
          </cell>
          <cell r="T366">
            <v>59</v>
          </cell>
          <cell r="U366">
            <v>178</v>
          </cell>
          <cell r="V366"/>
          <cell r="W366" t="str">
            <v>박순홍</v>
          </cell>
          <cell r="X366" t="str">
            <v>(인)</v>
          </cell>
          <cell r="Y366" t="str">
            <v>박순홍</v>
          </cell>
          <cell r="Z366" t="str">
            <v>(인)</v>
          </cell>
          <cell r="AA366" t="str">
            <v>최인철</v>
          </cell>
          <cell r="AB366" t="str">
            <v>(인)</v>
          </cell>
          <cell r="AC366" t="str">
            <v>임영구</v>
          </cell>
          <cell r="AD366" t="str">
            <v>(인)</v>
          </cell>
          <cell r="AE366">
            <v>175.4</v>
          </cell>
          <cell r="AF366" t="str">
            <v>표준</v>
          </cell>
          <cell r="AG366">
            <v>1</v>
          </cell>
          <cell r="AH366">
            <v>1</v>
          </cell>
          <cell r="AI366">
            <v>2065</v>
          </cell>
          <cell r="AJ366">
            <v>1993</v>
          </cell>
          <cell r="AK366">
            <v>161600</v>
          </cell>
          <cell r="AL366">
            <v>3091</v>
          </cell>
          <cell r="AM366">
            <v>3142</v>
          </cell>
          <cell r="AN366">
            <v>3096</v>
          </cell>
          <cell r="AO366">
            <v>3216</v>
          </cell>
          <cell r="AP366">
            <v>3317</v>
          </cell>
          <cell r="AQ366">
            <v>3216</v>
          </cell>
          <cell r="AR366">
            <v>3210</v>
          </cell>
          <cell r="AS366">
            <v>3304</v>
          </cell>
          <cell r="AT366">
            <v>249800</v>
          </cell>
        </row>
        <row r="367">
          <cell r="G367">
            <v>2405210102</v>
          </cell>
          <cell r="H367" t="str">
            <v>116동</v>
          </cell>
          <cell r="I367">
            <v>240521</v>
          </cell>
          <cell r="J367" t="str">
            <v>116동 및 주변주차장 기초</v>
          </cell>
          <cell r="K367">
            <v>670</v>
          </cell>
          <cell r="L367">
            <v>666</v>
          </cell>
          <cell r="M367">
            <v>2415</v>
          </cell>
          <cell r="N367" t="str">
            <v>쌍용</v>
          </cell>
          <cell r="O367" t="str">
            <v>펌프카(1대)</v>
          </cell>
          <cell r="P367">
            <v>737</v>
          </cell>
          <cell r="Q367">
            <v>1550</v>
          </cell>
          <cell r="R367">
            <v>160</v>
          </cell>
          <cell r="S367">
            <v>45</v>
          </cell>
          <cell r="T367">
            <v>160</v>
          </cell>
          <cell r="U367">
            <v>190</v>
          </cell>
          <cell r="V367"/>
          <cell r="W367" t="str">
            <v>박순홍</v>
          </cell>
          <cell r="X367" t="str">
            <v>(인)</v>
          </cell>
          <cell r="Y367" t="str">
            <v>박순홍</v>
          </cell>
          <cell r="Z367" t="str">
            <v>(인)</v>
          </cell>
          <cell r="AA367" t="str">
            <v>최인철</v>
          </cell>
          <cell r="AB367" t="str">
            <v>(인)</v>
          </cell>
          <cell r="AC367" t="str">
            <v>임영구</v>
          </cell>
          <cell r="AD367" t="str">
            <v>(인)</v>
          </cell>
          <cell r="AE367">
            <v>181.8</v>
          </cell>
          <cell r="AF367" t="str">
            <v>표준</v>
          </cell>
          <cell r="AG367">
            <v>2</v>
          </cell>
          <cell r="AH367">
            <v>0</v>
          </cell>
        </row>
        <row r="368">
          <cell r="G368">
            <v>2405210103</v>
          </cell>
          <cell r="H368" t="str">
            <v>116동</v>
          </cell>
          <cell r="I368">
            <v>240521</v>
          </cell>
          <cell r="J368" t="str">
            <v>116동 및 주변주차장 기초</v>
          </cell>
          <cell r="K368">
            <v>670</v>
          </cell>
          <cell r="L368">
            <v>666</v>
          </cell>
          <cell r="M368">
            <v>2415</v>
          </cell>
          <cell r="N368" t="str">
            <v>쌍용</v>
          </cell>
          <cell r="O368" t="str">
            <v>펌프카(1대)</v>
          </cell>
          <cell r="P368">
            <v>737</v>
          </cell>
          <cell r="Q368">
            <v>1550</v>
          </cell>
          <cell r="R368">
            <v>140</v>
          </cell>
          <cell r="S368">
            <v>39</v>
          </cell>
          <cell r="T368">
            <v>21</v>
          </cell>
          <cell r="U368">
            <v>178</v>
          </cell>
          <cell r="V368"/>
          <cell r="W368" t="str">
            <v>박순홍</v>
          </cell>
          <cell r="X368" t="str">
            <v>(인)</v>
          </cell>
          <cell r="Y368" t="str">
            <v>박순홍</v>
          </cell>
          <cell r="Z368" t="str">
            <v>(인)</v>
          </cell>
          <cell r="AA368" t="str">
            <v>최인철</v>
          </cell>
          <cell r="AB368" t="str">
            <v>(인)</v>
          </cell>
          <cell r="AC368" t="str">
            <v>임영구</v>
          </cell>
          <cell r="AD368" t="str">
            <v>(인)</v>
          </cell>
          <cell r="AE368">
            <v>183.7</v>
          </cell>
          <cell r="AF368" t="str">
            <v>표준</v>
          </cell>
          <cell r="AG368">
            <v>3</v>
          </cell>
          <cell r="AH368">
            <v>0</v>
          </cell>
        </row>
        <row r="369">
          <cell r="G369">
            <v>2405210104</v>
          </cell>
          <cell r="H369" t="str">
            <v>116동</v>
          </cell>
          <cell r="I369">
            <v>240521</v>
          </cell>
          <cell r="J369" t="str">
            <v>116동 및 주변주차장 기초</v>
          </cell>
          <cell r="K369">
            <v>670</v>
          </cell>
          <cell r="L369">
            <v>666</v>
          </cell>
          <cell r="M369">
            <v>2415</v>
          </cell>
          <cell r="N369" t="str">
            <v>쌍용</v>
          </cell>
          <cell r="O369" t="str">
            <v>펌프카(1대)</v>
          </cell>
          <cell r="P369">
            <v>737</v>
          </cell>
          <cell r="Q369">
            <v>1550</v>
          </cell>
          <cell r="R369">
            <v>160</v>
          </cell>
          <cell r="S369">
            <v>43</v>
          </cell>
          <cell r="T369">
            <v>14</v>
          </cell>
          <cell r="U369">
            <v>182</v>
          </cell>
          <cell r="V369"/>
          <cell r="W369" t="str">
            <v>박순홍</v>
          </cell>
          <cell r="X369" t="str">
            <v>(인)</v>
          </cell>
          <cell r="Y369" t="str">
            <v>박순홍</v>
          </cell>
          <cell r="Z369" t="str">
            <v>(인)</v>
          </cell>
          <cell r="AA369" t="str">
            <v>최인철</v>
          </cell>
          <cell r="AB369" t="str">
            <v>(인)</v>
          </cell>
          <cell r="AC369" t="str">
            <v>임영구</v>
          </cell>
          <cell r="AD369" t="str">
            <v>(인)</v>
          </cell>
          <cell r="AE369">
            <v>184</v>
          </cell>
          <cell r="AF369" t="str">
            <v>표준</v>
          </cell>
          <cell r="AG369">
            <v>4</v>
          </cell>
          <cell r="AH369">
            <v>1</v>
          </cell>
          <cell r="AL369">
            <v>3149</v>
          </cell>
          <cell r="AM369">
            <v>3119</v>
          </cell>
          <cell r="AN369">
            <v>3114</v>
          </cell>
          <cell r="AO369">
            <v>3306</v>
          </cell>
          <cell r="AP369">
            <v>3279</v>
          </cell>
          <cell r="AQ369">
            <v>3179</v>
          </cell>
          <cell r="AR369">
            <v>3216</v>
          </cell>
          <cell r="AS369">
            <v>3219</v>
          </cell>
          <cell r="AT369">
            <v>243600</v>
          </cell>
        </row>
        <row r="370">
          <cell r="G370">
            <v>2405210105</v>
          </cell>
          <cell r="H370" t="str">
            <v>116동</v>
          </cell>
          <cell r="I370">
            <v>240521</v>
          </cell>
          <cell r="J370" t="str">
            <v>116동 및 주변주차장 기초</v>
          </cell>
          <cell r="K370">
            <v>670</v>
          </cell>
          <cell r="L370">
            <v>666</v>
          </cell>
          <cell r="M370">
            <v>2415</v>
          </cell>
          <cell r="N370" t="str">
            <v>쌍용</v>
          </cell>
          <cell r="O370" t="str">
            <v>펌프카(1대)</v>
          </cell>
          <cell r="P370">
            <v>737</v>
          </cell>
          <cell r="Q370">
            <v>1550</v>
          </cell>
          <cell r="R370">
            <v>150</v>
          </cell>
          <cell r="S370">
            <v>44</v>
          </cell>
          <cell r="T370">
            <v>13</v>
          </cell>
          <cell r="U370">
            <v>230</v>
          </cell>
          <cell r="V370"/>
          <cell r="W370" t="str">
            <v>박순홍</v>
          </cell>
          <cell r="X370" t="str">
            <v>(인)</v>
          </cell>
          <cell r="Y370" t="str">
            <v>박순홍</v>
          </cell>
          <cell r="Z370" t="str">
            <v>(인)</v>
          </cell>
          <cell r="AA370" t="str">
            <v>최인철</v>
          </cell>
          <cell r="AB370" t="str">
            <v>(인)</v>
          </cell>
          <cell r="AC370" t="str">
            <v>임영구</v>
          </cell>
          <cell r="AD370" t="str">
            <v>(인)</v>
          </cell>
          <cell r="AE370">
            <v>183.5</v>
          </cell>
          <cell r="AF370" t="str">
            <v>표준</v>
          </cell>
          <cell r="AG370">
            <v>5</v>
          </cell>
          <cell r="AH370">
            <v>0</v>
          </cell>
        </row>
        <row r="371">
          <cell r="G371">
            <v>2405210106</v>
          </cell>
          <cell r="H371" t="str">
            <v>116동</v>
          </cell>
          <cell r="I371">
            <v>240521</v>
          </cell>
          <cell r="J371" t="str">
            <v>116동 및 주변주차장 기초</v>
          </cell>
          <cell r="K371">
            <v>670</v>
          </cell>
          <cell r="L371">
            <v>666</v>
          </cell>
          <cell r="M371">
            <v>2415</v>
          </cell>
          <cell r="N371" t="str">
            <v>쌍용</v>
          </cell>
          <cell r="O371" t="str">
            <v>펌프카(1대)</v>
          </cell>
          <cell r="P371">
            <v>737</v>
          </cell>
          <cell r="Q371">
            <v>1550</v>
          </cell>
          <cell r="R371">
            <v>160</v>
          </cell>
          <cell r="S371">
            <v>43</v>
          </cell>
          <cell r="T371">
            <v>111</v>
          </cell>
          <cell r="U371">
            <v>234</v>
          </cell>
          <cell r="V371"/>
          <cell r="W371" t="str">
            <v>박순홍</v>
          </cell>
          <cell r="X371" t="str">
            <v>(인)</v>
          </cell>
          <cell r="Y371" t="str">
            <v>박순홍</v>
          </cell>
          <cell r="Z371" t="str">
            <v>(인)</v>
          </cell>
          <cell r="AA371" t="str">
            <v>최인철</v>
          </cell>
          <cell r="AB371" t="str">
            <v>(인)</v>
          </cell>
          <cell r="AC371" t="str">
            <v>임영구</v>
          </cell>
          <cell r="AD371" t="str">
            <v>(인)</v>
          </cell>
          <cell r="AE371">
            <v>160.4</v>
          </cell>
          <cell r="AF371" t="str">
            <v>표준</v>
          </cell>
          <cell r="AG371">
            <v>6</v>
          </cell>
          <cell r="AH371">
            <v>0</v>
          </cell>
        </row>
        <row r="372">
          <cell r="G372">
            <v>2405210201</v>
          </cell>
          <cell r="H372" t="str">
            <v>116동, 117동</v>
          </cell>
          <cell r="I372">
            <v>240521</v>
          </cell>
          <cell r="J372" t="str">
            <v>116동, 주변주차장 및 117동 E/V 기초</v>
          </cell>
          <cell r="K372">
            <v>780</v>
          </cell>
          <cell r="L372">
            <v>784</v>
          </cell>
          <cell r="M372">
            <v>2415</v>
          </cell>
          <cell r="N372" t="str">
            <v>대공</v>
          </cell>
          <cell r="O372" t="str">
            <v>펌프카(1대)</v>
          </cell>
          <cell r="P372">
            <v>741</v>
          </cell>
          <cell r="Q372">
            <v>1626</v>
          </cell>
          <cell r="R372">
            <v>150</v>
          </cell>
          <cell r="S372">
            <v>45</v>
          </cell>
          <cell r="T372">
            <v>29</v>
          </cell>
          <cell r="U372">
            <v>195</v>
          </cell>
          <cell r="V372"/>
          <cell r="W372" t="str">
            <v>박순홍</v>
          </cell>
          <cell r="X372" t="str">
            <v>(인)</v>
          </cell>
          <cell r="Y372" t="str">
            <v>박순홍</v>
          </cell>
          <cell r="Z372" t="str">
            <v>(인)</v>
          </cell>
          <cell r="AA372" t="str">
            <v>최인철</v>
          </cell>
          <cell r="AB372" t="str">
            <v>(인)</v>
          </cell>
          <cell r="AC372" t="str">
            <v>임영구</v>
          </cell>
          <cell r="AD372" t="str">
            <v>(인)</v>
          </cell>
          <cell r="AE372">
            <v>171.4</v>
          </cell>
          <cell r="AF372" t="str">
            <v>표준</v>
          </cell>
          <cell r="AG372">
            <v>1</v>
          </cell>
          <cell r="AH372">
            <v>1</v>
          </cell>
          <cell r="AI372">
            <v>2340</v>
          </cell>
          <cell r="AJ372">
            <v>2370</v>
          </cell>
          <cell r="AK372">
            <v>182800</v>
          </cell>
          <cell r="AL372">
            <v>3216</v>
          </cell>
          <cell r="AM372">
            <v>3157</v>
          </cell>
          <cell r="AN372">
            <v>3073</v>
          </cell>
          <cell r="AO372">
            <v>3262</v>
          </cell>
          <cell r="AP372">
            <v>3262</v>
          </cell>
          <cell r="AQ372">
            <v>3107</v>
          </cell>
          <cell r="AR372">
            <v>3162</v>
          </cell>
          <cell r="AS372">
            <v>3272</v>
          </cell>
          <cell r="AT372">
            <v>249400</v>
          </cell>
        </row>
        <row r="373">
          <cell r="G373">
            <v>2405210202</v>
          </cell>
          <cell r="H373" t="str">
            <v>116동, 117동</v>
          </cell>
          <cell r="I373">
            <v>240521</v>
          </cell>
          <cell r="J373" t="str">
            <v>116동, 주변주차장 및 117동 E/V 기초</v>
          </cell>
          <cell r="K373">
            <v>780</v>
          </cell>
          <cell r="L373">
            <v>784</v>
          </cell>
          <cell r="M373">
            <v>2415</v>
          </cell>
          <cell r="N373" t="str">
            <v>대공</v>
          </cell>
          <cell r="O373" t="str">
            <v>펌프카(1대)</v>
          </cell>
          <cell r="P373">
            <v>741</v>
          </cell>
          <cell r="Q373">
            <v>1626</v>
          </cell>
          <cell r="R373">
            <v>170</v>
          </cell>
          <cell r="S373">
            <v>40</v>
          </cell>
          <cell r="T373">
            <v>76</v>
          </cell>
          <cell r="U373">
            <v>178</v>
          </cell>
          <cell r="V373"/>
          <cell r="W373" t="str">
            <v>박순홍</v>
          </cell>
          <cell r="X373" t="str">
            <v>(인)</v>
          </cell>
          <cell r="Y373" t="str">
            <v>박순홍</v>
          </cell>
          <cell r="Z373" t="str">
            <v>(인)</v>
          </cell>
          <cell r="AA373" t="str">
            <v>최인철</v>
          </cell>
          <cell r="AB373" t="str">
            <v>(인)</v>
          </cell>
          <cell r="AC373" t="str">
            <v>임영구</v>
          </cell>
          <cell r="AD373" t="str">
            <v>(인)</v>
          </cell>
          <cell r="AE373">
            <v>173.6</v>
          </cell>
          <cell r="AF373" t="str">
            <v>표준</v>
          </cell>
          <cell r="AG373">
            <v>2</v>
          </cell>
          <cell r="AH373">
            <v>0</v>
          </cell>
        </row>
        <row r="374">
          <cell r="G374">
            <v>2405210203</v>
          </cell>
          <cell r="H374" t="str">
            <v>116동, 117동</v>
          </cell>
          <cell r="I374">
            <v>240521</v>
          </cell>
          <cell r="J374" t="str">
            <v>116동, 주변주차장 및 117동 E/V 기초</v>
          </cell>
          <cell r="K374">
            <v>780</v>
          </cell>
          <cell r="L374">
            <v>784</v>
          </cell>
          <cell r="M374">
            <v>2415</v>
          </cell>
          <cell r="N374" t="str">
            <v>대공</v>
          </cell>
          <cell r="O374" t="str">
            <v>펌프카(1대)</v>
          </cell>
          <cell r="P374">
            <v>741</v>
          </cell>
          <cell r="Q374">
            <v>1626</v>
          </cell>
          <cell r="R374">
            <v>155</v>
          </cell>
          <cell r="S374">
            <v>36</v>
          </cell>
          <cell r="T374">
            <v>61</v>
          </cell>
          <cell r="U374">
            <v>171</v>
          </cell>
          <cell r="V374"/>
          <cell r="W374" t="str">
            <v>박순홍</v>
          </cell>
          <cell r="X374" t="str">
            <v>(인)</v>
          </cell>
          <cell r="Y374" t="str">
            <v>박순홍</v>
          </cell>
          <cell r="Z374" t="str">
            <v>(인)</v>
          </cell>
          <cell r="AA374" t="str">
            <v>최인철</v>
          </cell>
          <cell r="AB374" t="str">
            <v>(인)</v>
          </cell>
          <cell r="AC374" t="str">
            <v>임영구</v>
          </cell>
          <cell r="AD374" t="str">
            <v>(인)</v>
          </cell>
          <cell r="AE374">
            <v>183.2</v>
          </cell>
          <cell r="AF374" t="str">
            <v>표준</v>
          </cell>
          <cell r="AG374">
            <v>3</v>
          </cell>
          <cell r="AH374">
            <v>0</v>
          </cell>
        </row>
        <row r="375">
          <cell r="G375">
            <v>2405210204</v>
          </cell>
          <cell r="H375" t="str">
            <v>116동, 117동</v>
          </cell>
          <cell r="I375">
            <v>240521</v>
          </cell>
          <cell r="J375" t="str">
            <v>116동, 주변주차장 및 117동 E/V 기초</v>
          </cell>
          <cell r="K375">
            <v>780</v>
          </cell>
          <cell r="L375">
            <v>784</v>
          </cell>
          <cell r="M375">
            <v>2415</v>
          </cell>
          <cell r="N375" t="str">
            <v>대공</v>
          </cell>
          <cell r="O375" t="str">
            <v>펌프카(1대)</v>
          </cell>
          <cell r="P375">
            <v>741</v>
          </cell>
          <cell r="Q375">
            <v>1626</v>
          </cell>
          <cell r="R375">
            <v>150</v>
          </cell>
          <cell r="S375">
            <v>44</v>
          </cell>
          <cell r="T375">
            <v>58</v>
          </cell>
          <cell r="U375">
            <v>219</v>
          </cell>
          <cell r="V375"/>
          <cell r="W375" t="str">
            <v>박순홍</v>
          </cell>
          <cell r="X375" t="str">
            <v>(인)</v>
          </cell>
          <cell r="Y375" t="str">
            <v>박순홍</v>
          </cell>
          <cell r="Z375" t="str">
            <v>(인)</v>
          </cell>
          <cell r="AA375" t="str">
            <v>최인철</v>
          </cell>
          <cell r="AB375" t="str">
            <v>(인)</v>
          </cell>
          <cell r="AC375" t="str">
            <v>임영구</v>
          </cell>
          <cell r="AD375" t="str">
            <v>(인)</v>
          </cell>
          <cell r="AE375">
            <v>179.1</v>
          </cell>
          <cell r="AF375" t="str">
            <v>표준</v>
          </cell>
          <cell r="AG375">
            <v>4</v>
          </cell>
          <cell r="AH375">
            <v>1</v>
          </cell>
          <cell r="AL375">
            <v>3093</v>
          </cell>
          <cell r="AM375">
            <v>3195</v>
          </cell>
          <cell r="AN375">
            <v>3106</v>
          </cell>
          <cell r="AO375">
            <v>3092</v>
          </cell>
          <cell r="AP375">
            <v>3167</v>
          </cell>
          <cell r="AQ375">
            <v>3069</v>
          </cell>
          <cell r="AR375">
            <v>3064</v>
          </cell>
          <cell r="AS375">
            <v>3194</v>
          </cell>
          <cell r="AT375">
            <v>249200</v>
          </cell>
        </row>
        <row r="376">
          <cell r="G376">
            <v>2405210205</v>
          </cell>
          <cell r="H376" t="str">
            <v>116동, 117동</v>
          </cell>
          <cell r="I376">
            <v>240521</v>
          </cell>
          <cell r="J376" t="str">
            <v>116동, 주변주차장 및 117동 E/V 기초</v>
          </cell>
          <cell r="K376">
            <v>780</v>
          </cell>
          <cell r="L376">
            <v>784</v>
          </cell>
          <cell r="M376">
            <v>2415</v>
          </cell>
          <cell r="N376" t="str">
            <v>대공</v>
          </cell>
          <cell r="O376" t="str">
            <v>펌프카(1대)</v>
          </cell>
          <cell r="P376">
            <v>741</v>
          </cell>
          <cell r="Q376">
            <v>1626</v>
          </cell>
          <cell r="R376">
            <v>145</v>
          </cell>
          <cell r="S376">
            <v>35</v>
          </cell>
          <cell r="T376">
            <v>33</v>
          </cell>
          <cell r="U376">
            <v>232</v>
          </cell>
          <cell r="V376"/>
          <cell r="W376" t="str">
            <v>박순홍</v>
          </cell>
          <cell r="X376" t="str">
            <v>(인)</v>
          </cell>
          <cell r="Y376" t="str">
            <v>박순홍</v>
          </cell>
          <cell r="Z376" t="str">
            <v>(인)</v>
          </cell>
          <cell r="AA376" t="str">
            <v>최인철</v>
          </cell>
          <cell r="AB376" t="str">
            <v>(인)</v>
          </cell>
          <cell r="AC376" t="str">
            <v>임영구</v>
          </cell>
          <cell r="AD376" t="str">
            <v>(인)</v>
          </cell>
          <cell r="AE376">
            <v>184.2</v>
          </cell>
          <cell r="AF376" t="str">
            <v>표준</v>
          </cell>
          <cell r="AG376">
            <v>5</v>
          </cell>
          <cell r="AH376">
            <v>0</v>
          </cell>
        </row>
        <row r="377">
          <cell r="G377">
            <v>2405210206</v>
          </cell>
          <cell r="H377" t="str">
            <v>116동, 117동</v>
          </cell>
          <cell r="I377">
            <v>240521</v>
          </cell>
          <cell r="J377" t="str">
            <v>116동, 주변주차장 및 117동 E/V 기초</v>
          </cell>
          <cell r="K377">
            <v>780</v>
          </cell>
          <cell r="L377">
            <v>784</v>
          </cell>
          <cell r="M377">
            <v>2415</v>
          </cell>
          <cell r="N377" t="str">
            <v>대공</v>
          </cell>
          <cell r="O377" t="str">
            <v>펌프카(1대)</v>
          </cell>
          <cell r="P377">
            <v>741</v>
          </cell>
          <cell r="Q377">
            <v>1626</v>
          </cell>
          <cell r="R377">
            <v>175</v>
          </cell>
          <cell r="S377">
            <v>40</v>
          </cell>
          <cell r="T377">
            <v>49</v>
          </cell>
          <cell r="U377">
            <v>254</v>
          </cell>
          <cell r="V377"/>
          <cell r="W377" t="str">
            <v>박순홍</v>
          </cell>
          <cell r="X377" t="str">
            <v>(인)</v>
          </cell>
          <cell r="Y377" t="str">
            <v>박순홍</v>
          </cell>
          <cell r="Z377" t="str">
            <v>(인)</v>
          </cell>
          <cell r="AA377" t="str">
            <v>최인철</v>
          </cell>
          <cell r="AB377" t="str">
            <v>(인)</v>
          </cell>
          <cell r="AC377" t="str">
            <v>임영구</v>
          </cell>
          <cell r="AD377" t="str">
            <v>(인)</v>
          </cell>
          <cell r="AE377">
            <v>164.1</v>
          </cell>
          <cell r="AF377" t="str">
            <v>표준</v>
          </cell>
          <cell r="AG377">
            <v>6</v>
          </cell>
          <cell r="AH377">
            <v>0</v>
          </cell>
        </row>
        <row r="378">
          <cell r="G378">
            <v>2405210207</v>
          </cell>
          <cell r="H378" t="str">
            <v>116동, 117동</v>
          </cell>
          <cell r="I378">
            <v>240521</v>
          </cell>
          <cell r="J378" t="str">
            <v>116동, 주변주차장 및 117동 E/V 기초</v>
          </cell>
          <cell r="K378">
            <v>780</v>
          </cell>
          <cell r="L378">
            <v>784</v>
          </cell>
          <cell r="M378">
            <v>2415</v>
          </cell>
          <cell r="N378" t="str">
            <v>대공</v>
          </cell>
          <cell r="O378" t="str">
            <v>펌프카(1대)</v>
          </cell>
          <cell r="P378">
            <v>741</v>
          </cell>
          <cell r="Q378">
            <v>1626</v>
          </cell>
          <cell r="R378">
            <v>160</v>
          </cell>
          <cell r="S378">
            <v>45</v>
          </cell>
          <cell r="T378">
            <v>52</v>
          </cell>
          <cell r="U378">
            <v>234</v>
          </cell>
          <cell r="V378"/>
          <cell r="W378" t="str">
            <v>박순홍</v>
          </cell>
          <cell r="X378" t="str">
            <v>(인)</v>
          </cell>
          <cell r="Y378" t="str">
            <v>박순홍</v>
          </cell>
          <cell r="Z378" t="str">
            <v>(인)</v>
          </cell>
          <cell r="AA378" t="str">
            <v>최인철</v>
          </cell>
          <cell r="AB378" t="str">
            <v>(인)</v>
          </cell>
          <cell r="AC378" t="str">
            <v>임영구</v>
          </cell>
          <cell r="AD378" t="str">
            <v>(인)</v>
          </cell>
          <cell r="AE378">
            <v>180.5</v>
          </cell>
          <cell r="AF378" t="str">
            <v>표준</v>
          </cell>
          <cell r="AG378">
            <v>7</v>
          </cell>
          <cell r="AH378">
            <v>1</v>
          </cell>
          <cell r="AL378">
            <v>3203</v>
          </cell>
          <cell r="AM378">
            <v>3206</v>
          </cell>
          <cell r="AN378">
            <v>3091</v>
          </cell>
          <cell r="AO378">
            <v>3319</v>
          </cell>
          <cell r="AP378">
            <v>3217</v>
          </cell>
          <cell r="AQ378">
            <v>3309</v>
          </cell>
          <cell r="AR378">
            <v>3327</v>
          </cell>
          <cell r="AS378">
            <v>3219</v>
          </cell>
          <cell r="AT378">
            <v>246800</v>
          </cell>
        </row>
        <row r="379">
          <cell r="G379">
            <v>2405220101</v>
          </cell>
          <cell r="H379" t="str">
            <v>104동</v>
          </cell>
          <cell r="I379">
            <v>240522</v>
          </cell>
          <cell r="J379" t="str">
            <v>104동 3층 바닥</v>
          </cell>
          <cell r="K379">
            <v>290</v>
          </cell>
          <cell r="L379">
            <v>288</v>
          </cell>
          <cell r="M379">
            <v>3018</v>
          </cell>
          <cell r="N379" t="str">
            <v>동양</v>
          </cell>
          <cell r="O379" t="str">
            <v>펌프카(1대)</v>
          </cell>
          <cell r="P379">
            <v>740</v>
          </cell>
          <cell r="Q379">
            <v>1204</v>
          </cell>
          <cell r="R379">
            <v>180</v>
          </cell>
          <cell r="S379">
            <v>40</v>
          </cell>
          <cell r="T379">
            <v>23</v>
          </cell>
          <cell r="U379">
            <v>219</v>
          </cell>
          <cell r="V379"/>
          <cell r="W379" t="str">
            <v>박순홍</v>
          </cell>
          <cell r="X379" t="str">
            <v>(인)</v>
          </cell>
          <cell r="Y379" t="str">
            <v>박순홍</v>
          </cell>
          <cell r="Z379" t="str">
            <v>(인)</v>
          </cell>
          <cell r="AA379" t="str">
            <v>최상옥</v>
          </cell>
          <cell r="AB379" t="str">
            <v>(인)</v>
          </cell>
          <cell r="AC379" t="str">
            <v>장덕만</v>
          </cell>
          <cell r="AD379" t="str">
            <v>(인)</v>
          </cell>
          <cell r="AE379">
            <v>183.1</v>
          </cell>
          <cell r="AF379" t="str">
            <v>표준</v>
          </cell>
          <cell r="AG379">
            <v>1</v>
          </cell>
          <cell r="AH379">
            <v>1</v>
          </cell>
          <cell r="AI379">
            <v>2819</v>
          </cell>
          <cell r="AJ379">
            <v>2882</v>
          </cell>
          <cell r="AK379">
            <v>220600</v>
          </cell>
          <cell r="AL379">
            <v>3873</v>
          </cell>
          <cell r="AM379">
            <v>4043</v>
          </cell>
          <cell r="AN379">
            <v>3962</v>
          </cell>
          <cell r="AO379">
            <v>4071</v>
          </cell>
          <cell r="AP379">
            <v>4163</v>
          </cell>
          <cell r="AQ379">
            <v>4092</v>
          </cell>
          <cell r="AR379">
            <v>3967</v>
          </cell>
          <cell r="AS379">
            <v>3864</v>
          </cell>
          <cell r="AT379">
            <v>323600</v>
          </cell>
        </row>
        <row r="380">
          <cell r="G380">
            <v>2405220102</v>
          </cell>
          <cell r="H380" t="str">
            <v>104동</v>
          </cell>
          <cell r="I380">
            <v>240522</v>
          </cell>
          <cell r="J380" t="str">
            <v>104동 3층 바닥</v>
          </cell>
          <cell r="K380">
            <v>290</v>
          </cell>
          <cell r="L380">
            <v>288</v>
          </cell>
          <cell r="M380">
            <v>3018</v>
          </cell>
          <cell r="N380" t="str">
            <v>동양</v>
          </cell>
          <cell r="O380" t="str">
            <v>펌프카(1대)</v>
          </cell>
          <cell r="P380">
            <v>740</v>
          </cell>
          <cell r="Q380">
            <v>1204</v>
          </cell>
          <cell r="R380">
            <v>180</v>
          </cell>
          <cell r="S380">
            <v>41</v>
          </cell>
          <cell r="T380">
            <v>10</v>
          </cell>
          <cell r="U380">
            <v>214</v>
          </cell>
          <cell r="V380"/>
          <cell r="W380" t="str">
            <v>박순홍</v>
          </cell>
          <cell r="X380" t="str">
            <v>(인)</v>
          </cell>
          <cell r="Y380" t="str">
            <v>박순홍</v>
          </cell>
          <cell r="Z380" t="str">
            <v>(인)</v>
          </cell>
          <cell r="AA380" t="str">
            <v>최상옥</v>
          </cell>
          <cell r="AB380" t="str">
            <v>(인)</v>
          </cell>
          <cell r="AC380" t="str">
            <v>장덕만</v>
          </cell>
          <cell r="AD380" t="str">
            <v>(인)</v>
          </cell>
          <cell r="AE380">
            <v>185.4</v>
          </cell>
          <cell r="AF380" t="str">
            <v>표준</v>
          </cell>
          <cell r="AG380">
            <v>2</v>
          </cell>
          <cell r="AH380">
            <v>0</v>
          </cell>
        </row>
        <row r="381">
          <cell r="G381">
            <v>2405220103</v>
          </cell>
          <cell r="H381" t="str">
            <v>104동</v>
          </cell>
          <cell r="I381">
            <v>240522</v>
          </cell>
          <cell r="J381" t="str">
            <v>104동 3층 바닥</v>
          </cell>
          <cell r="K381">
            <v>290</v>
          </cell>
          <cell r="L381">
            <v>288</v>
          </cell>
          <cell r="M381">
            <v>3018</v>
          </cell>
          <cell r="N381" t="str">
            <v>동양</v>
          </cell>
          <cell r="O381" t="str">
            <v>펌프카(1대)</v>
          </cell>
          <cell r="P381">
            <v>740</v>
          </cell>
          <cell r="Q381">
            <v>1204</v>
          </cell>
          <cell r="R381">
            <v>185</v>
          </cell>
          <cell r="S381">
            <v>45</v>
          </cell>
          <cell r="T381">
            <v>37</v>
          </cell>
          <cell r="U381">
            <v>217</v>
          </cell>
          <cell r="V381"/>
          <cell r="W381" t="str">
            <v>박순홍</v>
          </cell>
          <cell r="X381" t="str">
            <v>(인)</v>
          </cell>
          <cell r="Y381" t="str">
            <v>박순홍</v>
          </cell>
          <cell r="Z381" t="str">
            <v>(인)</v>
          </cell>
          <cell r="AA381" t="str">
            <v>최상옥</v>
          </cell>
          <cell r="AB381" t="str">
            <v>(인)</v>
          </cell>
          <cell r="AC381" t="str">
            <v>장덕만</v>
          </cell>
          <cell r="AD381" t="str">
            <v>(인)</v>
          </cell>
          <cell r="AE381">
            <v>184.3</v>
          </cell>
          <cell r="AF381" t="str">
            <v>표준</v>
          </cell>
          <cell r="AG381">
            <v>3</v>
          </cell>
          <cell r="AH381">
            <v>0</v>
          </cell>
        </row>
        <row r="382">
          <cell r="G382">
            <v>2405220201</v>
          </cell>
          <cell r="H382" t="str">
            <v>근린생활시설</v>
          </cell>
          <cell r="I382">
            <v>240522</v>
          </cell>
          <cell r="J382" t="str">
            <v>102~103동 사이 근생1</v>
          </cell>
          <cell r="K382">
            <v>80</v>
          </cell>
          <cell r="L382">
            <v>78</v>
          </cell>
          <cell r="M382">
            <v>3015</v>
          </cell>
          <cell r="N382" t="str">
            <v>동양</v>
          </cell>
          <cell r="O382" t="str">
            <v>펌프카(1대)</v>
          </cell>
          <cell r="P382">
            <v>1204</v>
          </cell>
          <cell r="Q382">
            <v>1459</v>
          </cell>
          <cell r="R382">
            <v>160</v>
          </cell>
          <cell r="S382">
            <v>35</v>
          </cell>
          <cell r="T382">
            <v>10</v>
          </cell>
          <cell r="U382">
            <v>255</v>
          </cell>
          <cell r="V382"/>
          <cell r="W382" t="str">
            <v>박순홍</v>
          </cell>
          <cell r="X382" t="str">
            <v>(인)</v>
          </cell>
          <cell r="Y382" t="str">
            <v>박순홍</v>
          </cell>
          <cell r="Z382" t="str">
            <v>(인)</v>
          </cell>
          <cell r="AA382" t="str">
            <v>이홍걸</v>
          </cell>
          <cell r="AB382" t="str">
            <v>(인)</v>
          </cell>
          <cell r="AC382" t="str">
            <v>이홍걸</v>
          </cell>
          <cell r="AD382" t="str">
            <v>(인)</v>
          </cell>
          <cell r="AE382">
            <v>186.3</v>
          </cell>
          <cell r="AF382" t="str">
            <v>표준</v>
          </cell>
          <cell r="AG382">
            <v>1</v>
          </cell>
          <cell r="AH382">
            <v>1</v>
          </cell>
          <cell r="AI382">
            <v>2722</v>
          </cell>
          <cell r="AJ382">
            <v>2803</v>
          </cell>
          <cell r="AK382">
            <v>218000</v>
          </cell>
          <cell r="AL382">
            <v>3962</v>
          </cell>
          <cell r="AM382">
            <v>3878</v>
          </cell>
          <cell r="AN382">
            <v>3975</v>
          </cell>
          <cell r="AO382">
            <v>3862</v>
          </cell>
          <cell r="AP382">
            <v>3904</v>
          </cell>
          <cell r="AQ382">
            <v>3926</v>
          </cell>
          <cell r="AR382">
            <v>4013</v>
          </cell>
          <cell r="AS382">
            <v>4010</v>
          </cell>
          <cell r="AT382">
            <v>304600</v>
          </cell>
        </row>
        <row r="383">
          <cell r="G383">
            <v>2405220301</v>
          </cell>
          <cell r="H383" t="str">
            <v>근린생활시설</v>
          </cell>
          <cell r="I383">
            <v>240522</v>
          </cell>
          <cell r="J383" t="str">
            <v>102~103동 사이 근생1</v>
          </cell>
          <cell r="K383">
            <v>100</v>
          </cell>
          <cell r="L383">
            <v>102</v>
          </cell>
          <cell r="M383">
            <v>2715</v>
          </cell>
          <cell r="N383" t="str">
            <v>동양</v>
          </cell>
          <cell r="O383" t="str">
            <v>펌프카(1대)</v>
          </cell>
          <cell r="P383">
            <v>1330</v>
          </cell>
          <cell r="Q383">
            <v>1514</v>
          </cell>
          <cell r="R383">
            <v>165</v>
          </cell>
          <cell r="S383">
            <v>35</v>
          </cell>
          <cell r="T383">
            <v>23</v>
          </cell>
          <cell r="U383">
            <v>241</v>
          </cell>
          <cell r="V383"/>
          <cell r="W383" t="str">
            <v>박순홍</v>
          </cell>
          <cell r="X383" t="str">
            <v>(인)</v>
          </cell>
          <cell r="Y383" t="str">
            <v>박순홍</v>
          </cell>
          <cell r="Z383" t="str">
            <v>(인)</v>
          </cell>
          <cell r="AA383" t="str">
            <v>이홍걸</v>
          </cell>
          <cell r="AB383" t="str">
            <v>(인)</v>
          </cell>
          <cell r="AC383" t="str">
            <v>이홍걸</v>
          </cell>
          <cell r="AD383" t="str">
            <v>(인)</v>
          </cell>
          <cell r="AE383">
            <v>186.2</v>
          </cell>
          <cell r="AF383" t="str">
            <v>표준</v>
          </cell>
          <cell r="AG383">
            <v>1</v>
          </cell>
          <cell r="AH383">
            <v>1</v>
          </cell>
          <cell r="AI383">
            <v>2510</v>
          </cell>
          <cell r="AJ383">
            <v>2532</v>
          </cell>
          <cell r="AK383">
            <v>198600</v>
          </cell>
          <cell r="AL383">
            <v>3544</v>
          </cell>
          <cell r="AM383">
            <v>3590</v>
          </cell>
          <cell r="AN383">
            <v>3557</v>
          </cell>
          <cell r="AO383">
            <v>3496</v>
          </cell>
          <cell r="AP383">
            <v>3506</v>
          </cell>
          <cell r="AQ383">
            <v>3476</v>
          </cell>
          <cell r="AR383">
            <v>3506</v>
          </cell>
          <cell r="AS383">
            <v>3479</v>
          </cell>
          <cell r="AT383">
            <v>275800</v>
          </cell>
        </row>
        <row r="384">
          <cell r="G384">
            <v>2405230101</v>
          </cell>
          <cell r="H384" t="str">
            <v>101동</v>
          </cell>
          <cell r="I384">
            <v>240523</v>
          </cell>
          <cell r="J384" t="str">
            <v>101동 주변주차장(16구간) 기초</v>
          </cell>
          <cell r="K384">
            <v>800</v>
          </cell>
          <cell r="L384">
            <v>795</v>
          </cell>
          <cell r="M384">
            <v>2415</v>
          </cell>
          <cell r="N384" t="str">
            <v>용호</v>
          </cell>
          <cell r="O384" t="str">
            <v>펌프카(1대)</v>
          </cell>
          <cell r="P384">
            <v>725</v>
          </cell>
          <cell r="Q384">
            <v>1614</v>
          </cell>
          <cell r="R384">
            <v>165</v>
          </cell>
          <cell r="S384">
            <v>44</v>
          </cell>
          <cell r="T384">
            <v>78</v>
          </cell>
          <cell r="U384">
            <v>226</v>
          </cell>
          <cell r="V384"/>
          <cell r="W384" t="str">
            <v>박순홍</v>
          </cell>
          <cell r="X384" t="str">
            <v>(인)</v>
          </cell>
          <cell r="Y384" t="str">
            <v>박순홍</v>
          </cell>
          <cell r="Z384" t="str">
            <v>(인)</v>
          </cell>
          <cell r="AA384" t="str">
            <v>최상옥</v>
          </cell>
          <cell r="AB384" t="str">
            <v>(인)</v>
          </cell>
          <cell r="AC384" t="str">
            <v>이루비</v>
          </cell>
          <cell r="AD384" t="str">
            <v>(인)</v>
          </cell>
          <cell r="AE384">
            <v>179.3</v>
          </cell>
          <cell r="AF384" t="str">
            <v>표준</v>
          </cell>
          <cell r="AG384">
            <v>1</v>
          </cell>
          <cell r="AH384">
            <v>1</v>
          </cell>
          <cell r="AI384">
            <v>2289</v>
          </cell>
          <cell r="AJ384">
            <v>2302</v>
          </cell>
          <cell r="AK384">
            <v>178800</v>
          </cell>
          <cell r="AL384">
            <v>3118</v>
          </cell>
          <cell r="AM384">
            <v>2864</v>
          </cell>
          <cell r="AN384">
            <v>3066</v>
          </cell>
          <cell r="AO384">
            <v>2947</v>
          </cell>
          <cell r="AP384">
            <v>2966</v>
          </cell>
          <cell r="AQ384">
            <v>3108</v>
          </cell>
          <cell r="AR384">
            <v>3124</v>
          </cell>
          <cell r="AS384">
            <v>3082</v>
          </cell>
          <cell r="AT384">
            <v>243000</v>
          </cell>
        </row>
        <row r="385">
          <cell r="G385">
            <v>2405230102</v>
          </cell>
          <cell r="H385" t="str">
            <v>101동</v>
          </cell>
          <cell r="I385">
            <v>240523</v>
          </cell>
          <cell r="J385" t="str">
            <v>101동 주변주차장(16구간) 기초</v>
          </cell>
          <cell r="K385">
            <v>800</v>
          </cell>
          <cell r="L385">
            <v>795</v>
          </cell>
          <cell r="M385">
            <v>2415</v>
          </cell>
          <cell r="N385" t="str">
            <v>용호</v>
          </cell>
          <cell r="O385" t="str">
            <v>펌프카(1대)</v>
          </cell>
          <cell r="P385">
            <v>725</v>
          </cell>
          <cell r="Q385">
            <v>1614</v>
          </cell>
          <cell r="R385">
            <v>160</v>
          </cell>
          <cell r="S385">
            <v>42</v>
          </cell>
          <cell r="T385">
            <v>46</v>
          </cell>
          <cell r="U385">
            <v>233</v>
          </cell>
          <cell r="V385"/>
          <cell r="W385" t="str">
            <v>박순홍</v>
          </cell>
          <cell r="X385" t="str">
            <v>(인)</v>
          </cell>
          <cell r="Y385" t="str">
            <v>박순홍</v>
          </cell>
          <cell r="Z385" t="str">
            <v>(인)</v>
          </cell>
          <cell r="AA385" t="str">
            <v>최상옥</v>
          </cell>
          <cell r="AB385" t="str">
            <v>(인)</v>
          </cell>
          <cell r="AC385" t="str">
            <v>이루비</v>
          </cell>
          <cell r="AD385" t="str">
            <v>(인)</v>
          </cell>
          <cell r="AE385">
            <v>180.7</v>
          </cell>
          <cell r="AF385" t="str">
            <v>표준</v>
          </cell>
          <cell r="AG385">
            <v>2</v>
          </cell>
          <cell r="AH385">
            <v>0</v>
          </cell>
        </row>
        <row r="386">
          <cell r="G386">
            <v>2405230103</v>
          </cell>
          <cell r="H386" t="str">
            <v>101동</v>
          </cell>
          <cell r="I386">
            <v>240523</v>
          </cell>
          <cell r="J386" t="str">
            <v>101동 주변주차장(16구간) 기초</v>
          </cell>
          <cell r="K386">
            <v>800</v>
          </cell>
          <cell r="L386">
            <v>795</v>
          </cell>
          <cell r="M386">
            <v>2415</v>
          </cell>
          <cell r="N386" t="str">
            <v>용호</v>
          </cell>
          <cell r="O386" t="str">
            <v>펌프카(1대)</v>
          </cell>
          <cell r="P386">
            <v>725</v>
          </cell>
          <cell r="Q386">
            <v>1614</v>
          </cell>
          <cell r="R386">
            <v>170</v>
          </cell>
          <cell r="S386">
            <v>44</v>
          </cell>
          <cell r="T386">
            <v>33</v>
          </cell>
          <cell r="U386">
            <v>226</v>
          </cell>
          <cell r="V386"/>
          <cell r="W386" t="str">
            <v>박순홍</v>
          </cell>
          <cell r="X386" t="str">
            <v>(인)</v>
          </cell>
          <cell r="Y386" t="str">
            <v>박순홍</v>
          </cell>
          <cell r="Z386" t="str">
            <v>(인)</v>
          </cell>
          <cell r="AA386" t="str">
            <v>최상옥</v>
          </cell>
          <cell r="AB386" t="str">
            <v>(인)</v>
          </cell>
          <cell r="AC386" t="str">
            <v>이루비</v>
          </cell>
          <cell r="AD386" t="str">
            <v>(인)</v>
          </cell>
          <cell r="AE386">
            <v>172.6</v>
          </cell>
          <cell r="AF386" t="str">
            <v>표준</v>
          </cell>
          <cell r="AG386">
            <v>3</v>
          </cell>
          <cell r="AH386">
            <v>0</v>
          </cell>
        </row>
        <row r="387">
          <cell r="G387">
            <v>2405230104</v>
          </cell>
          <cell r="H387" t="str">
            <v>101동</v>
          </cell>
          <cell r="I387">
            <v>240523</v>
          </cell>
          <cell r="J387" t="str">
            <v>101동 주변주차장(16구간) 기초</v>
          </cell>
          <cell r="K387">
            <v>800</v>
          </cell>
          <cell r="L387">
            <v>795</v>
          </cell>
          <cell r="M387">
            <v>2415</v>
          </cell>
          <cell r="N387" t="str">
            <v>용호</v>
          </cell>
          <cell r="O387" t="str">
            <v>펌프카(1대)</v>
          </cell>
          <cell r="P387">
            <v>725</v>
          </cell>
          <cell r="Q387">
            <v>1614</v>
          </cell>
          <cell r="R387">
            <v>155</v>
          </cell>
          <cell r="S387">
            <v>49</v>
          </cell>
          <cell r="T387">
            <v>13</v>
          </cell>
          <cell r="U387">
            <v>241</v>
          </cell>
          <cell r="V387"/>
          <cell r="W387" t="str">
            <v>박순홍</v>
          </cell>
          <cell r="X387" t="str">
            <v>(인)</v>
          </cell>
          <cell r="Y387" t="str">
            <v>박순홍</v>
          </cell>
          <cell r="Z387" t="str">
            <v>(인)</v>
          </cell>
          <cell r="AA387" t="str">
            <v>이홍걸</v>
          </cell>
          <cell r="AB387" t="str">
            <v>(인)</v>
          </cell>
          <cell r="AC387" t="str">
            <v>이루비</v>
          </cell>
          <cell r="AD387" t="str">
            <v>(인)</v>
          </cell>
          <cell r="AE387">
            <v>179.3</v>
          </cell>
          <cell r="AF387" t="str">
            <v>표준</v>
          </cell>
          <cell r="AG387">
            <v>4</v>
          </cell>
          <cell r="AH387">
            <v>1</v>
          </cell>
          <cell r="AL387">
            <v>3081</v>
          </cell>
          <cell r="AM387">
            <v>3054</v>
          </cell>
          <cell r="AN387">
            <v>3161</v>
          </cell>
          <cell r="AO387">
            <v>2989</v>
          </cell>
          <cell r="AP387">
            <v>3069</v>
          </cell>
          <cell r="AQ387">
            <v>3021</v>
          </cell>
          <cell r="AR387">
            <v>3127</v>
          </cell>
          <cell r="AS387">
            <v>3104</v>
          </cell>
          <cell r="AT387">
            <v>235600</v>
          </cell>
        </row>
        <row r="388">
          <cell r="G388">
            <v>2405230105</v>
          </cell>
          <cell r="H388" t="str">
            <v>101동</v>
          </cell>
          <cell r="I388">
            <v>240523</v>
          </cell>
          <cell r="J388" t="str">
            <v>101동 주변주차장(16구간) 기초</v>
          </cell>
          <cell r="K388">
            <v>800</v>
          </cell>
          <cell r="L388">
            <v>795</v>
          </cell>
          <cell r="M388">
            <v>2415</v>
          </cell>
          <cell r="N388" t="str">
            <v>용호</v>
          </cell>
          <cell r="O388" t="str">
            <v>펌프카(1대)</v>
          </cell>
          <cell r="P388">
            <v>725</v>
          </cell>
          <cell r="Q388">
            <v>1614</v>
          </cell>
          <cell r="R388">
            <v>160</v>
          </cell>
          <cell r="S388">
            <v>44</v>
          </cell>
          <cell r="T388">
            <v>19</v>
          </cell>
          <cell r="U388">
            <v>235</v>
          </cell>
          <cell r="V388"/>
          <cell r="W388" t="str">
            <v>박순홍</v>
          </cell>
          <cell r="X388" t="str">
            <v>(인)</v>
          </cell>
          <cell r="Y388" t="str">
            <v>박순홍</v>
          </cell>
          <cell r="Z388" t="str">
            <v>(인)</v>
          </cell>
          <cell r="AA388" t="str">
            <v>이홍걸</v>
          </cell>
          <cell r="AB388" t="str">
            <v>(인)</v>
          </cell>
          <cell r="AC388" t="str">
            <v>이루비</v>
          </cell>
          <cell r="AD388" t="str">
            <v>(인)</v>
          </cell>
          <cell r="AE388">
            <v>180.6</v>
          </cell>
          <cell r="AF388" t="str">
            <v>표준</v>
          </cell>
          <cell r="AG388">
            <v>5</v>
          </cell>
          <cell r="AH388">
            <v>0</v>
          </cell>
        </row>
        <row r="389">
          <cell r="G389">
            <v>2405230106</v>
          </cell>
          <cell r="H389" t="str">
            <v>101동</v>
          </cell>
          <cell r="I389">
            <v>240523</v>
          </cell>
          <cell r="J389" t="str">
            <v>101동 주변주차장(16구간) 기초</v>
          </cell>
          <cell r="K389">
            <v>800</v>
          </cell>
          <cell r="L389">
            <v>795</v>
          </cell>
          <cell r="M389">
            <v>2415</v>
          </cell>
          <cell r="N389" t="str">
            <v>용호</v>
          </cell>
          <cell r="O389" t="str">
            <v>펌프카(1대)</v>
          </cell>
          <cell r="P389">
            <v>725</v>
          </cell>
          <cell r="Q389">
            <v>1614</v>
          </cell>
          <cell r="R389">
            <v>165</v>
          </cell>
          <cell r="S389">
            <v>40</v>
          </cell>
          <cell r="T389">
            <v>21</v>
          </cell>
          <cell r="U389">
            <v>247</v>
          </cell>
          <cell r="V389"/>
          <cell r="W389" t="str">
            <v>박순홍</v>
          </cell>
          <cell r="X389" t="str">
            <v>(인)</v>
          </cell>
          <cell r="Y389" t="str">
            <v>박순홍</v>
          </cell>
          <cell r="Z389" t="str">
            <v>(인)</v>
          </cell>
          <cell r="AA389" t="str">
            <v>이홍걸</v>
          </cell>
          <cell r="AB389" t="str">
            <v>(인)</v>
          </cell>
          <cell r="AC389" t="str">
            <v>이루비</v>
          </cell>
          <cell r="AD389" t="str">
            <v>(인)</v>
          </cell>
          <cell r="AE389">
            <v>181.4</v>
          </cell>
          <cell r="AF389" t="str">
            <v>표준</v>
          </cell>
          <cell r="AG389">
            <v>6</v>
          </cell>
          <cell r="AH389">
            <v>0</v>
          </cell>
        </row>
        <row r="390">
          <cell r="G390">
            <v>2405230107</v>
          </cell>
          <cell r="H390" t="str">
            <v>101동</v>
          </cell>
          <cell r="I390">
            <v>240523</v>
          </cell>
          <cell r="J390" t="str">
            <v>101동 주변주차장(16구간) 기초</v>
          </cell>
          <cell r="K390">
            <v>800</v>
          </cell>
          <cell r="L390">
            <v>795</v>
          </cell>
          <cell r="M390">
            <v>2415</v>
          </cell>
          <cell r="N390" t="str">
            <v>용호</v>
          </cell>
          <cell r="O390" t="str">
            <v>펌프카(1대)</v>
          </cell>
          <cell r="P390">
            <v>725</v>
          </cell>
          <cell r="Q390">
            <v>1614</v>
          </cell>
          <cell r="R390">
            <v>165</v>
          </cell>
          <cell r="S390">
            <v>47</v>
          </cell>
          <cell r="T390">
            <v>127</v>
          </cell>
          <cell r="U390">
            <v>238</v>
          </cell>
          <cell r="V390"/>
          <cell r="W390" t="str">
            <v>박순홍</v>
          </cell>
          <cell r="X390" t="str">
            <v>(인)</v>
          </cell>
          <cell r="Y390" t="str">
            <v>박순홍</v>
          </cell>
          <cell r="Z390" t="str">
            <v>(인)</v>
          </cell>
          <cell r="AA390" t="str">
            <v>이홍걸</v>
          </cell>
          <cell r="AB390" t="str">
            <v>(인)</v>
          </cell>
          <cell r="AC390" t="str">
            <v>이루비</v>
          </cell>
          <cell r="AD390" t="str">
            <v>(인)</v>
          </cell>
          <cell r="AE390">
            <v>179.3</v>
          </cell>
          <cell r="AF390" t="str">
            <v>표준</v>
          </cell>
          <cell r="AG390">
            <v>7</v>
          </cell>
          <cell r="AH390">
            <v>1</v>
          </cell>
          <cell r="AL390">
            <v>2988</v>
          </cell>
          <cell r="AM390">
            <v>3167</v>
          </cell>
          <cell r="AN390">
            <v>3077</v>
          </cell>
          <cell r="AO390">
            <v>3128</v>
          </cell>
          <cell r="AP390">
            <v>2966</v>
          </cell>
          <cell r="AQ390">
            <v>2972</v>
          </cell>
          <cell r="AR390">
            <v>3099</v>
          </cell>
          <cell r="AS390">
            <v>3017</v>
          </cell>
          <cell r="AT390">
            <v>238600</v>
          </cell>
        </row>
        <row r="391">
          <cell r="G391">
            <v>2405230201</v>
          </cell>
          <cell r="H391" t="str">
            <v>103동</v>
          </cell>
          <cell r="I391">
            <v>240523</v>
          </cell>
          <cell r="J391" t="str">
            <v>103동 4층 바닥</v>
          </cell>
          <cell r="K391">
            <v>300</v>
          </cell>
          <cell r="L391">
            <v>294</v>
          </cell>
          <cell r="M391">
            <v>3018</v>
          </cell>
          <cell r="N391" t="str">
            <v>울산</v>
          </cell>
          <cell r="O391" t="str">
            <v>펌프카(1대)</v>
          </cell>
          <cell r="P391">
            <v>752</v>
          </cell>
          <cell r="Q391">
            <v>1326</v>
          </cell>
          <cell r="R391">
            <v>180</v>
          </cell>
          <cell r="S391">
            <v>52</v>
          </cell>
          <cell r="T391">
            <v>115</v>
          </cell>
          <cell r="U391">
            <v>232</v>
          </cell>
          <cell r="V391"/>
          <cell r="W391" t="str">
            <v>박순홍</v>
          </cell>
          <cell r="X391" t="str">
            <v>(인)</v>
          </cell>
          <cell r="Y391" t="str">
            <v>박순홍</v>
          </cell>
          <cell r="Z391" t="str">
            <v>(인)</v>
          </cell>
          <cell r="AA391" t="str">
            <v>최상옥</v>
          </cell>
          <cell r="AB391" t="str">
            <v>(인)</v>
          </cell>
          <cell r="AC391" t="str">
            <v>최상옥</v>
          </cell>
          <cell r="AD391" t="str">
            <v>(인)</v>
          </cell>
          <cell r="AE391">
            <v>181.9</v>
          </cell>
          <cell r="AF391" t="str">
            <v>표준</v>
          </cell>
          <cell r="AG391">
            <v>1</v>
          </cell>
          <cell r="AH391">
            <v>1</v>
          </cell>
          <cell r="AI391">
            <v>2492</v>
          </cell>
          <cell r="AJ391">
            <v>2492</v>
          </cell>
          <cell r="AK391">
            <v>196200</v>
          </cell>
          <cell r="AL391">
            <v>4008</v>
          </cell>
          <cell r="AM391">
            <v>3962</v>
          </cell>
          <cell r="AN391">
            <v>3812</v>
          </cell>
          <cell r="AO391">
            <v>4111</v>
          </cell>
          <cell r="AP391">
            <v>4004</v>
          </cell>
          <cell r="AQ391">
            <v>3976</v>
          </cell>
          <cell r="AR391">
            <v>4033</v>
          </cell>
          <cell r="AS391">
            <v>4038</v>
          </cell>
          <cell r="AT391">
            <v>4132</v>
          </cell>
        </row>
        <row r="392">
          <cell r="G392">
            <v>2405230202</v>
          </cell>
          <cell r="H392" t="str">
            <v>103동</v>
          </cell>
          <cell r="I392">
            <v>240523</v>
          </cell>
          <cell r="J392" t="str">
            <v>103동 4층 바닥</v>
          </cell>
          <cell r="K392">
            <v>300</v>
          </cell>
          <cell r="L392">
            <v>294</v>
          </cell>
          <cell r="M392">
            <v>3018</v>
          </cell>
          <cell r="N392" t="str">
            <v>울산</v>
          </cell>
          <cell r="O392" t="str">
            <v>펌프카(1대)</v>
          </cell>
          <cell r="P392">
            <v>752</v>
          </cell>
          <cell r="Q392">
            <v>1326</v>
          </cell>
          <cell r="R392">
            <v>180</v>
          </cell>
          <cell r="S392">
            <v>48</v>
          </cell>
          <cell r="T392">
            <v>71</v>
          </cell>
          <cell r="U392">
            <v>242</v>
          </cell>
          <cell r="V392"/>
          <cell r="W392" t="str">
            <v>박순홍</v>
          </cell>
          <cell r="X392" t="str">
            <v>(인)</v>
          </cell>
          <cell r="Y392" t="str">
            <v>박순홍</v>
          </cell>
          <cell r="Z392" t="str">
            <v>(인)</v>
          </cell>
          <cell r="AA392" t="str">
            <v>최상옥</v>
          </cell>
          <cell r="AB392" t="str">
            <v>(인)</v>
          </cell>
          <cell r="AC392" t="str">
            <v>최상옥</v>
          </cell>
          <cell r="AD392" t="str">
            <v>(인)</v>
          </cell>
          <cell r="AE392">
            <v>182.9</v>
          </cell>
          <cell r="AF392" t="str">
            <v>표준</v>
          </cell>
          <cell r="AG392">
            <v>2</v>
          </cell>
          <cell r="AH392">
            <v>0</v>
          </cell>
        </row>
        <row r="393">
          <cell r="G393">
            <v>2405230203</v>
          </cell>
          <cell r="H393" t="str">
            <v>103동</v>
          </cell>
          <cell r="I393">
            <v>240523</v>
          </cell>
          <cell r="J393" t="str">
            <v>103동 4층 바닥</v>
          </cell>
          <cell r="K393">
            <v>300</v>
          </cell>
          <cell r="L393">
            <v>294</v>
          </cell>
          <cell r="M393">
            <v>3018</v>
          </cell>
          <cell r="N393" t="str">
            <v>울산</v>
          </cell>
          <cell r="O393" t="str">
            <v>펌프카(1대)</v>
          </cell>
          <cell r="P393">
            <v>752</v>
          </cell>
          <cell r="Q393">
            <v>1326</v>
          </cell>
          <cell r="R393">
            <v>185</v>
          </cell>
          <cell r="S393">
            <v>42</v>
          </cell>
          <cell r="T393">
            <v>42</v>
          </cell>
          <cell r="U393">
            <v>237</v>
          </cell>
          <cell r="V393"/>
          <cell r="W393" t="str">
            <v>박순홍</v>
          </cell>
          <cell r="X393" t="str">
            <v>(인)</v>
          </cell>
          <cell r="Y393" t="str">
            <v>박순홍</v>
          </cell>
          <cell r="Z393" t="str">
            <v>(인)</v>
          </cell>
          <cell r="AA393" t="str">
            <v>최상옥</v>
          </cell>
          <cell r="AB393" t="str">
            <v>(인)</v>
          </cell>
          <cell r="AC393" t="str">
            <v>최상옥</v>
          </cell>
          <cell r="AD393" t="str">
            <v>(인)</v>
          </cell>
          <cell r="AE393">
            <v>188.2</v>
          </cell>
          <cell r="AF393" t="str">
            <v>표준</v>
          </cell>
          <cell r="AG393">
            <v>3</v>
          </cell>
          <cell r="AH393">
            <v>0</v>
          </cell>
        </row>
        <row r="394">
          <cell r="G394">
            <v>2405230300</v>
          </cell>
          <cell r="H394" t="str">
            <v>103동</v>
          </cell>
          <cell r="I394">
            <v>240523</v>
          </cell>
          <cell r="J394" t="str">
            <v>103동 4층 바닥</v>
          </cell>
          <cell r="K394">
            <v>6</v>
          </cell>
          <cell r="L394">
            <v>6</v>
          </cell>
          <cell r="M394">
            <v>3018</v>
          </cell>
          <cell r="N394" t="str">
            <v>용호</v>
          </cell>
          <cell r="O394" t="str">
            <v>펌프카(1대)</v>
          </cell>
          <cell r="P394">
            <v>1556</v>
          </cell>
          <cell r="Q394">
            <v>1625</v>
          </cell>
          <cell r="R394">
            <v>180</v>
          </cell>
          <cell r="S394">
            <v>46</v>
          </cell>
          <cell r="T394">
            <v>124</v>
          </cell>
          <cell r="U394">
            <v>257</v>
          </cell>
          <cell r="V394"/>
          <cell r="W394" t="str">
            <v>박순홍</v>
          </cell>
          <cell r="X394" t="str">
            <v>(인)</v>
          </cell>
          <cell r="Y394" t="str">
            <v>박순홍</v>
          </cell>
          <cell r="Z394" t="str">
            <v>(인)</v>
          </cell>
          <cell r="AA394" t="str">
            <v>이홍걸</v>
          </cell>
          <cell r="AB394" t="str">
            <v>(인)</v>
          </cell>
          <cell r="AC394" t="str">
            <v>최상옥</v>
          </cell>
          <cell r="AD394" t="str">
            <v>(인)</v>
          </cell>
          <cell r="AE394">
            <v>186.2</v>
          </cell>
          <cell r="AF394" t="str">
            <v>표준</v>
          </cell>
          <cell r="AG394">
            <v>0</v>
          </cell>
          <cell r="AH394">
            <v>0</v>
          </cell>
          <cell r="AI394"/>
          <cell r="AJ394"/>
        </row>
        <row r="395">
          <cell r="G395">
            <v>2405240101</v>
          </cell>
          <cell r="H395" t="str">
            <v>105동</v>
          </cell>
          <cell r="I395">
            <v>240524</v>
          </cell>
          <cell r="J395" t="str">
            <v>105동 2층 바닥</v>
          </cell>
          <cell r="K395">
            <v>290</v>
          </cell>
          <cell r="L395">
            <v>288</v>
          </cell>
          <cell r="M395">
            <v>3018</v>
          </cell>
          <cell r="N395" t="str">
            <v>울산</v>
          </cell>
          <cell r="O395" t="str">
            <v>펌프카(1대)</v>
          </cell>
          <cell r="P395">
            <v>921</v>
          </cell>
          <cell r="Q395">
            <v>1317</v>
          </cell>
          <cell r="R395">
            <v>170</v>
          </cell>
          <cell r="S395">
            <v>47</v>
          </cell>
          <cell r="T395">
            <v>89</v>
          </cell>
          <cell r="U395">
            <v>246</v>
          </cell>
          <cell r="V395"/>
          <cell r="W395" t="str">
            <v>박순홍</v>
          </cell>
          <cell r="X395" t="str">
            <v>(인)</v>
          </cell>
          <cell r="Y395" t="str">
            <v>박순홍</v>
          </cell>
          <cell r="Z395" t="str">
            <v>(인)</v>
          </cell>
          <cell r="AA395" t="str">
            <v>이홍걸</v>
          </cell>
          <cell r="AB395" t="str">
            <v>(인)</v>
          </cell>
          <cell r="AC395" t="str">
            <v>장덕만</v>
          </cell>
          <cell r="AD395" t="str">
            <v>(인)</v>
          </cell>
          <cell r="AE395">
            <v>172.6</v>
          </cell>
          <cell r="AF395" t="str">
            <v>표준</v>
          </cell>
          <cell r="AG395">
            <v>1</v>
          </cell>
          <cell r="AH395">
            <v>1</v>
          </cell>
          <cell r="AI395">
            <v>2447</v>
          </cell>
          <cell r="AJ395">
            <v>2479</v>
          </cell>
          <cell r="AK395">
            <v>185400</v>
          </cell>
          <cell r="AL395">
            <v>3547</v>
          </cell>
          <cell r="AM395">
            <v>3611</v>
          </cell>
          <cell r="AN395">
            <v>3587</v>
          </cell>
          <cell r="AO395">
            <v>3668</v>
          </cell>
          <cell r="AP395">
            <v>3471</v>
          </cell>
          <cell r="AQ395">
            <v>3525</v>
          </cell>
          <cell r="AR395">
            <v>3722</v>
          </cell>
          <cell r="AS395">
            <v>3613</v>
          </cell>
          <cell r="AT395">
            <v>287000</v>
          </cell>
        </row>
        <row r="396">
          <cell r="G396">
            <v>2405240102</v>
          </cell>
          <cell r="H396" t="str">
            <v>105동</v>
          </cell>
          <cell r="I396">
            <v>240524</v>
          </cell>
          <cell r="J396" t="str">
            <v>105동 2층 바닥</v>
          </cell>
          <cell r="K396">
            <v>290</v>
          </cell>
          <cell r="L396">
            <v>288</v>
          </cell>
          <cell r="M396">
            <v>3018</v>
          </cell>
          <cell r="N396" t="str">
            <v>울산</v>
          </cell>
          <cell r="O396" t="str">
            <v>펌프카(1대)</v>
          </cell>
          <cell r="P396">
            <v>921</v>
          </cell>
          <cell r="Q396">
            <v>1317</v>
          </cell>
          <cell r="R396">
            <v>180</v>
          </cell>
          <cell r="S396">
            <v>45</v>
          </cell>
          <cell r="T396">
            <v>133</v>
          </cell>
          <cell r="U396">
            <v>251</v>
          </cell>
          <cell r="V396"/>
          <cell r="W396" t="str">
            <v>박순홍</v>
          </cell>
          <cell r="X396" t="str">
            <v>(인)</v>
          </cell>
          <cell r="Y396" t="str">
            <v>박순홍</v>
          </cell>
          <cell r="Z396" t="str">
            <v>(인)</v>
          </cell>
          <cell r="AA396" t="str">
            <v>이홍걸</v>
          </cell>
          <cell r="AB396" t="str">
            <v>(인)</v>
          </cell>
          <cell r="AC396" t="str">
            <v>장덕만</v>
          </cell>
          <cell r="AD396" t="str">
            <v>(인)</v>
          </cell>
          <cell r="AE396">
            <v>183.7</v>
          </cell>
          <cell r="AF396" t="str">
            <v>표준</v>
          </cell>
          <cell r="AG396">
            <v>2</v>
          </cell>
          <cell r="AH396">
            <v>0</v>
          </cell>
        </row>
        <row r="397">
          <cell r="G397">
            <v>2405240103</v>
          </cell>
          <cell r="H397" t="str">
            <v>105동</v>
          </cell>
          <cell r="I397">
            <v>240524</v>
          </cell>
          <cell r="J397" t="str">
            <v>105동 2층 바닥</v>
          </cell>
          <cell r="K397">
            <v>290</v>
          </cell>
          <cell r="L397">
            <v>288</v>
          </cell>
          <cell r="M397">
            <v>3018</v>
          </cell>
          <cell r="N397" t="str">
            <v>울산</v>
          </cell>
          <cell r="O397" t="str">
            <v>펌프카(1대)</v>
          </cell>
          <cell r="P397">
            <v>921</v>
          </cell>
          <cell r="Q397">
            <v>1317</v>
          </cell>
          <cell r="R397">
            <v>180</v>
          </cell>
          <cell r="S397">
            <v>49</v>
          </cell>
          <cell r="T397">
            <v>99</v>
          </cell>
          <cell r="U397">
            <v>254</v>
          </cell>
          <cell r="V397"/>
          <cell r="W397" t="str">
            <v>박순홍</v>
          </cell>
          <cell r="X397" t="str">
            <v>(인)</v>
          </cell>
          <cell r="Y397" t="str">
            <v>박순홍</v>
          </cell>
          <cell r="Z397" t="str">
            <v>(인)</v>
          </cell>
          <cell r="AA397" t="str">
            <v>이홍걸</v>
          </cell>
          <cell r="AB397" t="str">
            <v>(인)</v>
          </cell>
          <cell r="AC397" t="str">
            <v>장덕만</v>
          </cell>
          <cell r="AD397" t="str">
            <v>(인)</v>
          </cell>
          <cell r="AE397">
            <v>176.3</v>
          </cell>
          <cell r="AF397" t="str">
            <v>표준</v>
          </cell>
          <cell r="AG397">
            <v>3</v>
          </cell>
          <cell r="AH397">
            <v>0</v>
          </cell>
        </row>
        <row r="398">
          <cell r="G398">
            <v>2405270101</v>
          </cell>
          <cell r="H398" t="str">
            <v>117동</v>
          </cell>
          <cell r="I398">
            <v>240527</v>
          </cell>
          <cell r="J398" t="str">
            <v>117동 및 주변주차장 기초</v>
          </cell>
          <cell r="K398">
            <v>870</v>
          </cell>
          <cell r="L398">
            <v>870</v>
          </cell>
          <cell r="M398">
            <v>2415</v>
          </cell>
          <cell r="N398" t="str">
            <v>용호</v>
          </cell>
          <cell r="O398" t="str">
            <v>펌프카(1대)</v>
          </cell>
          <cell r="P398">
            <v>727</v>
          </cell>
          <cell r="Q398">
            <v>1502</v>
          </cell>
          <cell r="R398">
            <v>170</v>
          </cell>
          <cell r="S398">
            <v>41</v>
          </cell>
          <cell r="T398">
            <v>78</v>
          </cell>
          <cell r="U398">
            <v>204</v>
          </cell>
          <cell r="V398"/>
          <cell r="W398" t="str">
            <v>박순홍</v>
          </cell>
          <cell r="X398" t="str">
            <v>(인)</v>
          </cell>
          <cell r="Y398" t="str">
            <v>박순홍</v>
          </cell>
          <cell r="Z398" t="str">
            <v>(인)</v>
          </cell>
          <cell r="AA398" t="str">
            <v>최인철</v>
          </cell>
          <cell r="AB398" t="str">
            <v>(인)</v>
          </cell>
          <cell r="AC398" t="str">
            <v>임영구</v>
          </cell>
          <cell r="AD398" t="str">
            <v>(인)</v>
          </cell>
          <cell r="AE398">
            <v>174.8</v>
          </cell>
          <cell r="AF398" t="str">
            <v>표준</v>
          </cell>
          <cell r="AG398">
            <v>1</v>
          </cell>
          <cell r="AH398">
            <v>1</v>
          </cell>
          <cell r="AI398">
            <v>2281</v>
          </cell>
          <cell r="AJ398">
            <v>2284</v>
          </cell>
          <cell r="AK398">
            <v>176200</v>
          </cell>
          <cell r="AL398">
            <v>3127</v>
          </cell>
          <cell r="AM398">
            <v>3164</v>
          </cell>
          <cell r="AN398">
            <v>3218</v>
          </cell>
          <cell r="AO398">
            <v>3308</v>
          </cell>
          <cell r="AP398">
            <v>3257</v>
          </cell>
          <cell r="AQ398">
            <v>3236</v>
          </cell>
          <cell r="AR398">
            <v>3236</v>
          </cell>
          <cell r="AS398">
            <v>3142</v>
          </cell>
          <cell r="AT398">
            <v>247400</v>
          </cell>
        </row>
        <row r="399">
          <cell r="G399">
            <v>2405270102</v>
          </cell>
          <cell r="H399" t="str">
            <v>117동</v>
          </cell>
          <cell r="I399">
            <v>240527</v>
          </cell>
          <cell r="J399" t="str">
            <v>117동 및 주변주차장 기초</v>
          </cell>
          <cell r="K399">
            <v>870</v>
          </cell>
          <cell r="L399">
            <v>870</v>
          </cell>
          <cell r="M399">
            <v>2415</v>
          </cell>
          <cell r="N399" t="str">
            <v>용호</v>
          </cell>
          <cell r="O399" t="str">
            <v>펌프카(1대)</v>
          </cell>
          <cell r="P399">
            <v>727</v>
          </cell>
          <cell r="Q399">
            <v>1502</v>
          </cell>
          <cell r="R399">
            <v>160</v>
          </cell>
          <cell r="S399">
            <v>41</v>
          </cell>
          <cell r="T399">
            <v>83</v>
          </cell>
          <cell r="U399">
            <v>227</v>
          </cell>
          <cell r="V399"/>
          <cell r="W399" t="str">
            <v>박순홍</v>
          </cell>
          <cell r="X399" t="str">
            <v>(인)</v>
          </cell>
          <cell r="Y399" t="str">
            <v>박순홍</v>
          </cell>
          <cell r="Z399" t="str">
            <v>(인)</v>
          </cell>
          <cell r="AA399" t="str">
            <v>최인철</v>
          </cell>
          <cell r="AB399" t="str">
            <v>(인)</v>
          </cell>
          <cell r="AC399" t="str">
            <v>임영구</v>
          </cell>
          <cell r="AD399" t="str">
            <v>(인)</v>
          </cell>
          <cell r="AE399">
            <v>171.7</v>
          </cell>
          <cell r="AF399" t="str">
            <v>표준</v>
          </cell>
          <cell r="AG399">
            <v>2</v>
          </cell>
          <cell r="AH399">
            <v>0</v>
          </cell>
        </row>
        <row r="400">
          <cell r="G400">
            <v>2405270103</v>
          </cell>
          <cell r="H400" t="str">
            <v>117동</v>
          </cell>
          <cell r="I400">
            <v>240527</v>
          </cell>
          <cell r="J400" t="str">
            <v>117동 및 주변주차장 기초</v>
          </cell>
          <cell r="K400">
            <v>870</v>
          </cell>
          <cell r="L400">
            <v>870</v>
          </cell>
          <cell r="M400">
            <v>2415</v>
          </cell>
          <cell r="N400" t="str">
            <v>용호</v>
          </cell>
          <cell r="O400" t="str">
            <v>펌프카(1대)</v>
          </cell>
          <cell r="P400">
            <v>727</v>
          </cell>
          <cell r="Q400">
            <v>1502</v>
          </cell>
          <cell r="R400">
            <v>150</v>
          </cell>
          <cell r="S400">
            <v>44</v>
          </cell>
          <cell r="T400">
            <v>22</v>
          </cell>
          <cell r="U400">
            <v>231</v>
          </cell>
          <cell r="V400"/>
          <cell r="W400" t="str">
            <v>박순홍</v>
          </cell>
          <cell r="X400" t="str">
            <v>(인)</v>
          </cell>
          <cell r="Y400" t="str">
            <v>박순홍</v>
          </cell>
          <cell r="Z400" t="str">
            <v>(인)</v>
          </cell>
          <cell r="AA400" t="str">
            <v>최인철</v>
          </cell>
          <cell r="AB400" t="str">
            <v>(인)</v>
          </cell>
          <cell r="AC400" t="str">
            <v>임영구</v>
          </cell>
          <cell r="AD400" t="str">
            <v>(인)</v>
          </cell>
          <cell r="AE400">
            <v>184.4</v>
          </cell>
          <cell r="AF400" t="str">
            <v>표준</v>
          </cell>
          <cell r="AG400">
            <v>3</v>
          </cell>
          <cell r="AH400">
            <v>0</v>
          </cell>
        </row>
        <row r="401">
          <cell r="G401">
            <v>2405270104</v>
          </cell>
          <cell r="H401" t="str">
            <v>117동</v>
          </cell>
          <cell r="I401">
            <v>240527</v>
          </cell>
          <cell r="J401" t="str">
            <v>117동 및 주변주차장 기초</v>
          </cell>
          <cell r="K401">
            <v>870</v>
          </cell>
          <cell r="L401">
            <v>870</v>
          </cell>
          <cell r="M401">
            <v>2415</v>
          </cell>
          <cell r="N401" t="str">
            <v>용호</v>
          </cell>
          <cell r="O401" t="str">
            <v>펌프카(1대)</v>
          </cell>
          <cell r="P401">
            <v>727</v>
          </cell>
          <cell r="Q401">
            <v>1502</v>
          </cell>
          <cell r="R401">
            <v>160</v>
          </cell>
          <cell r="S401">
            <v>50</v>
          </cell>
          <cell r="T401">
            <v>45</v>
          </cell>
          <cell r="U401">
            <v>231</v>
          </cell>
          <cell r="V401"/>
          <cell r="W401" t="str">
            <v>박순홍</v>
          </cell>
          <cell r="X401" t="str">
            <v>(인)</v>
          </cell>
          <cell r="Y401" t="str">
            <v>박순홍</v>
          </cell>
          <cell r="Z401" t="str">
            <v>(인)</v>
          </cell>
          <cell r="AA401" t="str">
            <v>최인철</v>
          </cell>
          <cell r="AB401" t="str">
            <v>(인)</v>
          </cell>
          <cell r="AC401" t="str">
            <v>임영구</v>
          </cell>
          <cell r="AD401" t="str">
            <v>(인)</v>
          </cell>
          <cell r="AE401">
            <v>178.6</v>
          </cell>
          <cell r="AF401" t="str">
            <v>표준</v>
          </cell>
          <cell r="AG401">
            <v>4</v>
          </cell>
          <cell r="AH401">
            <v>1</v>
          </cell>
          <cell r="AL401">
            <v>3274</v>
          </cell>
          <cell r="AM401">
            <v>3161</v>
          </cell>
          <cell r="AN401">
            <v>3211</v>
          </cell>
          <cell r="AO401">
            <v>3166</v>
          </cell>
          <cell r="AP401">
            <v>3108</v>
          </cell>
          <cell r="AQ401">
            <v>3213</v>
          </cell>
          <cell r="AR401">
            <v>3168</v>
          </cell>
          <cell r="AS401">
            <v>3239</v>
          </cell>
          <cell r="AT401">
            <v>258800</v>
          </cell>
        </row>
        <row r="402">
          <cell r="G402">
            <v>2405270105</v>
          </cell>
          <cell r="H402" t="str">
            <v>117동</v>
          </cell>
          <cell r="I402">
            <v>240527</v>
          </cell>
          <cell r="J402" t="str">
            <v>117동 및 주변주차장 기초</v>
          </cell>
          <cell r="K402">
            <v>870</v>
          </cell>
          <cell r="L402">
            <v>870</v>
          </cell>
          <cell r="M402">
            <v>2415</v>
          </cell>
          <cell r="N402" t="str">
            <v>용호</v>
          </cell>
          <cell r="O402" t="str">
            <v>펌프카(1대)</v>
          </cell>
          <cell r="P402">
            <v>727</v>
          </cell>
          <cell r="Q402">
            <v>1502</v>
          </cell>
          <cell r="R402">
            <v>160</v>
          </cell>
          <cell r="S402">
            <v>44</v>
          </cell>
          <cell r="T402">
            <v>41</v>
          </cell>
          <cell r="U402">
            <v>242</v>
          </cell>
          <cell r="V402"/>
          <cell r="W402" t="str">
            <v>박순홍</v>
          </cell>
          <cell r="X402" t="str">
            <v>(인)</v>
          </cell>
          <cell r="Y402" t="str">
            <v>박순홍</v>
          </cell>
          <cell r="Z402" t="str">
            <v>(인)</v>
          </cell>
          <cell r="AA402" t="str">
            <v>최인철</v>
          </cell>
          <cell r="AB402" t="str">
            <v>(인)</v>
          </cell>
          <cell r="AC402" t="str">
            <v>임영구</v>
          </cell>
          <cell r="AD402" t="str">
            <v>(인)</v>
          </cell>
          <cell r="AE402">
            <v>179.5</v>
          </cell>
          <cell r="AF402" t="str">
            <v>표준</v>
          </cell>
          <cell r="AG402">
            <v>5</v>
          </cell>
          <cell r="AH402">
            <v>0</v>
          </cell>
        </row>
        <row r="403">
          <cell r="G403">
            <v>2405270106</v>
          </cell>
          <cell r="H403" t="str">
            <v>117동</v>
          </cell>
          <cell r="I403">
            <v>240527</v>
          </cell>
          <cell r="J403" t="str">
            <v>117동 및 주변주차장 기초</v>
          </cell>
          <cell r="K403">
            <v>870</v>
          </cell>
          <cell r="L403">
            <v>870</v>
          </cell>
          <cell r="M403">
            <v>2415</v>
          </cell>
          <cell r="N403" t="str">
            <v>용호</v>
          </cell>
          <cell r="O403" t="str">
            <v>펌프카(1대)</v>
          </cell>
          <cell r="P403">
            <v>727</v>
          </cell>
          <cell r="Q403">
            <v>1502</v>
          </cell>
          <cell r="R403">
            <v>155</v>
          </cell>
          <cell r="S403">
            <v>45</v>
          </cell>
          <cell r="T403">
            <v>41</v>
          </cell>
          <cell r="U403">
            <v>257</v>
          </cell>
          <cell r="V403"/>
          <cell r="W403" t="str">
            <v>박순홍</v>
          </cell>
          <cell r="X403" t="str">
            <v>(인)</v>
          </cell>
          <cell r="Y403" t="str">
            <v>박순홍</v>
          </cell>
          <cell r="Z403" t="str">
            <v>(인)</v>
          </cell>
          <cell r="AA403" t="str">
            <v>최인철</v>
          </cell>
          <cell r="AB403" t="str">
            <v>(인)</v>
          </cell>
          <cell r="AC403" t="str">
            <v>임영구</v>
          </cell>
          <cell r="AD403" t="str">
            <v>(인)</v>
          </cell>
          <cell r="AE403">
            <v>164.1</v>
          </cell>
          <cell r="AF403" t="str">
            <v>표준</v>
          </cell>
          <cell r="AG403">
            <v>6</v>
          </cell>
          <cell r="AH403">
            <v>0</v>
          </cell>
        </row>
        <row r="404">
          <cell r="G404">
            <v>2405270107</v>
          </cell>
          <cell r="H404" t="str">
            <v>117동</v>
          </cell>
          <cell r="I404">
            <v>240527</v>
          </cell>
          <cell r="J404" t="str">
            <v>117동 및 주변주차장 기초</v>
          </cell>
          <cell r="K404">
            <v>870</v>
          </cell>
          <cell r="L404">
            <v>870</v>
          </cell>
          <cell r="M404">
            <v>2415</v>
          </cell>
          <cell r="N404" t="str">
            <v>용호</v>
          </cell>
          <cell r="O404" t="str">
            <v>펌프카(1대)</v>
          </cell>
          <cell r="P404">
            <v>727</v>
          </cell>
          <cell r="Q404">
            <v>1502</v>
          </cell>
          <cell r="R404">
            <v>155</v>
          </cell>
          <cell r="S404">
            <v>50</v>
          </cell>
          <cell r="T404">
            <v>14</v>
          </cell>
          <cell r="U404">
            <v>257</v>
          </cell>
          <cell r="V404"/>
          <cell r="W404" t="str">
            <v>박순홍</v>
          </cell>
          <cell r="X404" t="str">
            <v>(인)</v>
          </cell>
          <cell r="Y404" t="str">
            <v>박순홍</v>
          </cell>
          <cell r="Z404" t="str">
            <v>(인)</v>
          </cell>
          <cell r="AA404" t="str">
            <v>최인철</v>
          </cell>
          <cell r="AB404" t="str">
            <v>(인)</v>
          </cell>
          <cell r="AC404" t="str">
            <v>임영구</v>
          </cell>
          <cell r="AD404" t="str">
            <v>(인)</v>
          </cell>
          <cell r="AE404">
            <v>179.5</v>
          </cell>
          <cell r="AF404" t="str">
            <v>표준</v>
          </cell>
          <cell r="AG404">
            <v>7</v>
          </cell>
          <cell r="AH404">
            <v>1</v>
          </cell>
          <cell r="AL404">
            <v>3132</v>
          </cell>
          <cell r="AM404">
            <v>3218</v>
          </cell>
          <cell r="AN404">
            <v>3302</v>
          </cell>
          <cell r="AO404">
            <v>3161</v>
          </cell>
          <cell r="AP404">
            <v>3094</v>
          </cell>
          <cell r="AQ404">
            <v>3153</v>
          </cell>
          <cell r="AR404">
            <v>3198</v>
          </cell>
          <cell r="AS404">
            <v>3193</v>
          </cell>
          <cell r="AT404">
            <v>256400</v>
          </cell>
        </row>
        <row r="405">
          <cell r="G405">
            <v>2405270108</v>
          </cell>
          <cell r="H405" t="str">
            <v>117동</v>
          </cell>
          <cell r="I405">
            <v>240527</v>
          </cell>
          <cell r="J405" t="str">
            <v>117동 및 주변주차장 기초</v>
          </cell>
          <cell r="K405">
            <v>870</v>
          </cell>
          <cell r="L405">
            <v>870</v>
          </cell>
          <cell r="M405">
            <v>2415</v>
          </cell>
          <cell r="N405" t="str">
            <v>용호</v>
          </cell>
          <cell r="O405" t="str">
            <v>펌프카(1대)</v>
          </cell>
          <cell r="P405">
            <v>727</v>
          </cell>
          <cell r="Q405">
            <v>1502</v>
          </cell>
          <cell r="R405">
            <v>165</v>
          </cell>
          <cell r="S405">
            <v>36</v>
          </cell>
          <cell r="T405">
            <v>27</v>
          </cell>
          <cell r="U405">
            <v>238</v>
          </cell>
          <cell r="V405"/>
          <cell r="W405" t="str">
            <v>박순홍</v>
          </cell>
          <cell r="X405" t="str">
            <v>(인)</v>
          </cell>
          <cell r="Y405" t="str">
            <v>박순홍</v>
          </cell>
          <cell r="Z405" t="str">
            <v>(인)</v>
          </cell>
          <cell r="AA405" t="str">
            <v>최인철</v>
          </cell>
          <cell r="AB405" t="str">
            <v>(인)</v>
          </cell>
          <cell r="AC405" t="str">
            <v>임영구</v>
          </cell>
          <cell r="AD405" t="str">
            <v>(인)</v>
          </cell>
          <cell r="AE405">
            <v>164.1</v>
          </cell>
          <cell r="AF405" t="str">
            <v>표준</v>
          </cell>
          <cell r="AG405">
            <v>8</v>
          </cell>
          <cell r="AH405">
            <v>0</v>
          </cell>
        </row>
        <row r="406">
          <cell r="G406">
            <v>2405270201</v>
          </cell>
          <cell r="H406" t="str">
            <v>117동</v>
          </cell>
          <cell r="I406">
            <v>240527</v>
          </cell>
          <cell r="J406" t="str">
            <v>117동 및 주변주차장 기초</v>
          </cell>
          <cell r="K406">
            <v>660</v>
          </cell>
          <cell r="L406">
            <v>660</v>
          </cell>
          <cell r="M406">
            <v>2415</v>
          </cell>
          <cell r="N406" t="str">
            <v>대공</v>
          </cell>
          <cell r="O406" t="str">
            <v>펌프카(1대)</v>
          </cell>
          <cell r="P406">
            <v>742</v>
          </cell>
          <cell r="Q406">
            <v>1421</v>
          </cell>
          <cell r="R406">
            <v>160</v>
          </cell>
          <cell r="S406">
            <v>36</v>
          </cell>
          <cell r="T406">
            <v>40</v>
          </cell>
          <cell r="U406">
            <v>244</v>
          </cell>
          <cell r="V406"/>
          <cell r="W406" t="str">
            <v>박순홍</v>
          </cell>
          <cell r="X406" t="str">
            <v>(인)</v>
          </cell>
          <cell r="Y406" t="str">
            <v>박순홍</v>
          </cell>
          <cell r="Z406" t="str">
            <v>(인)</v>
          </cell>
          <cell r="AA406" t="str">
            <v>최인철</v>
          </cell>
          <cell r="AB406" t="str">
            <v>(인)</v>
          </cell>
          <cell r="AC406" t="str">
            <v>임영구</v>
          </cell>
          <cell r="AD406" t="str">
            <v>(인)</v>
          </cell>
          <cell r="AE406">
            <v>169.2</v>
          </cell>
          <cell r="AF406" t="str">
            <v>표준</v>
          </cell>
          <cell r="AG406">
            <v>1</v>
          </cell>
          <cell r="AH406">
            <v>1</v>
          </cell>
          <cell r="AI406">
            <v>2332</v>
          </cell>
          <cell r="AJ406">
            <v>2274</v>
          </cell>
          <cell r="AK406">
            <v>180800</v>
          </cell>
          <cell r="AL406">
            <v>3177</v>
          </cell>
          <cell r="AM406">
            <v>3139</v>
          </cell>
          <cell r="AN406">
            <v>3249</v>
          </cell>
          <cell r="AO406">
            <v>3266</v>
          </cell>
          <cell r="AP406">
            <v>3127</v>
          </cell>
          <cell r="AQ406">
            <v>3104</v>
          </cell>
          <cell r="AR406">
            <v>3160</v>
          </cell>
          <cell r="AS406">
            <v>3249</v>
          </cell>
          <cell r="AT406">
            <v>272400</v>
          </cell>
        </row>
        <row r="407">
          <cell r="G407">
            <v>2405270202</v>
          </cell>
          <cell r="H407" t="str">
            <v>117동</v>
          </cell>
          <cell r="I407">
            <v>240527</v>
          </cell>
          <cell r="J407" t="str">
            <v>117동 및 주변주차장 기초</v>
          </cell>
          <cell r="K407">
            <v>660</v>
          </cell>
          <cell r="L407">
            <v>660</v>
          </cell>
          <cell r="M407">
            <v>2415</v>
          </cell>
          <cell r="N407" t="str">
            <v>대공</v>
          </cell>
          <cell r="O407" t="str">
            <v>펌프카(1대)</v>
          </cell>
          <cell r="P407">
            <v>742</v>
          </cell>
          <cell r="Q407">
            <v>1421</v>
          </cell>
          <cell r="R407">
            <v>155</v>
          </cell>
          <cell r="S407">
            <v>42</v>
          </cell>
          <cell r="T407">
            <v>82</v>
          </cell>
          <cell r="U407">
            <v>235</v>
          </cell>
          <cell r="V407"/>
          <cell r="W407" t="str">
            <v>박순홍</v>
          </cell>
          <cell r="X407" t="str">
            <v>(인)</v>
          </cell>
          <cell r="Y407" t="str">
            <v>박순홍</v>
          </cell>
          <cell r="Z407" t="str">
            <v>(인)</v>
          </cell>
          <cell r="AA407" t="str">
            <v>최인철</v>
          </cell>
          <cell r="AB407" t="str">
            <v>(인)</v>
          </cell>
          <cell r="AC407" t="str">
            <v>임영구</v>
          </cell>
          <cell r="AD407" t="str">
            <v>(인)</v>
          </cell>
          <cell r="AE407">
            <v>172.2</v>
          </cell>
          <cell r="AF407" t="str">
            <v>표준</v>
          </cell>
          <cell r="AG407">
            <v>2</v>
          </cell>
          <cell r="AH407">
            <v>0</v>
          </cell>
        </row>
        <row r="408">
          <cell r="G408">
            <v>2405270203</v>
          </cell>
          <cell r="H408" t="str">
            <v>117동</v>
          </cell>
          <cell r="I408">
            <v>240527</v>
          </cell>
          <cell r="J408" t="str">
            <v>117동 및 주변주차장 기초</v>
          </cell>
          <cell r="K408">
            <v>660</v>
          </cell>
          <cell r="L408">
            <v>660</v>
          </cell>
          <cell r="M408">
            <v>2415</v>
          </cell>
          <cell r="N408" t="str">
            <v>대공</v>
          </cell>
          <cell r="O408" t="str">
            <v>펌프카(1대)</v>
          </cell>
          <cell r="P408">
            <v>742</v>
          </cell>
          <cell r="Q408">
            <v>1421</v>
          </cell>
          <cell r="R408">
            <v>150</v>
          </cell>
          <cell r="S408">
            <v>41</v>
          </cell>
          <cell r="T408">
            <v>26</v>
          </cell>
          <cell r="U408">
            <v>227</v>
          </cell>
          <cell r="V408"/>
          <cell r="W408" t="str">
            <v>박순홍</v>
          </cell>
          <cell r="X408" t="str">
            <v>(인)</v>
          </cell>
          <cell r="Y408" t="str">
            <v>박순홍</v>
          </cell>
          <cell r="Z408" t="str">
            <v>(인)</v>
          </cell>
          <cell r="AA408" t="str">
            <v>최인철</v>
          </cell>
          <cell r="AB408" t="str">
            <v>(인)</v>
          </cell>
          <cell r="AC408" t="str">
            <v>임영구</v>
          </cell>
          <cell r="AD408" t="str">
            <v>(인)</v>
          </cell>
          <cell r="AE408">
            <v>181.9</v>
          </cell>
          <cell r="AF408" t="str">
            <v>표준</v>
          </cell>
          <cell r="AG408">
            <v>3</v>
          </cell>
          <cell r="AH408">
            <v>0</v>
          </cell>
        </row>
        <row r="409">
          <cell r="G409">
            <v>2405270204</v>
          </cell>
          <cell r="H409" t="str">
            <v>117동</v>
          </cell>
          <cell r="I409">
            <v>240527</v>
          </cell>
          <cell r="J409" t="str">
            <v>117동 및 주변주차장 기초</v>
          </cell>
          <cell r="K409">
            <v>660</v>
          </cell>
          <cell r="L409">
            <v>660</v>
          </cell>
          <cell r="M409">
            <v>2415</v>
          </cell>
          <cell r="N409" t="str">
            <v>대공</v>
          </cell>
          <cell r="O409" t="str">
            <v>펌프카(1대)</v>
          </cell>
          <cell r="P409">
            <v>742</v>
          </cell>
          <cell r="Q409">
            <v>1421</v>
          </cell>
          <cell r="R409">
            <v>160</v>
          </cell>
          <cell r="S409">
            <v>45</v>
          </cell>
          <cell r="T409">
            <v>17</v>
          </cell>
          <cell r="U409">
            <v>245</v>
          </cell>
          <cell r="V409"/>
          <cell r="W409" t="str">
            <v>박순홍</v>
          </cell>
          <cell r="X409" t="str">
            <v>(인)</v>
          </cell>
          <cell r="Y409" t="str">
            <v>박순홍</v>
          </cell>
          <cell r="Z409" t="str">
            <v>(인)</v>
          </cell>
          <cell r="AA409" t="str">
            <v>최인철</v>
          </cell>
          <cell r="AB409" t="str">
            <v>(인)</v>
          </cell>
          <cell r="AC409" t="str">
            <v>임영구</v>
          </cell>
          <cell r="AD409" t="str">
            <v>(인)</v>
          </cell>
          <cell r="AE409">
            <v>179.3</v>
          </cell>
          <cell r="AF409" t="str">
            <v>표준</v>
          </cell>
          <cell r="AG409">
            <v>4</v>
          </cell>
          <cell r="AH409">
            <v>1</v>
          </cell>
          <cell r="AL409">
            <v>3262</v>
          </cell>
          <cell r="AM409">
            <v>3178</v>
          </cell>
          <cell r="AN409">
            <v>3236</v>
          </cell>
          <cell r="AO409">
            <v>3349</v>
          </cell>
          <cell r="AP409">
            <v>3263</v>
          </cell>
          <cell r="AQ409">
            <v>3211</v>
          </cell>
          <cell r="AR409">
            <v>3263</v>
          </cell>
          <cell r="AS409">
            <v>3137</v>
          </cell>
          <cell r="AT409">
            <v>253400</v>
          </cell>
        </row>
        <row r="410">
          <cell r="G410">
            <v>2405270205</v>
          </cell>
          <cell r="H410" t="str">
            <v>117동</v>
          </cell>
          <cell r="I410">
            <v>240527</v>
          </cell>
          <cell r="J410" t="str">
            <v>117동 및 주변주차장 기초</v>
          </cell>
          <cell r="K410">
            <v>660</v>
          </cell>
          <cell r="L410">
            <v>660</v>
          </cell>
          <cell r="M410">
            <v>2415</v>
          </cell>
          <cell r="N410" t="str">
            <v>대공</v>
          </cell>
          <cell r="O410" t="str">
            <v>펌프카(1대)</v>
          </cell>
          <cell r="P410">
            <v>742</v>
          </cell>
          <cell r="Q410">
            <v>1421</v>
          </cell>
          <cell r="R410">
            <v>150</v>
          </cell>
          <cell r="S410">
            <v>38</v>
          </cell>
          <cell r="T410">
            <v>46</v>
          </cell>
          <cell r="U410">
            <v>242</v>
          </cell>
          <cell r="V410"/>
          <cell r="W410" t="str">
            <v>박순홍</v>
          </cell>
          <cell r="X410" t="str">
            <v>(인)</v>
          </cell>
          <cell r="Y410" t="str">
            <v>박순홍</v>
          </cell>
          <cell r="Z410" t="str">
            <v>(인)</v>
          </cell>
          <cell r="AA410" t="str">
            <v>최인철</v>
          </cell>
          <cell r="AB410" t="str">
            <v>(인)</v>
          </cell>
          <cell r="AC410" t="str">
            <v>임영구</v>
          </cell>
          <cell r="AD410" t="str">
            <v>(인)</v>
          </cell>
          <cell r="AE410">
            <v>164.1</v>
          </cell>
          <cell r="AF410" t="str">
            <v>표준</v>
          </cell>
          <cell r="AG410">
            <v>5</v>
          </cell>
          <cell r="AH410">
            <v>0</v>
          </cell>
        </row>
        <row r="411">
          <cell r="G411">
            <v>2405270206</v>
          </cell>
          <cell r="H411" t="str">
            <v>117동</v>
          </cell>
          <cell r="I411">
            <v>240527</v>
          </cell>
          <cell r="J411" t="str">
            <v>117동 및 주변주차장 기초</v>
          </cell>
          <cell r="K411">
            <v>660</v>
          </cell>
          <cell r="L411">
            <v>660</v>
          </cell>
          <cell r="M411">
            <v>2415</v>
          </cell>
          <cell r="N411" t="str">
            <v>대공</v>
          </cell>
          <cell r="O411" t="str">
            <v>펌프카(1대)</v>
          </cell>
          <cell r="P411">
            <v>742</v>
          </cell>
          <cell r="Q411">
            <v>1421</v>
          </cell>
          <cell r="R411">
            <v>155</v>
          </cell>
          <cell r="S411">
            <v>40</v>
          </cell>
          <cell r="T411">
            <v>61</v>
          </cell>
          <cell r="U411">
            <v>259</v>
          </cell>
          <cell r="V411"/>
          <cell r="W411" t="str">
            <v>박순홍</v>
          </cell>
          <cell r="X411" t="str">
            <v>(인)</v>
          </cell>
          <cell r="Y411" t="str">
            <v>박순홍</v>
          </cell>
          <cell r="Z411" t="str">
            <v>(인)</v>
          </cell>
          <cell r="AA411" t="str">
            <v>최인철</v>
          </cell>
          <cell r="AB411" t="str">
            <v>(인)</v>
          </cell>
          <cell r="AC411" t="str">
            <v>임영구</v>
          </cell>
          <cell r="AD411" t="str">
            <v>(인)</v>
          </cell>
          <cell r="AE411">
            <v>160.4</v>
          </cell>
          <cell r="AF411" t="str">
            <v>표준</v>
          </cell>
          <cell r="AG411">
            <v>6</v>
          </cell>
          <cell r="AH411">
            <v>0</v>
          </cell>
        </row>
        <row r="412">
          <cell r="G412">
            <v>2405270301</v>
          </cell>
          <cell r="H412" t="str">
            <v>111동</v>
          </cell>
          <cell r="I412">
            <v>240527</v>
          </cell>
          <cell r="J412" t="str">
            <v>111동 및 주변주차장 1차</v>
          </cell>
          <cell r="K412">
            <v>130</v>
          </cell>
          <cell r="L412">
            <v>132</v>
          </cell>
          <cell r="M412">
            <v>3015</v>
          </cell>
          <cell r="N412" t="str">
            <v>한진</v>
          </cell>
          <cell r="O412" t="str">
            <v>펌프카(1대)</v>
          </cell>
          <cell r="P412">
            <v>737</v>
          </cell>
          <cell r="Q412">
            <v>1311</v>
          </cell>
          <cell r="R412">
            <v>170</v>
          </cell>
          <cell r="S412">
            <v>42</v>
          </cell>
          <cell r="T412">
            <v>39</v>
          </cell>
          <cell r="U412">
            <v>236</v>
          </cell>
          <cell r="V412"/>
          <cell r="W412" t="str">
            <v>박순홍</v>
          </cell>
          <cell r="X412" t="str">
            <v>(인)</v>
          </cell>
          <cell r="Y412" t="str">
            <v>박순홍</v>
          </cell>
          <cell r="Z412" t="str">
            <v>(인)</v>
          </cell>
          <cell r="AA412" t="str">
            <v>정창인</v>
          </cell>
          <cell r="AB412" t="str">
            <v>(인)</v>
          </cell>
          <cell r="AC412" t="str">
            <v>최인철</v>
          </cell>
          <cell r="AD412" t="str">
            <v>(인)</v>
          </cell>
          <cell r="AE412">
            <v>176.7</v>
          </cell>
          <cell r="AF412" t="str">
            <v>표준</v>
          </cell>
          <cell r="AG412">
            <v>1</v>
          </cell>
          <cell r="AH412">
            <v>1</v>
          </cell>
          <cell r="AI412">
            <v>2920</v>
          </cell>
          <cell r="AJ412">
            <v>2923</v>
          </cell>
          <cell r="AK412">
            <v>228800</v>
          </cell>
          <cell r="AL412">
            <v>3821</v>
          </cell>
          <cell r="AM412">
            <v>3811</v>
          </cell>
          <cell r="AN412">
            <v>3902</v>
          </cell>
          <cell r="AO412">
            <v>3852</v>
          </cell>
          <cell r="AP412">
            <v>3959</v>
          </cell>
          <cell r="AQ412">
            <v>3962</v>
          </cell>
          <cell r="AR412">
            <v>3967</v>
          </cell>
          <cell r="AS412">
            <v>3832</v>
          </cell>
          <cell r="AT412">
            <v>305400</v>
          </cell>
        </row>
        <row r="413">
          <cell r="G413">
            <v>2405270302</v>
          </cell>
          <cell r="H413" t="str">
            <v>111동</v>
          </cell>
          <cell r="I413">
            <v>240527</v>
          </cell>
          <cell r="J413" t="str">
            <v>111동 및 주변주차장 1차</v>
          </cell>
          <cell r="K413">
            <v>130</v>
          </cell>
          <cell r="L413">
            <v>132</v>
          </cell>
          <cell r="M413">
            <v>3015</v>
          </cell>
          <cell r="N413" t="str">
            <v>한진</v>
          </cell>
          <cell r="O413" t="str">
            <v>펌프카(1대)</v>
          </cell>
          <cell r="P413">
            <v>737</v>
          </cell>
          <cell r="Q413">
            <v>1311</v>
          </cell>
          <cell r="R413">
            <v>150</v>
          </cell>
          <cell r="S413">
            <v>47</v>
          </cell>
          <cell r="T413">
            <v>35</v>
          </cell>
          <cell r="U413">
            <v>249</v>
          </cell>
          <cell r="V413"/>
          <cell r="W413" t="str">
            <v>박순홍</v>
          </cell>
          <cell r="X413" t="str">
            <v>(인)</v>
          </cell>
          <cell r="Y413" t="str">
            <v>박순홍</v>
          </cell>
          <cell r="Z413" t="str">
            <v>(인)</v>
          </cell>
          <cell r="AA413" t="str">
            <v>이루비</v>
          </cell>
          <cell r="AB413" t="str">
            <v>(인)</v>
          </cell>
          <cell r="AC413" t="str">
            <v>최인철</v>
          </cell>
          <cell r="AD413" t="str">
            <v>(인)</v>
          </cell>
          <cell r="AE413">
            <v>186.7</v>
          </cell>
          <cell r="AF413" t="str">
            <v>표준</v>
          </cell>
          <cell r="AG413">
            <v>2</v>
          </cell>
          <cell r="AH413">
            <v>0</v>
          </cell>
        </row>
        <row r="414">
          <cell r="G414">
            <v>2405270401</v>
          </cell>
          <cell r="H414" t="str">
            <v>111동</v>
          </cell>
          <cell r="I414">
            <v>240527</v>
          </cell>
          <cell r="J414" t="str">
            <v>111동 및 주변주차장 1차</v>
          </cell>
          <cell r="K414">
            <v>280</v>
          </cell>
          <cell r="L414">
            <v>276</v>
          </cell>
          <cell r="M414">
            <v>2715</v>
          </cell>
          <cell r="N414" t="str">
            <v>한진</v>
          </cell>
          <cell r="O414" t="str">
            <v>펌프카(1대)</v>
          </cell>
          <cell r="P414">
            <v>1030</v>
          </cell>
          <cell r="Q414">
            <v>1550</v>
          </cell>
          <cell r="R414">
            <v>145</v>
          </cell>
          <cell r="S414">
            <v>40</v>
          </cell>
          <cell r="T414">
            <v>66</v>
          </cell>
          <cell r="U414">
            <v>253</v>
          </cell>
          <cell r="V414"/>
          <cell r="W414" t="str">
            <v>박순홍</v>
          </cell>
          <cell r="X414" t="str">
            <v>(인)</v>
          </cell>
          <cell r="Y414" t="str">
            <v>박순홍</v>
          </cell>
          <cell r="Z414" t="str">
            <v>(인)</v>
          </cell>
          <cell r="AA414" t="str">
            <v>이루비</v>
          </cell>
          <cell r="AB414" t="str">
            <v>(인)</v>
          </cell>
          <cell r="AC414" t="str">
            <v>최인철</v>
          </cell>
          <cell r="AD414" t="str">
            <v>(인)</v>
          </cell>
          <cell r="AE414">
            <v>186.2</v>
          </cell>
          <cell r="AF414" t="str">
            <v>표준</v>
          </cell>
          <cell r="AG414">
            <v>1</v>
          </cell>
          <cell r="AH414">
            <v>1</v>
          </cell>
          <cell r="AI414">
            <v>2312</v>
          </cell>
          <cell r="AJ414">
            <v>2126</v>
          </cell>
          <cell r="AK414">
            <v>180200</v>
          </cell>
          <cell r="AL414">
            <v>3426</v>
          </cell>
          <cell r="AM414">
            <v>3537</v>
          </cell>
          <cell r="AN414">
            <v>3471</v>
          </cell>
          <cell r="AO414">
            <v>3511</v>
          </cell>
          <cell r="AP414">
            <v>3498</v>
          </cell>
          <cell r="AQ414">
            <v>3531</v>
          </cell>
          <cell r="AR414">
            <v>3524</v>
          </cell>
          <cell r="AS414">
            <v>3447</v>
          </cell>
          <cell r="AT414">
            <v>278200</v>
          </cell>
        </row>
        <row r="415">
          <cell r="G415">
            <v>2405270402</v>
          </cell>
          <cell r="H415" t="str">
            <v>111동</v>
          </cell>
          <cell r="I415">
            <v>240527</v>
          </cell>
          <cell r="J415" t="str">
            <v>111동 및 주변주차장 1차</v>
          </cell>
          <cell r="K415">
            <v>280</v>
          </cell>
          <cell r="L415">
            <v>276</v>
          </cell>
          <cell r="M415">
            <v>2715</v>
          </cell>
          <cell r="N415" t="str">
            <v>한진</v>
          </cell>
          <cell r="O415" t="str">
            <v>펌프카(1대)</v>
          </cell>
          <cell r="P415">
            <v>1030</v>
          </cell>
          <cell r="Q415">
            <v>1550</v>
          </cell>
          <cell r="R415">
            <v>150</v>
          </cell>
          <cell r="S415">
            <v>49</v>
          </cell>
          <cell r="T415">
            <v>37</v>
          </cell>
          <cell r="U415">
            <v>257</v>
          </cell>
          <cell r="V415"/>
          <cell r="W415" t="str">
            <v>박순홍</v>
          </cell>
          <cell r="X415" t="str">
            <v>(인)</v>
          </cell>
          <cell r="Y415" t="str">
            <v>박순홍</v>
          </cell>
          <cell r="Z415" t="str">
            <v>(인)</v>
          </cell>
          <cell r="AA415" t="str">
            <v>이루비</v>
          </cell>
          <cell r="AB415" t="str">
            <v>(인)</v>
          </cell>
          <cell r="AC415" t="str">
            <v>최인철</v>
          </cell>
          <cell r="AD415" t="str">
            <v>(인)</v>
          </cell>
          <cell r="AE415">
            <v>178.3</v>
          </cell>
          <cell r="AF415" t="str">
            <v>표준</v>
          </cell>
          <cell r="AG415">
            <v>2</v>
          </cell>
          <cell r="AH415">
            <v>0</v>
          </cell>
        </row>
        <row r="416">
          <cell r="G416">
            <v>2405270403</v>
          </cell>
          <cell r="H416" t="str">
            <v>111동</v>
          </cell>
          <cell r="I416">
            <v>240527</v>
          </cell>
          <cell r="J416" t="str">
            <v>111동 및 주변주차장 1차</v>
          </cell>
          <cell r="K416">
            <v>280</v>
          </cell>
          <cell r="L416">
            <v>276</v>
          </cell>
          <cell r="M416">
            <v>2715</v>
          </cell>
          <cell r="N416" t="str">
            <v>한진</v>
          </cell>
          <cell r="O416" t="str">
            <v>펌프카(1대)</v>
          </cell>
          <cell r="P416">
            <v>1030</v>
          </cell>
          <cell r="Q416">
            <v>1550</v>
          </cell>
          <cell r="R416">
            <v>175</v>
          </cell>
          <cell r="S416">
            <v>46</v>
          </cell>
          <cell r="T416">
            <v>63</v>
          </cell>
          <cell r="U416">
            <v>246</v>
          </cell>
          <cell r="V416"/>
          <cell r="W416" t="str">
            <v>박순홍</v>
          </cell>
          <cell r="X416" t="str">
            <v>(인)</v>
          </cell>
          <cell r="Y416" t="str">
            <v>박순홍</v>
          </cell>
          <cell r="Z416" t="str">
            <v>(인)</v>
          </cell>
          <cell r="AA416" t="str">
            <v>이루비</v>
          </cell>
          <cell r="AB416" t="str">
            <v>(인)</v>
          </cell>
          <cell r="AC416" t="str">
            <v>최인철</v>
          </cell>
          <cell r="AD416" t="str">
            <v>(인)</v>
          </cell>
          <cell r="AE416">
            <v>190.6</v>
          </cell>
          <cell r="AF416" t="str">
            <v>표준</v>
          </cell>
          <cell r="AG416">
            <v>3</v>
          </cell>
          <cell r="AH416">
            <v>0</v>
          </cell>
        </row>
        <row r="417">
          <cell r="G417">
            <v>2405280101</v>
          </cell>
          <cell r="H417" t="str">
            <v>102동, 근린생활시설</v>
          </cell>
          <cell r="I417">
            <v>240528</v>
          </cell>
          <cell r="J417" t="str">
            <v>102동 및 근린생활시설1 2차</v>
          </cell>
          <cell r="K417">
            <v>470</v>
          </cell>
          <cell r="L417">
            <v>471</v>
          </cell>
          <cell r="M417">
            <v>3015</v>
          </cell>
          <cell r="N417" t="str">
            <v>대원</v>
          </cell>
          <cell r="O417" t="str">
            <v>펌프카(1대)</v>
          </cell>
          <cell r="P417">
            <v>730</v>
          </cell>
          <cell r="Q417">
            <v>1426</v>
          </cell>
          <cell r="R417">
            <v>175</v>
          </cell>
          <cell r="S417">
            <v>45</v>
          </cell>
          <cell r="T417">
            <v>30</v>
          </cell>
          <cell r="U417">
            <v>239</v>
          </cell>
          <cell r="V417"/>
          <cell r="W417" t="str">
            <v>박순홍</v>
          </cell>
          <cell r="X417" t="str">
            <v>(인)</v>
          </cell>
          <cell r="Y417" t="str">
            <v>박순홍</v>
          </cell>
          <cell r="Z417" t="str">
            <v>(인)</v>
          </cell>
          <cell r="AA417" t="str">
            <v>최상옥</v>
          </cell>
          <cell r="AB417" t="str">
            <v>(인)</v>
          </cell>
          <cell r="AC417" t="str">
            <v>이홍걸</v>
          </cell>
          <cell r="AD417" t="str">
            <v>(인)</v>
          </cell>
          <cell r="AE417">
            <v>184.2</v>
          </cell>
          <cell r="AF417" t="str">
            <v>표준</v>
          </cell>
          <cell r="AG417">
            <v>1</v>
          </cell>
          <cell r="AH417">
            <v>1</v>
          </cell>
          <cell r="AI417">
            <v>2827</v>
          </cell>
          <cell r="AJ417">
            <v>2877</v>
          </cell>
          <cell r="AK417">
            <v>223200</v>
          </cell>
          <cell r="AL417">
            <v>3868</v>
          </cell>
          <cell r="AM417">
            <v>3855</v>
          </cell>
          <cell r="AN417">
            <v>3855</v>
          </cell>
          <cell r="AO417">
            <v>3967</v>
          </cell>
          <cell r="AP417">
            <v>3970</v>
          </cell>
          <cell r="AQ417">
            <v>3894</v>
          </cell>
          <cell r="AR417">
            <v>3926</v>
          </cell>
          <cell r="AS417">
            <v>3910</v>
          </cell>
          <cell r="AT417">
            <v>310400</v>
          </cell>
        </row>
        <row r="418">
          <cell r="G418">
            <v>2405280102</v>
          </cell>
          <cell r="H418" t="str">
            <v>102동, 근린생활시설</v>
          </cell>
          <cell r="I418">
            <v>240528</v>
          </cell>
          <cell r="J418" t="str">
            <v>102동 및 근린생활시설1 2차</v>
          </cell>
          <cell r="K418">
            <v>470</v>
          </cell>
          <cell r="L418">
            <v>471</v>
          </cell>
          <cell r="M418">
            <v>3015</v>
          </cell>
          <cell r="N418" t="str">
            <v>대원</v>
          </cell>
          <cell r="O418" t="str">
            <v>펌프카(1대)</v>
          </cell>
          <cell r="P418">
            <v>730</v>
          </cell>
          <cell r="Q418">
            <v>1426</v>
          </cell>
          <cell r="R418">
            <v>160</v>
          </cell>
          <cell r="S418">
            <v>47</v>
          </cell>
          <cell r="T418">
            <v>29</v>
          </cell>
          <cell r="U418">
            <v>220</v>
          </cell>
          <cell r="V418"/>
          <cell r="W418" t="str">
            <v>박순홍</v>
          </cell>
          <cell r="X418" t="str">
            <v>(인)</v>
          </cell>
          <cell r="Y418" t="str">
            <v>박순홍</v>
          </cell>
          <cell r="Z418" t="str">
            <v>(인)</v>
          </cell>
          <cell r="AA418" t="str">
            <v>최상옥</v>
          </cell>
          <cell r="AB418" t="str">
            <v>(인)</v>
          </cell>
          <cell r="AC418" t="str">
            <v>이홍걸</v>
          </cell>
          <cell r="AD418" t="str">
            <v>(인)</v>
          </cell>
          <cell r="AE418">
            <v>179.3</v>
          </cell>
          <cell r="AF418" t="str">
            <v>표준</v>
          </cell>
          <cell r="AG418">
            <v>2</v>
          </cell>
          <cell r="AH418">
            <v>0</v>
          </cell>
        </row>
        <row r="419">
          <cell r="G419">
            <v>2405280103</v>
          </cell>
          <cell r="H419" t="str">
            <v>102동, 근린생활시설</v>
          </cell>
          <cell r="I419">
            <v>240528</v>
          </cell>
          <cell r="J419" t="str">
            <v>102동 및 근린생활시설1 2차</v>
          </cell>
          <cell r="K419">
            <v>470</v>
          </cell>
          <cell r="L419">
            <v>471</v>
          </cell>
          <cell r="M419">
            <v>3015</v>
          </cell>
          <cell r="N419" t="str">
            <v>대원</v>
          </cell>
          <cell r="O419" t="str">
            <v>펌프카(1대)</v>
          </cell>
          <cell r="P419">
            <v>730</v>
          </cell>
          <cell r="Q419">
            <v>1426</v>
          </cell>
          <cell r="R419">
            <v>165</v>
          </cell>
          <cell r="S419">
            <v>48</v>
          </cell>
          <cell r="T419">
            <v>29</v>
          </cell>
          <cell r="U419">
            <v>252</v>
          </cell>
          <cell r="V419"/>
          <cell r="W419" t="str">
            <v>박순홍</v>
          </cell>
          <cell r="X419" t="str">
            <v>(인)</v>
          </cell>
          <cell r="Y419" t="str">
            <v>박순홍</v>
          </cell>
          <cell r="Z419" t="str">
            <v>(인)</v>
          </cell>
          <cell r="AA419" t="str">
            <v>최상옥</v>
          </cell>
          <cell r="AB419" t="str">
            <v>(인)</v>
          </cell>
          <cell r="AC419" t="str">
            <v>이홍걸</v>
          </cell>
          <cell r="AD419" t="str">
            <v>(인)</v>
          </cell>
          <cell r="AE419">
            <v>179.4</v>
          </cell>
          <cell r="AF419" t="str">
            <v>표준</v>
          </cell>
          <cell r="AG419">
            <v>3</v>
          </cell>
          <cell r="AH419">
            <v>0</v>
          </cell>
        </row>
        <row r="420">
          <cell r="G420">
            <v>2405280104</v>
          </cell>
          <cell r="H420" t="str">
            <v>102동, 근린생활시설</v>
          </cell>
          <cell r="I420">
            <v>240528</v>
          </cell>
          <cell r="J420" t="str">
            <v>102동 및 근린생활시설1 2차</v>
          </cell>
          <cell r="K420">
            <v>470</v>
          </cell>
          <cell r="L420">
            <v>471</v>
          </cell>
          <cell r="M420">
            <v>3015</v>
          </cell>
          <cell r="N420" t="str">
            <v>대원</v>
          </cell>
          <cell r="O420" t="str">
            <v>펌프카(1대)</v>
          </cell>
          <cell r="P420">
            <v>730</v>
          </cell>
          <cell r="Q420">
            <v>1426</v>
          </cell>
          <cell r="R420">
            <v>160</v>
          </cell>
          <cell r="S420">
            <v>41</v>
          </cell>
          <cell r="T420">
            <v>58</v>
          </cell>
          <cell r="U420">
            <v>258</v>
          </cell>
          <cell r="V420"/>
          <cell r="W420" t="str">
            <v>박순홍</v>
          </cell>
          <cell r="X420" t="str">
            <v>(인)</v>
          </cell>
          <cell r="Y420" t="str">
            <v>박순홍</v>
          </cell>
          <cell r="Z420" t="str">
            <v>(인)</v>
          </cell>
          <cell r="AA420" t="str">
            <v>이홍걸</v>
          </cell>
          <cell r="AB420" t="str">
            <v>(인)</v>
          </cell>
          <cell r="AC420" t="str">
            <v>이홍걸</v>
          </cell>
          <cell r="AD420" t="str">
            <v>(인)</v>
          </cell>
          <cell r="AE420">
            <v>187.2</v>
          </cell>
          <cell r="AF420" t="str">
            <v>표준</v>
          </cell>
          <cell r="AG420">
            <v>4</v>
          </cell>
          <cell r="AH420">
            <v>1</v>
          </cell>
          <cell r="AL420">
            <v>4041</v>
          </cell>
          <cell r="AM420">
            <v>3992</v>
          </cell>
          <cell r="AN420">
            <v>4010</v>
          </cell>
          <cell r="AO420">
            <v>3949</v>
          </cell>
          <cell r="AP420">
            <v>4012</v>
          </cell>
          <cell r="AQ420">
            <v>3962</v>
          </cell>
          <cell r="AR420">
            <v>3984</v>
          </cell>
          <cell r="AS420">
            <v>4062</v>
          </cell>
          <cell r="AT420">
            <v>312600</v>
          </cell>
        </row>
        <row r="421">
          <cell r="G421">
            <v>2405280201</v>
          </cell>
          <cell r="H421" t="str">
            <v>104동</v>
          </cell>
          <cell r="I421">
            <v>240528</v>
          </cell>
          <cell r="J421" t="str">
            <v>104동 4층 바닥</v>
          </cell>
          <cell r="K421">
            <v>290</v>
          </cell>
          <cell r="L421">
            <v>294</v>
          </cell>
          <cell r="M421">
            <v>3018</v>
          </cell>
          <cell r="N421" t="str">
            <v>대원</v>
          </cell>
          <cell r="O421" t="str">
            <v>펌프카(1대)</v>
          </cell>
          <cell r="P421">
            <v>839</v>
          </cell>
          <cell r="Q421">
            <v>1333</v>
          </cell>
          <cell r="R421">
            <v>190</v>
          </cell>
          <cell r="S421">
            <v>50</v>
          </cell>
          <cell r="T421">
            <v>47</v>
          </cell>
          <cell r="U421">
            <v>229</v>
          </cell>
          <cell r="V421"/>
          <cell r="W421" t="str">
            <v>박순홍</v>
          </cell>
          <cell r="X421" t="str">
            <v>(인)</v>
          </cell>
          <cell r="Y421" t="str">
            <v>박순홍</v>
          </cell>
          <cell r="Z421" t="str">
            <v>(인)</v>
          </cell>
          <cell r="AA421" t="str">
            <v>이홍걸</v>
          </cell>
          <cell r="AB421" t="str">
            <v>(인)</v>
          </cell>
          <cell r="AC421" t="str">
            <v>장덕만</v>
          </cell>
          <cell r="AD421" t="str">
            <v>(인)</v>
          </cell>
          <cell r="AE421">
            <v>189.2</v>
          </cell>
          <cell r="AF421" t="str">
            <v>표준</v>
          </cell>
          <cell r="AG421">
            <v>1</v>
          </cell>
          <cell r="AH421">
            <v>1</v>
          </cell>
          <cell r="AI421">
            <v>2875</v>
          </cell>
          <cell r="AJ421">
            <v>2913</v>
          </cell>
          <cell r="AK421">
            <v>225000</v>
          </cell>
          <cell r="AL421">
            <v>3957</v>
          </cell>
          <cell r="AM421">
            <v>4017</v>
          </cell>
          <cell r="AN421">
            <v>3962</v>
          </cell>
          <cell r="AO421">
            <v>4012</v>
          </cell>
          <cell r="AP421">
            <v>3863</v>
          </cell>
          <cell r="AQ421">
            <v>3946</v>
          </cell>
          <cell r="AR421">
            <v>4077</v>
          </cell>
          <cell r="AS421">
            <v>3992</v>
          </cell>
          <cell r="AT421">
            <v>315000</v>
          </cell>
        </row>
        <row r="422">
          <cell r="G422">
            <v>2405280202</v>
          </cell>
          <cell r="H422" t="str">
            <v>104동</v>
          </cell>
          <cell r="I422">
            <v>240528</v>
          </cell>
          <cell r="J422" t="str">
            <v>104동 4층 바닥</v>
          </cell>
          <cell r="K422">
            <v>290</v>
          </cell>
          <cell r="L422">
            <v>294</v>
          </cell>
          <cell r="M422">
            <v>3018</v>
          </cell>
          <cell r="N422" t="str">
            <v>대원</v>
          </cell>
          <cell r="O422" t="str">
            <v>펌프카(1대)</v>
          </cell>
          <cell r="P422">
            <v>839</v>
          </cell>
          <cell r="Q422">
            <v>1333</v>
          </cell>
          <cell r="R422">
            <v>190</v>
          </cell>
          <cell r="S422">
            <v>51</v>
          </cell>
          <cell r="T422">
            <v>47</v>
          </cell>
          <cell r="U422">
            <v>235</v>
          </cell>
          <cell r="V422"/>
          <cell r="W422" t="str">
            <v>박순홍</v>
          </cell>
          <cell r="X422" t="str">
            <v>(인)</v>
          </cell>
          <cell r="Y422" t="str">
            <v>박순홍</v>
          </cell>
          <cell r="Z422" t="str">
            <v>(인)</v>
          </cell>
          <cell r="AA422" t="str">
            <v>이홍걸</v>
          </cell>
          <cell r="AB422" t="str">
            <v>(인)</v>
          </cell>
          <cell r="AC422" t="str">
            <v>장덕만</v>
          </cell>
          <cell r="AD422" t="str">
            <v>(인)</v>
          </cell>
          <cell r="AE422">
            <v>164.6</v>
          </cell>
          <cell r="AF422" t="str">
            <v>표준</v>
          </cell>
          <cell r="AG422">
            <v>2</v>
          </cell>
          <cell r="AH422">
            <v>0</v>
          </cell>
        </row>
        <row r="423">
          <cell r="G423">
            <v>2405280203</v>
          </cell>
          <cell r="H423" t="str">
            <v>104동</v>
          </cell>
          <cell r="I423">
            <v>240528</v>
          </cell>
          <cell r="J423" t="str">
            <v>104동 4층 바닥</v>
          </cell>
          <cell r="K423">
            <v>290</v>
          </cell>
          <cell r="L423">
            <v>294</v>
          </cell>
          <cell r="M423">
            <v>3018</v>
          </cell>
          <cell r="N423" t="str">
            <v>대원</v>
          </cell>
          <cell r="O423" t="str">
            <v>펌프카(1대)</v>
          </cell>
          <cell r="P423">
            <v>839</v>
          </cell>
          <cell r="Q423">
            <v>1333</v>
          </cell>
          <cell r="R423">
            <v>195</v>
          </cell>
          <cell r="S423">
            <v>43</v>
          </cell>
          <cell r="T423">
            <v>18</v>
          </cell>
          <cell r="U423">
            <v>242</v>
          </cell>
          <cell r="V423"/>
          <cell r="W423" t="str">
            <v>박순홍</v>
          </cell>
          <cell r="X423" t="str">
            <v>(인)</v>
          </cell>
          <cell r="Y423" t="str">
            <v>박순홍</v>
          </cell>
          <cell r="Z423" t="str">
            <v>(인)</v>
          </cell>
          <cell r="AA423" t="str">
            <v>이홍걸</v>
          </cell>
          <cell r="AB423" t="str">
            <v>(인)</v>
          </cell>
          <cell r="AC423" t="str">
            <v>장덕만</v>
          </cell>
          <cell r="AD423" t="str">
            <v>(인)</v>
          </cell>
          <cell r="AE423">
            <v>180.5</v>
          </cell>
          <cell r="AF423" t="str">
            <v>표준</v>
          </cell>
          <cell r="AG423">
            <v>3</v>
          </cell>
          <cell r="AH423">
            <v>0</v>
          </cell>
        </row>
        <row r="424">
          <cell r="G424">
            <v>2405300101</v>
          </cell>
          <cell r="H424" t="str">
            <v>106동</v>
          </cell>
          <cell r="I424">
            <v>240530</v>
          </cell>
          <cell r="J424" t="str">
            <v>106동 2층 바닥</v>
          </cell>
          <cell r="K424">
            <v>300</v>
          </cell>
          <cell r="L424">
            <v>300</v>
          </cell>
          <cell r="M424">
            <v>3018</v>
          </cell>
          <cell r="N424" t="str">
            <v>대공</v>
          </cell>
          <cell r="O424" t="str">
            <v>펌프카(1대)</v>
          </cell>
          <cell r="P424">
            <v>745</v>
          </cell>
          <cell r="Q424">
            <v>1242</v>
          </cell>
          <cell r="R424">
            <v>180</v>
          </cell>
          <cell r="S424">
            <v>42</v>
          </cell>
          <cell r="T424">
            <v>26</v>
          </cell>
          <cell r="U424">
            <v>182</v>
          </cell>
          <cell r="V424"/>
          <cell r="W424" t="str">
            <v>박순홍</v>
          </cell>
          <cell r="X424" t="str">
            <v>(인)</v>
          </cell>
          <cell r="Y424" t="str">
            <v>박순홍</v>
          </cell>
          <cell r="Z424" t="str">
            <v>(인)</v>
          </cell>
          <cell r="AA424" t="str">
            <v>정창인</v>
          </cell>
          <cell r="AB424" t="str">
            <v>(인)</v>
          </cell>
          <cell r="AC424" t="str">
            <v>이루비</v>
          </cell>
          <cell r="AD424" t="str">
            <v>(인)</v>
          </cell>
          <cell r="AE424">
            <v>185.5</v>
          </cell>
          <cell r="AF424" t="str">
            <v>표준</v>
          </cell>
          <cell r="AG424">
            <v>1</v>
          </cell>
          <cell r="AH424">
            <v>1</v>
          </cell>
          <cell r="AI424">
            <v>2702</v>
          </cell>
          <cell r="AJ424">
            <v>2742</v>
          </cell>
          <cell r="AK424">
            <v>217600</v>
          </cell>
          <cell r="AL424">
            <v>4086</v>
          </cell>
          <cell r="AM424">
            <v>4012</v>
          </cell>
          <cell r="AN424">
            <v>3966</v>
          </cell>
          <cell r="AO424">
            <v>3877</v>
          </cell>
          <cell r="AP424">
            <v>4042</v>
          </cell>
          <cell r="AQ424">
            <v>3985</v>
          </cell>
          <cell r="AR424">
            <v>4094</v>
          </cell>
          <cell r="AS424">
            <v>4018</v>
          </cell>
          <cell r="AT424">
            <v>321600</v>
          </cell>
        </row>
        <row r="425">
          <cell r="G425">
            <v>2405300102</v>
          </cell>
          <cell r="H425" t="str">
            <v>106동</v>
          </cell>
          <cell r="I425">
            <v>240530</v>
          </cell>
          <cell r="J425" t="str">
            <v>106동 2층 바닥</v>
          </cell>
          <cell r="K425">
            <v>300</v>
          </cell>
          <cell r="L425">
            <v>300</v>
          </cell>
          <cell r="M425">
            <v>3018</v>
          </cell>
          <cell r="N425" t="str">
            <v>대공</v>
          </cell>
          <cell r="O425" t="str">
            <v>펌프카(1대)</v>
          </cell>
          <cell r="P425">
            <v>745</v>
          </cell>
          <cell r="Q425">
            <v>1242</v>
          </cell>
          <cell r="R425">
            <v>190</v>
          </cell>
          <cell r="S425">
            <v>40</v>
          </cell>
          <cell r="T425">
            <v>58</v>
          </cell>
          <cell r="U425">
            <v>232</v>
          </cell>
          <cell r="V425"/>
          <cell r="W425" t="str">
            <v>박순홍</v>
          </cell>
          <cell r="X425" t="str">
            <v>(인)</v>
          </cell>
          <cell r="Y425" t="str">
            <v>박순홍</v>
          </cell>
          <cell r="Z425" t="str">
            <v>(인)</v>
          </cell>
          <cell r="AA425" t="str">
            <v>이루비</v>
          </cell>
          <cell r="AB425" t="str">
            <v>(인)</v>
          </cell>
          <cell r="AC425" t="str">
            <v>이루비</v>
          </cell>
          <cell r="AD425" t="str">
            <v>(인)</v>
          </cell>
          <cell r="AE425">
            <v>182.3</v>
          </cell>
          <cell r="AF425" t="str">
            <v>표준</v>
          </cell>
          <cell r="AG425">
            <v>2</v>
          </cell>
          <cell r="AH425">
            <v>0</v>
          </cell>
        </row>
        <row r="426">
          <cell r="G426">
            <v>2405300103</v>
          </cell>
          <cell r="H426" t="str">
            <v>106동</v>
          </cell>
          <cell r="I426">
            <v>240530</v>
          </cell>
          <cell r="J426" t="str">
            <v>106동 2층 바닥</v>
          </cell>
          <cell r="K426">
            <v>300</v>
          </cell>
          <cell r="L426">
            <v>300</v>
          </cell>
          <cell r="M426">
            <v>3018</v>
          </cell>
          <cell r="N426" t="str">
            <v>대공</v>
          </cell>
          <cell r="O426" t="str">
            <v>펌프카(1대)</v>
          </cell>
          <cell r="P426">
            <v>745</v>
          </cell>
          <cell r="Q426">
            <v>1242</v>
          </cell>
          <cell r="R426">
            <v>190</v>
          </cell>
          <cell r="S426">
            <v>44</v>
          </cell>
          <cell r="T426">
            <v>20</v>
          </cell>
          <cell r="U426">
            <v>242</v>
          </cell>
          <cell r="V426"/>
          <cell r="W426" t="str">
            <v>박순홍</v>
          </cell>
          <cell r="X426" t="str">
            <v>(인)</v>
          </cell>
          <cell r="Y426" t="str">
            <v>박순홍</v>
          </cell>
          <cell r="Z426" t="str">
            <v>(인)</v>
          </cell>
          <cell r="AA426" t="str">
            <v>이루비</v>
          </cell>
          <cell r="AB426" t="str">
            <v>(인)</v>
          </cell>
          <cell r="AC426" t="str">
            <v>이루비</v>
          </cell>
          <cell r="AD426" t="str">
            <v>(인)</v>
          </cell>
          <cell r="AE426">
            <v>183.6</v>
          </cell>
          <cell r="AF426" t="str">
            <v>표준</v>
          </cell>
          <cell r="AG426">
            <v>3</v>
          </cell>
          <cell r="AH426">
            <v>0</v>
          </cell>
        </row>
        <row r="427">
          <cell r="G427">
            <v>2405300201</v>
          </cell>
          <cell r="H427" t="str">
            <v>111동</v>
          </cell>
          <cell r="I427">
            <v>240530</v>
          </cell>
          <cell r="J427" t="str">
            <v>111동 2차</v>
          </cell>
          <cell r="K427">
            <v>370</v>
          </cell>
          <cell r="L427">
            <v>370</v>
          </cell>
          <cell r="M427">
            <v>3015</v>
          </cell>
          <cell r="N427" t="str">
            <v>대원</v>
          </cell>
          <cell r="O427" t="str">
            <v>펌프카(1대)</v>
          </cell>
          <cell r="P427">
            <v>808</v>
          </cell>
          <cell r="Q427">
            <v>1554</v>
          </cell>
          <cell r="R427">
            <v>160</v>
          </cell>
          <cell r="S427">
            <v>40</v>
          </cell>
          <cell r="T427">
            <v>58</v>
          </cell>
          <cell r="U427">
            <v>200</v>
          </cell>
          <cell r="V427"/>
          <cell r="W427" t="str">
            <v>박순홍</v>
          </cell>
          <cell r="X427" t="str">
            <v>(인)</v>
          </cell>
          <cell r="Y427" t="str">
            <v>박순홍</v>
          </cell>
          <cell r="Z427" t="str">
            <v>(인)</v>
          </cell>
          <cell r="AA427" t="str">
            <v>정창인</v>
          </cell>
          <cell r="AB427" t="str">
            <v>(인)</v>
          </cell>
          <cell r="AC427" t="str">
            <v>최인철</v>
          </cell>
          <cell r="AD427" t="str">
            <v>(인)</v>
          </cell>
          <cell r="AE427">
            <v>176.3</v>
          </cell>
          <cell r="AF427" t="str">
            <v>표준</v>
          </cell>
          <cell r="AG427">
            <v>1</v>
          </cell>
          <cell r="AH427">
            <v>1</v>
          </cell>
          <cell r="AI427">
            <v>2777</v>
          </cell>
          <cell r="AJ427">
            <v>2786</v>
          </cell>
          <cell r="AK427">
            <v>220000</v>
          </cell>
          <cell r="AL427">
            <v>3866</v>
          </cell>
          <cell r="AM427">
            <v>3892</v>
          </cell>
          <cell r="AN427">
            <v>3962</v>
          </cell>
          <cell r="AO427">
            <v>3941</v>
          </cell>
          <cell r="AP427">
            <v>3898</v>
          </cell>
          <cell r="AQ427">
            <v>3766</v>
          </cell>
          <cell r="AR427">
            <v>3939</v>
          </cell>
          <cell r="AS427">
            <v>3785</v>
          </cell>
          <cell r="AT427">
            <v>310200</v>
          </cell>
        </row>
        <row r="428">
          <cell r="G428">
            <v>2405300202</v>
          </cell>
          <cell r="H428" t="str">
            <v>111동</v>
          </cell>
          <cell r="I428">
            <v>240530</v>
          </cell>
          <cell r="J428" t="str">
            <v>111동 2차</v>
          </cell>
          <cell r="K428">
            <v>370</v>
          </cell>
          <cell r="L428">
            <v>370</v>
          </cell>
          <cell r="M428">
            <v>3015</v>
          </cell>
          <cell r="N428" t="str">
            <v>대원</v>
          </cell>
          <cell r="O428" t="str">
            <v>펌프카(1대)</v>
          </cell>
          <cell r="P428">
            <v>808</v>
          </cell>
          <cell r="Q428">
            <v>1554</v>
          </cell>
          <cell r="R428">
            <v>170</v>
          </cell>
          <cell r="S428">
            <v>42</v>
          </cell>
          <cell r="T428">
            <v>41</v>
          </cell>
          <cell r="U428">
            <v>193</v>
          </cell>
          <cell r="V428"/>
          <cell r="W428" t="str">
            <v>박순홍</v>
          </cell>
          <cell r="X428" t="str">
            <v>(인)</v>
          </cell>
          <cell r="Y428" t="str">
            <v>박순홍</v>
          </cell>
          <cell r="Z428" t="str">
            <v>(인)</v>
          </cell>
          <cell r="AA428" t="str">
            <v>이루비</v>
          </cell>
          <cell r="AB428" t="str">
            <v>(인)</v>
          </cell>
          <cell r="AC428" t="str">
            <v>최인철</v>
          </cell>
          <cell r="AD428" t="str">
            <v>(인)</v>
          </cell>
          <cell r="AE428">
            <v>180.3</v>
          </cell>
          <cell r="AF428" t="str">
            <v>표준</v>
          </cell>
          <cell r="AG428">
            <v>2</v>
          </cell>
          <cell r="AH428">
            <v>0</v>
          </cell>
        </row>
        <row r="429">
          <cell r="G429">
            <v>2405300203</v>
          </cell>
          <cell r="H429" t="str">
            <v>111동</v>
          </cell>
          <cell r="I429">
            <v>240530</v>
          </cell>
          <cell r="J429" t="str">
            <v>111동 2차</v>
          </cell>
          <cell r="K429">
            <v>370</v>
          </cell>
          <cell r="L429">
            <v>370</v>
          </cell>
          <cell r="M429">
            <v>3015</v>
          </cell>
          <cell r="N429" t="str">
            <v>대원</v>
          </cell>
          <cell r="O429" t="str">
            <v>펌프카(1대)</v>
          </cell>
          <cell r="P429">
            <v>808</v>
          </cell>
          <cell r="Q429">
            <v>1554</v>
          </cell>
          <cell r="R429">
            <v>165</v>
          </cell>
          <cell r="S429">
            <v>48</v>
          </cell>
          <cell r="T429">
            <v>49</v>
          </cell>
          <cell r="U429">
            <v>191</v>
          </cell>
          <cell r="V429"/>
          <cell r="W429" t="str">
            <v>박순홍</v>
          </cell>
          <cell r="X429" t="str">
            <v>(인)</v>
          </cell>
          <cell r="Y429" t="str">
            <v>박순홍</v>
          </cell>
          <cell r="Z429" t="str">
            <v>(인)</v>
          </cell>
          <cell r="AA429" t="str">
            <v>이루비</v>
          </cell>
          <cell r="AB429" t="str">
            <v>(인)</v>
          </cell>
          <cell r="AC429" t="str">
            <v>최인철</v>
          </cell>
          <cell r="AD429" t="str">
            <v>(인)</v>
          </cell>
          <cell r="AE429">
            <v>176.3</v>
          </cell>
          <cell r="AF429" t="str">
            <v>표준</v>
          </cell>
          <cell r="AG429">
            <v>3</v>
          </cell>
          <cell r="AH429">
            <v>0</v>
          </cell>
        </row>
        <row r="430">
          <cell r="G430">
            <v>2405300204</v>
          </cell>
          <cell r="H430" t="str">
            <v>111동</v>
          </cell>
          <cell r="I430">
            <v>240530</v>
          </cell>
          <cell r="J430" t="str">
            <v>111동 2차</v>
          </cell>
          <cell r="K430">
            <v>370</v>
          </cell>
          <cell r="L430">
            <v>370</v>
          </cell>
          <cell r="M430">
            <v>3015</v>
          </cell>
          <cell r="N430" t="str">
            <v>대원</v>
          </cell>
          <cell r="O430" t="str">
            <v>펌프카(1대)</v>
          </cell>
          <cell r="P430">
            <v>808</v>
          </cell>
          <cell r="Q430">
            <v>1554</v>
          </cell>
          <cell r="R430">
            <v>165</v>
          </cell>
          <cell r="S430">
            <v>40</v>
          </cell>
          <cell r="T430">
            <v>128</v>
          </cell>
          <cell r="U430">
            <v>237</v>
          </cell>
          <cell r="V430"/>
          <cell r="W430" t="str">
            <v>박순홍</v>
          </cell>
          <cell r="X430" t="str">
            <v>(인)</v>
          </cell>
          <cell r="Y430" t="str">
            <v>박순홍</v>
          </cell>
          <cell r="Z430" t="str">
            <v>(인)</v>
          </cell>
          <cell r="AA430" t="str">
            <v>이루비</v>
          </cell>
          <cell r="AB430" t="str">
            <v>(인)</v>
          </cell>
          <cell r="AC430" t="str">
            <v>최인철</v>
          </cell>
          <cell r="AD430" t="str">
            <v>(인)</v>
          </cell>
          <cell r="AE430">
            <v>181.2</v>
          </cell>
          <cell r="AF430" t="str">
            <v>표준</v>
          </cell>
          <cell r="AG430">
            <v>4</v>
          </cell>
          <cell r="AH430">
            <v>1</v>
          </cell>
          <cell r="AL430">
            <v>3840</v>
          </cell>
          <cell r="AM430">
            <v>3957</v>
          </cell>
          <cell r="AN430">
            <v>4020</v>
          </cell>
          <cell r="AO430">
            <v>3912</v>
          </cell>
          <cell r="AP430">
            <v>3886</v>
          </cell>
          <cell r="AQ430">
            <v>3917</v>
          </cell>
          <cell r="AR430">
            <v>3836</v>
          </cell>
          <cell r="AS430">
            <v>3941</v>
          </cell>
          <cell r="AT430">
            <v>300400</v>
          </cell>
        </row>
        <row r="431">
          <cell r="G431">
            <v>2405300301</v>
          </cell>
          <cell r="H431" t="str">
            <v>111동</v>
          </cell>
          <cell r="I431">
            <v>240530</v>
          </cell>
          <cell r="J431" t="str">
            <v>111동 2차</v>
          </cell>
          <cell r="K431">
            <v>340</v>
          </cell>
          <cell r="L431">
            <v>342</v>
          </cell>
          <cell r="M431">
            <v>3015</v>
          </cell>
          <cell r="N431" t="str">
            <v>동양</v>
          </cell>
          <cell r="O431" t="str">
            <v>펌프카(1대)</v>
          </cell>
          <cell r="P431">
            <v>815</v>
          </cell>
          <cell r="Q431">
            <v>1400</v>
          </cell>
          <cell r="R431">
            <v>160</v>
          </cell>
          <cell r="S431">
            <v>39</v>
          </cell>
          <cell r="T431">
            <v>101</v>
          </cell>
          <cell r="U431">
            <v>230</v>
          </cell>
          <cell r="V431"/>
          <cell r="W431" t="str">
            <v>박순홍</v>
          </cell>
          <cell r="X431" t="str">
            <v>(인)</v>
          </cell>
          <cell r="Y431" t="str">
            <v>박순홍</v>
          </cell>
          <cell r="Z431" t="str">
            <v>(인)</v>
          </cell>
          <cell r="AA431" t="str">
            <v>정창인</v>
          </cell>
          <cell r="AB431" t="str">
            <v>(인)</v>
          </cell>
          <cell r="AC431" t="str">
            <v>최인철</v>
          </cell>
          <cell r="AD431" t="str">
            <v>(인)</v>
          </cell>
          <cell r="AE431">
            <v>181.3</v>
          </cell>
          <cell r="AF431" t="str">
            <v>표준</v>
          </cell>
          <cell r="AG431">
            <v>1</v>
          </cell>
          <cell r="AH431">
            <v>1</v>
          </cell>
          <cell r="AI431">
            <v>2923</v>
          </cell>
          <cell r="AJ431">
            <v>2879</v>
          </cell>
          <cell r="AK431">
            <v>230400</v>
          </cell>
          <cell r="AL431">
            <v>3862</v>
          </cell>
          <cell r="AM431">
            <v>3754</v>
          </cell>
          <cell r="AN431">
            <v>3828</v>
          </cell>
          <cell r="AO431">
            <v>3860</v>
          </cell>
          <cell r="AP431">
            <v>3837</v>
          </cell>
          <cell r="AQ431">
            <v>3742</v>
          </cell>
          <cell r="AR431">
            <v>3949</v>
          </cell>
          <cell r="AS431">
            <v>3847</v>
          </cell>
          <cell r="AT431">
            <v>306800</v>
          </cell>
        </row>
        <row r="432">
          <cell r="G432">
            <v>2405300302</v>
          </cell>
          <cell r="H432" t="str">
            <v>111동</v>
          </cell>
          <cell r="I432">
            <v>240530</v>
          </cell>
          <cell r="J432" t="str">
            <v>111동 2차</v>
          </cell>
          <cell r="K432">
            <v>340</v>
          </cell>
          <cell r="L432">
            <v>342</v>
          </cell>
          <cell r="M432">
            <v>3015</v>
          </cell>
          <cell r="N432" t="str">
            <v>동양</v>
          </cell>
          <cell r="O432" t="str">
            <v>펌프카(1대)</v>
          </cell>
          <cell r="P432">
            <v>815</v>
          </cell>
          <cell r="Q432">
            <v>1400</v>
          </cell>
          <cell r="R432">
            <v>160</v>
          </cell>
          <cell r="S432">
            <v>40</v>
          </cell>
          <cell r="T432">
            <v>41</v>
          </cell>
          <cell r="U432">
            <v>190</v>
          </cell>
          <cell r="V432"/>
          <cell r="W432" t="str">
            <v>박순홍</v>
          </cell>
          <cell r="X432" t="str">
            <v>(인)</v>
          </cell>
          <cell r="Y432" t="str">
            <v>박순홍</v>
          </cell>
          <cell r="Z432" t="str">
            <v>(인)</v>
          </cell>
          <cell r="AA432" t="str">
            <v>이루비</v>
          </cell>
          <cell r="AB432" t="str">
            <v>(인)</v>
          </cell>
          <cell r="AC432" t="str">
            <v>최인철</v>
          </cell>
          <cell r="AD432" t="str">
            <v>(인)</v>
          </cell>
          <cell r="AE432">
            <v>181.3</v>
          </cell>
          <cell r="AF432" t="str">
            <v>표준</v>
          </cell>
          <cell r="AG432">
            <v>2</v>
          </cell>
          <cell r="AH432">
            <v>0</v>
          </cell>
        </row>
        <row r="433">
          <cell r="G433">
            <v>2405300303</v>
          </cell>
          <cell r="H433" t="str">
            <v>111동</v>
          </cell>
          <cell r="I433">
            <v>240530</v>
          </cell>
          <cell r="J433" t="str">
            <v>111동 2차</v>
          </cell>
          <cell r="K433">
            <v>340</v>
          </cell>
          <cell r="L433">
            <v>342</v>
          </cell>
          <cell r="M433">
            <v>3015</v>
          </cell>
          <cell r="N433" t="str">
            <v>동양</v>
          </cell>
          <cell r="O433" t="str">
            <v>펌프카(1대)</v>
          </cell>
          <cell r="P433">
            <v>815</v>
          </cell>
          <cell r="Q433">
            <v>1400</v>
          </cell>
          <cell r="R433">
            <v>170</v>
          </cell>
          <cell r="S433">
            <v>47</v>
          </cell>
          <cell r="T433">
            <v>33</v>
          </cell>
          <cell r="U433">
            <v>192</v>
          </cell>
          <cell r="V433"/>
          <cell r="W433" t="str">
            <v>박순홍</v>
          </cell>
          <cell r="X433" t="str">
            <v>(인)</v>
          </cell>
          <cell r="Y433" t="str">
            <v>박순홍</v>
          </cell>
          <cell r="Z433" t="str">
            <v>(인)</v>
          </cell>
          <cell r="AA433" t="str">
            <v>이루비</v>
          </cell>
          <cell r="AB433" t="str">
            <v>(인)</v>
          </cell>
          <cell r="AC433" t="str">
            <v>최인철</v>
          </cell>
          <cell r="AD433" t="str">
            <v>(인)</v>
          </cell>
          <cell r="AE433">
            <v>182.3</v>
          </cell>
          <cell r="AF433" t="str">
            <v>표준</v>
          </cell>
          <cell r="AG433">
            <v>3</v>
          </cell>
          <cell r="AH433">
            <v>0</v>
          </cell>
        </row>
        <row r="434">
          <cell r="G434">
            <v>2405300401</v>
          </cell>
          <cell r="H434" t="str">
            <v>111동</v>
          </cell>
          <cell r="I434">
            <v>240530</v>
          </cell>
          <cell r="J434" t="str">
            <v>111동 2차</v>
          </cell>
          <cell r="K434">
            <v>30</v>
          </cell>
          <cell r="L434">
            <v>30</v>
          </cell>
          <cell r="M434">
            <v>2715</v>
          </cell>
          <cell r="N434" t="str">
            <v>대원</v>
          </cell>
          <cell r="O434" t="str">
            <v>펌프카(1대)</v>
          </cell>
          <cell r="P434">
            <v>1433</v>
          </cell>
          <cell r="Q434">
            <v>1459</v>
          </cell>
          <cell r="R434">
            <v>170</v>
          </cell>
          <cell r="S434">
            <v>50</v>
          </cell>
          <cell r="T434">
            <v>55</v>
          </cell>
          <cell r="U434">
            <v>207</v>
          </cell>
          <cell r="V434"/>
          <cell r="W434" t="str">
            <v>박순홍</v>
          </cell>
          <cell r="X434" t="str">
            <v>(인)</v>
          </cell>
          <cell r="Y434" t="str">
            <v>박순홍</v>
          </cell>
          <cell r="Z434" t="str">
            <v>(인)</v>
          </cell>
          <cell r="AA434" t="str">
            <v>이루비</v>
          </cell>
          <cell r="AB434" t="str">
            <v>(인)</v>
          </cell>
          <cell r="AC434" t="str">
            <v>최인철</v>
          </cell>
          <cell r="AD434" t="str">
            <v>(인)</v>
          </cell>
          <cell r="AE434">
            <v>179.3</v>
          </cell>
          <cell r="AF434" t="str">
            <v>표준</v>
          </cell>
          <cell r="AG434">
            <v>1</v>
          </cell>
          <cell r="AH434">
            <v>1</v>
          </cell>
          <cell r="AI434">
            <v>2439</v>
          </cell>
          <cell r="AJ434">
            <v>2436</v>
          </cell>
          <cell r="AK434">
            <v>192800</v>
          </cell>
          <cell r="AL434">
            <v>3522</v>
          </cell>
          <cell r="AM434">
            <v>3533</v>
          </cell>
          <cell r="AN434">
            <v>3428</v>
          </cell>
          <cell r="AO434">
            <v>3436</v>
          </cell>
          <cell r="AP434">
            <v>3519</v>
          </cell>
          <cell r="AQ434">
            <v>3465</v>
          </cell>
          <cell r="AR434">
            <v>3587</v>
          </cell>
          <cell r="AS434">
            <v>3552</v>
          </cell>
          <cell r="AT434">
            <v>280000</v>
          </cell>
        </row>
        <row r="435">
          <cell r="G435">
            <v>2405300501</v>
          </cell>
          <cell r="H435" t="str">
            <v>114동</v>
          </cell>
          <cell r="I435">
            <v>240530</v>
          </cell>
          <cell r="J435" t="str">
            <v>114동 주변 기계실 기초</v>
          </cell>
          <cell r="K435">
            <v>170</v>
          </cell>
          <cell r="L435">
            <v>168</v>
          </cell>
          <cell r="M435">
            <v>2415</v>
          </cell>
          <cell r="N435" t="str">
            <v>대공</v>
          </cell>
          <cell r="O435" t="str">
            <v>펌프카(1대)</v>
          </cell>
          <cell r="P435">
            <v>1350</v>
          </cell>
          <cell r="Q435">
            <v>1619</v>
          </cell>
          <cell r="R435">
            <v>160</v>
          </cell>
          <cell r="S435">
            <v>40</v>
          </cell>
          <cell r="T435">
            <v>45</v>
          </cell>
          <cell r="U435">
            <v>262</v>
          </cell>
          <cell r="V435"/>
          <cell r="W435" t="str">
            <v>박순홍</v>
          </cell>
          <cell r="X435" t="str">
            <v>(인)</v>
          </cell>
          <cell r="Y435" t="str">
            <v>박순홍</v>
          </cell>
          <cell r="Z435" t="str">
            <v>(인)</v>
          </cell>
          <cell r="AA435" t="str">
            <v>최인철</v>
          </cell>
          <cell r="AB435" t="str">
            <v>(인)</v>
          </cell>
          <cell r="AC435" t="str">
            <v>임영구</v>
          </cell>
          <cell r="AD435" t="str">
            <v>(인)</v>
          </cell>
          <cell r="AE435">
            <v>179.1</v>
          </cell>
          <cell r="AF435" t="str">
            <v>표준</v>
          </cell>
          <cell r="AG435">
            <v>1</v>
          </cell>
          <cell r="AH435">
            <v>1</v>
          </cell>
          <cell r="AI435">
            <v>2206</v>
          </cell>
          <cell r="AJ435">
            <v>2184</v>
          </cell>
          <cell r="AK435">
            <v>174200</v>
          </cell>
          <cell r="AL435">
            <v>3103</v>
          </cell>
          <cell r="AM435">
            <v>3037</v>
          </cell>
          <cell r="AN435">
            <v>2913</v>
          </cell>
          <cell r="AO435">
            <v>3024</v>
          </cell>
          <cell r="AP435">
            <v>3064</v>
          </cell>
          <cell r="AQ435">
            <v>2987</v>
          </cell>
          <cell r="AR435">
            <v>3111</v>
          </cell>
          <cell r="AS435">
            <v>3064</v>
          </cell>
          <cell r="AT435">
            <v>248000</v>
          </cell>
        </row>
        <row r="436">
          <cell r="G436">
            <v>2405300502</v>
          </cell>
          <cell r="H436" t="str">
            <v>114동</v>
          </cell>
          <cell r="I436">
            <v>240530</v>
          </cell>
          <cell r="J436" t="str">
            <v>114동 주변 기계실 기초</v>
          </cell>
          <cell r="K436">
            <v>170</v>
          </cell>
          <cell r="L436">
            <v>168</v>
          </cell>
          <cell r="M436">
            <v>2415</v>
          </cell>
          <cell r="N436" t="str">
            <v>대공</v>
          </cell>
          <cell r="O436" t="str">
            <v>펌프카(1대)</v>
          </cell>
          <cell r="P436">
            <v>1350</v>
          </cell>
          <cell r="Q436">
            <v>1619</v>
          </cell>
          <cell r="R436">
            <v>165</v>
          </cell>
          <cell r="S436">
            <v>39</v>
          </cell>
          <cell r="T436">
            <v>22</v>
          </cell>
          <cell r="U436">
            <v>239</v>
          </cell>
          <cell r="V436"/>
          <cell r="W436" t="str">
            <v>박순홍</v>
          </cell>
          <cell r="X436" t="str">
            <v>(인)</v>
          </cell>
          <cell r="Y436" t="str">
            <v>박순홍</v>
          </cell>
          <cell r="Z436" t="str">
            <v>(인)</v>
          </cell>
          <cell r="AA436" t="str">
            <v>최인철</v>
          </cell>
          <cell r="AB436" t="str">
            <v>(인)</v>
          </cell>
          <cell r="AC436" t="str">
            <v>임영구</v>
          </cell>
          <cell r="AD436" t="str">
            <v>(인)</v>
          </cell>
          <cell r="AE436">
            <v>179.8</v>
          </cell>
          <cell r="AF436" t="str">
            <v>표준</v>
          </cell>
          <cell r="AG436">
            <v>2</v>
          </cell>
          <cell r="AH436">
            <v>0</v>
          </cell>
        </row>
        <row r="437">
          <cell r="G437">
            <v>2405310101</v>
          </cell>
          <cell r="H437" t="str">
            <v>107동</v>
          </cell>
          <cell r="I437">
            <v>240531</v>
          </cell>
          <cell r="J437" t="str">
            <v>107동 1차</v>
          </cell>
          <cell r="K437">
            <v>490</v>
          </cell>
          <cell r="L437">
            <v>492</v>
          </cell>
          <cell r="M437">
            <v>3015</v>
          </cell>
          <cell r="N437" t="str">
            <v>신우</v>
          </cell>
          <cell r="O437" t="str">
            <v>펌프카(1대)</v>
          </cell>
          <cell r="P437">
            <v>745</v>
          </cell>
          <cell r="Q437">
            <v>1400</v>
          </cell>
          <cell r="R437">
            <v>160</v>
          </cell>
          <cell r="S437">
            <v>40</v>
          </cell>
          <cell r="T437">
            <v>20</v>
          </cell>
          <cell r="U437">
            <v>215</v>
          </cell>
          <cell r="V437"/>
          <cell r="W437" t="str">
            <v>박순홍</v>
          </cell>
          <cell r="X437" t="str">
            <v>(인)</v>
          </cell>
          <cell r="Y437" t="str">
            <v>박순홍</v>
          </cell>
          <cell r="Z437" t="str">
            <v>(인)</v>
          </cell>
          <cell r="AA437" t="str">
            <v>정창인</v>
          </cell>
          <cell r="AB437" t="str">
            <v>(인)</v>
          </cell>
          <cell r="AC437" t="str">
            <v>최상옥</v>
          </cell>
          <cell r="AD437" t="str">
            <v>(인)</v>
          </cell>
          <cell r="AE437">
            <v>189.3</v>
          </cell>
          <cell r="AF437" t="str">
            <v>표준</v>
          </cell>
          <cell r="AG437">
            <v>1</v>
          </cell>
          <cell r="AH437">
            <v>1</v>
          </cell>
          <cell r="AI437">
            <v>2862</v>
          </cell>
          <cell r="AJ437">
            <v>2876</v>
          </cell>
          <cell r="AK437">
            <v>223400</v>
          </cell>
          <cell r="AL437">
            <v>3876</v>
          </cell>
          <cell r="AM437">
            <v>3853</v>
          </cell>
          <cell r="AN437">
            <v>3926</v>
          </cell>
          <cell r="AO437">
            <v>3805</v>
          </cell>
          <cell r="AP437">
            <v>3873</v>
          </cell>
          <cell r="AQ437">
            <v>3906</v>
          </cell>
          <cell r="AR437">
            <v>3852</v>
          </cell>
          <cell r="AS437">
            <v>3927</v>
          </cell>
          <cell r="AT437">
            <v>304400</v>
          </cell>
        </row>
        <row r="438">
          <cell r="G438">
            <v>2405310102</v>
          </cell>
          <cell r="H438" t="str">
            <v>107동</v>
          </cell>
          <cell r="I438">
            <v>240531</v>
          </cell>
          <cell r="J438" t="str">
            <v>107동 1차</v>
          </cell>
          <cell r="K438">
            <v>490</v>
          </cell>
          <cell r="L438">
            <v>492</v>
          </cell>
          <cell r="M438">
            <v>3015</v>
          </cell>
          <cell r="N438" t="str">
            <v>신우</v>
          </cell>
          <cell r="O438" t="str">
            <v>펌프카(1대)</v>
          </cell>
          <cell r="P438">
            <v>745</v>
          </cell>
          <cell r="Q438">
            <v>1400</v>
          </cell>
          <cell r="R438">
            <v>160</v>
          </cell>
          <cell r="S438">
            <v>40</v>
          </cell>
          <cell r="T438">
            <v>16</v>
          </cell>
          <cell r="U438">
            <v>225</v>
          </cell>
          <cell r="V438"/>
          <cell r="W438" t="str">
            <v>박순홍</v>
          </cell>
          <cell r="X438" t="str">
            <v>(인)</v>
          </cell>
          <cell r="Y438" t="str">
            <v>박순홍</v>
          </cell>
          <cell r="Z438" t="str">
            <v>(인)</v>
          </cell>
          <cell r="AA438" t="str">
            <v>이루비</v>
          </cell>
          <cell r="AB438" t="str">
            <v>(인)</v>
          </cell>
          <cell r="AC438" t="str">
            <v>최상옥</v>
          </cell>
          <cell r="AD438" t="str">
            <v>(인)</v>
          </cell>
          <cell r="AE438">
            <v>181.6</v>
          </cell>
          <cell r="AF438" t="str">
            <v>표준</v>
          </cell>
          <cell r="AG438">
            <v>2</v>
          </cell>
          <cell r="AH438">
            <v>0</v>
          </cell>
        </row>
        <row r="439">
          <cell r="G439">
            <v>2405310103</v>
          </cell>
          <cell r="H439" t="str">
            <v>107동</v>
          </cell>
          <cell r="I439">
            <v>240531</v>
          </cell>
          <cell r="J439" t="str">
            <v>107동 1차</v>
          </cell>
          <cell r="K439">
            <v>490</v>
          </cell>
          <cell r="L439">
            <v>492</v>
          </cell>
          <cell r="M439">
            <v>3015</v>
          </cell>
          <cell r="N439" t="str">
            <v>신우</v>
          </cell>
          <cell r="O439" t="str">
            <v>펌프카(1대)</v>
          </cell>
          <cell r="P439">
            <v>745</v>
          </cell>
          <cell r="Q439">
            <v>1400</v>
          </cell>
          <cell r="R439">
            <v>170</v>
          </cell>
          <cell r="S439">
            <v>38</v>
          </cell>
          <cell r="T439">
            <v>25</v>
          </cell>
          <cell r="U439">
            <v>243</v>
          </cell>
          <cell r="V439"/>
          <cell r="W439" t="str">
            <v>박순홍</v>
          </cell>
          <cell r="X439" t="str">
            <v>(인)</v>
          </cell>
          <cell r="Y439" t="str">
            <v>박순홍</v>
          </cell>
          <cell r="Z439" t="str">
            <v>(인)</v>
          </cell>
          <cell r="AA439" t="str">
            <v>이루비</v>
          </cell>
          <cell r="AB439" t="str">
            <v>(인)</v>
          </cell>
          <cell r="AC439" t="str">
            <v>최상옥</v>
          </cell>
          <cell r="AD439" t="str">
            <v>(인)</v>
          </cell>
          <cell r="AE439">
            <v>181.3</v>
          </cell>
          <cell r="AF439" t="str">
            <v>표준</v>
          </cell>
          <cell r="AG439">
            <v>3</v>
          </cell>
          <cell r="AH439">
            <v>0</v>
          </cell>
        </row>
        <row r="440">
          <cell r="G440">
            <v>2405310104</v>
          </cell>
          <cell r="H440" t="str">
            <v>107동</v>
          </cell>
          <cell r="I440">
            <v>240531</v>
          </cell>
          <cell r="J440" t="str">
            <v>107동 1차</v>
          </cell>
          <cell r="K440">
            <v>490</v>
          </cell>
          <cell r="L440">
            <v>492</v>
          </cell>
          <cell r="M440">
            <v>3015</v>
          </cell>
          <cell r="N440" t="str">
            <v>신우</v>
          </cell>
          <cell r="O440" t="str">
            <v>펌프카(1대)</v>
          </cell>
          <cell r="P440">
            <v>745</v>
          </cell>
          <cell r="Q440">
            <v>1400</v>
          </cell>
          <cell r="R440">
            <v>175</v>
          </cell>
          <cell r="S440">
            <v>43</v>
          </cell>
          <cell r="T440">
            <v>80</v>
          </cell>
          <cell r="U440">
            <v>236</v>
          </cell>
          <cell r="V440"/>
          <cell r="W440" t="str">
            <v>박순홍</v>
          </cell>
          <cell r="X440" t="str">
            <v>(인)</v>
          </cell>
          <cell r="Y440" t="str">
            <v>박순홍</v>
          </cell>
          <cell r="Z440" t="str">
            <v>(인)</v>
          </cell>
          <cell r="AA440" t="str">
            <v>이루비</v>
          </cell>
          <cell r="AB440" t="str">
            <v>(인)</v>
          </cell>
          <cell r="AC440" t="str">
            <v>최상옥</v>
          </cell>
          <cell r="AD440" t="str">
            <v>(인)</v>
          </cell>
          <cell r="AE440">
            <v>175.5</v>
          </cell>
          <cell r="AF440" t="str">
            <v>표준</v>
          </cell>
          <cell r="AG440">
            <v>4</v>
          </cell>
          <cell r="AH440">
            <v>1</v>
          </cell>
          <cell r="AL440">
            <v>3963</v>
          </cell>
          <cell r="AM440">
            <v>3987</v>
          </cell>
          <cell r="AN440">
            <v>3957</v>
          </cell>
          <cell r="AO440">
            <v>3977</v>
          </cell>
          <cell r="AP440">
            <v>4038</v>
          </cell>
          <cell r="AQ440">
            <v>4021</v>
          </cell>
          <cell r="AR440">
            <v>3976</v>
          </cell>
          <cell r="AS440">
            <v>3993</v>
          </cell>
          <cell r="AT440">
            <v>318200</v>
          </cell>
        </row>
        <row r="441">
          <cell r="G441">
            <v>2405310105</v>
          </cell>
          <cell r="H441" t="str">
            <v>107동</v>
          </cell>
          <cell r="I441">
            <v>240531</v>
          </cell>
          <cell r="J441" t="str">
            <v>107동 1차</v>
          </cell>
          <cell r="K441">
            <v>490</v>
          </cell>
          <cell r="L441">
            <v>492</v>
          </cell>
          <cell r="M441">
            <v>3015</v>
          </cell>
          <cell r="N441" t="str">
            <v>신우</v>
          </cell>
          <cell r="O441" t="str">
            <v>펌프카(1대)</v>
          </cell>
          <cell r="P441">
            <v>745</v>
          </cell>
          <cell r="Q441">
            <v>1400</v>
          </cell>
          <cell r="R441">
            <v>160</v>
          </cell>
          <cell r="S441">
            <v>36</v>
          </cell>
          <cell r="T441">
            <v>58</v>
          </cell>
          <cell r="U441">
            <v>255</v>
          </cell>
          <cell r="V441"/>
          <cell r="W441" t="str">
            <v>박순홍</v>
          </cell>
          <cell r="X441" t="str">
            <v>(인)</v>
          </cell>
          <cell r="Y441" t="str">
            <v>박순홍</v>
          </cell>
          <cell r="Z441" t="str">
            <v>(인)</v>
          </cell>
          <cell r="AA441" t="str">
            <v>이루비</v>
          </cell>
          <cell r="AB441" t="str">
            <v>(인)</v>
          </cell>
          <cell r="AC441" t="str">
            <v>최상옥</v>
          </cell>
          <cell r="AD441" t="str">
            <v>(인)</v>
          </cell>
          <cell r="AE441">
            <v>176.3</v>
          </cell>
          <cell r="AF441" t="str">
            <v>표준</v>
          </cell>
          <cell r="AG441">
            <v>5</v>
          </cell>
          <cell r="AH441">
            <v>0</v>
          </cell>
        </row>
        <row r="442">
          <cell r="G442">
            <v>2405310201</v>
          </cell>
          <cell r="H442" t="str">
            <v>103동</v>
          </cell>
          <cell r="I442">
            <v>240531</v>
          </cell>
          <cell r="J442" t="str">
            <v>103동 5층 바닥</v>
          </cell>
          <cell r="K442">
            <v>290</v>
          </cell>
          <cell r="L442">
            <v>288</v>
          </cell>
          <cell r="M442">
            <v>3018</v>
          </cell>
          <cell r="N442" t="str">
            <v>쌍용</v>
          </cell>
          <cell r="O442" t="str">
            <v>펌프카(1대)</v>
          </cell>
          <cell r="P442">
            <v>803</v>
          </cell>
          <cell r="Q442">
            <v>1305</v>
          </cell>
          <cell r="R442">
            <v>190</v>
          </cell>
          <cell r="S442">
            <v>39</v>
          </cell>
          <cell r="T442">
            <v>37</v>
          </cell>
          <cell r="U442">
            <v>239</v>
          </cell>
          <cell r="V442"/>
          <cell r="W442" t="str">
            <v>박순홍</v>
          </cell>
          <cell r="X442" t="str">
            <v>(인)</v>
          </cell>
          <cell r="Y442" t="str">
            <v>박순홍</v>
          </cell>
          <cell r="Z442" t="str">
            <v>(인)</v>
          </cell>
          <cell r="AA442" t="str">
            <v>이홍걸</v>
          </cell>
          <cell r="AB442" t="str">
            <v>(인)</v>
          </cell>
          <cell r="AC442" t="str">
            <v>최상옥</v>
          </cell>
          <cell r="AD442" t="str">
            <v>(인)</v>
          </cell>
          <cell r="AE442">
            <v>187.6</v>
          </cell>
          <cell r="AF442" t="str">
            <v>표준</v>
          </cell>
          <cell r="AG442">
            <v>1</v>
          </cell>
          <cell r="AH442">
            <v>1</v>
          </cell>
          <cell r="AI442">
            <v>2682</v>
          </cell>
          <cell r="AJ442">
            <v>2711</v>
          </cell>
          <cell r="AK442">
            <v>208400</v>
          </cell>
          <cell r="AL442">
            <v>3966</v>
          </cell>
          <cell r="AM442">
            <v>3946</v>
          </cell>
          <cell r="AN442">
            <v>3954</v>
          </cell>
          <cell r="AO442">
            <v>3901</v>
          </cell>
          <cell r="AP442">
            <v>3917</v>
          </cell>
          <cell r="AQ442">
            <v>4003</v>
          </cell>
          <cell r="AR442">
            <v>3895</v>
          </cell>
          <cell r="AS442">
            <v>3926</v>
          </cell>
          <cell r="AT442">
            <v>309200</v>
          </cell>
        </row>
        <row r="443">
          <cell r="G443">
            <v>2405310202</v>
          </cell>
          <cell r="H443" t="str">
            <v>103동</v>
          </cell>
          <cell r="I443">
            <v>240531</v>
          </cell>
          <cell r="J443" t="str">
            <v>103동 5층 바닥</v>
          </cell>
          <cell r="K443">
            <v>290</v>
          </cell>
          <cell r="L443">
            <v>288</v>
          </cell>
          <cell r="M443">
            <v>3018</v>
          </cell>
          <cell r="N443" t="str">
            <v>쌍용</v>
          </cell>
          <cell r="O443" t="str">
            <v>펌프카(1대)</v>
          </cell>
          <cell r="P443">
            <v>803</v>
          </cell>
          <cell r="Q443">
            <v>1305</v>
          </cell>
          <cell r="R443">
            <v>195</v>
          </cell>
          <cell r="S443">
            <v>48</v>
          </cell>
          <cell r="T443">
            <v>69</v>
          </cell>
          <cell r="U443">
            <v>274</v>
          </cell>
          <cell r="V443"/>
          <cell r="W443" t="str">
            <v>박순홍</v>
          </cell>
          <cell r="X443" t="str">
            <v>(인)</v>
          </cell>
          <cell r="Y443" t="str">
            <v>박순홍</v>
          </cell>
          <cell r="Z443" t="str">
            <v>(인)</v>
          </cell>
          <cell r="AA443" t="str">
            <v>이홍걸</v>
          </cell>
          <cell r="AB443" t="str">
            <v>(인)</v>
          </cell>
          <cell r="AC443" t="str">
            <v>최상옥</v>
          </cell>
          <cell r="AD443" t="str">
            <v>(인)</v>
          </cell>
          <cell r="AE443">
            <v>181.9</v>
          </cell>
          <cell r="AF443" t="str">
            <v>표준</v>
          </cell>
          <cell r="AG443">
            <v>2</v>
          </cell>
          <cell r="AH443">
            <v>0</v>
          </cell>
        </row>
        <row r="444">
          <cell r="G444">
            <v>2405310203</v>
          </cell>
          <cell r="H444" t="str">
            <v>103동</v>
          </cell>
          <cell r="I444">
            <v>240531</v>
          </cell>
          <cell r="J444" t="str">
            <v>103동 5층 바닥</v>
          </cell>
          <cell r="K444">
            <v>290</v>
          </cell>
          <cell r="L444">
            <v>288</v>
          </cell>
          <cell r="M444">
            <v>3018</v>
          </cell>
          <cell r="N444" t="str">
            <v>쌍용</v>
          </cell>
          <cell r="O444" t="str">
            <v>펌프카(1대)</v>
          </cell>
          <cell r="P444">
            <v>803</v>
          </cell>
          <cell r="Q444">
            <v>1305</v>
          </cell>
          <cell r="R444">
            <v>190</v>
          </cell>
          <cell r="S444">
            <v>45</v>
          </cell>
          <cell r="T444">
            <v>29</v>
          </cell>
          <cell r="U444">
            <v>251</v>
          </cell>
          <cell r="V444"/>
          <cell r="W444" t="str">
            <v>박순홍</v>
          </cell>
          <cell r="X444" t="str">
            <v>(인)</v>
          </cell>
          <cell r="Y444" t="str">
            <v>박순홍</v>
          </cell>
          <cell r="Z444" t="str">
            <v>(인)</v>
          </cell>
          <cell r="AA444" t="str">
            <v>이홍걸</v>
          </cell>
          <cell r="AB444" t="str">
            <v>(인)</v>
          </cell>
          <cell r="AC444" t="str">
            <v>최상옥</v>
          </cell>
          <cell r="AD444" t="str">
            <v>(인)</v>
          </cell>
          <cell r="AE444">
            <v>178.3</v>
          </cell>
          <cell r="AF444" t="str">
            <v>표준</v>
          </cell>
          <cell r="AG444">
            <v>3</v>
          </cell>
          <cell r="AH444">
            <v>0</v>
          </cell>
        </row>
        <row r="445">
          <cell r="G445">
            <v>2405310301</v>
          </cell>
          <cell r="H445" t="str">
            <v>107동</v>
          </cell>
          <cell r="I445">
            <v>240531</v>
          </cell>
          <cell r="J445" t="str">
            <v>107동 1차</v>
          </cell>
          <cell r="K445">
            <v>110</v>
          </cell>
          <cell r="L445">
            <v>114</v>
          </cell>
          <cell r="M445">
            <v>2715</v>
          </cell>
          <cell r="N445" t="str">
            <v>신우</v>
          </cell>
          <cell r="O445" t="str">
            <v>펌프카(1대)</v>
          </cell>
          <cell r="P445">
            <v>1350</v>
          </cell>
          <cell r="Q445">
            <v>1550</v>
          </cell>
          <cell r="R445">
            <v>165</v>
          </cell>
          <cell r="S445">
            <v>40</v>
          </cell>
          <cell r="T445">
            <v>68</v>
          </cell>
          <cell r="U445">
            <v>247</v>
          </cell>
          <cell r="V445"/>
          <cell r="W445" t="str">
            <v>박순홍</v>
          </cell>
          <cell r="X445" t="str">
            <v>(인)</v>
          </cell>
          <cell r="Y445" t="str">
            <v>박순홍</v>
          </cell>
          <cell r="Z445" t="str">
            <v>(인)</v>
          </cell>
          <cell r="AA445" t="str">
            <v>이루비</v>
          </cell>
          <cell r="AB445" t="str">
            <v>(인)</v>
          </cell>
          <cell r="AC445" t="str">
            <v>최상옥</v>
          </cell>
          <cell r="AD445" t="str">
            <v>(인)</v>
          </cell>
          <cell r="AE445">
            <v>189.3</v>
          </cell>
          <cell r="AF445" t="str">
            <v>표준</v>
          </cell>
          <cell r="AG445">
            <v>1</v>
          </cell>
          <cell r="AH445">
            <v>1</v>
          </cell>
          <cell r="AI445">
            <v>2533</v>
          </cell>
          <cell r="AJ445">
            <v>2498</v>
          </cell>
          <cell r="AK445">
            <v>198800</v>
          </cell>
          <cell r="AL445">
            <v>3559</v>
          </cell>
          <cell r="AM445">
            <v>3493</v>
          </cell>
          <cell r="AN445">
            <v>3611</v>
          </cell>
          <cell r="AO445">
            <v>3555</v>
          </cell>
          <cell r="AP445">
            <v>3578</v>
          </cell>
          <cell r="AQ445">
            <v>3536</v>
          </cell>
          <cell r="AR445">
            <v>3496</v>
          </cell>
          <cell r="AS445">
            <v>3518</v>
          </cell>
          <cell r="AT445">
            <v>271800</v>
          </cell>
        </row>
        <row r="446">
          <cell r="G446">
            <v>2405310401</v>
          </cell>
          <cell r="H446" t="str">
            <v>101동</v>
          </cell>
          <cell r="I446">
            <v>240531</v>
          </cell>
          <cell r="J446" t="str">
            <v>101동 주변주차장 합벽</v>
          </cell>
          <cell r="K446">
            <v>40</v>
          </cell>
          <cell r="L446">
            <v>42</v>
          </cell>
          <cell r="M446">
            <v>2715</v>
          </cell>
          <cell r="N446" t="str">
            <v>쌍용</v>
          </cell>
          <cell r="O446" t="str">
            <v>펌프카(1대)</v>
          </cell>
          <cell r="P446">
            <v>1430</v>
          </cell>
          <cell r="Q446">
            <v>1525</v>
          </cell>
          <cell r="R446">
            <v>170</v>
          </cell>
          <cell r="S446">
            <v>41</v>
          </cell>
          <cell r="T446">
            <v>44</v>
          </cell>
          <cell r="U446">
            <v>251</v>
          </cell>
          <cell r="V446"/>
          <cell r="W446" t="str">
            <v>박순홍</v>
          </cell>
          <cell r="X446" t="str">
            <v>(인)</v>
          </cell>
          <cell r="Y446" t="str">
            <v>박순홍</v>
          </cell>
          <cell r="Z446" t="str">
            <v>(인)</v>
          </cell>
          <cell r="AA446" t="str">
            <v>이홍걸</v>
          </cell>
          <cell r="AB446" t="str">
            <v>(인)</v>
          </cell>
          <cell r="AC446" t="str">
            <v>최상옥</v>
          </cell>
          <cell r="AD446" t="str">
            <v>(인)</v>
          </cell>
          <cell r="AE446">
            <v>183.5</v>
          </cell>
          <cell r="AF446" t="str">
            <v>표준</v>
          </cell>
          <cell r="AG446">
            <v>1</v>
          </cell>
          <cell r="AH446">
            <v>1</v>
          </cell>
          <cell r="AI446">
            <v>2402</v>
          </cell>
          <cell r="AJ446">
            <v>2417</v>
          </cell>
          <cell r="AK446">
            <v>2388</v>
          </cell>
          <cell r="AL446">
            <v>3711</v>
          </cell>
          <cell r="AM446">
            <v>3603</v>
          </cell>
          <cell r="AN446">
            <v>3663</v>
          </cell>
          <cell r="AO446">
            <v>3587</v>
          </cell>
          <cell r="AP446">
            <v>3665</v>
          </cell>
          <cell r="AQ446">
            <v>3627</v>
          </cell>
          <cell r="AR446">
            <v>3633</v>
          </cell>
          <cell r="AS446">
            <v>3575</v>
          </cell>
          <cell r="AT446">
            <v>283600</v>
          </cell>
        </row>
        <row r="447">
          <cell r="G447">
            <v>2406030101</v>
          </cell>
          <cell r="H447" t="str">
            <v>105동</v>
          </cell>
          <cell r="I447">
            <v>240603</v>
          </cell>
          <cell r="J447" t="str">
            <v>105동 3층 바닥</v>
          </cell>
          <cell r="K447">
            <v>300</v>
          </cell>
          <cell r="L447">
            <v>300</v>
          </cell>
          <cell r="M447">
            <v>3018</v>
          </cell>
          <cell r="N447" t="str">
            <v>쌍용</v>
          </cell>
          <cell r="O447" t="str">
            <v>펌프카(1대)</v>
          </cell>
          <cell r="P447">
            <v>806</v>
          </cell>
          <cell r="Q447">
            <v>1345</v>
          </cell>
          <cell r="R447">
            <v>170</v>
          </cell>
          <cell r="S447">
            <v>49</v>
          </cell>
          <cell r="T447">
            <v>22</v>
          </cell>
          <cell r="U447">
            <v>236</v>
          </cell>
          <cell r="V447"/>
          <cell r="W447" t="str">
            <v>박순홍</v>
          </cell>
          <cell r="X447" t="str">
            <v>(인)</v>
          </cell>
          <cell r="Y447" t="str">
            <v>박순홍</v>
          </cell>
          <cell r="Z447" t="str">
            <v>(인)</v>
          </cell>
          <cell r="AA447" t="str">
            <v>장덕만</v>
          </cell>
          <cell r="AB447" t="str">
            <v>(인)</v>
          </cell>
          <cell r="AC447" t="str">
            <v>이루비</v>
          </cell>
          <cell r="AD447" t="str">
            <v>(인)</v>
          </cell>
          <cell r="AE447">
            <v>184.5</v>
          </cell>
          <cell r="AF447" t="str">
            <v>표준</v>
          </cell>
          <cell r="AG447">
            <v>1</v>
          </cell>
          <cell r="AH447">
            <v>1</v>
          </cell>
          <cell r="AI447">
            <v>2436</v>
          </cell>
          <cell r="AJ447">
            <v>2516</v>
          </cell>
          <cell r="AK447">
            <v>192800</v>
          </cell>
          <cell r="AL447">
            <v>3817</v>
          </cell>
          <cell r="AM447">
            <v>3883</v>
          </cell>
          <cell r="AN447">
            <v>3934</v>
          </cell>
          <cell r="AO447">
            <v>3906</v>
          </cell>
          <cell r="AP447">
            <v>3962</v>
          </cell>
          <cell r="AQ447">
            <v>4012</v>
          </cell>
          <cell r="AR447">
            <v>3945</v>
          </cell>
          <cell r="AS447">
            <v>3972</v>
          </cell>
          <cell r="AT447">
            <v>310600</v>
          </cell>
        </row>
        <row r="448">
          <cell r="G448">
            <v>2406030102</v>
          </cell>
          <cell r="H448" t="str">
            <v>105동</v>
          </cell>
          <cell r="I448">
            <v>240603</v>
          </cell>
          <cell r="J448" t="str">
            <v>105동 3층 바닥</v>
          </cell>
          <cell r="K448">
            <v>300</v>
          </cell>
          <cell r="L448">
            <v>300</v>
          </cell>
          <cell r="M448">
            <v>3018</v>
          </cell>
          <cell r="N448" t="str">
            <v>쌍용</v>
          </cell>
          <cell r="O448" t="str">
            <v>펌프카(1대)</v>
          </cell>
          <cell r="P448">
            <v>806</v>
          </cell>
          <cell r="Q448">
            <v>1345</v>
          </cell>
          <cell r="R448">
            <v>170</v>
          </cell>
          <cell r="S448">
            <v>46</v>
          </cell>
          <cell r="T448">
            <v>16</v>
          </cell>
          <cell r="U448">
            <v>229</v>
          </cell>
          <cell r="V448"/>
          <cell r="W448" t="str">
            <v>박순홍</v>
          </cell>
          <cell r="X448" t="str">
            <v>(인)</v>
          </cell>
          <cell r="Y448" t="str">
            <v>박순홍</v>
          </cell>
          <cell r="Z448" t="str">
            <v>(인)</v>
          </cell>
          <cell r="AA448" t="str">
            <v>장덕만</v>
          </cell>
          <cell r="AB448" t="str">
            <v>(인)</v>
          </cell>
          <cell r="AC448" t="str">
            <v>이루비</v>
          </cell>
          <cell r="AD448" t="str">
            <v>(인)</v>
          </cell>
          <cell r="AE448">
            <v>187.3</v>
          </cell>
          <cell r="AF448" t="str">
            <v>표준</v>
          </cell>
          <cell r="AG448">
            <v>2</v>
          </cell>
          <cell r="AH448">
            <v>0</v>
          </cell>
        </row>
        <row r="449">
          <cell r="G449">
            <v>2406030103</v>
          </cell>
          <cell r="H449" t="str">
            <v>105동</v>
          </cell>
          <cell r="I449">
            <v>240603</v>
          </cell>
          <cell r="J449" t="str">
            <v>105동 3층 바닥</v>
          </cell>
          <cell r="K449">
            <v>300</v>
          </cell>
          <cell r="L449">
            <v>300</v>
          </cell>
          <cell r="M449">
            <v>3018</v>
          </cell>
          <cell r="N449" t="str">
            <v>쌍용</v>
          </cell>
          <cell r="O449" t="str">
            <v>펌프카(1대)</v>
          </cell>
          <cell r="P449">
            <v>806</v>
          </cell>
          <cell r="Q449">
            <v>1345</v>
          </cell>
          <cell r="R449">
            <v>180</v>
          </cell>
          <cell r="S449">
            <v>43</v>
          </cell>
          <cell r="T449">
            <v>122</v>
          </cell>
          <cell r="U449">
            <v>235</v>
          </cell>
          <cell r="V449"/>
          <cell r="W449" t="str">
            <v>박순홍</v>
          </cell>
          <cell r="X449" t="str">
            <v>(인)</v>
          </cell>
          <cell r="Y449" t="str">
            <v>박순홍</v>
          </cell>
          <cell r="Z449" t="str">
            <v>(인)</v>
          </cell>
          <cell r="AA449" t="str">
            <v>장덕만</v>
          </cell>
          <cell r="AB449" t="str">
            <v>(인)</v>
          </cell>
          <cell r="AC449" t="str">
            <v>이루비</v>
          </cell>
          <cell r="AD449" t="str">
            <v>(인)</v>
          </cell>
          <cell r="AE449">
            <v>183.3</v>
          </cell>
          <cell r="AF449" t="str">
            <v>표준</v>
          </cell>
          <cell r="AG449">
            <v>3</v>
          </cell>
          <cell r="AH449">
            <v>0</v>
          </cell>
        </row>
        <row r="450">
          <cell r="G450">
            <v>2406030201</v>
          </cell>
          <cell r="H450" t="str">
            <v>112동, 115동</v>
          </cell>
          <cell r="I450">
            <v>240603</v>
          </cell>
          <cell r="J450" t="str">
            <v>112동, 115동 및 주변주차장 버림</v>
          </cell>
          <cell r="K450">
            <v>490</v>
          </cell>
          <cell r="L450">
            <v>491</v>
          </cell>
          <cell r="M450">
            <v>1812</v>
          </cell>
          <cell r="N450" t="str">
            <v>대공</v>
          </cell>
          <cell r="O450" t="str">
            <v>펌프카(1대)</v>
          </cell>
          <cell r="P450">
            <v>759</v>
          </cell>
          <cell r="Q450">
            <v>1437</v>
          </cell>
          <cell r="R450">
            <v>140</v>
          </cell>
          <cell r="S450">
            <v>38</v>
          </cell>
          <cell r="T450">
            <v>88</v>
          </cell>
          <cell r="U450">
            <v>223</v>
          </cell>
          <cell r="V450"/>
          <cell r="W450" t="str">
            <v>박순홍</v>
          </cell>
          <cell r="X450" t="str">
            <v>(인)</v>
          </cell>
          <cell r="Y450" t="str">
            <v>박순홍</v>
          </cell>
          <cell r="Z450" t="str">
            <v>(인)</v>
          </cell>
          <cell r="AA450" t="str">
            <v>장덕만</v>
          </cell>
          <cell r="AB450" t="str">
            <v>(인)</v>
          </cell>
          <cell r="AC450" t="str">
            <v>김만고</v>
          </cell>
          <cell r="AD450" t="str">
            <v>(인)</v>
          </cell>
          <cell r="AE450">
            <v>169.2</v>
          </cell>
          <cell r="AF450" t="str">
            <v>표준</v>
          </cell>
          <cell r="AG450">
            <v>1</v>
          </cell>
          <cell r="AH450">
            <v>1</v>
          </cell>
          <cell r="AI450">
            <v>1536</v>
          </cell>
          <cell r="AJ450">
            <v>1610</v>
          </cell>
          <cell r="AK450">
            <v>125600</v>
          </cell>
          <cell r="AL450">
            <v>2366</v>
          </cell>
          <cell r="AM450">
            <v>2353</v>
          </cell>
          <cell r="AN450">
            <v>2418</v>
          </cell>
          <cell r="AO450">
            <v>2340</v>
          </cell>
          <cell r="AP450">
            <v>2423</v>
          </cell>
          <cell r="AQ450">
            <v>2501</v>
          </cell>
          <cell r="AR450">
            <v>2355</v>
          </cell>
          <cell r="AS450">
            <v>2411</v>
          </cell>
          <cell r="AT450">
            <v>186600</v>
          </cell>
        </row>
        <row r="451">
          <cell r="G451">
            <v>2406030202</v>
          </cell>
          <cell r="H451" t="str">
            <v>112동, 115동</v>
          </cell>
          <cell r="I451">
            <v>240603</v>
          </cell>
          <cell r="J451" t="str">
            <v>112동, 115동 및 주변주차장 버림</v>
          </cell>
          <cell r="K451">
            <v>490</v>
          </cell>
          <cell r="L451">
            <v>491</v>
          </cell>
          <cell r="M451">
            <v>1812</v>
          </cell>
          <cell r="N451" t="str">
            <v>대공</v>
          </cell>
          <cell r="O451" t="str">
            <v>펌프카(1대)</v>
          </cell>
          <cell r="P451">
            <v>759</v>
          </cell>
          <cell r="Q451">
            <v>1437</v>
          </cell>
          <cell r="R451">
            <v>135</v>
          </cell>
          <cell r="S451">
            <v>45</v>
          </cell>
          <cell r="T451">
            <v>52</v>
          </cell>
          <cell r="U451">
            <v>204</v>
          </cell>
          <cell r="V451"/>
          <cell r="W451" t="str">
            <v>박순홍</v>
          </cell>
          <cell r="X451" t="str">
            <v>(인)</v>
          </cell>
          <cell r="Y451" t="str">
            <v>박순홍</v>
          </cell>
          <cell r="Z451" t="str">
            <v>(인)</v>
          </cell>
          <cell r="AA451" t="str">
            <v>장덕만</v>
          </cell>
          <cell r="AB451" t="str">
            <v>(인)</v>
          </cell>
          <cell r="AC451" t="str">
            <v>김만고</v>
          </cell>
          <cell r="AD451" t="str">
            <v>(인)</v>
          </cell>
          <cell r="AE451">
            <v>170</v>
          </cell>
          <cell r="AF451" t="str">
            <v>표준</v>
          </cell>
          <cell r="AG451">
            <v>2</v>
          </cell>
          <cell r="AH451">
            <v>0</v>
          </cell>
        </row>
        <row r="452">
          <cell r="G452">
            <v>2406030203</v>
          </cell>
          <cell r="H452" t="str">
            <v>112동, 115동</v>
          </cell>
          <cell r="I452">
            <v>240603</v>
          </cell>
          <cell r="J452" t="str">
            <v>112동, 115동 및 주변주차장 버림</v>
          </cell>
          <cell r="K452">
            <v>490</v>
          </cell>
          <cell r="L452">
            <v>491</v>
          </cell>
          <cell r="M452">
            <v>1812</v>
          </cell>
          <cell r="N452" t="str">
            <v>대공</v>
          </cell>
          <cell r="O452" t="str">
            <v>펌프카(1대)</v>
          </cell>
          <cell r="P452">
            <v>759</v>
          </cell>
          <cell r="Q452">
            <v>1437</v>
          </cell>
          <cell r="R452">
            <v>135</v>
          </cell>
          <cell r="S452">
            <v>48</v>
          </cell>
          <cell r="T452">
            <v>26</v>
          </cell>
          <cell r="U452">
            <v>203</v>
          </cell>
          <cell r="V452"/>
          <cell r="W452" t="str">
            <v>박순홍</v>
          </cell>
          <cell r="X452" t="str">
            <v>(인)</v>
          </cell>
          <cell r="Y452" t="str">
            <v>박순홍</v>
          </cell>
          <cell r="Z452" t="str">
            <v>(인)</v>
          </cell>
          <cell r="AA452" t="str">
            <v>장덕만</v>
          </cell>
          <cell r="AB452" t="str">
            <v>(인)</v>
          </cell>
          <cell r="AC452" t="str">
            <v>김만고</v>
          </cell>
          <cell r="AD452" t="str">
            <v>(인)</v>
          </cell>
          <cell r="AE452">
            <v>171</v>
          </cell>
          <cell r="AF452" t="str">
            <v>표준</v>
          </cell>
          <cell r="AG452">
            <v>3</v>
          </cell>
          <cell r="AH452">
            <v>0</v>
          </cell>
        </row>
        <row r="453">
          <cell r="G453">
            <v>2406030204</v>
          </cell>
          <cell r="H453" t="str">
            <v>112동, 115동</v>
          </cell>
          <cell r="I453">
            <v>240603</v>
          </cell>
          <cell r="J453" t="str">
            <v>112동, 115동 및 주변주차장 버림</v>
          </cell>
          <cell r="K453">
            <v>490</v>
          </cell>
          <cell r="L453">
            <v>491</v>
          </cell>
          <cell r="M453">
            <v>1812</v>
          </cell>
          <cell r="N453" t="str">
            <v>대공</v>
          </cell>
          <cell r="O453" t="str">
            <v>펌프카(1대)</v>
          </cell>
          <cell r="P453">
            <v>759</v>
          </cell>
          <cell r="Q453">
            <v>1437</v>
          </cell>
          <cell r="R453">
            <v>140</v>
          </cell>
          <cell r="S453">
            <v>50</v>
          </cell>
          <cell r="T453">
            <v>15</v>
          </cell>
          <cell r="U453">
            <v>201</v>
          </cell>
          <cell r="V453"/>
          <cell r="W453" t="str">
            <v>박순홍</v>
          </cell>
          <cell r="X453" t="str">
            <v>(인)</v>
          </cell>
          <cell r="Y453" t="str">
            <v>박순홍</v>
          </cell>
          <cell r="Z453" t="str">
            <v>(인)</v>
          </cell>
          <cell r="AA453" t="str">
            <v>장덕만</v>
          </cell>
          <cell r="AB453" t="str">
            <v>(인)</v>
          </cell>
          <cell r="AC453" t="str">
            <v>김만고</v>
          </cell>
          <cell r="AD453" t="str">
            <v>(인)</v>
          </cell>
          <cell r="AE453">
            <v>172.6</v>
          </cell>
          <cell r="AF453" t="str">
            <v>표준</v>
          </cell>
          <cell r="AG453">
            <v>4</v>
          </cell>
          <cell r="AH453">
            <v>1</v>
          </cell>
          <cell r="AL453">
            <v>2471</v>
          </cell>
          <cell r="AM453">
            <v>2408</v>
          </cell>
          <cell r="AN453">
            <v>2361</v>
          </cell>
          <cell r="AO453">
            <v>2341</v>
          </cell>
          <cell r="AP453">
            <v>2473</v>
          </cell>
          <cell r="AQ453">
            <v>2492</v>
          </cell>
          <cell r="AR453">
            <v>2355</v>
          </cell>
          <cell r="AS453">
            <v>2289</v>
          </cell>
          <cell r="AT453">
            <v>185600</v>
          </cell>
        </row>
        <row r="454">
          <cell r="G454">
            <v>2406030205</v>
          </cell>
          <cell r="H454" t="str">
            <v>112동, 115동</v>
          </cell>
          <cell r="I454">
            <v>240603</v>
          </cell>
          <cell r="J454" t="str">
            <v>112동, 115동 및 주변주차장 버림</v>
          </cell>
          <cell r="K454">
            <v>490</v>
          </cell>
          <cell r="L454">
            <v>491</v>
          </cell>
          <cell r="M454">
            <v>1812</v>
          </cell>
          <cell r="N454" t="str">
            <v>대공</v>
          </cell>
          <cell r="O454" t="str">
            <v>펌프카(1대)</v>
          </cell>
          <cell r="P454">
            <v>759</v>
          </cell>
          <cell r="Q454">
            <v>1437</v>
          </cell>
          <cell r="R454">
            <v>130</v>
          </cell>
          <cell r="S454">
            <v>49</v>
          </cell>
          <cell r="T454">
            <v>76</v>
          </cell>
          <cell r="U454">
            <v>260</v>
          </cell>
          <cell r="V454"/>
          <cell r="W454" t="str">
            <v>박순홍</v>
          </cell>
          <cell r="X454" t="str">
            <v>(인)</v>
          </cell>
          <cell r="Y454" t="str">
            <v>박순홍</v>
          </cell>
          <cell r="Z454" t="str">
            <v>(인)</v>
          </cell>
          <cell r="AA454" t="str">
            <v>이루비</v>
          </cell>
          <cell r="AB454" t="str">
            <v>(인)</v>
          </cell>
          <cell r="AC454" t="str">
            <v>김만고</v>
          </cell>
          <cell r="AD454" t="str">
            <v>(인)</v>
          </cell>
          <cell r="AE454">
            <v>164.2</v>
          </cell>
          <cell r="AF454" t="str">
            <v>표준</v>
          </cell>
          <cell r="AG454">
            <v>5</v>
          </cell>
          <cell r="AH454">
            <v>0</v>
          </cell>
        </row>
        <row r="455">
          <cell r="G455">
            <v>2406030300</v>
          </cell>
          <cell r="H455" t="str">
            <v>117동</v>
          </cell>
          <cell r="I455">
            <v>240603</v>
          </cell>
          <cell r="J455" t="str">
            <v>기계실 패드 기초</v>
          </cell>
          <cell r="K455">
            <v>20</v>
          </cell>
          <cell r="L455">
            <v>18</v>
          </cell>
          <cell r="M455">
            <v>2415</v>
          </cell>
          <cell r="N455" t="str">
            <v>대공</v>
          </cell>
          <cell r="O455" t="str">
            <v>펌프카(1대)</v>
          </cell>
          <cell r="P455">
            <v>1100</v>
          </cell>
          <cell r="Q455">
            <v>1124</v>
          </cell>
          <cell r="R455">
            <v>170</v>
          </cell>
          <cell r="S455">
            <v>51</v>
          </cell>
          <cell r="T455">
            <v>70</v>
          </cell>
          <cell r="U455">
            <v>234</v>
          </cell>
          <cell r="V455"/>
          <cell r="W455" t="str">
            <v>박순홍</v>
          </cell>
          <cell r="X455" t="str">
            <v>(인)</v>
          </cell>
          <cell r="Y455" t="str">
            <v>박순홍</v>
          </cell>
          <cell r="Z455" t="str">
            <v>(인)</v>
          </cell>
          <cell r="AA455" t="str">
            <v>정창인</v>
          </cell>
          <cell r="AB455" t="str">
            <v>(인)</v>
          </cell>
          <cell r="AC455" t="str">
            <v>최인철</v>
          </cell>
          <cell r="AD455" t="str">
            <v>(인)</v>
          </cell>
          <cell r="AE455">
            <v>184.2</v>
          </cell>
          <cell r="AF455" t="str">
            <v>표준</v>
          </cell>
          <cell r="AG455">
            <v>0</v>
          </cell>
          <cell r="AH455">
            <v>0</v>
          </cell>
        </row>
        <row r="456">
          <cell r="G456">
            <v>2406050101</v>
          </cell>
          <cell r="H456" t="str">
            <v>104동</v>
          </cell>
          <cell r="I456">
            <v>240605</v>
          </cell>
          <cell r="J456" t="str">
            <v>104동 5층 바닥</v>
          </cell>
          <cell r="K456">
            <v>290</v>
          </cell>
          <cell r="L456">
            <v>288</v>
          </cell>
          <cell r="M456">
            <v>3018</v>
          </cell>
          <cell r="N456" t="str">
            <v>영진</v>
          </cell>
          <cell r="O456" t="str">
            <v>펌프카(1대)</v>
          </cell>
          <cell r="P456">
            <v>740</v>
          </cell>
          <cell r="Q456">
            <v>1105</v>
          </cell>
          <cell r="R456">
            <v>180</v>
          </cell>
          <cell r="S456">
            <v>44</v>
          </cell>
          <cell r="T456">
            <v>25</v>
          </cell>
          <cell r="U456">
            <v>220</v>
          </cell>
          <cell r="V456"/>
          <cell r="W456" t="str">
            <v>박순홍</v>
          </cell>
          <cell r="X456" t="str">
            <v>(인)</v>
          </cell>
          <cell r="Y456" t="str">
            <v>박순홍</v>
          </cell>
          <cell r="Z456" t="str">
            <v>(인)</v>
          </cell>
          <cell r="AA456" t="str">
            <v>최상옥</v>
          </cell>
          <cell r="AB456" t="str">
            <v>(인)</v>
          </cell>
          <cell r="AC456" t="str">
            <v>장덕만</v>
          </cell>
          <cell r="AD456" t="str">
            <v>(인)</v>
          </cell>
          <cell r="AE456">
            <v>171.4</v>
          </cell>
          <cell r="AF456" t="str">
            <v>표준</v>
          </cell>
          <cell r="AG456">
            <v>1</v>
          </cell>
          <cell r="AH456">
            <v>1</v>
          </cell>
          <cell r="AI456">
            <v>2936</v>
          </cell>
          <cell r="AJ456">
            <v>2902</v>
          </cell>
          <cell r="AK456">
            <v>227200</v>
          </cell>
          <cell r="AL456">
            <v>3822</v>
          </cell>
          <cell r="AM456">
            <v>3850</v>
          </cell>
          <cell r="AN456">
            <v>3850</v>
          </cell>
          <cell r="AO456">
            <v>3907</v>
          </cell>
          <cell r="AP456">
            <v>3876</v>
          </cell>
          <cell r="AQ456">
            <v>3962</v>
          </cell>
          <cell r="AR456">
            <v>3864</v>
          </cell>
          <cell r="AS456">
            <v>3914</v>
          </cell>
          <cell r="AT456">
            <v>310400</v>
          </cell>
        </row>
        <row r="457">
          <cell r="G457">
            <v>2406050102</v>
          </cell>
          <cell r="H457" t="str">
            <v>104동</v>
          </cell>
          <cell r="I457">
            <v>240605</v>
          </cell>
          <cell r="J457" t="str">
            <v>104동 5층 바닥</v>
          </cell>
          <cell r="K457">
            <v>290</v>
          </cell>
          <cell r="L457">
            <v>288</v>
          </cell>
          <cell r="M457">
            <v>3018</v>
          </cell>
          <cell r="N457" t="str">
            <v>영진</v>
          </cell>
          <cell r="O457" t="str">
            <v>펌프카(1대)</v>
          </cell>
          <cell r="P457">
            <v>740</v>
          </cell>
          <cell r="Q457">
            <v>1105</v>
          </cell>
          <cell r="R457">
            <v>190</v>
          </cell>
          <cell r="S457">
            <v>45</v>
          </cell>
          <cell r="T457">
            <v>15</v>
          </cell>
          <cell r="U457">
            <v>242</v>
          </cell>
          <cell r="V457"/>
          <cell r="W457" t="str">
            <v>박순홍</v>
          </cell>
          <cell r="X457" t="str">
            <v>(인)</v>
          </cell>
          <cell r="Y457" t="str">
            <v>박순홍</v>
          </cell>
          <cell r="Z457" t="str">
            <v>(인)</v>
          </cell>
          <cell r="AA457" t="str">
            <v>최상옥</v>
          </cell>
          <cell r="AB457" t="str">
            <v>(인)</v>
          </cell>
          <cell r="AC457" t="str">
            <v>장덕만</v>
          </cell>
          <cell r="AD457" t="str">
            <v>(인)</v>
          </cell>
          <cell r="AE457">
            <v>175.3</v>
          </cell>
          <cell r="AF457" t="str">
            <v>표준</v>
          </cell>
          <cell r="AG457">
            <v>2</v>
          </cell>
          <cell r="AH457">
            <v>0</v>
          </cell>
        </row>
        <row r="458">
          <cell r="G458">
            <v>2406050103</v>
          </cell>
          <cell r="H458" t="str">
            <v>104동</v>
          </cell>
          <cell r="I458">
            <v>240605</v>
          </cell>
          <cell r="J458" t="str">
            <v>104동 5층 바닥</v>
          </cell>
          <cell r="K458">
            <v>290</v>
          </cell>
          <cell r="L458">
            <v>288</v>
          </cell>
          <cell r="M458">
            <v>3018</v>
          </cell>
          <cell r="N458" t="str">
            <v>영진</v>
          </cell>
          <cell r="O458" t="str">
            <v>펌프카(1대)</v>
          </cell>
          <cell r="P458">
            <v>740</v>
          </cell>
          <cell r="Q458">
            <v>1105</v>
          </cell>
          <cell r="R458">
            <v>190</v>
          </cell>
          <cell r="S458">
            <v>50</v>
          </cell>
          <cell r="T458">
            <v>42</v>
          </cell>
          <cell r="U458">
            <v>249</v>
          </cell>
          <cell r="V458"/>
          <cell r="W458" t="str">
            <v>박순홍</v>
          </cell>
          <cell r="X458" t="str">
            <v>(인)</v>
          </cell>
          <cell r="Y458" t="str">
            <v>박순홍</v>
          </cell>
          <cell r="Z458" t="str">
            <v>(인)</v>
          </cell>
          <cell r="AA458" t="str">
            <v>최상옥</v>
          </cell>
          <cell r="AB458" t="str">
            <v>(인)</v>
          </cell>
          <cell r="AC458" t="str">
            <v>장덕만</v>
          </cell>
          <cell r="AD458" t="str">
            <v>(인)</v>
          </cell>
          <cell r="AE458">
            <v>171.6</v>
          </cell>
          <cell r="AF458" t="str">
            <v>표준</v>
          </cell>
          <cell r="AG458">
            <v>3</v>
          </cell>
          <cell r="AH458">
            <v>0</v>
          </cell>
        </row>
        <row r="459">
          <cell r="G459">
            <v>2406050201</v>
          </cell>
          <cell r="H459" t="str">
            <v>109동, 110동</v>
          </cell>
          <cell r="I459">
            <v>240605</v>
          </cell>
          <cell r="J459" t="str">
            <v>109~110동 사이 램프(#3)</v>
          </cell>
          <cell r="K459">
            <v>40</v>
          </cell>
          <cell r="L459">
            <v>42</v>
          </cell>
          <cell r="M459">
            <v>2715</v>
          </cell>
          <cell r="N459" t="str">
            <v>영진</v>
          </cell>
          <cell r="O459" t="str">
            <v>펌프카(1대)</v>
          </cell>
          <cell r="P459">
            <v>1145</v>
          </cell>
          <cell r="Q459">
            <v>1308</v>
          </cell>
          <cell r="R459">
            <v>130</v>
          </cell>
          <cell r="S459">
            <v>45</v>
          </cell>
          <cell r="T459">
            <v>39</v>
          </cell>
          <cell r="U459">
            <v>262</v>
          </cell>
          <cell r="V459"/>
          <cell r="W459" t="str">
            <v>박순홍</v>
          </cell>
          <cell r="X459" t="str">
            <v>(인)</v>
          </cell>
          <cell r="Y459" t="str">
            <v>박순홍</v>
          </cell>
          <cell r="Z459" t="str">
            <v>(인)</v>
          </cell>
          <cell r="AA459" t="str">
            <v>정창인</v>
          </cell>
          <cell r="AB459" t="str">
            <v>(인)</v>
          </cell>
          <cell r="AC459" t="str">
            <v>정창인</v>
          </cell>
          <cell r="AD459" t="str">
            <v>(인)</v>
          </cell>
          <cell r="AE459">
            <v>176.9</v>
          </cell>
          <cell r="AF459" t="str">
            <v>표준</v>
          </cell>
          <cell r="AG459">
            <v>1</v>
          </cell>
          <cell r="AH459">
            <v>1</v>
          </cell>
          <cell r="AI459">
            <v>2676</v>
          </cell>
          <cell r="AJ459">
            <v>2674</v>
          </cell>
          <cell r="AK459">
            <v>204800</v>
          </cell>
          <cell r="AL459">
            <v>3509</v>
          </cell>
          <cell r="AM459">
            <v>3516</v>
          </cell>
          <cell r="AN459">
            <v>3450</v>
          </cell>
          <cell r="AO459">
            <v>3460</v>
          </cell>
          <cell r="AP459">
            <v>3490</v>
          </cell>
          <cell r="AQ459">
            <v>3476</v>
          </cell>
          <cell r="AR459">
            <v>3506</v>
          </cell>
          <cell r="AS459">
            <v>3494</v>
          </cell>
          <cell r="AT459">
            <v>276000</v>
          </cell>
        </row>
        <row r="460">
          <cell r="G460">
            <v>2406050301</v>
          </cell>
          <cell r="H460" t="str">
            <v>102동, 108동</v>
          </cell>
          <cell r="I460">
            <v>240605</v>
          </cell>
          <cell r="J460" t="str">
            <v>102동 주변(17구간) 가설도로, 108동 및 주변주차장 버림</v>
          </cell>
          <cell r="K460">
            <v>180</v>
          </cell>
          <cell r="L460">
            <v>180</v>
          </cell>
          <cell r="M460">
            <v>1812</v>
          </cell>
          <cell r="N460" t="str">
            <v>영진</v>
          </cell>
          <cell r="O460" t="str">
            <v>펌프카(1대)</v>
          </cell>
          <cell r="P460">
            <v>1324</v>
          </cell>
          <cell r="Q460">
            <v>1710</v>
          </cell>
          <cell r="R460">
            <v>135</v>
          </cell>
          <cell r="S460">
            <v>39</v>
          </cell>
          <cell r="T460">
            <v>29</v>
          </cell>
          <cell r="U460">
            <v>267</v>
          </cell>
          <cell r="V460"/>
          <cell r="W460" t="str">
            <v>박순홍</v>
          </cell>
          <cell r="X460" t="str">
            <v>(인)</v>
          </cell>
          <cell r="Y460" t="str">
            <v>박순홍</v>
          </cell>
          <cell r="Z460" t="str">
            <v>(인)</v>
          </cell>
          <cell r="AA460" t="str">
            <v>정창인</v>
          </cell>
          <cell r="AB460" t="str">
            <v>(인)</v>
          </cell>
          <cell r="AC460" t="str">
            <v>정창인</v>
          </cell>
          <cell r="AD460" t="str">
            <v>(인)</v>
          </cell>
          <cell r="AE460">
            <v>175</v>
          </cell>
          <cell r="AF460" t="str">
            <v>표준</v>
          </cell>
          <cell r="AG460">
            <v>1</v>
          </cell>
          <cell r="AH460">
            <v>1</v>
          </cell>
          <cell r="AI460">
            <v>1504</v>
          </cell>
          <cell r="AJ460">
            <v>1468</v>
          </cell>
          <cell r="AK460">
            <v>111200</v>
          </cell>
          <cell r="AL460">
            <v>2309</v>
          </cell>
          <cell r="AM460">
            <v>2289</v>
          </cell>
          <cell r="AN460">
            <v>2302</v>
          </cell>
          <cell r="AO460">
            <v>2302</v>
          </cell>
          <cell r="AP460">
            <v>2296</v>
          </cell>
          <cell r="AQ460">
            <v>2362</v>
          </cell>
          <cell r="AR460">
            <v>2370</v>
          </cell>
          <cell r="AS460">
            <v>2292</v>
          </cell>
          <cell r="AT460">
            <v>184000</v>
          </cell>
        </row>
        <row r="461">
          <cell r="G461">
            <v>2406050302</v>
          </cell>
          <cell r="H461" t="str">
            <v>102동, 108동</v>
          </cell>
          <cell r="I461">
            <v>240605</v>
          </cell>
          <cell r="J461" t="str">
            <v>102동 주변(17구간) 가설도로, 108동 및 주변주차장 버림</v>
          </cell>
          <cell r="K461">
            <v>180</v>
          </cell>
          <cell r="L461">
            <v>180</v>
          </cell>
          <cell r="M461">
            <v>1812</v>
          </cell>
          <cell r="N461" t="str">
            <v>영진</v>
          </cell>
          <cell r="O461" t="str">
            <v>펌프카(1대)</v>
          </cell>
          <cell r="P461">
            <v>1324</v>
          </cell>
          <cell r="Q461">
            <v>1710</v>
          </cell>
          <cell r="R461">
            <v>140</v>
          </cell>
          <cell r="S461">
            <v>42</v>
          </cell>
          <cell r="T461">
            <v>64</v>
          </cell>
          <cell r="U461">
            <v>252</v>
          </cell>
          <cell r="V461"/>
          <cell r="W461" t="str">
            <v>박순홍</v>
          </cell>
          <cell r="X461" t="str">
            <v>(인)</v>
          </cell>
          <cell r="Y461" t="str">
            <v>박순홍</v>
          </cell>
          <cell r="Z461" t="str">
            <v>(인)</v>
          </cell>
          <cell r="AA461" t="str">
            <v>정창인</v>
          </cell>
          <cell r="AB461" t="str">
            <v>(인)</v>
          </cell>
          <cell r="AC461" t="str">
            <v>정창인</v>
          </cell>
          <cell r="AD461" t="str">
            <v>(인)</v>
          </cell>
          <cell r="AE461">
            <v>173.2</v>
          </cell>
          <cell r="AF461" t="str">
            <v>표준</v>
          </cell>
          <cell r="AG461">
            <v>2</v>
          </cell>
          <cell r="AH461">
            <v>0</v>
          </cell>
        </row>
        <row r="462">
          <cell r="G462">
            <v>2406070101</v>
          </cell>
          <cell r="H462" t="str">
            <v>103동</v>
          </cell>
          <cell r="I462">
            <v>240607</v>
          </cell>
          <cell r="J462" t="str">
            <v>103동 6층 바닥</v>
          </cell>
          <cell r="K462">
            <v>290</v>
          </cell>
          <cell r="L462">
            <v>282</v>
          </cell>
          <cell r="M462">
            <v>3018</v>
          </cell>
          <cell r="N462" t="str">
            <v>동양</v>
          </cell>
          <cell r="O462" t="str">
            <v>펌프카(1대)</v>
          </cell>
          <cell r="P462">
            <v>752</v>
          </cell>
          <cell r="Q462">
            <v>1205</v>
          </cell>
          <cell r="R462">
            <v>180</v>
          </cell>
          <cell r="S462">
            <v>42</v>
          </cell>
          <cell r="T462">
            <v>50</v>
          </cell>
          <cell r="U462">
            <v>261</v>
          </cell>
          <cell r="V462"/>
          <cell r="W462" t="str">
            <v>박순홍</v>
          </cell>
          <cell r="X462" t="str">
            <v>(인)</v>
          </cell>
          <cell r="Y462" t="str">
            <v>박순홍</v>
          </cell>
          <cell r="Z462" t="str">
            <v>(인)</v>
          </cell>
          <cell r="AA462" t="str">
            <v>최상옥</v>
          </cell>
          <cell r="AB462" t="str">
            <v>(인)</v>
          </cell>
          <cell r="AC462" t="str">
            <v>이루비</v>
          </cell>
          <cell r="AD462" t="str">
            <v>(인)</v>
          </cell>
          <cell r="AE462">
            <v>184.5</v>
          </cell>
          <cell r="AF462" t="str">
            <v>표준</v>
          </cell>
          <cell r="AG462">
            <v>1</v>
          </cell>
          <cell r="AH462">
            <v>1</v>
          </cell>
          <cell r="AI462">
            <v>2891</v>
          </cell>
          <cell r="AJ462">
            <v>2785</v>
          </cell>
          <cell r="AK462">
            <v>228400</v>
          </cell>
          <cell r="AL462">
            <v>3926</v>
          </cell>
          <cell r="AM462">
            <v>3834</v>
          </cell>
          <cell r="AN462">
            <v>3888</v>
          </cell>
          <cell r="AO462">
            <v>3908</v>
          </cell>
          <cell r="AP462">
            <v>3876</v>
          </cell>
          <cell r="AQ462">
            <v>3992</v>
          </cell>
          <cell r="AR462">
            <v>4036</v>
          </cell>
          <cell r="AS462">
            <v>3972</v>
          </cell>
          <cell r="AT462">
            <v>305400</v>
          </cell>
        </row>
        <row r="463">
          <cell r="G463">
            <v>2406070102</v>
          </cell>
          <cell r="H463" t="str">
            <v>103동</v>
          </cell>
          <cell r="I463">
            <v>240607</v>
          </cell>
          <cell r="J463" t="str">
            <v>103동 6층 바닥</v>
          </cell>
          <cell r="K463">
            <v>290</v>
          </cell>
          <cell r="L463">
            <v>282</v>
          </cell>
          <cell r="M463">
            <v>3018</v>
          </cell>
          <cell r="N463" t="str">
            <v>동양</v>
          </cell>
          <cell r="O463" t="str">
            <v>펌프카(1대)</v>
          </cell>
          <cell r="P463">
            <v>752</v>
          </cell>
          <cell r="Q463">
            <v>1205</v>
          </cell>
          <cell r="R463">
            <v>185</v>
          </cell>
          <cell r="S463">
            <v>43</v>
          </cell>
          <cell r="T463">
            <v>97</v>
          </cell>
          <cell r="U463">
            <v>269</v>
          </cell>
          <cell r="V463"/>
          <cell r="W463" t="str">
            <v>박순홍</v>
          </cell>
          <cell r="X463" t="str">
            <v>(인)</v>
          </cell>
          <cell r="Y463" t="str">
            <v>박순홍</v>
          </cell>
          <cell r="Z463" t="str">
            <v>(인)</v>
          </cell>
          <cell r="AA463" t="str">
            <v>최상옥</v>
          </cell>
          <cell r="AB463" t="str">
            <v>(인)</v>
          </cell>
          <cell r="AC463" t="str">
            <v>이루비</v>
          </cell>
          <cell r="AD463" t="str">
            <v>(인)</v>
          </cell>
          <cell r="AE463">
            <v>181.2</v>
          </cell>
          <cell r="AF463" t="str">
            <v>표준</v>
          </cell>
          <cell r="AG463">
            <v>2</v>
          </cell>
          <cell r="AH463">
            <v>0</v>
          </cell>
        </row>
        <row r="464">
          <cell r="G464">
            <v>2406070103</v>
          </cell>
          <cell r="H464" t="str">
            <v>103동</v>
          </cell>
          <cell r="I464">
            <v>240607</v>
          </cell>
          <cell r="J464" t="str">
            <v>103동 6층 바닥</v>
          </cell>
          <cell r="K464">
            <v>290</v>
          </cell>
          <cell r="L464">
            <v>282</v>
          </cell>
          <cell r="M464">
            <v>3018</v>
          </cell>
          <cell r="N464" t="str">
            <v>동양</v>
          </cell>
          <cell r="O464" t="str">
            <v>펌프카(1대)</v>
          </cell>
          <cell r="P464">
            <v>752</v>
          </cell>
          <cell r="Q464">
            <v>1205</v>
          </cell>
          <cell r="R464">
            <v>180</v>
          </cell>
          <cell r="S464">
            <v>39</v>
          </cell>
          <cell r="T464">
            <v>116</v>
          </cell>
          <cell r="U464">
            <v>252</v>
          </cell>
          <cell r="V464"/>
          <cell r="W464" t="str">
            <v>박순홍</v>
          </cell>
          <cell r="X464" t="str">
            <v>(인)</v>
          </cell>
          <cell r="Y464" t="str">
            <v>박순홍</v>
          </cell>
          <cell r="Z464" t="str">
            <v>(인)</v>
          </cell>
          <cell r="AA464" t="str">
            <v>최상옥</v>
          </cell>
          <cell r="AB464" t="str">
            <v>(인)</v>
          </cell>
          <cell r="AC464" t="str">
            <v>이루비</v>
          </cell>
          <cell r="AD464" t="str">
            <v>(인)</v>
          </cell>
          <cell r="AE464">
            <v>179.1</v>
          </cell>
          <cell r="AF464" t="str">
            <v>표준</v>
          </cell>
          <cell r="AG464">
            <v>3</v>
          </cell>
          <cell r="AH464">
            <v>0</v>
          </cell>
        </row>
        <row r="465">
          <cell r="G465">
            <v>2406070201</v>
          </cell>
          <cell r="H465" t="str">
            <v>109동</v>
          </cell>
          <cell r="I465">
            <v>240607</v>
          </cell>
          <cell r="J465" t="str">
            <v>109동 1차</v>
          </cell>
          <cell r="K465">
            <v>500</v>
          </cell>
          <cell r="L465">
            <v>498</v>
          </cell>
          <cell r="M465">
            <v>3015</v>
          </cell>
          <cell r="N465" t="str">
            <v>대원</v>
          </cell>
          <cell r="O465" t="str">
            <v>펌프카(1대)</v>
          </cell>
          <cell r="P465">
            <v>852</v>
          </cell>
          <cell r="Q465">
            <v>1525</v>
          </cell>
          <cell r="R465">
            <v>160</v>
          </cell>
          <cell r="S465">
            <v>38</v>
          </cell>
          <cell r="T465">
            <v>13</v>
          </cell>
          <cell r="U465">
            <v>254</v>
          </cell>
          <cell r="V465"/>
          <cell r="W465" t="str">
            <v>박순홍</v>
          </cell>
          <cell r="X465" t="str">
            <v>(인)</v>
          </cell>
          <cell r="Y465" t="str">
            <v>박순홍</v>
          </cell>
          <cell r="Z465" t="str">
            <v>(인)</v>
          </cell>
          <cell r="AA465" t="str">
            <v>이루비</v>
          </cell>
          <cell r="AB465" t="str">
            <v>(인)</v>
          </cell>
          <cell r="AC465" t="str">
            <v>정창인</v>
          </cell>
          <cell r="AD465" t="str">
            <v>(인)</v>
          </cell>
          <cell r="AE465">
            <v>180.9</v>
          </cell>
          <cell r="AF465" t="str">
            <v>표준</v>
          </cell>
          <cell r="AG465">
            <v>1</v>
          </cell>
          <cell r="AH465">
            <v>1</v>
          </cell>
          <cell r="AI465">
            <v>2819</v>
          </cell>
          <cell r="AJ465">
            <v>2862</v>
          </cell>
          <cell r="AK465">
            <v>230000</v>
          </cell>
          <cell r="AL465">
            <v>3860</v>
          </cell>
          <cell r="AM465">
            <v>3906</v>
          </cell>
          <cell r="AN465">
            <v>3908</v>
          </cell>
          <cell r="AO465">
            <v>3873</v>
          </cell>
          <cell r="AP465">
            <v>3904</v>
          </cell>
          <cell r="AQ465">
            <v>3879</v>
          </cell>
          <cell r="AR465">
            <v>4013</v>
          </cell>
          <cell r="AS465">
            <v>3916</v>
          </cell>
          <cell r="AT465">
            <v>303400</v>
          </cell>
        </row>
        <row r="466">
          <cell r="G466">
            <v>2406070202</v>
          </cell>
          <cell r="H466" t="str">
            <v>109동</v>
          </cell>
          <cell r="I466">
            <v>240607</v>
          </cell>
          <cell r="J466" t="str">
            <v>109동 1차</v>
          </cell>
          <cell r="K466">
            <v>500</v>
          </cell>
          <cell r="L466">
            <v>498</v>
          </cell>
          <cell r="M466">
            <v>3015</v>
          </cell>
          <cell r="N466" t="str">
            <v>대원</v>
          </cell>
          <cell r="O466" t="str">
            <v>펌프카(1대)</v>
          </cell>
          <cell r="P466">
            <v>852</v>
          </cell>
          <cell r="Q466">
            <v>1525</v>
          </cell>
          <cell r="R466">
            <v>165</v>
          </cell>
          <cell r="S466">
            <v>49</v>
          </cell>
          <cell r="T466">
            <v>44</v>
          </cell>
          <cell r="U466">
            <v>260</v>
          </cell>
          <cell r="V466"/>
          <cell r="W466" t="str">
            <v>박순홍</v>
          </cell>
          <cell r="X466" t="str">
            <v>(인)</v>
          </cell>
          <cell r="Y466" t="str">
            <v>박순홍</v>
          </cell>
          <cell r="Z466" t="str">
            <v>(인)</v>
          </cell>
          <cell r="AA466" t="str">
            <v>이루비</v>
          </cell>
          <cell r="AB466" t="str">
            <v>(인)</v>
          </cell>
          <cell r="AC466" t="str">
            <v>정창인</v>
          </cell>
          <cell r="AD466" t="str">
            <v>(인)</v>
          </cell>
          <cell r="AE466">
            <v>178.3</v>
          </cell>
          <cell r="AF466" t="str">
            <v>표준</v>
          </cell>
          <cell r="AG466">
            <v>2</v>
          </cell>
          <cell r="AH466">
            <v>0</v>
          </cell>
        </row>
        <row r="467">
          <cell r="G467">
            <v>2406070203</v>
          </cell>
          <cell r="H467" t="str">
            <v>109동</v>
          </cell>
          <cell r="I467">
            <v>240607</v>
          </cell>
          <cell r="J467" t="str">
            <v>109동 1차</v>
          </cell>
          <cell r="K467">
            <v>500</v>
          </cell>
          <cell r="L467">
            <v>498</v>
          </cell>
          <cell r="M467">
            <v>3015</v>
          </cell>
          <cell r="N467" t="str">
            <v>대원</v>
          </cell>
          <cell r="O467" t="str">
            <v>펌프카(1대)</v>
          </cell>
          <cell r="P467">
            <v>852</v>
          </cell>
          <cell r="Q467">
            <v>1525</v>
          </cell>
          <cell r="R467">
            <v>165</v>
          </cell>
          <cell r="S467">
            <v>42</v>
          </cell>
          <cell r="T467">
            <v>29</v>
          </cell>
          <cell r="U467">
            <v>274</v>
          </cell>
          <cell r="V467"/>
          <cell r="W467" t="str">
            <v>박순홍</v>
          </cell>
          <cell r="X467" t="str">
            <v>(인)</v>
          </cell>
          <cell r="Y467" t="str">
            <v>박순홍</v>
          </cell>
          <cell r="Z467" t="str">
            <v>(인)</v>
          </cell>
          <cell r="AA467" t="str">
            <v>이루비</v>
          </cell>
          <cell r="AB467" t="str">
            <v>(인)</v>
          </cell>
          <cell r="AC467" t="str">
            <v>정창인</v>
          </cell>
          <cell r="AD467" t="str">
            <v>(인)</v>
          </cell>
          <cell r="AE467">
            <v>177.3</v>
          </cell>
          <cell r="AF467" t="str">
            <v>표준</v>
          </cell>
          <cell r="AG467">
            <v>3</v>
          </cell>
          <cell r="AH467">
            <v>0</v>
          </cell>
        </row>
        <row r="468">
          <cell r="G468">
            <v>2406070204</v>
          </cell>
          <cell r="H468" t="str">
            <v>109동</v>
          </cell>
          <cell r="I468">
            <v>240607</v>
          </cell>
          <cell r="J468" t="str">
            <v>109동 1차</v>
          </cell>
          <cell r="K468">
            <v>500</v>
          </cell>
          <cell r="L468">
            <v>498</v>
          </cell>
          <cell r="M468">
            <v>3015</v>
          </cell>
          <cell r="N468" t="str">
            <v>대원</v>
          </cell>
          <cell r="O468" t="str">
            <v>펌프카(1대)</v>
          </cell>
          <cell r="P468">
            <v>852</v>
          </cell>
          <cell r="Q468">
            <v>1525</v>
          </cell>
          <cell r="R468">
            <v>150</v>
          </cell>
          <cell r="S468">
            <v>48</v>
          </cell>
          <cell r="T468">
            <v>20</v>
          </cell>
          <cell r="U468">
            <v>270</v>
          </cell>
          <cell r="V468"/>
          <cell r="W468" t="str">
            <v>박순홍</v>
          </cell>
          <cell r="X468" t="str">
            <v>(인)</v>
          </cell>
          <cell r="Y468" t="str">
            <v>박순홍</v>
          </cell>
          <cell r="Z468" t="str">
            <v>(인)</v>
          </cell>
          <cell r="AA468" t="str">
            <v>이루비</v>
          </cell>
          <cell r="AB468" t="str">
            <v>(인)</v>
          </cell>
          <cell r="AC468" t="str">
            <v>정창인</v>
          </cell>
          <cell r="AD468" t="str">
            <v>(인)</v>
          </cell>
          <cell r="AE468">
            <v>178.7</v>
          </cell>
          <cell r="AF468" t="str">
            <v>표준</v>
          </cell>
          <cell r="AG468">
            <v>4</v>
          </cell>
          <cell r="AH468">
            <v>1</v>
          </cell>
          <cell r="AL468">
            <v>3898</v>
          </cell>
          <cell r="AM468">
            <v>3891</v>
          </cell>
          <cell r="AN468">
            <v>3949</v>
          </cell>
          <cell r="AO468">
            <v>3860</v>
          </cell>
          <cell r="AP468">
            <v>3924</v>
          </cell>
          <cell r="AQ468">
            <v>3968</v>
          </cell>
          <cell r="AR468">
            <v>3992</v>
          </cell>
          <cell r="AS468">
            <v>4036</v>
          </cell>
          <cell r="AT468">
            <v>303000</v>
          </cell>
        </row>
        <row r="469">
          <cell r="G469">
            <v>2406070205</v>
          </cell>
          <cell r="H469" t="str">
            <v>109동</v>
          </cell>
          <cell r="I469">
            <v>240607</v>
          </cell>
          <cell r="J469" t="str">
            <v>109동 1차</v>
          </cell>
          <cell r="K469">
            <v>500</v>
          </cell>
          <cell r="L469">
            <v>498</v>
          </cell>
          <cell r="M469">
            <v>3015</v>
          </cell>
          <cell r="N469" t="str">
            <v>대원</v>
          </cell>
          <cell r="O469" t="str">
            <v>펌프카(1대)</v>
          </cell>
          <cell r="P469">
            <v>852</v>
          </cell>
          <cell r="Q469">
            <v>1525</v>
          </cell>
          <cell r="R469">
            <v>160</v>
          </cell>
          <cell r="S469">
            <v>39</v>
          </cell>
          <cell r="T469">
            <v>22</v>
          </cell>
          <cell r="U469">
            <v>272</v>
          </cell>
          <cell r="V469"/>
          <cell r="W469" t="str">
            <v>박순홍</v>
          </cell>
          <cell r="X469" t="str">
            <v>(인)</v>
          </cell>
          <cell r="Y469" t="str">
            <v>박순홍</v>
          </cell>
          <cell r="Z469" t="str">
            <v>(인)</v>
          </cell>
          <cell r="AA469" t="str">
            <v>이루비</v>
          </cell>
          <cell r="AB469" t="str">
            <v>(인)</v>
          </cell>
          <cell r="AC469" t="str">
            <v>정창인</v>
          </cell>
          <cell r="AD469" t="str">
            <v>(인)</v>
          </cell>
          <cell r="AE469">
            <v>177.6</v>
          </cell>
          <cell r="AF469" t="str">
            <v>표준</v>
          </cell>
          <cell r="AG469">
            <v>5</v>
          </cell>
          <cell r="AH469">
            <v>0</v>
          </cell>
        </row>
        <row r="470">
          <cell r="G470">
            <v>2406070301</v>
          </cell>
          <cell r="H470" t="str">
            <v>109동</v>
          </cell>
          <cell r="I470">
            <v>240607</v>
          </cell>
          <cell r="J470" t="str">
            <v>109동 1차</v>
          </cell>
          <cell r="K470">
            <v>90</v>
          </cell>
          <cell r="L470">
            <v>90</v>
          </cell>
          <cell r="M470">
            <v>2715</v>
          </cell>
          <cell r="N470" t="str">
            <v>대원</v>
          </cell>
          <cell r="O470" t="str">
            <v>펌프카(1대)</v>
          </cell>
          <cell r="P470">
            <v>1453</v>
          </cell>
          <cell r="Q470">
            <v>1629</v>
          </cell>
          <cell r="R470">
            <v>165</v>
          </cell>
          <cell r="S470">
            <v>50</v>
          </cell>
          <cell r="T470">
            <v>23</v>
          </cell>
          <cell r="U470">
            <v>277</v>
          </cell>
          <cell r="V470"/>
          <cell r="W470" t="str">
            <v>박순홍</v>
          </cell>
          <cell r="X470" t="str">
            <v>(인)</v>
          </cell>
          <cell r="Y470" t="str">
            <v>박순홍</v>
          </cell>
          <cell r="Z470" t="str">
            <v>(인)</v>
          </cell>
          <cell r="AA470" t="str">
            <v>이루비</v>
          </cell>
          <cell r="AB470" t="str">
            <v>(인)</v>
          </cell>
          <cell r="AC470" t="str">
            <v>정창인</v>
          </cell>
          <cell r="AD470" t="str">
            <v>(인)</v>
          </cell>
          <cell r="AE470">
            <v>181.4</v>
          </cell>
          <cell r="AF470" t="str">
            <v>표준</v>
          </cell>
          <cell r="AG470">
            <v>1</v>
          </cell>
          <cell r="AH470">
            <v>1</v>
          </cell>
          <cell r="AI470">
            <v>2511</v>
          </cell>
          <cell r="AJ470">
            <v>2584</v>
          </cell>
          <cell r="AK470">
            <v>198200</v>
          </cell>
          <cell r="AL470">
            <v>3554</v>
          </cell>
          <cell r="AM470">
            <v>3475</v>
          </cell>
          <cell r="AN470">
            <v>3509</v>
          </cell>
          <cell r="AO470">
            <v>3557</v>
          </cell>
          <cell r="AP470">
            <v>3492</v>
          </cell>
          <cell r="AQ470">
            <v>3473</v>
          </cell>
          <cell r="AR470">
            <v>3392</v>
          </cell>
          <cell r="AS470">
            <v>3462</v>
          </cell>
          <cell r="AT470">
            <v>269800</v>
          </cell>
        </row>
        <row r="471">
          <cell r="G471">
            <v>2406070401</v>
          </cell>
          <cell r="H471" t="str">
            <v>106동</v>
          </cell>
          <cell r="I471">
            <v>240607</v>
          </cell>
          <cell r="J471" t="str">
            <v>106동 3층 바닥</v>
          </cell>
          <cell r="K471">
            <v>300</v>
          </cell>
          <cell r="L471">
            <v>300</v>
          </cell>
          <cell r="M471">
            <v>3018</v>
          </cell>
          <cell r="N471" t="str">
            <v>용호</v>
          </cell>
          <cell r="O471" t="str">
            <v>펌프카(1대)</v>
          </cell>
          <cell r="P471">
            <v>1332</v>
          </cell>
          <cell r="Q471">
            <v>1731</v>
          </cell>
          <cell r="R471">
            <v>180</v>
          </cell>
          <cell r="S471">
            <v>48</v>
          </cell>
          <cell r="T471">
            <v>35</v>
          </cell>
          <cell r="U471">
            <v>263</v>
          </cell>
          <cell r="V471"/>
          <cell r="W471" t="str">
            <v>박순홍</v>
          </cell>
          <cell r="X471" t="str">
            <v>(인)</v>
          </cell>
          <cell r="Y471" t="str">
            <v>박순홍</v>
          </cell>
          <cell r="Z471" t="str">
            <v>(인)</v>
          </cell>
          <cell r="AA471" t="str">
            <v>이루비</v>
          </cell>
          <cell r="AB471" t="str">
            <v>(인)</v>
          </cell>
          <cell r="AC471" t="str">
            <v>이루비</v>
          </cell>
          <cell r="AD471" t="str">
            <v>(인)</v>
          </cell>
          <cell r="AE471">
            <v>187.1</v>
          </cell>
          <cell r="AF471" t="str">
            <v>표준</v>
          </cell>
          <cell r="AG471">
            <v>1</v>
          </cell>
          <cell r="AH471">
            <v>1</v>
          </cell>
          <cell r="AI471">
            <v>2877</v>
          </cell>
          <cell r="AJ471">
            <v>2920</v>
          </cell>
          <cell r="AK471">
            <v>233000</v>
          </cell>
          <cell r="AL471">
            <v>3926</v>
          </cell>
          <cell r="AM471">
            <v>3745</v>
          </cell>
          <cell r="AN471">
            <v>3936</v>
          </cell>
          <cell r="AO471">
            <v>3862</v>
          </cell>
          <cell r="AP471">
            <v>3912</v>
          </cell>
          <cell r="AQ471">
            <v>3867</v>
          </cell>
          <cell r="AR471">
            <v>3926</v>
          </cell>
          <cell r="AS471">
            <v>3876</v>
          </cell>
          <cell r="AT471">
            <v>300000</v>
          </cell>
        </row>
        <row r="472">
          <cell r="G472">
            <v>2406070402</v>
          </cell>
          <cell r="H472" t="str">
            <v>106동</v>
          </cell>
          <cell r="I472">
            <v>240607</v>
          </cell>
          <cell r="J472" t="str">
            <v>106동 3층 바닥</v>
          </cell>
          <cell r="K472">
            <v>300</v>
          </cell>
          <cell r="L472">
            <v>300</v>
          </cell>
          <cell r="M472">
            <v>3018</v>
          </cell>
          <cell r="N472" t="str">
            <v>용호</v>
          </cell>
          <cell r="O472" t="str">
            <v>펌프카(1대)</v>
          </cell>
          <cell r="P472">
            <v>1332</v>
          </cell>
          <cell r="Q472">
            <v>1731</v>
          </cell>
          <cell r="R472">
            <v>180</v>
          </cell>
          <cell r="S472">
            <v>42</v>
          </cell>
          <cell r="T472">
            <v>16</v>
          </cell>
          <cell r="U472">
            <v>268</v>
          </cell>
          <cell r="V472"/>
          <cell r="W472" t="str">
            <v>박순홍</v>
          </cell>
          <cell r="X472" t="str">
            <v>(인)</v>
          </cell>
          <cell r="Y472" t="str">
            <v>박순홍</v>
          </cell>
          <cell r="Z472" t="str">
            <v>(인)</v>
          </cell>
          <cell r="AA472" t="str">
            <v>이루비</v>
          </cell>
          <cell r="AB472" t="str">
            <v>(인)</v>
          </cell>
          <cell r="AC472" t="str">
            <v>이루비</v>
          </cell>
          <cell r="AD472" t="str">
            <v>(인)</v>
          </cell>
          <cell r="AE472">
            <v>184.2</v>
          </cell>
          <cell r="AF472" t="str">
            <v>표준</v>
          </cell>
          <cell r="AG472">
            <v>2</v>
          </cell>
          <cell r="AH472">
            <v>0</v>
          </cell>
        </row>
        <row r="473">
          <cell r="G473">
            <v>2406070403</v>
          </cell>
          <cell r="H473" t="str">
            <v>106동</v>
          </cell>
          <cell r="I473">
            <v>240607</v>
          </cell>
          <cell r="J473" t="str">
            <v>106동 3층 바닥</v>
          </cell>
          <cell r="K473">
            <v>300</v>
          </cell>
          <cell r="L473">
            <v>300</v>
          </cell>
          <cell r="M473">
            <v>3018</v>
          </cell>
          <cell r="N473" t="str">
            <v>용호</v>
          </cell>
          <cell r="O473" t="str">
            <v>펌프카(1대)</v>
          </cell>
          <cell r="P473">
            <v>1332</v>
          </cell>
          <cell r="Q473">
            <v>1731</v>
          </cell>
          <cell r="R473">
            <v>190</v>
          </cell>
          <cell r="S473">
            <v>45</v>
          </cell>
          <cell r="T473">
            <v>14</v>
          </cell>
          <cell r="U473">
            <v>272</v>
          </cell>
          <cell r="V473"/>
          <cell r="W473" t="str">
            <v>박순홍</v>
          </cell>
          <cell r="X473" t="str">
            <v>(인)</v>
          </cell>
          <cell r="Y473" t="str">
            <v>박순홍</v>
          </cell>
          <cell r="Z473" t="str">
            <v>(인)</v>
          </cell>
          <cell r="AA473" t="str">
            <v>이루비</v>
          </cell>
          <cell r="AB473" t="str">
            <v>(인)</v>
          </cell>
          <cell r="AC473" t="str">
            <v>이루비</v>
          </cell>
          <cell r="AD473" t="str">
            <v>(인)</v>
          </cell>
          <cell r="AE473">
            <v>182.5</v>
          </cell>
          <cell r="AF473" t="str">
            <v>표준</v>
          </cell>
          <cell r="AG473">
            <v>3</v>
          </cell>
          <cell r="AH473">
            <v>0</v>
          </cell>
        </row>
        <row r="474">
          <cell r="G474">
            <v>2406070500</v>
          </cell>
          <cell r="H474" t="str">
            <v>108동</v>
          </cell>
          <cell r="I474">
            <v>240607</v>
          </cell>
          <cell r="J474" t="str">
            <v>가설도로(17구간)버림</v>
          </cell>
          <cell r="K474">
            <v>12</v>
          </cell>
          <cell r="L474">
            <v>12</v>
          </cell>
          <cell r="M474">
            <v>1812</v>
          </cell>
          <cell r="N474" t="str">
            <v>대원</v>
          </cell>
          <cell r="O474" t="str">
            <v>펌프카(1대)</v>
          </cell>
          <cell r="P474">
            <v>1630</v>
          </cell>
          <cell r="Q474">
            <v>1647</v>
          </cell>
          <cell r="R474">
            <v>125</v>
          </cell>
          <cell r="S474">
            <v>48</v>
          </cell>
          <cell r="T474">
            <v>93</v>
          </cell>
          <cell r="U474">
            <v>223</v>
          </cell>
          <cell r="V474"/>
          <cell r="W474" t="str">
            <v>박순홍</v>
          </cell>
          <cell r="X474" t="str">
            <v>(인)</v>
          </cell>
          <cell r="Y474" t="str">
            <v>박순홍</v>
          </cell>
          <cell r="Z474" t="str">
            <v>(인)</v>
          </cell>
          <cell r="AA474" t="str">
            <v>이홍걸</v>
          </cell>
          <cell r="AB474" t="str">
            <v>(인)</v>
          </cell>
          <cell r="AC474" t="str">
            <v>이홍걸</v>
          </cell>
          <cell r="AD474" t="str">
            <v>(인)</v>
          </cell>
          <cell r="AE474">
            <v>170.4</v>
          </cell>
          <cell r="AF474" t="str">
            <v>표준</v>
          </cell>
          <cell r="AG474">
            <v>0</v>
          </cell>
          <cell r="AH474">
            <v>0</v>
          </cell>
        </row>
        <row r="475">
          <cell r="G475">
            <v>2406100101</v>
          </cell>
          <cell r="H475" t="str">
            <v>117동</v>
          </cell>
          <cell r="I475">
            <v>240610</v>
          </cell>
          <cell r="J475" t="str">
            <v>117동 주변(C-1) 기초</v>
          </cell>
          <cell r="K475">
            <v>500</v>
          </cell>
          <cell r="L475">
            <v>498</v>
          </cell>
          <cell r="M475">
            <v>2415</v>
          </cell>
          <cell r="N475" t="str">
            <v>용호</v>
          </cell>
          <cell r="O475" t="str">
            <v>펌프카(1대)</v>
          </cell>
          <cell r="P475">
            <v>735</v>
          </cell>
          <cell r="Q475">
            <v>1241</v>
          </cell>
          <cell r="R475">
            <v>160</v>
          </cell>
          <cell r="S475">
            <v>36</v>
          </cell>
          <cell r="T475">
            <v>67</v>
          </cell>
          <cell r="U475">
            <v>233</v>
          </cell>
          <cell r="V475"/>
          <cell r="W475" t="str">
            <v>박순홍</v>
          </cell>
          <cell r="X475" t="str">
            <v>(인)</v>
          </cell>
          <cell r="Y475" t="str">
            <v>박순홍</v>
          </cell>
          <cell r="Z475" t="str">
            <v>(인)</v>
          </cell>
          <cell r="AA475" t="str">
            <v>최인철</v>
          </cell>
          <cell r="AB475" t="str">
            <v>(인)</v>
          </cell>
          <cell r="AC475" t="str">
            <v>임영구</v>
          </cell>
          <cell r="AD475" t="str">
            <v>(인)</v>
          </cell>
          <cell r="AE475">
            <v>176.1</v>
          </cell>
          <cell r="AF475" t="str">
            <v>표준</v>
          </cell>
          <cell r="AG475">
            <v>1</v>
          </cell>
          <cell r="AH475">
            <v>1</v>
          </cell>
          <cell r="AI475">
            <v>2321</v>
          </cell>
          <cell r="AJ475">
            <v>2223</v>
          </cell>
          <cell r="AK475">
            <v>183400</v>
          </cell>
          <cell r="AL475">
            <v>3066</v>
          </cell>
          <cell r="AM475">
            <v>3127</v>
          </cell>
          <cell r="AN475">
            <v>3084</v>
          </cell>
          <cell r="AO475">
            <v>3028</v>
          </cell>
          <cell r="AP475">
            <v>3064</v>
          </cell>
          <cell r="AQ475">
            <v>3177</v>
          </cell>
          <cell r="AR475">
            <v>3208</v>
          </cell>
          <cell r="AS475">
            <v>3012</v>
          </cell>
          <cell r="AT475">
            <v>243400</v>
          </cell>
        </row>
        <row r="476">
          <cell r="G476">
            <v>2406100102</v>
          </cell>
          <cell r="H476" t="str">
            <v>117동</v>
          </cell>
          <cell r="I476">
            <v>240610</v>
          </cell>
          <cell r="J476" t="str">
            <v>117동 주변(C-1) 기초</v>
          </cell>
          <cell r="K476">
            <v>500</v>
          </cell>
          <cell r="L476">
            <v>498</v>
          </cell>
          <cell r="M476">
            <v>2415</v>
          </cell>
          <cell r="N476" t="str">
            <v>용호</v>
          </cell>
          <cell r="O476" t="str">
            <v>펌프카(1대)</v>
          </cell>
          <cell r="P476">
            <v>735</v>
          </cell>
          <cell r="Q476">
            <v>1241</v>
          </cell>
          <cell r="R476">
            <v>165</v>
          </cell>
          <cell r="S476">
            <v>43</v>
          </cell>
          <cell r="T476">
            <v>23</v>
          </cell>
          <cell r="U476">
            <v>248</v>
          </cell>
          <cell r="V476"/>
          <cell r="W476" t="str">
            <v>박순홍</v>
          </cell>
          <cell r="X476" t="str">
            <v>(인)</v>
          </cell>
          <cell r="Y476" t="str">
            <v>박순홍</v>
          </cell>
          <cell r="Z476" t="str">
            <v>(인)</v>
          </cell>
          <cell r="AA476" t="str">
            <v>최인철</v>
          </cell>
          <cell r="AB476" t="str">
            <v>(인)</v>
          </cell>
          <cell r="AC476" t="str">
            <v>임영구</v>
          </cell>
          <cell r="AD476" t="str">
            <v>(인)</v>
          </cell>
          <cell r="AE476">
            <v>172.2</v>
          </cell>
          <cell r="AF476" t="str">
            <v>표준</v>
          </cell>
          <cell r="AG476">
            <v>2</v>
          </cell>
          <cell r="AH476">
            <v>0</v>
          </cell>
        </row>
        <row r="477">
          <cell r="G477">
            <v>2406100103</v>
          </cell>
          <cell r="H477" t="str">
            <v>117동</v>
          </cell>
          <cell r="I477">
            <v>240610</v>
          </cell>
          <cell r="J477" t="str">
            <v>117동 주변(C-1) 기초</v>
          </cell>
          <cell r="K477">
            <v>500</v>
          </cell>
          <cell r="L477">
            <v>498</v>
          </cell>
          <cell r="M477">
            <v>2415</v>
          </cell>
          <cell r="N477" t="str">
            <v>용호</v>
          </cell>
          <cell r="O477" t="str">
            <v>펌프카(1대)</v>
          </cell>
          <cell r="P477">
            <v>735</v>
          </cell>
          <cell r="Q477">
            <v>1241</v>
          </cell>
          <cell r="R477">
            <v>170</v>
          </cell>
          <cell r="S477">
            <v>48</v>
          </cell>
          <cell r="T477">
            <v>18</v>
          </cell>
          <cell r="U477">
            <v>253</v>
          </cell>
          <cell r="V477"/>
          <cell r="W477" t="str">
            <v>박순홍</v>
          </cell>
          <cell r="X477" t="str">
            <v>(인)</v>
          </cell>
          <cell r="Y477" t="str">
            <v>박순홍</v>
          </cell>
          <cell r="Z477" t="str">
            <v>(인)</v>
          </cell>
          <cell r="AA477" t="str">
            <v>최인철</v>
          </cell>
          <cell r="AB477" t="str">
            <v>(인)</v>
          </cell>
          <cell r="AC477" t="str">
            <v>임영구</v>
          </cell>
          <cell r="AD477" t="str">
            <v>(인)</v>
          </cell>
          <cell r="AE477">
            <v>171.4</v>
          </cell>
          <cell r="AF477" t="str">
            <v>표준</v>
          </cell>
          <cell r="AG477">
            <v>3</v>
          </cell>
          <cell r="AH477">
            <v>0</v>
          </cell>
        </row>
        <row r="478">
          <cell r="G478">
            <v>2406100104</v>
          </cell>
          <cell r="H478" t="str">
            <v>117동</v>
          </cell>
          <cell r="I478">
            <v>240610</v>
          </cell>
          <cell r="J478" t="str">
            <v>117동 주변(C-1) 기초</v>
          </cell>
          <cell r="K478">
            <v>500</v>
          </cell>
          <cell r="L478">
            <v>498</v>
          </cell>
          <cell r="M478">
            <v>2415</v>
          </cell>
          <cell r="N478" t="str">
            <v>용호</v>
          </cell>
          <cell r="O478" t="str">
            <v>펌프카(1대)</v>
          </cell>
          <cell r="P478">
            <v>735</v>
          </cell>
          <cell r="Q478">
            <v>1241</v>
          </cell>
          <cell r="R478">
            <v>170</v>
          </cell>
          <cell r="S478">
            <v>36</v>
          </cell>
          <cell r="T478">
            <v>72</v>
          </cell>
          <cell r="U478">
            <v>264</v>
          </cell>
          <cell r="V478"/>
          <cell r="W478" t="str">
            <v>박순홍</v>
          </cell>
          <cell r="X478" t="str">
            <v>(인)</v>
          </cell>
          <cell r="Y478" t="str">
            <v>박순홍</v>
          </cell>
          <cell r="Z478" t="str">
            <v>(인)</v>
          </cell>
          <cell r="AA478" t="str">
            <v>최인철</v>
          </cell>
          <cell r="AB478" t="str">
            <v>(인)</v>
          </cell>
          <cell r="AC478" t="str">
            <v>임영구</v>
          </cell>
          <cell r="AD478" t="str">
            <v>(인)</v>
          </cell>
          <cell r="AE478">
            <v>172.5</v>
          </cell>
          <cell r="AF478" t="str">
            <v>표준</v>
          </cell>
          <cell r="AG478">
            <v>4</v>
          </cell>
          <cell r="AH478">
            <v>1</v>
          </cell>
          <cell r="AL478">
            <v>3100</v>
          </cell>
          <cell r="AM478">
            <v>3128</v>
          </cell>
          <cell r="AN478">
            <v>3164</v>
          </cell>
          <cell r="AO478">
            <v>3271</v>
          </cell>
          <cell r="AP478">
            <v>3039</v>
          </cell>
          <cell r="AQ478">
            <v>3182</v>
          </cell>
          <cell r="AR478">
            <v>3166</v>
          </cell>
          <cell r="AS478">
            <v>3124</v>
          </cell>
          <cell r="AT478">
            <v>242000</v>
          </cell>
        </row>
        <row r="479">
          <cell r="G479">
            <v>2406100105</v>
          </cell>
          <cell r="H479" t="str">
            <v>117동</v>
          </cell>
          <cell r="I479">
            <v>240610</v>
          </cell>
          <cell r="J479" t="str">
            <v>117동 주변(C-1) 기초</v>
          </cell>
          <cell r="K479">
            <v>500</v>
          </cell>
          <cell r="L479">
            <v>498</v>
          </cell>
          <cell r="M479">
            <v>2415</v>
          </cell>
          <cell r="N479" t="str">
            <v>용호</v>
          </cell>
          <cell r="O479" t="str">
            <v>펌프카(1대)</v>
          </cell>
          <cell r="P479">
            <v>735</v>
          </cell>
          <cell r="Q479">
            <v>1241</v>
          </cell>
          <cell r="R479">
            <v>160</v>
          </cell>
          <cell r="S479">
            <v>51</v>
          </cell>
          <cell r="T479">
            <v>58</v>
          </cell>
          <cell r="U479">
            <v>259</v>
          </cell>
          <cell r="V479"/>
          <cell r="W479" t="str">
            <v>박순홍</v>
          </cell>
          <cell r="X479" t="str">
            <v>(인)</v>
          </cell>
          <cell r="Y479" t="str">
            <v>박순홍</v>
          </cell>
          <cell r="Z479" t="str">
            <v>(인)</v>
          </cell>
          <cell r="AA479" t="str">
            <v>최인철</v>
          </cell>
          <cell r="AB479" t="str">
            <v>(인)</v>
          </cell>
          <cell r="AC479" t="str">
            <v>임영구</v>
          </cell>
          <cell r="AD479" t="str">
            <v>(인)</v>
          </cell>
          <cell r="AE479">
            <v>168.6</v>
          </cell>
          <cell r="AF479" t="str">
            <v>표준</v>
          </cell>
          <cell r="AG479">
            <v>5</v>
          </cell>
          <cell r="AH479">
            <v>0</v>
          </cell>
        </row>
        <row r="480">
          <cell r="G480">
            <v>2406100201</v>
          </cell>
          <cell r="H480" t="str">
            <v>105동</v>
          </cell>
          <cell r="I480">
            <v>240610</v>
          </cell>
          <cell r="J480" t="str">
            <v>105동 4층 바닥</v>
          </cell>
          <cell r="K480">
            <v>300</v>
          </cell>
          <cell r="L480">
            <v>298</v>
          </cell>
          <cell r="M480">
            <v>3018</v>
          </cell>
          <cell r="N480" t="str">
            <v>영진</v>
          </cell>
          <cell r="O480" t="str">
            <v>펌프카(1대)</v>
          </cell>
          <cell r="P480">
            <v>749</v>
          </cell>
          <cell r="Q480">
            <v>1315</v>
          </cell>
          <cell r="R480">
            <v>180</v>
          </cell>
          <cell r="S480">
            <v>40</v>
          </cell>
          <cell r="T480">
            <v>49</v>
          </cell>
          <cell r="U480">
            <v>227</v>
          </cell>
          <cell r="V480"/>
          <cell r="W480" t="str">
            <v>박순홍</v>
          </cell>
          <cell r="X480" t="str">
            <v>(인)</v>
          </cell>
          <cell r="Y480" t="str">
            <v>박순홍</v>
          </cell>
          <cell r="Z480" t="str">
            <v>(인)</v>
          </cell>
          <cell r="AA480" t="str">
            <v>최상옥</v>
          </cell>
          <cell r="AB480" t="str">
            <v>(인)</v>
          </cell>
          <cell r="AC480" t="str">
            <v>장덕만</v>
          </cell>
          <cell r="AD480" t="str">
            <v>(인)</v>
          </cell>
          <cell r="AE480">
            <v>172.6</v>
          </cell>
          <cell r="AF480" t="str">
            <v>표준</v>
          </cell>
          <cell r="AG480">
            <v>1</v>
          </cell>
          <cell r="AH480">
            <v>1</v>
          </cell>
          <cell r="AI480">
            <v>2979</v>
          </cell>
          <cell r="AJ480">
            <v>2915</v>
          </cell>
          <cell r="AK480">
            <v>226600</v>
          </cell>
          <cell r="AL480">
            <v>3786</v>
          </cell>
          <cell r="AM480">
            <v>3954</v>
          </cell>
          <cell r="AN480">
            <v>3866</v>
          </cell>
          <cell r="AO480">
            <v>3811</v>
          </cell>
          <cell r="AP480">
            <v>3878</v>
          </cell>
          <cell r="AQ480">
            <v>3836</v>
          </cell>
          <cell r="AR480">
            <v>3907</v>
          </cell>
          <cell r="AS480">
            <v>3824</v>
          </cell>
          <cell r="AT480">
            <v>307600</v>
          </cell>
        </row>
        <row r="481">
          <cell r="G481">
            <v>2406100202</v>
          </cell>
          <cell r="H481" t="str">
            <v>105동</v>
          </cell>
          <cell r="I481">
            <v>240610</v>
          </cell>
          <cell r="J481" t="str">
            <v>105동 4층 바닥</v>
          </cell>
          <cell r="K481">
            <v>300</v>
          </cell>
          <cell r="L481">
            <v>298</v>
          </cell>
          <cell r="M481">
            <v>3018</v>
          </cell>
          <cell r="N481" t="str">
            <v>영진</v>
          </cell>
          <cell r="O481" t="str">
            <v>펌프카(1대)</v>
          </cell>
          <cell r="P481">
            <v>749</v>
          </cell>
          <cell r="Q481">
            <v>1315</v>
          </cell>
          <cell r="R481">
            <v>180</v>
          </cell>
          <cell r="S481">
            <v>47</v>
          </cell>
          <cell r="T481">
            <v>48</v>
          </cell>
          <cell r="U481">
            <v>262</v>
          </cell>
          <cell r="V481"/>
          <cell r="W481" t="str">
            <v>박순홍</v>
          </cell>
          <cell r="X481" t="str">
            <v>(인)</v>
          </cell>
          <cell r="Y481" t="str">
            <v>박순홍</v>
          </cell>
          <cell r="Z481" t="str">
            <v>(인)</v>
          </cell>
          <cell r="AA481" t="str">
            <v>최상옥</v>
          </cell>
          <cell r="AB481" t="str">
            <v>(인)</v>
          </cell>
          <cell r="AC481" t="str">
            <v>장덕만</v>
          </cell>
          <cell r="AD481" t="str">
            <v>(인)</v>
          </cell>
          <cell r="AE481">
            <v>174.2</v>
          </cell>
          <cell r="AF481" t="str">
            <v>표준</v>
          </cell>
          <cell r="AG481">
            <v>2</v>
          </cell>
          <cell r="AH481">
            <v>0</v>
          </cell>
        </row>
        <row r="482">
          <cell r="G482">
            <v>2406100203</v>
          </cell>
          <cell r="H482" t="str">
            <v>105동</v>
          </cell>
          <cell r="I482">
            <v>240610</v>
          </cell>
          <cell r="J482" t="str">
            <v>105동 4층 바닥</v>
          </cell>
          <cell r="K482">
            <v>300</v>
          </cell>
          <cell r="L482">
            <v>298</v>
          </cell>
          <cell r="M482">
            <v>3018</v>
          </cell>
          <cell r="N482" t="str">
            <v>영진</v>
          </cell>
          <cell r="O482" t="str">
            <v>펌프카(1대)</v>
          </cell>
          <cell r="P482">
            <v>749</v>
          </cell>
          <cell r="Q482">
            <v>1315</v>
          </cell>
          <cell r="R482">
            <v>185</v>
          </cell>
          <cell r="S482">
            <v>50</v>
          </cell>
          <cell r="T482">
            <v>50</v>
          </cell>
          <cell r="U482">
            <v>252</v>
          </cell>
          <cell r="V482"/>
          <cell r="W482" t="str">
            <v>박순홍</v>
          </cell>
          <cell r="X482" t="str">
            <v>(인)</v>
          </cell>
          <cell r="Y482" t="str">
            <v>박순홍</v>
          </cell>
          <cell r="Z482" t="str">
            <v>(인)</v>
          </cell>
          <cell r="AA482" t="str">
            <v>최상옥</v>
          </cell>
          <cell r="AB482" t="str">
            <v>(인)</v>
          </cell>
          <cell r="AC482" t="str">
            <v>장덕만</v>
          </cell>
          <cell r="AD482" t="str">
            <v>(인)</v>
          </cell>
          <cell r="AE482">
            <v>177.2</v>
          </cell>
          <cell r="AF482" t="str">
            <v>표준</v>
          </cell>
          <cell r="AG482">
            <v>3</v>
          </cell>
          <cell r="AH482">
            <v>0</v>
          </cell>
        </row>
        <row r="483">
          <cell r="G483">
            <v>2406100301</v>
          </cell>
          <cell r="H483" t="str">
            <v>107동</v>
          </cell>
          <cell r="I483">
            <v>240610</v>
          </cell>
          <cell r="J483" t="str">
            <v>107동 2차</v>
          </cell>
          <cell r="K483">
            <v>370</v>
          </cell>
          <cell r="L483">
            <v>372</v>
          </cell>
          <cell r="M483">
            <v>3015</v>
          </cell>
          <cell r="N483" t="str">
            <v>대공</v>
          </cell>
          <cell r="O483" t="str">
            <v>펌프카(1대)</v>
          </cell>
          <cell r="P483">
            <v>750</v>
          </cell>
          <cell r="Q483">
            <v>1258</v>
          </cell>
          <cell r="R483">
            <v>165</v>
          </cell>
          <cell r="S483">
            <v>41</v>
          </cell>
          <cell r="T483">
            <v>81</v>
          </cell>
          <cell r="U483">
            <v>252</v>
          </cell>
          <cell r="V483"/>
          <cell r="W483" t="str">
            <v>박순홍</v>
          </cell>
          <cell r="X483" t="str">
            <v>(인)</v>
          </cell>
          <cell r="Y483" t="str">
            <v>박순홍</v>
          </cell>
          <cell r="Z483" t="str">
            <v>(인)</v>
          </cell>
          <cell r="AA483" t="str">
            <v>정창인</v>
          </cell>
          <cell r="AB483" t="str">
            <v>(인)</v>
          </cell>
          <cell r="AC483" t="str">
            <v>정창인</v>
          </cell>
          <cell r="AD483" t="str">
            <v>(인)</v>
          </cell>
          <cell r="AE483">
            <v>177.2</v>
          </cell>
          <cell r="AF483" t="str">
            <v>표준</v>
          </cell>
          <cell r="AG483">
            <v>1</v>
          </cell>
          <cell r="AH483">
            <v>1</v>
          </cell>
          <cell r="AI483">
            <v>2928</v>
          </cell>
          <cell r="AJ483">
            <v>2878</v>
          </cell>
          <cell r="AK483">
            <v>228000</v>
          </cell>
          <cell r="AL483">
            <v>3764</v>
          </cell>
          <cell r="AM483">
            <v>3782</v>
          </cell>
          <cell r="AN483">
            <v>3829</v>
          </cell>
          <cell r="AO483">
            <v>3876</v>
          </cell>
          <cell r="AP483">
            <v>3658</v>
          </cell>
          <cell r="AQ483">
            <v>3817</v>
          </cell>
          <cell r="AR483">
            <v>3764</v>
          </cell>
          <cell r="AS483">
            <v>3827</v>
          </cell>
          <cell r="AT483">
            <v>300200</v>
          </cell>
        </row>
        <row r="484">
          <cell r="G484">
            <v>2406100302</v>
          </cell>
          <cell r="H484" t="str">
            <v>107동</v>
          </cell>
          <cell r="I484">
            <v>240610</v>
          </cell>
          <cell r="J484" t="str">
            <v>107동 2차</v>
          </cell>
          <cell r="K484">
            <v>370</v>
          </cell>
          <cell r="L484">
            <v>372</v>
          </cell>
          <cell r="M484">
            <v>3015</v>
          </cell>
          <cell r="N484" t="str">
            <v>대공</v>
          </cell>
          <cell r="O484" t="str">
            <v>펌프카(1대)</v>
          </cell>
          <cell r="P484">
            <v>750</v>
          </cell>
          <cell r="Q484">
            <v>1258</v>
          </cell>
          <cell r="R484">
            <v>155</v>
          </cell>
          <cell r="S484">
            <v>40</v>
          </cell>
          <cell r="T484">
            <v>26</v>
          </cell>
          <cell r="U484">
            <v>247</v>
          </cell>
          <cell r="V484"/>
          <cell r="W484" t="str">
            <v>박순홍</v>
          </cell>
          <cell r="X484" t="str">
            <v>(인)</v>
          </cell>
          <cell r="Y484" t="str">
            <v>박순홍</v>
          </cell>
          <cell r="Z484" t="str">
            <v>(인)</v>
          </cell>
          <cell r="AA484" t="str">
            <v>이루비</v>
          </cell>
          <cell r="AB484" t="str">
            <v>(인)</v>
          </cell>
          <cell r="AC484" t="str">
            <v>정창인</v>
          </cell>
          <cell r="AD484" t="str">
            <v>(인)</v>
          </cell>
          <cell r="AE484">
            <v>167.9</v>
          </cell>
          <cell r="AF484" t="str">
            <v>표준</v>
          </cell>
          <cell r="AG484">
            <v>2</v>
          </cell>
          <cell r="AH484">
            <v>0</v>
          </cell>
        </row>
        <row r="485">
          <cell r="G485">
            <v>2406100303</v>
          </cell>
          <cell r="H485" t="str">
            <v>107동</v>
          </cell>
          <cell r="I485">
            <v>240610</v>
          </cell>
          <cell r="J485" t="str">
            <v>107동 2차</v>
          </cell>
          <cell r="K485">
            <v>370</v>
          </cell>
          <cell r="L485">
            <v>372</v>
          </cell>
          <cell r="M485">
            <v>3015</v>
          </cell>
          <cell r="N485" t="str">
            <v>대공</v>
          </cell>
          <cell r="O485" t="str">
            <v>펌프카(1대)</v>
          </cell>
          <cell r="P485">
            <v>750</v>
          </cell>
          <cell r="Q485">
            <v>1258</v>
          </cell>
          <cell r="R485">
            <v>165</v>
          </cell>
          <cell r="S485">
            <v>45</v>
          </cell>
          <cell r="T485">
            <v>27</v>
          </cell>
          <cell r="U485">
            <v>205</v>
          </cell>
          <cell r="V485"/>
          <cell r="W485" t="str">
            <v>박순홍</v>
          </cell>
          <cell r="X485" t="str">
            <v>(인)</v>
          </cell>
          <cell r="Y485" t="str">
            <v>박순홍</v>
          </cell>
          <cell r="Z485" t="str">
            <v>(인)</v>
          </cell>
          <cell r="AA485" t="str">
            <v>이루비</v>
          </cell>
          <cell r="AB485" t="str">
            <v>(인)</v>
          </cell>
          <cell r="AC485" t="str">
            <v>정창인</v>
          </cell>
          <cell r="AD485" t="str">
            <v>(인)</v>
          </cell>
          <cell r="AE485">
            <v>176.8</v>
          </cell>
          <cell r="AF485" t="str">
            <v>표준</v>
          </cell>
          <cell r="AG485">
            <v>3</v>
          </cell>
          <cell r="AH485">
            <v>0</v>
          </cell>
        </row>
        <row r="486">
          <cell r="G486">
            <v>2406100304</v>
          </cell>
          <cell r="H486" t="str">
            <v>107동</v>
          </cell>
          <cell r="I486">
            <v>240610</v>
          </cell>
          <cell r="J486" t="str">
            <v>107동 2차</v>
          </cell>
          <cell r="K486">
            <v>370</v>
          </cell>
          <cell r="L486">
            <v>372</v>
          </cell>
          <cell r="M486">
            <v>3015</v>
          </cell>
          <cell r="N486" t="str">
            <v>대공</v>
          </cell>
          <cell r="O486" t="str">
            <v>펌프카(1대)</v>
          </cell>
          <cell r="P486">
            <v>750</v>
          </cell>
          <cell r="Q486">
            <v>1258</v>
          </cell>
          <cell r="R486">
            <v>160</v>
          </cell>
          <cell r="S486">
            <v>47</v>
          </cell>
          <cell r="T486">
            <v>13</v>
          </cell>
          <cell r="U486">
            <v>273</v>
          </cell>
          <cell r="V486"/>
          <cell r="W486" t="str">
            <v>박순홍</v>
          </cell>
          <cell r="X486" t="str">
            <v>(인)</v>
          </cell>
          <cell r="Y486" t="str">
            <v>박순홍</v>
          </cell>
          <cell r="Z486" t="str">
            <v>(인)</v>
          </cell>
          <cell r="AA486" t="str">
            <v>정창인</v>
          </cell>
          <cell r="AB486" t="str">
            <v>(인)</v>
          </cell>
          <cell r="AC486" t="str">
            <v>정창인</v>
          </cell>
          <cell r="AD486" t="str">
            <v>(인)</v>
          </cell>
          <cell r="AE486">
            <v>182.4</v>
          </cell>
          <cell r="AF486" t="str">
            <v>표준</v>
          </cell>
          <cell r="AG486">
            <v>4</v>
          </cell>
          <cell r="AH486">
            <v>1</v>
          </cell>
          <cell r="AL486">
            <v>3961</v>
          </cell>
          <cell r="AM486">
            <v>3811</v>
          </cell>
          <cell r="AN486">
            <v>3720</v>
          </cell>
          <cell r="AO486">
            <v>3794</v>
          </cell>
          <cell r="AP486">
            <v>3764</v>
          </cell>
          <cell r="AQ486">
            <v>3829</v>
          </cell>
          <cell r="AR486">
            <v>3784</v>
          </cell>
          <cell r="AS486">
            <v>3862</v>
          </cell>
          <cell r="AT486">
            <v>300800</v>
          </cell>
        </row>
        <row r="487">
          <cell r="G487">
            <v>2406100401</v>
          </cell>
          <cell r="H487" t="str">
            <v>116동</v>
          </cell>
          <cell r="I487">
            <v>240610</v>
          </cell>
          <cell r="J487" t="str">
            <v>116동 주변(I-1) 기초</v>
          </cell>
          <cell r="K487">
            <v>320</v>
          </cell>
          <cell r="L487">
            <v>318</v>
          </cell>
          <cell r="M487">
            <v>2415</v>
          </cell>
          <cell r="N487" t="str">
            <v>대공</v>
          </cell>
          <cell r="O487" t="str">
            <v>펌프카(1대)</v>
          </cell>
          <cell r="P487">
            <v>1258</v>
          </cell>
          <cell r="Q487">
            <v>1656</v>
          </cell>
          <cell r="R487">
            <v>155</v>
          </cell>
          <cell r="S487">
            <v>49</v>
          </cell>
          <cell r="T487">
            <v>20</v>
          </cell>
          <cell r="U487">
            <v>253</v>
          </cell>
          <cell r="V487"/>
          <cell r="W487" t="str">
            <v>박순홍</v>
          </cell>
          <cell r="X487" t="str">
            <v>(인)</v>
          </cell>
          <cell r="Y487" t="str">
            <v>박순홍</v>
          </cell>
          <cell r="Z487" t="str">
            <v>(인)</v>
          </cell>
          <cell r="AA487" t="str">
            <v>최인철</v>
          </cell>
          <cell r="AB487" t="str">
            <v>(인)</v>
          </cell>
          <cell r="AC487" t="str">
            <v>임영구</v>
          </cell>
          <cell r="AD487" t="str">
            <v>(인)</v>
          </cell>
          <cell r="AE487">
            <v>169.2</v>
          </cell>
          <cell r="AF487" t="str">
            <v>표준</v>
          </cell>
          <cell r="AG487">
            <v>1</v>
          </cell>
          <cell r="AH487">
            <v>1</v>
          </cell>
          <cell r="AI487">
            <v>2235</v>
          </cell>
          <cell r="AJ487">
            <v>3275</v>
          </cell>
          <cell r="AK487">
            <v>176400</v>
          </cell>
          <cell r="AL487">
            <v>3221</v>
          </cell>
          <cell r="AM487">
            <v>3166</v>
          </cell>
          <cell r="AN487">
            <v>3237</v>
          </cell>
          <cell r="AO487">
            <v>3264</v>
          </cell>
          <cell r="AP487">
            <v>3149</v>
          </cell>
          <cell r="AQ487">
            <v>3076</v>
          </cell>
          <cell r="AR487">
            <v>3243</v>
          </cell>
          <cell r="AS487">
            <v>3174</v>
          </cell>
          <cell r="AT487">
            <v>248600</v>
          </cell>
        </row>
        <row r="488">
          <cell r="G488">
            <v>2406100402</v>
          </cell>
          <cell r="H488" t="str">
            <v>116동</v>
          </cell>
          <cell r="I488">
            <v>240610</v>
          </cell>
          <cell r="J488" t="str">
            <v>116동 주변(I-1) 기초</v>
          </cell>
          <cell r="K488">
            <v>320</v>
          </cell>
          <cell r="L488">
            <v>318</v>
          </cell>
          <cell r="M488">
            <v>2415</v>
          </cell>
          <cell r="N488" t="str">
            <v>대공</v>
          </cell>
          <cell r="O488" t="str">
            <v>펌프카(1대)</v>
          </cell>
          <cell r="P488">
            <v>1258</v>
          </cell>
          <cell r="Q488">
            <v>1656</v>
          </cell>
          <cell r="R488">
            <v>155</v>
          </cell>
          <cell r="S488">
            <v>40</v>
          </cell>
          <cell r="T488">
            <v>28</v>
          </cell>
          <cell r="U488">
            <v>260</v>
          </cell>
          <cell r="V488"/>
          <cell r="W488" t="str">
            <v>박순홍</v>
          </cell>
          <cell r="X488" t="str">
            <v>(인)</v>
          </cell>
          <cell r="Y488" t="str">
            <v>박순홍</v>
          </cell>
          <cell r="Z488" t="str">
            <v>(인)</v>
          </cell>
          <cell r="AA488" t="str">
            <v>최인철</v>
          </cell>
          <cell r="AB488" t="str">
            <v>(인)</v>
          </cell>
          <cell r="AC488" t="str">
            <v>임영구</v>
          </cell>
          <cell r="AD488" t="str">
            <v>(인)</v>
          </cell>
          <cell r="AE488">
            <v>178.6</v>
          </cell>
          <cell r="AF488" t="str">
            <v>표준</v>
          </cell>
          <cell r="AG488">
            <v>2</v>
          </cell>
          <cell r="AH488">
            <v>0</v>
          </cell>
        </row>
        <row r="489">
          <cell r="G489">
            <v>2406100403</v>
          </cell>
          <cell r="H489" t="str">
            <v>116동</v>
          </cell>
          <cell r="I489">
            <v>240610</v>
          </cell>
          <cell r="J489" t="str">
            <v>116동 주변(I-1) 기초</v>
          </cell>
          <cell r="K489">
            <v>320</v>
          </cell>
          <cell r="L489">
            <v>318</v>
          </cell>
          <cell r="M489">
            <v>2415</v>
          </cell>
          <cell r="N489" t="str">
            <v>대공</v>
          </cell>
          <cell r="O489" t="str">
            <v>펌프카(1대)</v>
          </cell>
          <cell r="P489">
            <v>1258</v>
          </cell>
          <cell r="Q489">
            <v>1656</v>
          </cell>
          <cell r="R489">
            <v>160</v>
          </cell>
          <cell r="S489">
            <v>50</v>
          </cell>
          <cell r="T489">
            <v>19</v>
          </cell>
          <cell r="U489">
            <v>245</v>
          </cell>
          <cell r="V489"/>
          <cell r="W489" t="str">
            <v>박순홍</v>
          </cell>
          <cell r="X489" t="str">
            <v>(인)</v>
          </cell>
          <cell r="Y489" t="str">
            <v>박순홍</v>
          </cell>
          <cell r="Z489" t="str">
            <v>(인)</v>
          </cell>
          <cell r="AA489" t="str">
            <v>최인철</v>
          </cell>
          <cell r="AB489" t="str">
            <v>(인)</v>
          </cell>
          <cell r="AC489" t="str">
            <v>임영구</v>
          </cell>
          <cell r="AD489" t="str">
            <v>(인)</v>
          </cell>
          <cell r="AE489">
            <v>184</v>
          </cell>
          <cell r="AF489" t="str">
            <v>표준</v>
          </cell>
          <cell r="AG489">
            <v>3</v>
          </cell>
          <cell r="AH489">
            <v>0</v>
          </cell>
        </row>
        <row r="490">
          <cell r="G490">
            <v>2406100501</v>
          </cell>
          <cell r="H490" t="str">
            <v>T/C</v>
          </cell>
          <cell r="I490">
            <v>240610</v>
          </cell>
          <cell r="J490" t="str">
            <v>타워 11호기 버림</v>
          </cell>
          <cell r="K490">
            <v>30</v>
          </cell>
          <cell r="L490">
            <v>30</v>
          </cell>
          <cell r="M490">
            <v>1812</v>
          </cell>
          <cell r="N490" t="str">
            <v>영진</v>
          </cell>
          <cell r="O490" t="str">
            <v>펌프카(1대)</v>
          </cell>
          <cell r="P490">
            <v>1512</v>
          </cell>
          <cell r="Q490">
            <v>1615</v>
          </cell>
          <cell r="R490">
            <v>110</v>
          </cell>
          <cell r="S490">
            <v>45</v>
          </cell>
          <cell r="T490">
            <v>18</v>
          </cell>
          <cell r="U490">
            <v>270</v>
          </cell>
          <cell r="V490"/>
          <cell r="W490" t="str">
            <v>박순홍</v>
          </cell>
          <cell r="X490" t="str">
            <v>(인)</v>
          </cell>
          <cell r="Y490" t="str">
            <v>박순홍</v>
          </cell>
          <cell r="Z490" t="str">
            <v>(인)</v>
          </cell>
          <cell r="AA490" t="str">
            <v>최인철</v>
          </cell>
          <cell r="AB490" t="str">
            <v>(인)</v>
          </cell>
          <cell r="AC490" t="str">
            <v>임영구</v>
          </cell>
          <cell r="AD490" t="str">
            <v>(인)</v>
          </cell>
          <cell r="AE490">
            <v>183.5</v>
          </cell>
          <cell r="AF490" t="str">
            <v>표준</v>
          </cell>
          <cell r="AG490">
            <v>1</v>
          </cell>
          <cell r="AH490">
            <v>1</v>
          </cell>
          <cell r="AI490">
            <v>1543</v>
          </cell>
          <cell r="AJ490">
            <v>1548</v>
          </cell>
          <cell r="AK490">
            <v>124000</v>
          </cell>
          <cell r="AL490">
            <v>2329</v>
          </cell>
          <cell r="AM490">
            <v>2458</v>
          </cell>
          <cell r="AN490">
            <v>2467</v>
          </cell>
          <cell r="AO490">
            <v>2471</v>
          </cell>
          <cell r="AP490">
            <v>2510</v>
          </cell>
          <cell r="AQ490">
            <v>2364</v>
          </cell>
          <cell r="AR490">
            <v>2408</v>
          </cell>
          <cell r="AS490">
            <v>2412</v>
          </cell>
          <cell r="AT490">
            <v>199000</v>
          </cell>
        </row>
        <row r="491">
          <cell r="G491">
            <v>2406110101</v>
          </cell>
          <cell r="H491" t="str">
            <v>102동</v>
          </cell>
          <cell r="I491">
            <v>240611</v>
          </cell>
          <cell r="J491" t="str">
            <v>102동 주변(10-1구간) 지붕</v>
          </cell>
          <cell r="K491">
            <v>230</v>
          </cell>
          <cell r="L491">
            <v>228</v>
          </cell>
          <cell r="M491">
            <v>2715</v>
          </cell>
          <cell r="N491" t="str">
            <v>영진</v>
          </cell>
          <cell r="O491" t="str">
            <v>펌프카(1대)</v>
          </cell>
          <cell r="P491">
            <v>802</v>
          </cell>
          <cell r="Q491">
            <v>1140</v>
          </cell>
          <cell r="R491">
            <v>170</v>
          </cell>
          <cell r="S491">
            <v>49</v>
          </cell>
          <cell r="T491">
            <v>57</v>
          </cell>
          <cell r="U491">
            <v>260</v>
          </cell>
          <cell r="V491"/>
          <cell r="W491" t="str">
            <v>박순홍</v>
          </cell>
          <cell r="X491" t="str">
            <v>(인)</v>
          </cell>
          <cell r="Y491" t="str">
            <v>박순홍</v>
          </cell>
          <cell r="Z491" t="str">
            <v>(인)</v>
          </cell>
          <cell r="AA491" t="str">
            <v>최상옥</v>
          </cell>
          <cell r="AB491" t="str">
            <v>(인)</v>
          </cell>
          <cell r="AC491" t="str">
            <v>이루비</v>
          </cell>
          <cell r="AD491" t="str">
            <v>(인)</v>
          </cell>
          <cell r="AE491">
            <v>176.2</v>
          </cell>
          <cell r="AF491" t="str">
            <v>표준</v>
          </cell>
          <cell r="AG491">
            <v>1</v>
          </cell>
          <cell r="AH491">
            <v>1</v>
          </cell>
          <cell r="AI491">
            <v>2396</v>
          </cell>
          <cell r="AJ491">
            <v>2382</v>
          </cell>
          <cell r="AK491">
            <v>195800</v>
          </cell>
          <cell r="AL491">
            <v>3516</v>
          </cell>
          <cell r="AM491">
            <v>3468</v>
          </cell>
          <cell r="AN491">
            <v>3445</v>
          </cell>
          <cell r="AO491">
            <v>3534</v>
          </cell>
          <cell r="AP491">
            <v>3537</v>
          </cell>
          <cell r="AQ491">
            <v>3624</v>
          </cell>
          <cell r="AR491">
            <v>3433</v>
          </cell>
          <cell r="AS491">
            <v>3562</v>
          </cell>
          <cell r="AT491">
            <v>278000</v>
          </cell>
        </row>
        <row r="492">
          <cell r="G492">
            <v>2406110102</v>
          </cell>
          <cell r="H492" t="str">
            <v>102동</v>
          </cell>
          <cell r="I492">
            <v>240611</v>
          </cell>
          <cell r="J492" t="str">
            <v>102동 주변(10-1구간) 지붕</v>
          </cell>
          <cell r="K492">
            <v>230</v>
          </cell>
          <cell r="L492">
            <v>228</v>
          </cell>
          <cell r="M492">
            <v>2715</v>
          </cell>
          <cell r="N492" t="str">
            <v>영진</v>
          </cell>
          <cell r="O492" t="str">
            <v>펌프카(1대)</v>
          </cell>
          <cell r="P492">
            <v>802</v>
          </cell>
          <cell r="Q492">
            <v>1140</v>
          </cell>
          <cell r="R492">
            <v>160</v>
          </cell>
          <cell r="S492">
            <v>48</v>
          </cell>
          <cell r="T492">
            <v>13</v>
          </cell>
          <cell r="U492">
            <v>245</v>
          </cell>
          <cell r="V492"/>
          <cell r="W492" t="str">
            <v>박순홍</v>
          </cell>
          <cell r="X492" t="str">
            <v>(인)</v>
          </cell>
          <cell r="Y492" t="str">
            <v>박순홍</v>
          </cell>
          <cell r="Z492" t="str">
            <v>(인)</v>
          </cell>
          <cell r="AA492" t="str">
            <v>최상옥</v>
          </cell>
          <cell r="AB492" t="str">
            <v>(인)</v>
          </cell>
          <cell r="AC492" t="str">
            <v>이루비</v>
          </cell>
          <cell r="AD492" t="str">
            <v>(인)</v>
          </cell>
          <cell r="AE492">
            <v>175.2</v>
          </cell>
          <cell r="AF492" t="str">
            <v>표준</v>
          </cell>
          <cell r="AG492">
            <v>2</v>
          </cell>
          <cell r="AH492">
            <v>0</v>
          </cell>
        </row>
        <row r="493">
          <cell r="G493">
            <v>2406110201</v>
          </cell>
          <cell r="H493" t="str">
            <v>102동, 104동, 108동</v>
          </cell>
          <cell r="I493">
            <v>240611</v>
          </cell>
          <cell r="J493" t="str">
            <v>102~104동 주변 가설도로(17구간) 및 108동 E/V 기초</v>
          </cell>
          <cell r="K493">
            <v>860</v>
          </cell>
          <cell r="L493">
            <v>858</v>
          </cell>
          <cell r="M493">
            <v>2415</v>
          </cell>
          <cell r="N493" t="str">
            <v>대원</v>
          </cell>
          <cell r="O493" t="str">
            <v>펌프카(1대)</v>
          </cell>
          <cell r="P493">
            <v>815</v>
          </cell>
          <cell r="Q493">
            <v>1737</v>
          </cell>
          <cell r="R493">
            <v>155</v>
          </cell>
          <cell r="S493">
            <v>39</v>
          </cell>
          <cell r="T493">
            <v>21</v>
          </cell>
          <cell r="U493">
            <v>256</v>
          </cell>
          <cell r="V493"/>
          <cell r="W493" t="str">
            <v>박순홍</v>
          </cell>
          <cell r="X493" t="str">
            <v>(인)</v>
          </cell>
          <cell r="Y493" t="str">
            <v>박순홍</v>
          </cell>
          <cell r="Z493" t="str">
            <v>(인)</v>
          </cell>
          <cell r="AA493" t="str">
            <v>최상옥</v>
          </cell>
          <cell r="AB493" t="str">
            <v>(인)</v>
          </cell>
          <cell r="AC493" t="str">
            <v>이홍걸</v>
          </cell>
          <cell r="AD493" t="str">
            <v>(인)</v>
          </cell>
          <cell r="AE493">
            <v>180.6</v>
          </cell>
          <cell r="AF493" t="str">
            <v>표준</v>
          </cell>
          <cell r="AG493">
            <v>1</v>
          </cell>
          <cell r="AH493">
            <v>1</v>
          </cell>
          <cell r="AI493">
            <v>2286</v>
          </cell>
          <cell r="AJ493">
            <v>2263</v>
          </cell>
          <cell r="AK493">
            <v>183600</v>
          </cell>
          <cell r="AL493">
            <v>3274</v>
          </cell>
          <cell r="AM493">
            <v>3297</v>
          </cell>
          <cell r="AN493">
            <v>3356</v>
          </cell>
          <cell r="AO493">
            <v>3384</v>
          </cell>
          <cell r="AP493">
            <v>3279</v>
          </cell>
          <cell r="AQ493">
            <v>3266</v>
          </cell>
          <cell r="AR493">
            <v>3341</v>
          </cell>
          <cell r="AS493">
            <v>3294</v>
          </cell>
          <cell r="AT493">
            <v>261000</v>
          </cell>
        </row>
        <row r="494">
          <cell r="G494">
            <v>2406110202</v>
          </cell>
          <cell r="H494" t="str">
            <v>102동, 104동, 108동</v>
          </cell>
          <cell r="I494">
            <v>240611</v>
          </cell>
          <cell r="J494" t="str">
            <v>102~104동 주변 가설도로(17구간) 및 108동 E/V 기초</v>
          </cell>
          <cell r="K494">
            <v>860</v>
          </cell>
          <cell r="L494">
            <v>858</v>
          </cell>
          <cell r="M494">
            <v>2415</v>
          </cell>
          <cell r="N494" t="str">
            <v>대원</v>
          </cell>
          <cell r="O494" t="str">
            <v>펌프카(1대)</v>
          </cell>
          <cell r="P494">
            <v>815</v>
          </cell>
          <cell r="Q494">
            <v>1737</v>
          </cell>
          <cell r="R494">
            <v>165</v>
          </cell>
          <cell r="S494">
            <v>44</v>
          </cell>
          <cell r="T494">
            <v>52</v>
          </cell>
          <cell r="U494">
            <v>256</v>
          </cell>
          <cell r="V494"/>
          <cell r="W494" t="str">
            <v>박순홍</v>
          </cell>
          <cell r="X494" t="str">
            <v>(인)</v>
          </cell>
          <cell r="Y494" t="str">
            <v>박순홍</v>
          </cell>
          <cell r="Z494" t="str">
            <v>(인)</v>
          </cell>
          <cell r="AA494" t="str">
            <v>최상옥</v>
          </cell>
          <cell r="AB494" t="str">
            <v>(인)</v>
          </cell>
          <cell r="AC494" t="str">
            <v>이홍걸</v>
          </cell>
          <cell r="AD494" t="str">
            <v>(인)</v>
          </cell>
          <cell r="AE494">
            <v>181.6</v>
          </cell>
          <cell r="AF494" t="str">
            <v>표준</v>
          </cell>
          <cell r="AG494">
            <v>2</v>
          </cell>
          <cell r="AH494">
            <v>0</v>
          </cell>
        </row>
        <row r="495">
          <cell r="G495">
            <v>2406110203</v>
          </cell>
          <cell r="H495" t="str">
            <v>102동, 104동, 108동</v>
          </cell>
          <cell r="I495">
            <v>240611</v>
          </cell>
          <cell r="J495" t="str">
            <v>102~104동 주변 가설도로(17구간) 및 108동 E/V 기초</v>
          </cell>
          <cell r="K495">
            <v>860</v>
          </cell>
          <cell r="L495">
            <v>858</v>
          </cell>
          <cell r="M495">
            <v>2415</v>
          </cell>
          <cell r="N495" t="str">
            <v>대원</v>
          </cell>
          <cell r="O495" t="str">
            <v>펌프카(1대)</v>
          </cell>
          <cell r="P495">
            <v>815</v>
          </cell>
          <cell r="Q495">
            <v>1737</v>
          </cell>
          <cell r="R495">
            <v>170</v>
          </cell>
          <cell r="S495">
            <v>50</v>
          </cell>
          <cell r="T495">
            <v>112</v>
          </cell>
          <cell r="U495">
            <v>254</v>
          </cell>
          <cell r="V495"/>
          <cell r="W495" t="str">
            <v>박순홍</v>
          </cell>
          <cell r="X495" t="str">
            <v>(인)</v>
          </cell>
          <cell r="Y495" t="str">
            <v>박순홍</v>
          </cell>
          <cell r="Z495" t="str">
            <v>(인)</v>
          </cell>
          <cell r="AA495" t="str">
            <v>최상옥</v>
          </cell>
          <cell r="AB495" t="str">
            <v>(인)</v>
          </cell>
          <cell r="AC495" t="str">
            <v>이홍걸</v>
          </cell>
          <cell r="AD495" t="str">
            <v>(인)</v>
          </cell>
          <cell r="AE495">
            <v>179.3</v>
          </cell>
          <cell r="AF495" t="str">
            <v>표준</v>
          </cell>
          <cell r="AG495">
            <v>3</v>
          </cell>
          <cell r="AH495">
            <v>0</v>
          </cell>
        </row>
        <row r="496">
          <cell r="G496">
            <v>2406110204</v>
          </cell>
          <cell r="H496" t="str">
            <v>102동, 104동, 108동</v>
          </cell>
          <cell r="I496">
            <v>240611</v>
          </cell>
          <cell r="J496" t="str">
            <v>102~104동 주변 가설도로(17구간) 및 108동 E/V 기초</v>
          </cell>
          <cell r="K496">
            <v>860</v>
          </cell>
          <cell r="L496">
            <v>858</v>
          </cell>
          <cell r="M496">
            <v>2415</v>
          </cell>
          <cell r="N496" t="str">
            <v>대원</v>
          </cell>
          <cell r="O496" t="str">
            <v>펌프카(1대)</v>
          </cell>
          <cell r="P496">
            <v>815</v>
          </cell>
          <cell r="Q496">
            <v>1737</v>
          </cell>
          <cell r="R496">
            <v>155</v>
          </cell>
          <cell r="S496">
            <v>46</v>
          </cell>
          <cell r="T496">
            <v>121</v>
          </cell>
          <cell r="U496">
            <v>261</v>
          </cell>
          <cell r="V496"/>
          <cell r="W496" t="str">
            <v>박순홍</v>
          </cell>
          <cell r="X496" t="str">
            <v>(인)</v>
          </cell>
          <cell r="Y496" t="str">
            <v>박순홍</v>
          </cell>
          <cell r="Z496" t="str">
            <v>(인)</v>
          </cell>
          <cell r="AA496" t="str">
            <v>이홍걸</v>
          </cell>
          <cell r="AB496" t="str">
            <v>(인)</v>
          </cell>
          <cell r="AC496" t="str">
            <v>이홍걸</v>
          </cell>
          <cell r="AD496" t="str">
            <v>(인)</v>
          </cell>
          <cell r="AE496">
            <v>182.6</v>
          </cell>
          <cell r="AF496" t="str">
            <v>표준</v>
          </cell>
          <cell r="AG496">
            <v>4</v>
          </cell>
          <cell r="AH496">
            <v>1</v>
          </cell>
          <cell r="AL496">
            <v>3200</v>
          </cell>
          <cell r="AM496">
            <v>3300</v>
          </cell>
          <cell r="AN496">
            <v>3300</v>
          </cell>
          <cell r="AO496">
            <v>3296</v>
          </cell>
          <cell r="AP496">
            <v>3288</v>
          </cell>
          <cell r="AQ496">
            <v>3319</v>
          </cell>
          <cell r="AR496">
            <v>3494</v>
          </cell>
          <cell r="AS496">
            <v>3216</v>
          </cell>
          <cell r="AT496">
            <v>267400</v>
          </cell>
        </row>
        <row r="497">
          <cell r="G497">
            <v>2406110205</v>
          </cell>
          <cell r="H497" t="str">
            <v>102동, 104동, 108동</v>
          </cell>
          <cell r="I497">
            <v>240611</v>
          </cell>
          <cell r="J497" t="str">
            <v>102~104동 주변 가설도로(17구간) 및 108동 E/V 기초</v>
          </cell>
          <cell r="K497">
            <v>860</v>
          </cell>
          <cell r="L497">
            <v>858</v>
          </cell>
          <cell r="M497">
            <v>2415</v>
          </cell>
          <cell r="N497" t="str">
            <v>대원</v>
          </cell>
          <cell r="O497" t="str">
            <v>펌프카(1대)</v>
          </cell>
          <cell r="P497">
            <v>815</v>
          </cell>
          <cell r="Q497">
            <v>1737</v>
          </cell>
          <cell r="R497">
            <v>160</v>
          </cell>
          <cell r="S497">
            <v>44</v>
          </cell>
          <cell r="T497">
            <v>132</v>
          </cell>
          <cell r="U497">
            <v>266</v>
          </cell>
          <cell r="V497"/>
          <cell r="W497" t="str">
            <v>박순홍</v>
          </cell>
          <cell r="X497" t="str">
            <v>(인)</v>
          </cell>
          <cell r="Y497" t="str">
            <v>박순홍</v>
          </cell>
          <cell r="Z497" t="str">
            <v>(인)</v>
          </cell>
          <cell r="AA497" t="str">
            <v>이홍걸</v>
          </cell>
          <cell r="AB497" t="str">
            <v>(인)</v>
          </cell>
          <cell r="AC497" t="str">
            <v>이홍걸</v>
          </cell>
          <cell r="AD497" t="str">
            <v>(인)</v>
          </cell>
          <cell r="AE497">
            <v>176.4</v>
          </cell>
          <cell r="AF497" t="str">
            <v>표준</v>
          </cell>
          <cell r="AG497">
            <v>5</v>
          </cell>
          <cell r="AH497">
            <v>0</v>
          </cell>
        </row>
        <row r="498">
          <cell r="G498">
            <v>2406110206</v>
          </cell>
          <cell r="H498" t="str">
            <v>102동, 104동, 108동</v>
          </cell>
          <cell r="I498">
            <v>240611</v>
          </cell>
          <cell r="J498" t="str">
            <v>102~104동 주변 가설도로(17구간) 및 108동 E/V 기초</v>
          </cell>
          <cell r="K498">
            <v>860</v>
          </cell>
          <cell r="L498">
            <v>858</v>
          </cell>
          <cell r="M498">
            <v>2415</v>
          </cell>
          <cell r="N498" t="str">
            <v>대원</v>
          </cell>
          <cell r="O498" t="str">
            <v>펌프카(1대)</v>
          </cell>
          <cell r="P498">
            <v>815</v>
          </cell>
          <cell r="Q498">
            <v>1737</v>
          </cell>
          <cell r="R498">
            <v>160</v>
          </cell>
          <cell r="S498">
            <v>47</v>
          </cell>
          <cell r="T498">
            <v>84</v>
          </cell>
          <cell r="U498">
            <v>272</v>
          </cell>
          <cell r="V498"/>
          <cell r="W498" t="str">
            <v>박순홍</v>
          </cell>
          <cell r="X498" t="str">
            <v>(인)</v>
          </cell>
          <cell r="Y498" t="str">
            <v>박순홍</v>
          </cell>
          <cell r="Z498" t="str">
            <v>(인)</v>
          </cell>
          <cell r="AA498" t="str">
            <v>이홍걸</v>
          </cell>
          <cell r="AB498" t="str">
            <v>(인)</v>
          </cell>
          <cell r="AC498" t="str">
            <v>이홍걸</v>
          </cell>
          <cell r="AD498" t="str">
            <v>(인)</v>
          </cell>
          <cell r="AE498">
            <v>182.6</v>
          </cell>
          <cell r="AF498" t="str">
            <v>표준</v>
          </cell>
          <cell r="AG498">
            <v>6</v>
          </cell>
          <cell r="AH498">
            <v>0</v>
          </cell>
        </row>
        <row r="499">
          <cell r="G499">
            <v>2406110207</v>
          </cell>
          <cell r="H499" t="str">
            <v>102동, 104동, 108동</v>
          </cell>
          <cell r="I499">
            <v>240611</v>
          </cell>
          <cell r="J499" t="str">
            <v>102~104동 주변 가설도로(17구간) 및 108동 E/V 기초</v>
          </cell>
          <cell r="K499">
            <v>860</v>
          </cell>
          <cell r="L499">
            <v>858</v>
          </cell>
          <cell r="M499">
            <v>2415</v>
          </cell>
          <cell r="N499" t="str">
            <v>대원</v>
          </cell>
          <cell r="O499" t="str">
            <v>펌프카(1대)</v>
          </cell>
          <cell r="P499">
            <v>815</v>
          </cell>
          <cell r="Q499">
            <v>1737</v>
          </cell>
          <cell r="R499">
            <v>160</v>
          </cell>
          <cell r="S499">
            <v>38</v>
          </cell>
          <cell r="T499">
            <v>30</v>
          </cell>
          <cell r="U499">
            <v>274</v>
          </cell>
          <cell r="V499"/>
          <cell r="W499" t="str">
            <v>박순홍</v>
          </cell>
          <cell r="X499" t="str">
            <v>(인)</v>
          </cell>
          <cell r="Y499" t="str">
            <v>박순홍</v>
          </cell>
          <cell r="Z499" t="str">
            <v>(인)</v>
          </cell>
          <cell r="AA499" t="str">
            <v>이홍걸</v>
          </cell>
          <cell r="AB499" t="str">
            <v>(인)</v>
          </cell>
          <cell r="AC499" t="str">
            <v>이홍걸</v>
          </cell>
          <cell r="AD499" t="str">
            <v>(인)</v>
          </cell>
          <cell r="AE499">
            <v>177.6</v>
          </cell>
          <cell r="AF499" t="str">
            <v>표준</v>
          </cell>
          <cell r="AG499">
            <v>7</v>
          </cell>
          <cell r="AH499">
            <v>1</v>
          </cell>
          <cell r="AL499">
            <v>3315</v>
          </cell>
          <cell r="AM499">
            <v>3274</v>
          </cell>
          <cell r="AN499">
            <v>3272</v>
          </cell>
          <cell r="AO499">
            <v>3310</v>
          </cell>
          <cell r="AP499">
            <v>3326</v>
          </cell>
          <cell r="AQ499">
            <v>3402</v>
          </cell>
          <cell r="AR499">
            <v>3294</v>
          </cell>
          <cell r="AS499">
            <v>3362</v>
          </cell>
          <cell r="AT499">
            <v>258200</v>
          </cell>
        </row>
        <row r="500">
          <cell r="G500">
            <v>2406110208</v>
          </cell>
          <cell r="H500" t="str">
            <v>102동, 104동, 108동</v>
          </cell>
          <cell r="I500">
            <v>240611</v>
          </cell>
          <cell r="J500" t="str">
            <v>102~104동 주변 가설도로(17구간) 및 108동 E/V 기초</v>
          </cell>
          <cell r="K500">
            <v>860</v>
          </cell>
          <cell r="L500">
            <v>858</v>
          </cell>
          <cell r="M500">
            <v>2415</v>
          </cell>
          <cell r="N500" t="str">
            <v>대원</v>
          </cell>
          <cell r="O500" t="str">
            <v>펌프카(1대)</v>
          </cell>
          <cell r="P500">
            <v>815</v>
          </cell>
          <cell r="Q500">
            <v>1737</v>
          </cell>
          <cell r="R500">
            <v>165</v>
          </cell>
          <cell r="S500">
            <v>45</v>
          </cell>
          <cell r="T500">
            <v>75</v>
          </cell>
          <cell r="U500">
            <v>240</v>
          </cell>
          <cell r="V500"/>
          <cell r="W500" t="str">
            <v>박순홍</v>
          </cell>
          <cell r="X500" t="str">
            <v>(인)</v>
          </cell>
          <cell r="Y500" t="str">
            <v>박순홍</v>
          </cell>
          <cell r="Z500" t="str">
            <v>(인)</v>
          </cell>
          <cell r="AA500" t="str">
            <v>이홍걸</v>
          </cell>
          <cell r="AB500" t="str">
            <v>(인)</v>
          </cell>
          <cell r="AC500" t="str">
            <v>이홍걸</v>
          </cell>
          <cell r="AD500" t="str">
            <v>(인)</v>
          </cell>
          <cell r="AE500">
            <v>177.3</v>
          </cell>
          <cell r="AF500" t="str">
            <v>표준</v>
          </cell>
          <cell r="AG500">
            <v>8</v>
          </cell>
          <cell r="AH500">
            <v>0</v>
          </cell>
        </row>
        <row r="501">
          <cell r="G501">
            <v>2406110301</v>
          </cell>
          <cell r="H501" t="str">
            <v>116동</v>
          </cell>
          <cell r="I501">
            <v>240611</v>
          </cell>
          <cell r="J501" t="str">
            <v>116동 지하옹벽(RWO)</v>
          </cell>
          <cell r="K501">
            <v>210</v>
          </cell>
          <cell r="L501">
            <v>210</v>
          </cell>
          <cell r="M501">
            <v>3015</v>
          </cell>
          <cell r="N501" t="str">
            <v>용호</v>
          </cell>
          <cell r="O501" t="str">
            <v>펌프카(1대)</v>
          </cell>
          <cell r="P501">
            <v>1054</v>
          </cell>
          <cell r="Q501">
            <v>1627</v>
          </cell>
          <cell r="R501">
            <v>155</v>
          </cell>
          <cell r="S501">
            <v>45</v>
          </cell>
          <cell r="T501">
            <v>27</v>
          </cell>
          <cell r="U501">
            <v>261</v>
          </cell>
          <cell r="V501"/>
          <cell r="W501" t="str">
            <v>박순홍</v>
          </cell>
          <cell r="X501" t="str">
            <v>(인)</v>
          </cell>
          <cell r="Y501" t="str">
            <v>박순홍</v>
          </cell>
          <cell r="Z501" t="str">
            <v>(인)</v>
          </cell>
          <cell r="AA501" t="str">
            <v>최인철</v>
          </cell>
          <cell r="AB501" t="str">
            <v>(인)</v>
          </cell>
          <cell r="AC501" t="str">
            <v>임영구</v>
          </cell>
          <cell r="AD501" t="str">
            <v>(인)</v>
          </cell>
          <cell r="AE501">
            <v>181.8</v>
          </cell>
          <cell r="AF501" t="str">
            <v>표준</v>
          </cell>
          <cell r="AG501">
            <v>1</v>
          </cell>
          <cell r="AH501">
            <v>1</v>
          </cell>
          <cell r="AI501">
            <v>2778</v>
          </cell>
          <cell r="AJ501">
            <v>2806</v>
          </cell>
          <cell r="AK501">
            <v>217200</v>
          </cell>
          <cell r="AL501">
            <v>3947</v>
          </cell>
          <cell r="AM501">
            <v>3862</v>
          </cell>
          <cell r="AN501">
            <v>3926</v>
          </cell>
          <cell r="AO501">
            <v>3894</v>
          </cell>
          <cell r="AP501">
            <v>4006</v>
          </cell>
          <cell r="AQ501">
            <v>3926</v>
          </cell>
          <cell r="AR501">
            <v>4013</v>
          </cell>
          <cell r="AS501">
            <v>3924</v>
          </cell>
          <cell r="AT501">
            <v>303000</v>
          </cell>
        </row>
        <row r="502">
          <cell r="G502">
            <v>2406110302</v>
          </cell>
          <cell r="H502" t="str">
            <v>116동</v>
          </cell>
          <cell r="I502">
            <v>240611</v>
          </cell>
          <cell r="J502" t="str">
            <v>116동 지하옹벽(RWO)</v>
          </cell>
          <cell r="K502">
            <v>210</v>
          </cell>
          <cell r="L502">
            <v>210</v>
          </cell>
          <cell r="M502">
            <v>3015</v>
          </cell>
          <cell r="N502" t="str">
            <v>용호</v>
          </cell>
          <cell r="O502" t="str">
            <v>펌프카(1대)</v>
          </cell>
          <cell r="P502">
            <v>1054</v>
          </cell>
          <cell r="Q502">
            <v>1627</v>
          </cell>
          <cell r="R502">
            <v>150</v>
          </cell>
          <cell r="S502">
            <v>43</v>
          </cell>
          <cell r="T502">
            <v>25</v>
          </cell>
          <cell r="U502">
            <v>255</v>
          </cell>
          <cell r="V502"/>
          <cell r="W502" t="str">
            <v>박순홍</v>
          </cell>
          <cell r="X502" t="str">
            <v>(인)</v>
          </cell>
          <cell r="Y502" t="str">
            <v>박순홍</v>
          </cell>
          <cell r="Z502" t="str">
            <v>(인)</v>
          </cell>
          <cell r="AA502" t="str">
            <v>최인철</v>
          </cell>
          <cell r="AB502" t="str">
            <v>(인)</v>
          </cell>
          <cell r="AC502" t="str">
            <v>임영구</v>
          </cell>
          <cell r="AD502" t="str">
            <v>(인)</v>
          </cell>
          <cell r="AE502">
            <v>182.9</v>
          </cell>
          <cell r="AF502" t="str">
            <v>표준</v>
          </cell>
          <cell r="AG502">
            <v>2</v>
          </cell>
          <cell r="AH502">
            <v>0</v>
          </cell>
        </row>
        <row r="503">
          <cell r="G503">
            <v>2406120101</v>
          </cell>
          <cell r="H503" t="str">
            <v>110동</v>
          </cell>
          <cell r="I503">
            <v>240612</v>
          </cell>
          <cell r="J503" t="str">
            <v>110동 1차</v>
          </cell>
          <cell r="K503">
            <v>380</v>
          </cell>
          <cell r="L503">
            <v>384</v>
          </cell>
          <cell r="M503">
            <v>3015</v>
          </cell>
          <cell r="N503" t="str">
            <v>대공</v>
          </cell>
          <cell r="O503" t="str">
            <v>펌프카(1대)</v>
          </cell>
          <cell r="P503">
            <v>749</v>
          </cell>
          <cell r="Q503">
            <v>1516</v>
          </cell>
          <cell r="R503">
            <v>150</v>
          </cell>
          <cell r="S503">
            <v>48</v>
          </cell>
          <cell r="T503">
            <v>63</v>
          </cell>
          <cell r="U503">
            <v>240</v>
          </cell>
          <cell r="V503"/>
          <cell r="W503" t="str">
            <v>박순홍</v>
          </cell>
          <cell r="X503" t="str">
            <v>(인)</v>
          </cell>
          <cell r="Y503" t="str">
            <v>박순홍</v>
          </cell>
          <cell r="Z503" t="str">
            <v>(인)</v>
          </cell>
          <cell r="AA503" t="str">
            <v>정창인</v>
          </cell>
          <cell r="AB503" t="str">
            <v>(인)</v>
          </cell>
          <cell r="AC503" t="str">
            <v>최인철</v>
          </cell>
          <cell r="AD503" t="str">
            <v>(인)</v>
          </cell>
          <cell r="AE503">
            <v>167.2</v>
          </cell>
          <cell r="AF503" t="str">
            <v>표준</v>
          </cell>
          <cell r="AG503">
            <v>1</v>
          </cell>
          <cell r="AH503">
            <v>1</v>
          </cell>
          <cell r="AI503">
            <v>2859</v>
          </cell>
          <cell r="AJ503">
            <v>2880</v>
          </cell>
          <cell r="AK503">
            <v>229400</v>
          </cell>
          <cell r="AL503">
            <v>3791</v>
          </cell>
          <cell r="AM503">
            <v>3842</v>
          </cell>
          <cell r="AN503">
            <v>3883</v>
          </cell>
          <cell r="AO503">
            <v>3941</v>
          </cell>
          <cell r="AP503">
            <v>3733</v>
          </cell>
          <cell r="AQ503">
            <v>3913</v>
          </cell>
          <cell r="AR503">
            <v>3864</v>
          </cell>
          <cell r="AS503">
            <v>3917</v>
          </cell>
          <cell r="AT503">
            <v>313000</v>
          </cell>
        </row>
        <row r="504">
          <cell r="G504">
            <v>2406120102</v>
          </cell>
          <cell r="H504" t="str">
            <v>110동</v>
          </cell>
          <cell r="I504">
            <v>240612</v>
          </cell>
          <cell r="J504" t="str">
            <v>110동 1차</v>
          </cell>
          <cell r="K504">
            <v>380</v>
          </cell>
          <cell r="L504">
            <v>384</v>
          </cell>
          <cell r="M504">
            <v>3015</v>
          </cell>
          <cell r="N504" t="str">
            <v>대공</v>
          </cell>
          <cell r="O504" t="str">
            <v>펌프카(1대)</v>
          </cell>
          <cell r="P504">
            <v>749</v>
          </cell>
          <cell r="Q504">
            <v>1516</v>
          </cell>
          <cell r="R504">
            <v>150</v>
          </cell>
          <cell r="S504">
            <v>40</v>
          </cell>
          <cell r="T504">
            <v>36</v>
          </cell>
          <cell r="U504">
            <v>249</v>
          </cell>
          <cell r="V504"/>
          <cell r="W504" t="str">
            <v>박순홍</v>
          </cell>
          <cell r="X504" t="str">
            <v>(인)</v>
          </cell>
          <cell r="Y504" t="str">
            <v>박순홍</v>
          </cell>
          <cell r="Z504" t="str">
            <v>(인)</v>
          </cell>
          <cell r="AA504" t="str">
            <v>이루비</v>
          </cell>
          <cell r="AB504" t="str">
            <v>(인)</v>
          </cell>
          <cell r="AC504" t="str">
            <v>최인철</v>
          </cell>
          <cell r="AD504" t="str">
            <v>(인)</v>
          </cell>
          <cell r="AE504">
            <v>177.4</v>
          </cell>
          <cell r="AF504" t="str">
            <v>표준</v>
          </cell>
          <cell r="AG504">
            <v>2</v>
          </cell>
          <cell r="AH504">
            <v>0</v>
          </cell>
        </row>
        <row r="505">
          <cell r="G505">
            <v>2406120103</v>
          </cell>
          <cell r="H505" t="str">
            <v>110동</v>
          </cell>
          <cell r="I505">
            <v>240612</v>
          </cell>
          <cell r="J505" t="str">
            <v>110동 1차</v>
          </cell>
          <cell r="K505">
            <v>380</v>
          </cell>
          <cell r="L505">
            <v>384</v>
          </cell>
          <cell r="M505">
            <v>3015</v>
          </cell>
          <cell r="N505" t="str">
            <v>대공</v>
          </cell>
          <cell r="O505" t="str">
            <v>펌프카(1대)</v>
          </cell>
          <cell r="P505">
            <v>749</v>
          </cell>
          <cell r="Q505">
            <v>1516</v>
          </cell>
          <cell r="R505">
            <v>160</v>
          </cell>
          <cell r="S505">
            <v>46</v>
          </cell>
          <cell r="T505">
            <v>23</v>
          </cell>
          <cell r="U505">
            <v>247</v>
          </cell>
          <cell r="V505"/>
          <cell r="W505" t="str">
            <v>박순홍</v>
          </cell>
          <cell r="X505" t="str">
            <v>(인)</v>
          </cell>
          <cell r="Y505" t="str">
            <v>박순홍</v>
          </cell>
          <cell r="Z505" t="str">
            <v>(인)</v>
          </cell>
          <cell r="AA505" t="str">
            <v>이루비</v>
          </cell>
          <cell r="AB505" t="str">
            <v>(인)</v>
          </cell>
          <cell r="AC505" t="str">
            <v>최인철</v>
          </cell>
          <cell r="AD505" t="str">
            <v>(인)</v>
          </cell>
          <cell r="AE505">
            <v>173.4</v>
          </cell>
          <cell r="AF505" t="str">
            <v>표준</v>
          </cell>
          <cell r="AG505">
            <v>3</v>
          </cell>
          <cell r="AH505">
            <v>0</v>
          </cell>
        </row>
        <row r="506">
          <cell r="G506">
            <v>2406120104</v>
          </cell>
          <cell r="H506" t="str">
            <v>110동</v>
          </cell>
          <cell r="I506">
            <v>240612</v>
          </cell>
          <cell r="J506" t="str">
            <v>110동 1차</v>
          </cell>
          <cell r="K506">
            <v>380</v>
          </cell>
          <cell r="L506">
            <v>384</v>
          </cell>
          <cell r="M506">
            <v>3015</v>
          </cell>
          <cell r="N506" t="str">
            <v>대공</v>
          </cell>
          <cell r="O506" t="str">
            <v>펌프카(1대)</v>
          </cell>
          <cell r="P506">
            <v>749</v>
          </cell>
          <cell r="Q506">
            <v>1516</v>
          </cell>
          <cell r="R506">
            <v>160</v>
          </cell>
          <cell r="S506">
            <v>50</v>
          </cell>
          <cell r="T506">
            <v>50</v>
          </cell>
          <cell r="U506">
            <v>269</v>
          </cell>
          <cell r="V506"/>
          <cell r="W506" t="str">
            <v>박순홍</v>
          </cell>
          <cell r="X506" t="str">
            <v>(인)</v>
          </cell>
          <cell r="Y506" t="str">
            <v>박순홍</v>
          </cell>
          <cell r="Z506" t="str">
            <v>(인)</v>
          </cell>
          <cell r="AA506" t="str">
            <v>이루비</v>
          </cell>
          <cell r="AB506" t="str">
            <v>(인)</v>
          </cell>
          <cell r="AC506" t="str">
            <v>최인철</v>
          </cell>
          <cell r="AD506" t="str">
            <v>(인)</v>
          </cell>
          <cell r="AE506">
            <v>174.6</v>
          </cell>
          <cell r="AF506" t="str">
            <v>표준</v>
          </cell>
          <cell r="AG506">
            <v>4</v>
          </cell>
          <cell r="AH506">
            <v>1</v>
          </cell>
          <cell r="AL506">
            <v>4076</v>
          </cell>
          <cell r="AM506">
            <v>3885</v>
          </cell>
          <cell r="AN506">
            <v>3850</v>
          </cell>
          <cell r="AO506">
            <v>4020</v>
          </cell>
          <cell r="AP506">
            <v>3967</v>
          </cell>
          <cell r="AQ506">
            <v>3995</v>
          </cell>
          <cell r="AR506">
            <v>3867</v>
          </cell>
          <cell r="AS506">
            <v>3962</v>
          </cell>
          <cell r="AT506">
            <v>310000</v>
          </cell>
        </row>
        <row r="507">
          <cell r="G507">
            <v>2406120201</v>
          </cell>
          <cell r="H507" t="str">
            <v>104동</v>
          </cell>
          <cell r="I507">
            <v>240612</v>
          </cell>
          <cell r="J507" t="str">
            <v>104동 6층 바닥</v>
          </cell>
          <cell r="K507">
            <v>290</v>
          </cell>
          <cell r="L507">
            <v>288</v>
          </cell>
          <cell r="M507">
            <v>3018</v>
          </cell>
          <cell r="N507" t="str">
            <v>쌍용</v>
          </cell>
          <cell r="O507" t="str">
            <v>펌프카(1대)</v>
          </cell>
          <cell r="P507">
            <v>827</v>
          </cell>
          <cell r="Q507">
            <v>1310</v>
          </cell>
          <cell r="R507">
            <v>185</v>
          </cell>
          <cell r="S507">
            <v>45</v>
          </cell>
          <cell r="T507">
            <v>27</v>
          </cell>
          <cell r="U507">
            <v>266</v>
          </cell>
          <cell r="V507"/>
          <cell r="W507" t="str">
            <v>박순홍</v>
          </cell>
          <cell r="X507" t="str">
            <v>(인)</v>
          </cell>
          <cell r="Y507" t="str">
            <v>박순홍</v>
          </cell>
          <cell r="Z507" t="str">
            <v>(인)</v>
          </cell>
          <cell r="AA507" t="str">
            <v>이홍걸</v>
          </cell>
          <cell r="AB507" t="str">
            <v>(인)</v>
          </cell>
          <cell r="AC507" t="str">
            <v>장덕만</v>
          </cell>
          <cell r="AD507" t="str">
            <v>(인)</v>
          </cell>
          <cell r="AE507">
            <v>186.7</v>
          </cell>
          <cell r="AF507" t="str">
            <v>표준</v>
          </cell>
          <cell r="AG507">
            <v>1</v>
          </cell>
          <cell r="AH507">
            <v>1</v>
          </cell>
          <cell r="AI507">
            <v>2918</v>
          </cell>
          <cell r="AJ507">
            <v>2910</v>
          </cell>
          <cell r="AK507">
            <v>229000</v>
          </cell>
          <cell r="AL507">
            <v>3954</v>
          </cell>
          <cell r="AM507">
            <v>3891</v>
          </cell>
          <cell r="AN507">
            <v>3870</v>
          </cell>
          <cell r="AO507">
            <v>3971</v>
          </cell>
          <cell r="AP507">
            <v>3862</v>
          </cell>
          <cell r="AQ507">
            <v>3927</v>
          </cell>
          <cell r="AR507">
            <v>3866</v>
          </cell>
          <cell r="AS507">
            <v>3879</v>
          </cell>
          <cell r="AT507">
            <v>312600</v>
          </cell>
        </row>
        <row r="508">
          <cell r="G508">
            <v>2406120202</v>
          </cell>
          <cell r="H508" t="str">
            <v>104동</v>
          </cell>
          <cell r="I508">
            <v>240612</v>
          </cell>
          <cell r="J508" t="str">
            <v>104동 6층 바닥</v>
          </cell>
          <cell r="K508">
            <v>290</v>
          </cell>
          <cell r="L508">
            <v>288</v>
          </cell>
          <cell r="M508">
            <v>3018</v>
          </cell>
          <cell r="N508" t="str">
            <v>쌍용</v>
          </cell>
          <cell r="O508" t="str">
            <v>펌프카(1대)</v>
          </cell>
          <cell r="P508">
            <v>827</v>
          </cell>
          <cell r="Q508">
            <v>1310</v>
          </cell>
          <cell r="R508">
            <v>190</v>
          </cell>
          <cell r="S508">
            <v>42</v>
          </cell>
          <cell r="T508">
            <v>29</v>
          </cell>
          <cell r="U508">
            <v>264</v>
          </cell>
          <cell r="V508"/>
          <cell r="W508" t="str">
            <v>박순홍</v>
          </cell>
          <cell r="X508" t="str">
            <v>(인)</v>
          </cell>
          <cell r="Y508" t="str">
            <v>박순홍</v>
          </cell>
          <cell r="Z508" t="str">
            <v>(인)</v>
          </cell>
          <cell r="AA508" t="str">
            <v>이홍걸</v>
          </cell>
          <cell r="AB508" t="str">
            <v>(인)</v>
          </cell>
          <cell r="AC508" t="str">
            <v>장덕만</v>
          </cell>
          <cell r="AD508" t="str">
            <v>(인)</v>
          </cell>
          <cell r="AE508">
            <v>190.6</v>
          </cell>
          <cell r="AF508" t="str">
            <v>표준</v>
          </cell>
          <cell r="AG508">
            <v>2</v>
          </cell>
          <cell r="AH508">
            <v>0</v>
          </cell>
        </row>
        <row r="509">
          <cell r="G509">
            <v>2406120203</v>
          </cell>
          <cell r="H509" t="str">
            <v>104동</v>
          </cell>
          <cell r="I509">
            <v>240612</v>
          </cell>
          <cell r="J509" t="str">
            <v>104동 6층 바닥</v>
          </cell>
          <cell r="K509">
            <v>290</v>
          </cell>
          <cell r="L509">
            <v>288</v>
          </cell>
          <cell r="M509">
            <v>3018</v>
          </cell>
          <cell r="N509" t="str">
            <v>쌍용</v>
          </cell>
          <cell r="O509" t="str">
            <v>펌프카(1대)</v>
          </cell>
          <cell r="P509">
            <v>827</v>
          </cell>
          <cell r="Q509">
            <v>1310</v>
          </cell>
          <cell r="R509">
            <v>190</v>
          </cell>
          <cell r="S509">
            <v>46</v>
          </cell>
          <cell r="T509">
            <v>73</v>
          </cell>
          <cell r="U509">
            <v>267</v>
          </cell>
          <cell r="V509"/>
          <cell r="W509" t="str">
            <v>박순홍</v>
          </cell>
          <cell r="X509" t="str">
            <v>(인)</v>
          </cell>
          <cell r="Y509" t="str">
            <v>박순홍</v>
          </cell>
          <cell r="Z509" t="str">
            <v>(인)</v>
          </cell>
          <cell r="AA509" t="str">
            <v>이홍걸</v>
          </cell>
          <cell r="AB509" t="str">
            <v>(인)</v>
          </cell>
          <cell r="AC509" t="str">
            <v>장덕만</v>
          </cell>
          <cell r="AD509" t="str">
            <v>(인)</v>
          </cell>
          <cell r="AE509">
            <v>186.7</v>
          </cell>
          <cell r="AF509" t="str">
            <v>표준</v>
          </cell>
          <cell r="AG509">
            <v>3</v>
          </cell>
          <cell r="AH509">
            <v>0</v>
          </cell>
        </row>
        <row r="510">
          <cell r="G510">
            <v>2406120301</v>
          </cell>
          <cell r="H510" t="str">
            <v>110동</v>
          </cell>
          <cell r="I510">
            <v>240612</v>
          </cell>
          <cell r="J510" t="str">
            <v>110동 1차</v>
          </cell>
          <cell r="K510">
            <v>120</v>
          </cell>
          <cell r="L510">
            <v>120</v>
          </cell>
          <cell r="M510">
            <v>2715</v>
          </cell>
          <cell r="N510" t="str">
            <v>대공</v>
          </cell>
          <cell r="O510" t="str">
            <v>펌프카(1대)</v>
          </cell>
          <cell r="P510">
            <v>1254</v>
          </cell>
          <cell r="Q510">
            <v>1537</v>
          </cell>
          <cell r="R510">
            <v>170</v>
          </cell>
          <cell r="S510">
            <v>43</v>
          </cell>
          <cell r="T510">
            <v>17</v>
          </cell>
          <cell r="U510">
            <v>261</v>
          </cell>
          <cell r="V510"/>
          <cell r="W510" t="str">
            <v>박순홍</v>
          </cell>
          <cell r="X510" t="str">
            <v>(인)</v>
          </cell>
          <cell r="Y510" t="str">
            <v>박순홍</v>
          </cell>
          <cell r="Z510" t="str">
            <v>(인)</v>
          </cell>
          <cell r="AA510" t="str">
            <v>이루비</v>
          </cell>
          <cell r="AB510" t="str">
            <v>(인)</v>
          </cell>
          <cell r="AC510" t="str">
            <v>최인철</v>
          </cell>
          <cell r="AD510" t="str">
            <v>(인)</v>
          </cell>
          <cell r="AE510">
            <v>172.6</v>
          </cell>
          <cell r="AF510" t="str">
            <v>표준</v>
          </cell>
          <cell r="AG510">
            <v>1</v>
          </cell>
          <cell r="AH510">
            <v>1</v>
          </cell>
          <cell r="AI510">
            <v>2521</v>
          </cell>
          <cell r="AJ510">
            <v>2543</v>
          </cell>
          <cell r="AK510">
            <v>200600</v>
          </cell>
          <cell r="AL510">
            <v>3468</v>
          </cell>
          <cell r="AM510">
            <v>3470</v>
          </cell>
          <cell r="AN510">
            <v>3511</v>
          </cell>
          <cell r="AO510">
            <v>3549</v>
          </cell>
          <cell r="AP510">
            <v>3498</v>
          </cell>
          <cell r="AQ510">
            <v>3507</v>
          </cell>
          <cell r="AR510">
            <v>3497</v>
          </cell>
          <cell r="AS510">
            <v>3467</v>
          </cell>
          <cell r="AT510">
            <v>279400</v>
          </cell>
        </row>
        <row r="511">
          <cell r="G511">
            <v>2406120400</v>
          </cell>
          <cell r="H511" t="str">
            <v>115동</v>
          </cell>
          <cell r="I511">
            <v>240612</v>
          </cell>
          <cell r="J511" t="str">
            <v>115동 외부 E/V 기초</v>
          </cell>
          <cell r="K511">
            <v>24</v>
          </cell>
          <cell r="L511">
            <v>24</v>
          </cell>
          <cell r="M511">
            <v>2415</v>
          </cell>
          <cell r="N511" t="str">
            <v>쌍용</v>
          </cell>
          <cell r="O511" t="str">
            <v>펌프카(1대)</v>
          </cell>
          <cell r="P511">
            <v>1418</v>
          </cell>
          <cell r="Q511">
            <v>1444</v>
          </cell>
          <cell r="R511">
            <v>165</v>
          </cell>
          <cell r="S511">
            <v>56</v>
          </cell>
          <cell r="T511">
            <v>132</v>
          </cell>
          <cell r="U511">
            <v>276</v>
          </cell>
          <cell r="V511"/>
          <cell r="W511" t="str">
            <v>박순홍</v>
          </cell>
          <cell r="X511" t="str">
            <v>(인)</v>
          </cell>
          <cell r="Y511" t="str">
            <v>박순홍</v>
          </cell>
          <cell r="Z511" t="str">
            <v>(인)</v>
          </cell>
          <cell r="AA511" t="str">
            <v>이루비</v>
          </cell>
          <cell r="AB511" t="str">
            <v>(인)</v>
          </cell>
          <cell r="AC511" t="str">
            <v>이루비</v>
          </cell>
          <cell r="AD511" t="str">
            <v>(인)</v>
          </cell>
          <cell r="AE511">
            <v>174.8</v>
          </cell>
          <cell r="AF511" t="str">
            <v>표준</v>
          </cell>
          <cell r="AG511">
            <v>0</v>
          </cell>
          <cell r="AH511">
            <v>0</v>
          </cell>
        </row>
        <row r="512">
          <cell r="G512">
            <v>2406130101</v>
          </cell>
          <cell r="H512" t="str">
            <v>103동</v>
          </cell>
          <cell r="I512">
            <v>240613</v>
          </cell>
          <cell r="J512" t="str">
            <v>103동 7층 바닥</v>
          </cell>
          <cell r="K512">
            <v>280</v>
          </cell>
          <cell r="L512">
            <v>282</v>
          </cell>
          <cell r="M512">
            <v>3018</v>
          </cell>
          <cell r="N512" t="str">
            <v>대성</v>
          </cell>
          <cell r="O512" t="str">
            <v>펌프카(1대)</v>
          </cell>
          <cell r="P512">
            <v>751</v>
          </cell>
          <cell r="Q512">
            <v>1226</v>
          </cell>
          <cell r="R512">
            <v>200</v>
          </cell>
          <cell r="S512">
            <v>47</v>
          </cell>
          <cell r="T512">
            <v>40</v>
          </cell>
          <cell r="U512">
            <v>280</v>
          </cell>
          <cell r="V512"/>
          <cell r="W512" t="str">
            <v>박순홍</v>
          </cell>
          <cell r="X512" t="str">
            <v>(인)</v>
          </cell>
          <cell r="Y512" t="str">
            <v>박순홍</v>
          </cell>
          <cell r="Z512" t="str">
            <v>(인)</v>
          </cell>
          <cell r="AA512" t="str">
            <v>이홍걸</v>
          </cell>
          <cell r="AB512" t="str">
            <v>(인)</v>
          </cell>
          <cell r="AC512" t="str">
            <v>최상옥</v>
          </cell>
          <cell r="AD512" t="str">
            <v>(인)</v>
          </cell>
          <cell r="AE512">
            <v>184.5</v>
          </cell>
          <cell r="AF512" t="str">
            <v>표준</v>
          </cell>
          <cell r="AG512">
            <v>1</v>
          </cell>
          <cell r="AH512">
            <v>1</v>
          </cell>
          <cell r="AI512">
            <v>2804</v>
          </cell>
          <cell r="AJ512">
            <v>2871</v>
          </cell>
          <cell r="AK512">
            <v>217200</v>
          </cell>
          <cell r="AL512">
            <v>3935</v>
          </cell>
          <cell r="AM512">
            <v>3866</v>
          </cell>
          <cell r="AN512">
            <v>3933</v>
          </cell>
          <cell r="AO512">
            <v>3874</v>
          </cell>
          <cell r="AP512">
            <v>3912</v>
          </cell>
          <cell r="AQ512">
            <v>3975</v>
          </cell>
          <cell r="AR512">
            <v>3876</v>
          </cell>
          <cell r="AS512">
            <v>3942</v>
          </cell>
          <cell r="AT512">
            <v>306200</v>
          </cell>
        </row>
        <row r="513">
          <cell r="G513">
            <v>2406130102</v>
          </cell>
          <cell r="H513" t="str">
            <v>103동</v>
          </cell>
          <cell r="I513">
            <v>240613</v>
          </cell>
          <cell r="J513" t="str">
            <v>103동 7층 바닥</v>
          </cell>
          <cell r="K513">
            <v>280</v>
          </cell>
          <cell r="L513">
            <v>282</v>
          </cell>
          <cell r="M513">
            <v>3018</v>
          </cell>
          <cell r="N513" t="str">
            <v>대성</v>
          </cell>
          <cell r="O513" t="str">
            <v>펌프카(1대)</v>
          </cell>
          <cell r="P513">
            <v>751</v>
          </cell>
          <cell r="Q513">
            <v>1226</v>
          </cell>
          <cell r="R513">
            <v>200</v>
          </cell>
          <cell r="S513">
            <v>46</v>
          </cell>
          <cell r="T513">
            <v>28</v>
          </cell>
          <cell r="U513">
            <v>269</v>
          </cell>
          <cell r="V513"/>
          <cell r="W513" t="str">
            <v>박순홍</v>
          </cell>
          <cell r="X513" t="str">
            <v>(인)</v>
          </cell>
          <cell r="Y513" t="str">
            <v>박순홍</v>
          </cell>
          <cell r="Z513" t="str">
            <v>(인)</v>
          </cell>
          <cell r="AA513" t="str">
            <v>이홍걸</v>
          </cell>
          <cell r="AB513" t="str">
            <v>(인)</v>
          </cell>
          <cell r="AC513" t="str">
            <v>최상옥</v>
          </cell>
          <cell r="AD513" t="str">
            <v>(인)</v>
          </cell>
          <cell r="AE513">
            <v>188.7</v>
          </cell>
          <cell r="AF513" t="str">
            <v>표준</v>
          </cell>
          <cell r="AG513">
            <v>2</v>
          </cell>
          <cell r="AH513">
            <v>0</v>
          </cell>
        </row>
        <row r="514">
          <cell r="G514">
            <v>2406130103</v>
          </cell>
          <cell r="H514" t="str">
            <v>103동</v>
          </cell>
          <cell r="I514">
            <v>240613</v>
          </cell>
          <cell r="J514" t="str">
            <v>103동 7층 바닥</v>
          </cell>
          <cell r="K514">
            <v>280</v>
          </cell>
          <cell r="L514">
            <v>282</v>
          </cell>
          <cell r="M514">
            <v>3018</v>
          </cell>
          <cell r="N514" t="str">
            <v>대성</v>
          </cell>
          <cell r="O514" t="str">
            <v>펌프카(1대)</v>
          </cell>
          <cell r="P514">
            <v>751</v>
          </cell>
          <cell r="Q514">
            <v>1226</v>
          </cell>
          <cell r="R514">
            <v>200</v>
          </cell>
          <cell r="S514">
            <v>49</v>
          </cell>
          <cell r="T514">
            <v>14</v>
          </cell>
          <cell r="U514">
            <v>271</v>
          </cell>
          <cell r="V514"/>
          <cell r="W514" t="str">
            <v>박순홍</v>
          </cell>
          <cell r="X514" t="str">
            <v>(인)</v>
          </cell>
          <cell r="Y514" t="str">
            <v>박순홍</v>
          </cell>
          <cell r="Z514" t="str">
            <v>(인)</v>
          </cell>
          <cell r="AA514" t="str">
            <v>이홍걸</v>
          </cell>
          <cell r="AB514" t="str">
            <v>(인)</v>
          </cell>
          <cell r="AC514" t="str">
            <v>최상옥</v>
          </cell>
          <cell r="AD514" t="str">
            <v>(인)</v>
          </cell>
          <cell r="AE514">
            <v>191.3</v>
          </cell>
          <cell r="AF514" t="str">
            <v>표준</v>
          </cell>
          <cell r="AG514">
            <v>3</v>
          </cell>
          <cell r="AH514">
            <v>0</v>
          </cell>
        </row>
        <row r="515">
          <cell r="G515">
            <v>2406130201</v>
          </cell>
          <cell r="H515" t="str">
            <v>수영장</v>
          </cell>
          <cell r="I515">
            <v>240613</v>
          </cell>
          <cell r="J515" t="str">
            <v>수영장</v>
          </cell>
          <cell r="K515">
            <v>340</v>
          </cell>
          <cell r="L515">
            <v>342</v>
          </cell>
          <cell r="M515">
            <v>3018</v>
          </cell>
          <cell r="N515" t="str">
            <v>신우</v>
          </cell>
          <cell r="O515" t="str">
            <v>펌프카(1대)</v>
          </cell>
          <cell r="P515">
            <v>834</v>
          </cell>
          <cell r="Q515">
            <v>1431</v>
          </cell>
          <cell r="R515">
            <v>190</v>
          </cell>
          <cell r="S515">
            <v>42</v>
          </cell>
          <cell r="T515">
            <v>45</v>
          </cell>
          <cell r="U515">
            <v>275</v>
          </cell>
          <cell r="V515"/>
          <cell r="W515" t="str">
            <v>박순홍</v>
          </cell>
          <cell r="X515" t="str">
            <v>(인)</v>
          </cell>
          <cell r="Y515" t="str">
            <v>박순홍</v>
          </cell>
          <cell r="Z515" t="str">
            <v>(인)</v>
          </cell>
          <cell r="AA515" t="str">
            <v>정창인</v>
          </cell>
          <cell r="AB515" t="str">
            <v>(인)</v>
          </cell>
          <cell r="AC515" t="str">
            <v>정창인</v>
          </cell>
          <cell r="AD515" t="str">
            <v>(인)</v>
          </cell>
          <cell r="AE515">
            <v>187.9</v>
          </cell>
          <cell r="AF515" t="str">
            <v>표준</v>
          </cell>
          <cell r="AG515">
            <v>1</v>
          </cell>
          <cell r="AH515">
            <v>1</v>
          </cell>
          <cell r="AI515">
            <v>2778</v>
          </cell>
          <cell r="AJ515">
            <v>2689</v>
          </cell>
          <cell r="AK515">
            <v>220200</v>
          </cell>
          <cell r="AL515">
            <v>3468</v>
          </cell>
          <cell r="AM515">
            <v>3598</v>
          </cell>
          <cell r="AN515">
            <v>3518</v>
          </cell>
          <cell r="AO515">
            <v>3631</v>
          </cell>
          <cell r="AP515">
            <v>3574</v>
          </cell>
          <cell r="AQ515">
            <v>3527</v>
          </cell>
          <cell r="AR515">
            <v>3702</v>
          </cell>
          <cell r="AS515">
            <v>3552</v>
          </cell>
          <cell r="AT515">
            <v>279000</v>
          </cell>
        </row>
        <row r="516">
          <cell r="G516">
            <v>2406130202</v>
          </cell>
          <cell r="H516" t="str">
            <v>수영장</v>
          </cell>
          <cell r="I516">
            <v>240613</v>
          </cell>
          <cell r="J516" t="str">
            <v>수영장</v>
          </cell>
          <cell r="K516">
            <v>340</v>
          </cell>
          <cell r="L516">
            <v>342</v>
          </cell>
          <cell r="M516">
            <v>3018</v>
          </cell>
          <cell r="N516" t="str">
            <v>신우</v>
          </cell>
          <cell r="O516" t="str">
            <v>펌프카(1대)</v>
          </cell>
          <cell r="P516">
            <v>834</v>
          </cell>
          <cell r="Q516">
            <v>1431</v>
          </cell>
          <cell r="R516">
            <v>180</v>
          </cell>
          <cell r="S516">
            <v>48</v>
          </cell>
          <cell r="T516">
            <v>35</v>
          </cell>
          <cell r="U516">
            <v>266</v>
          </cell>
          <cell r="V516"/>
          <cell r="W516" t="str">
            <v>박순홍</v>
          </cell>
          <cell r="X516" t="str">
            <v>(인)</v>
          </cell>
          <cell r="Y516" t="str">
            <v>박순홍</v>
          </cell>
          <cell r="Z516" t="str">
            <v>(인)</v>
          </cell>
          <cell r="AA516" t="str">
            <v>정창인</v>
          </cell>
          <cell r="AB516" t="str">
            <v>(인)</v>
          </cell>
          <cell r="AC516" t="str">
            <v>정창인</v>
          </cell>
          <cell r="AD516" t="str">
            <v>(인)</v>
          </cell>
          <cell r="AE516">
            <v>188.6</v>
          </cell>
          <cell r="AF516" t="str">
            <v>표준</v>
          </cell>
          <cell r="AG516">
            <v>2</v>
          </cell>
          <cell r="AH516">
            <v>0</v>
          </cell>
        </row>
        <row r="517">
          <cell r="G517">
            <v>2406130203</v>
          </cell>
          <cell r="H517" t="str">
            <v>수영장</v>
          </cell>
          <cell r="I517">
            <v>240613</v>
          </cell>
          <cell r="J517" t="str">
            <v>수영장</v>
          </cell>
          <cell r="K517">
            <v>340</v>
          </cell>
          <cell r="L517">
            <v>342</v>
          </cell>
          <cell r="M517">
            <v>3018</v>
          </cell>
          <cell r="N517" t="str">
            <v>신우</v>
          </cell>
          <cell r="O517" t="str">
            <v>펌프카(1대)</v>
          </cell>
          <cell r="P517">
            <v>834</v>
          </cell>
          <cell r="Q517">
            <v>1431</v>
          </cell>
          <cell r="R517">
            <v>190</v>
          </cell>
          <cell r="S517">
            <v>49</v>
          </cell>
          <cell r="T517">
            <v>48</v>
          </cell>
          <cell r="U517">
            <v>271</v>
          </cell>
          <cell r="V517"/>
          <cell r="W517" t="str">
            <v>박순홍</v>
          </cell>
          <cell r="X517" t="str">
            <v>(인)</v>
          </cell>
          <cell r="Y517" t="str">
            <v>박순홍</v>
          </cell>
          <cell r="Z517" t="str">
            <v>(인)</v>
          </cell>
          <cell r="AA517" t="str">
            <v>이루비</v>
          </cell>
          <cell r="AB517" t="str">
            <v>(인)</v>
          </cell>
          <cell r="AC517" t="str">
            <v>정창인</v>
          </cell>
          <cell r="AD517" t="str">
            <v>(인)</v>
          </cell>
          <cell r="AE517">
            <v>188.6</v>
          </cell>
          <cell r="AF517" t="str">
            <v>표준</v>
          </cell>
          <cell r="AG517">
            <v>3</v>
          </cell>
          <cell r="AH517">
            <v>0</v>
          </cell>
        </row>
        <row r="518">
          <cell r="G518">
            <v>2406130301</v>
          </cell>
          <cell r="H518" t="str">
            <v>수영장</v>
          </cell>
          <cell r="I518">
            <v>240613</v>
          </cell>
          <cell r="J518" t="str">
            <v>수영장</v>
          </cell>
          <cell r="K518">
            <v>30</v>
          </cell>
          <cell r="L518">
            <v>30</v>
          </cell>
          <cell r="M518">
            <v>2715</v>
          </cell>
          <cell r="N518" t="str">
            <v>신우</v>
          </cell>
          <cell r="O518" t="str">
            <v>펌프카(1대)</v>
          </cell>
          <cell r="P518">
            <v>1418</v>
          </cell>
          <cell r="Q518">
            <v>1455</v>
          </cell>
          <cell r="R518">
            <v>160</v>
          </cell>
          <cell r="S518">
            <v>48</v>
          </cell>
          <cell r="T518">
            <v>35</v>
          </cell>
          <cell r="U518">
            <v>262</v>
          </cell>
          <cell r="V518"/>
          <cell r="W518" t="str">
            <v>박순홍</v>
          </cell>
          <cell r="X518" t="str">
            <v>(인)</v>
          </cell>
          <cell r="Y518" t="str">
            <v>박순홍</v>
          </cell>
          <cell r="Z518" t="str">
            <v>(인)</v>
          </cell>
          <cell r="AA518" t="str">
            <v>이루비</v>
          </cell>
          <cell r="AB518" t="str">
            <v>(인)</v>
          </cell>
          <cell r="AC518" t="str">
            <v>정창인</v>
          </cell>
          <cell r="AD518" t="str">
            <v>(인)</v>
          </cell>
          <cell r="AE518">
            <v>187.9</v>
          </cell>
          <cell r="AF518" t="str">
            <v>표준</v>
          </cell>
          <cell r="AG518">
            <v>1</v>
          </cell>
          <cell r="AH518">
            <v>1</v>
          </cell>
          <cell r="AI518">
            <v>2463</v>
          </cell>
          <cell r="AJ518">
            <v>2439</v>
          </cell>
          <cell r="AK518">
            <v>194200</v>
          </cell>
          <cell r="AL518">
            <v>3188</v>
          </cell>
          <cell r="AM518">
            <v>3229</v>
          </cell>
          <cell r="AN518">
            <v>3342</v>
          </cell>
          <cell r="AO518">
            <v>3268</v>
          </cell>
          <cell r="AP518">
            <v>3377</v>
          </cell>
          <cell r="AQ518">
            <v>3236</v>
          </cell>
          <cell r="AR518">
            <v>3277</v>
          </cell>
          <cell r="AS518">
            <v>3147</v>
          </cell>
          <cell r="AT518">
            <v>267000</v>
          </cell>
        </row>
        <row r="519">
          <cell r="G519">
            <v>2406130400</v>
          </cell>
          <cell r="H519" t="str">
            <v>112동</v>
          </cell>
          <cell r="I519">
            <v>240613</v>
          </cell>
          <cell r="J519" t="str">
            <v>112동 E/V 기초</v>
          </cell>
          <cell r="K519">
            <v>30</v>
          </cell>
          <cell r="L519">
            <v>30</v>
          </cell>
          <cell r="M519">
            <v>2415</v>
          </cell>
          <cell r="N519" t="str">
            <v>신우</v>
          </cell>
          <cell r="O519" t="str">
            <v>펌프카(1대)</v>
          </cell>
          <cell r="P519">
            <v>1523</v>
          </cell>
          <cell r="Q519">
            <v>1630</v>
          </cell>
          <cell r="R519">
            <v>150</v>
          </cell>
          <cell r="S519">
            <v>50</v>
          </cell>
          <cell r="T519">
            <v>75</v>
          </cell>
          <cell r="U519">
            <v>267</v>
          </cell>
          <cell r="V519"/>
          <cell r="W519" t="str">
            <v>박순홍</v>
          </cell>
          <cell r="X519" t="str">
            <v>(인)</v>
          </cell>
          <cell r="Y519" t="str">
            <v>박순홍</v>
          </cell>
          <cell r="Z519" t="str">
            <v>(인)</v>
          </cell>
          <cell r="AA519" t="str">
            <v>이루비</v>
          </cell>
          <cell r="AB519" t="str">
            <v>(인)</v>
          </cell>
          <cell r="AC519" t="str">
            <v>이루비</v>
          </cell>
          <cell r="AD519" t="str">
            <v>(인)</v>
          </cell>
          <cell r="AE519">
            <v>191.3</v>
          </cell>
          <cell r="AF519" t="str">
            <v>표준</v>
          </cell>
          <cell r="AG519">
            <v>0</v>
          </cell>
          <cell r="AH519">
            <v>0</v>
          </cell>
        </row>
        <row r="520">
          <cell r="G520">
            <v>2406140101</v>
          </cell>
          <cell r="H520" t="str">
            <v>106동</v>
          </cell>
          <cell r="I520">
            <v>240614</v>
          </cell>
          <cell r="J520" t="str">
            <v>106동 4층 바닥</v>
          </cell>
          <cell r="K520">
            <v>300</v>
          </cell>
          <cell r="L520">
            <v>300</v>
          </cell>
          <cell r="M520">
            <v>3018</v>
          </cell>
          <cell r="N520" t="str">
            <v>한진</v>
          </cell>
          <cell r="O520" t="str">
            <v>펌프카(1대)</v>
          </cell>
          <cell r="P520">
            <v>737</v>
          </cell>
          <cell r="Q520">
            <v>1225</v>
          </cell>
          <cell r="R520">
            <v>185</v>
          </cell>
          <cell r="S520">
            <v>42</v>
          </cell>
          <cell r="T520">
            <v>76</v>
          </cell>
          <cell r="U520">
            <v>248</v>
          </cell>
          <cell r="V520"/>
          <cell r="W520" t="str">
            <v>박순홍</v>
          </cell>
          <cell r="X520" t="str">
            <v>(인)</v>
          </cell>
          <cell r="Y520" t="str">
            <v>박순홍</v>
          </cell>
          <cell r="Z520" t="str">
            <v>(인)</v>
          </cell>
          <cell r="AA520" t="str">
            <v>이루비</v>
          </cell>
          <cell r="AB520" t="str">
            <v>(인)</v>
          </cell>
          <cell r="AC520" t="str">
            <v>이루비</v>
          </cell>
          <cell r="AD520" t="str">
            <v>(인)</v>
          </cell>
          <cell r="AE520">
            <v>191.3</v>
          </cell>
          <cell r="AF520" t="str">
            <v>표준</v>
          </cell>
          <cell r="AG520">
            <v>1</v>
          </cell>
          <cell r="AH520">
            <v>1</v>
          </cell>
          <cell r="AI520">
            <v>2854</v>
          </cell>
          <cell r="AJ520">
            <v>2852</v>
          </cell>
          <cell r="AK520">
            <v>220400</v>
          </cell>
          <cell r="AL520">
            <v>3911</v>
          </cell>
          <cell r="AM520">
            <v>3908</v>
          </cell>
          <cell r="AN520">
            <v>3778</v>
          </cell>
          <cell r="AO520">
            <v>3776</v>
          </cell>
          <cell r="AP520">
            <v>3794</v>
          </cell>
          <cell r="AQ520">
            <v>3914</v>
          </cell>
          <cell r="AR520">
            <v>3867</v>
          </cell>
          <cell r="AS520">
            <v>3939</v>
          </cell>
          <cell r="AT520">
            <v>302800</v>
          </cell>
        </row>
        <row r="521">
          <cell r="G521">
            <v>2406140102</v>
          </cell>
          <cell r="H521" t="str">
            <v>106동</v>
          </cell>
          <cell r="I521">
            <v>240614</v>
          </cell>
          <cell r="J521" t="str">
            <v>106동 4층 바닥</v>
          </cell>
          <cell r="K521">
            <v>300</v>
          </cell>
          <cell r="L521">
            <v>300</v>
          </cell>
          <cell r="M521">
            <v>3018</v>
          </cell>
          <cell r="N521" t="str">
            <v>한진</v>
          </cell>
          <cell r="O521" t="str">
            <v>펌프카(1대)</v>
          </cell>
          <cell r="P521">
            <v>737</v>
          </cell>
          <cell r="Q521">
            <v>1225</v>
          </cell>
          <cell r="R521">
            <v>185</v>
          </cell>
          <cell r="S521">
            <v>47</v>
          </cell>
          <cell r="T521">
            <v>54</v>
          </cell>
          <cell r="U521">
            <v>265</v>
          </cell>
          <cell r="V521"/>
          <cell r="W521" t="str">
            <v>박순홍</v>
          </cell>
          <cell r="X521" t="str">
            <v>(인)</v>
          </cell>
          <cell r="Y521" t="str">
            <v>박순홍</v>
          </cell>
          <cell r="Z521" t="str">
            <v>(인)</v>
          </cell>
          <cell r="AA521" t="str">
            <v>이루비</v>
          </cell>
          <cell r="AB521" t="str">
            <v>(인)</v>
          </cell>
          <cell r="AC521" t="str">
            <v>이루비</v>
          </cell>
          <cell r="AD521" t="str">
            <v>(인)</v>
          </cell>
          <cell r="AE521">
            <v>187.6</v>
          </cell>
          <cell r="AF521" t="str">
            <v>표준</v>
          </cell>
          <cell r="AG521">
            <v>2</v>
          </cell>
          <cell r="AH521">
            <v>0</v>
          </cell>
        </row>
        <row r="522">
          <cell r="G522">
            <v>2406140103</v>
          </cell>
          <cell r="H522" t="str">
            <v>106동</v>
          </cell>
          <cell r="I522">
            <v>240614</v>
          </cell>
          <cell r="J522" t="str">
            <v>106동 4층 바닥</v>
          </cell>
          <cell r="K522">
            <v>300</v>
          </cell>
          <cell r="L522">
            <v>300</v>
          </cell>
          <cell r="M522">
            <v>3018</v>
          </cell>
          <cell r="N522" t="str">
            <v>한진</v>
          </cell>
          <cell r="O522" t="str">
            <v>펌프카(1대)</v>
          </cell>
          <cell r="P522">
            <v>737</v>
          </cell>
          <cell r="Q522">
            <v>1225</v>
          </cell>
          <cell r="R522">
            <v>190</v>
          </cell>
          <cell r="S522">
            <v>46</v>
          </cell>
          <cell r="T522">
            <v>36</v>
          </cell>
          <cell r="U522">
            <v>285</v>
          </cell>
          <cell r="V522"/>
          <cell r="W522" t="str">
            <v>박순홍</v>
          </cell>
          <cell r="X522" t="str">
            <v>(인)</v>
          </cell>
          <cell r="Y522" t="str">
            <v>박순홍</v>
          </cell>
          <cell r="Z522" t="str">
            <v>(인)</v>
          </cell>
          <cell r="AA522" t="str">
            <v>이루비</v>
          </cell>
          <cell r="AB522" t="str">
            <v>(인)</v>
          </cell>
          <cell r="AC522" t="str">
            <v>이루비</v>
          </cell>
          <cell r="AD522" t="str">
            <v>(인)</v>
          </cell>
          <cell r="AE522">
            <v>187</v>
          </cell>
          <cell r="AF522" t="str">
            <v>표준</v>
          </cell>
          <cell r="AG522">
            <v>3</v>
          </cell>
          <cell r="AH522">
            <v>0</v>
          </cell>
        </row>
        <row r="523">
          <cell r="G523">
            <v>2406140200</v>
          </cell>
          <cell r="H523" t="str">
            <v>108동</v>
          </cell>
          <cell r="I523">
            <v>240614</v>
          </cell>
          <cell r="J523" t="str">
            <v>108동 주변주차장 버림</v>
          </cell>
          <cell r="K523">
            <v>20</v>
          </cell>
          <cell r="L523">
            <v>18</v>
          </cell>
          <cell r="M523">
            <v>1812</v>
          </cell>
          <cell r="N523" t="str">
            <v>한진</v>
          </cell>
          <cell r="O523" t="str">
            <v>펌프카(1대)</v>
          </cell>
          <cell r="P523">
            <v>1223</v>
          </cell>
          <cell r="Q523">
            <v>1256</v>
          </cell>
          <cell r="R523">
            <v>125</v>
          </cell>
          <cell r="S523">
            <v>46</v>
          </cell>
          <cell r="T523">
            <v>112</v>
          </cell>
          <cell r="U523">
            <v>254</v>
          </cell>
          <cell r="V523"/>
          <cell r="W523" t="str">
            <v>박순홍</v>
          </cell>
          <cell r="X523" t="str">
            <v>(인)</v>
          </cell>
          <cell r="Y523" t="str">
            <v>박순홍</v>
          </cell>
          <cell r="Z523" t="str">
            <v>(인)</v>
          </cell>
          <cell r="AA523" t="str">
            <v>이루비</v>
          </cell>
          <cell r="AB523" t="str">
            <v>(인)</v>
          </cell>
          <cell r="AC523" t="str">
            <v>이루비</v>
          </cell>
          <cell r="AD523" t="str">
            <v>(인)</v>
          </cell>
          <cell r="AE523">
            <v>178.2</v>
          </cell>
          <cell r="AF523" t="str">
            <v>표준</v>
          </cell>
          <cell r="AG523">
            <v>0</v>
          </cell>
          <cell r="AH523">
            <v>0</v>
          </cell>
        </row>
        <row r="524">
          <cell r="G524">
            <v>2406140301</v>
          </cell>
          <cell r="H524" t="str">
            <v>T/C</v>
          </cell>
          <cell r="I524">
            <v>240614</v>
          </cell>
          <cell r="J524" t="str">
            <v>타워 11호기 기초</v>
          </cell>
          <cell r="K524">
            <v>250</v>
          </cell>
          <cell r="L524">
            <v>252</v>
          </cell>
          <cell r="M524">
            <v>2415</v>
          </cell>
          <cell r="N524" t="str">
            <v>한진</v>
          </cell>
          <cell r="O524" t="str">
            <v>펌프카(1대)</v>
          </cell>
          <cell r="P524">
            <v>1310</v>
          </cell>
          <cell r="Q524">
            <v>1738</v>
          </cell>
          <cell r="R524">
            <v>170</v>
          </cell>
          <cell r="S524">
            <v>45</v>
          </cell>
          <cell r="T524">
            <v>113</v>
          </cell>
          <cell r="U524">
            <v>278</v>
          </cell>
          <cell r="V524"/>
          <cell r="W524" t="str">
            <v>박순홍</v>
          </cell>
          <cell r="X524" t="str">
            <v>(인)</v>
          </cell>
          <cell r="Y524" t="str">
            <v>박순홍</v>
          </cell>
          <cell r="Z524" t="str">
            <v>(인)</v>
          </cell>
          <cell r="AA524" t="str">
            <v>최인철</v>
          </cell>
          <cell r="AB524" t="str">
            <v>(인)</v>
          </cell>
          <cell r="AC524" t="str">
            <v>박정환</v>
          </cell>
          <cell r="AD524" t="str">
            <v>(인)</v>
          </cell>
          <cell r="AE524">
            <v>185.3</v>
          </cell>
          <cell r="AF524" t="str">
            <v>표준</v>
          </cell>
          <cell r="AG524">
            <v>1</v>
          </cell>
          <cell r="AH524">
            <v>1</v>
          </cell>
          <cell r="AI524">
            <v>2347</v>
          </cell>
          <cell r="AJ524">
            <v>2355</v>
          </cell>
          <cell r="AK524">
            <v>184200</v>
          </cell>
          <cell r="AL524">
            <v>3009</v>
          </cell>
          <cell r="AM524">
            <v>3050</v>
          </cell>
          <cell r="AN524">
            <v>3065</v>
          </cell>
          <cell r="AO524">
            <v>2974</v>
          </cell>
          <cell r="AP524">
            <v>3272</v>
          </cell>
          <cell r="AQ524">
            <v>3139</v>
          </cell>
          <cell r="AR524">
            <v>3162</v>
          </cell>
          <cell r="AS524">
            <v>3214</v>
          </cell>
          <cell r="AT524">
            <v>244400</v>
          </cell>
        </row>
        <row r="525">
          <cell r="G525">
            <v>2406140302</v>
          </cell>
          <cell r="H525" t="str">
            <v>T/C</v>
          </cell>
          <cell r="I525">
            <v>240614</v>
          </cell>
          <cell r="J525" t="str">
            <v>타워 11호기 기초</v>
          </cell>
          <cell r="K525">
            <v>250</v>
          </cell>
          <cell r="L525">
            <v>252</v>
          </cell>
          <cell r="M525">
            <v>2415</v>
          </cell>
          <cell r="N525" t="str">
            <v>한진</v>
          </cell>
          <cell r="O525" t="str">
            <v>펌프카(1대)</v>
          </cell>
          <cell r="P525">
            <v>1310</v>
          </cell>
          <cell r="Q525">
            <v>1738</v>
          </cell>
          <cell r="R525">
            <v>165</v>
          </cell>
          <cell r="S525">
            <v>45</v>
          </cell>
          <cell r="T525">
            <v>88</v>
          </cell>
          <cell r="U525">
            <v>269</v>
          </cell>
          <cell r="V525"/>
          <cell r="W525" t="str">
            <v>박순홍</v>
          </cell>
          <cell r="X525" t="str">
            <v>(인)</v>
          </cell>
          <cell r="Y525" t="str">
            <v>박순홍</v>
          </cell>
          <cell r="Z525" t="str">
            <v>(인)</v>
          </cell>
          <cell r="AA525" t="str">
            <v>박정환</v>
          </cell>
          <cell r="AB525" t="str">
            <v>(인)</v>
          </cell>
          <cell r="AC525" t="str">
            <v>박정환</v>
          </cell>
          <cell r="AD525" t="str">
            <v>(인)</v>
          </cell>
          <cell r="AE525">
            <v>181.2</v>
          </cell>
          <cell r="AF525" t="str">
            <v>표준</v>
          </cell>
          <cell r="AG525">
            <v>2</v>
          </cell>
          <cell r="AH525">
            <v>0</v>
          </cell>
        </row>
        <row r="526">
          <cell r="G526">
            <v>2406140303</v>
          </cell>
          <cell r="H526" t="str">
            <v>T/C</v>
          </cell>
          <cell r="I526">
            <v>240614</v>
          </cell>
          <cell r="J526" t="str">
            <v>타워 11호기 기초</v>
          </cell>
          <cell r="K526">
            <v>250</v>
          </cell>
          <cell r="L526">
            <v>252</v>
          </cell>
          <cell r="M526">
            <v>2415</v>
          </cell>
          <cell r="N526" t="str">
            <v>한진</v>
          </cell>
          <cell r="O526" t="str">
            <v>펌프카(1대)</v>
          </cell>
          <cell r="P526">
            <v>1310</v>
          </cell>
          <cell r="Q526">
            <v>1738</v>
          </cell>
          <cell r="R526">
            <v>170</v>
          </cell>
          <cell r="S526">
            <v>47</v>
          </cell>
          <cell r="T526">
            <v>59</v>
          </cell>
          <cell r="U526">
            <v>256</v>
          </cell>
          <cell r="V526"/>
          <cell r="W526" t="str">
            <v>박순홍</v>
          </cell>
          <cell r="X526" t="str">
            <v>(인)</v>
          </cell>
          <cell r="Y526" t="str">
            <v>박순홍</v>
          </cell>
          <cell r="Z526" t="str">
            <v>(인)</v>
          </cell>
          <cell r="AA526" t="str">
            <v>박정환</v>
          </cell>
          <cell r="AB526" t="str">
            <v>(인)</v>
          </cell>
          <cell r="AC526" t="str">
            <v>박정환</v>
          </cell>
          <cell r="AD526" t="str">
            <v>(인)</v>
          </cell>
          <cell r="AE526">
            <v>190.4</v>
          </cell>
          <cell r="AF526" t="str">
            <v>표준</v>
          </cell>
          <cell r="AG526">
            <v>3</v>
          </cell>
          <cell r="AH526">
            <v>0</v>
          </cell>
        </row>
        <row r="527">
          <cell r="G527">
            <v>2406170101</v>
          </cell>
          <cell r="H527" t="str">
            <v>105동</v>
          </cell>
          <cell r="I527">
            <v>240617</v>
          </cell>
          <cell r="J527" t="str">
            <v>105동 5층 바닥</v>
          </cell>
          <cell r="K527">
            <v>290</v>
          </cell>
          <cell r="L527">
            <v>294</v>
          </cell>
          <cell r="M527">
            <v>3018</v>
          </cell>
          <cell r="N527" t="str">
            <v>한라</v>
          </cell>
          <cell r="O527" t="str">
            <v>펌프카(1대)</v>
          </cell>
          <cell r="P527">
            <v>820</v>
          </cell>
          <cell r="Q527">
            <v>1331</v>
          </cell>
          <cell r="R527">
            <v>180</v>
          </cell>
          <cell r="S527">
            <v>45</v>
          </cell>
          <cell r="T527">
            <v>75</v>
          </cell>
          <cell r="U527">
            <v>245</v>
          </cell>
          <cell r="V527"/>
          <cell r="W527" t="str">
            <v>박순홍</v>
          </cell>
          <cell r="X527" t="str">
            <v>(인)</v>
          </cell>
          <cell r="Y527" t="str">
            <v>박순홍</v>
          </cell>
          <cell r="Z527" t="str">
            <v>(인)</v>
          </cell>
          <cell r="AA527" t="str">
            <v>장덕만</v>
          </cell>
          <cell r="AB527" t="str">
            <v>(인)</v>
          </cell>
          <cell r="AC527" t="str">
            <v>장덕만</v>
          </cell>
          <cell r="AD527" t="str">
            <v>(인)</v>
          </cell>
          <cell r="AE527">
            <v>189.6</v>
          </cell>
          <cell r="AF527" t="str">
            <v>표준</v>
          </cell>
          <cell r="AG527">
            <v>1</v>
          </cell>
          <cell r="AH527">
            <v>1</v>
          </cell>
          <cell r="AI527">
            <v>2877</v>
          </cell>
          <cell r="AJ527">
            <v>2902</v>
          </cell>
          <cell r="AK527">
            <v>227600</v>
          </cell>
          <cell r="AL527">
            <v>3809</v>
          </cell>
          <cell r="AM527">
            <v>3934</v>
          </cell>
          <cell r="AN527">
            <v>3913</v>
          </cell>
          <cell r="AO527">
            <v>3862</v>
          </cell>
          <cell r="AP527">
            <v>3902</v>
          </cell>
          <cell r="AQ527">
            <v>3874</v>
          </cell>
          <cell r="AR527">
            <v>3920</v>
          </cell>
          <cell r="AS527">
            <v>3904</v>
          </cell>
          <cell r="AT527">
            <v>308000</v>
          </cell>
        </row>
        <row r="528">
          <cell r="G528">
            <v>2406170102</v>
          </cell>
          <cell r="H528" t="str">
            <v>105동</v>
          </cell>
          <cell r="I528">
            <v>240617</v>
          </cell>
          <cell r="J528" t="str">
            <v>105동 5층 바닥</v>
          </cell>
          <cell r="K528">
            <v>290</v>
          </cell>
          <cell r="L528">
            <v>294</v>
          </cell>
          <cell r="M528">
            <v>3018</v>
          </cell>
          <cell r="N528" t="str">
            <v>한라</v>
          </cell>
          <cell r="O528" t="str">
            <v>펌프카(1대)</v>
          </cell>
          <cell r="P528">
            <v>820</v>
          </cell>
          <cell r="Q528">
            <v>1331</v>
          </cell>
          <cell r="R528">
            <v>185</v>
          </cell>
          <cell r="S528">
            <v>47</v>
          </cell>
          <cell r="T528">
            <v>38</v>
          </cell>
          <cell r="U528">
            <v>253</v>
          </cell>
          <cell r="V528"/>
          <cell r="W528" t="str">
            <v>박순홍</v>
          </cell>
          <cell r="X528" t="str">
            <v>(인)</v>
          </cell>
          <cell r="Y528" t="str">
            <v>박순홍</v>
          </cell>
          <cell r="Z528" t="str">
            <v>(인)</v>
          </cell>
          <cell r="AA528" t="str">
            <v>장덕만</v>
          </cell>
          <cell r="AB528" t="str">
            <v>(인)</v>
          </cell>
          <cell r="AC528" t="str">
            <v>장덕만</v>
          </cell>
          <cell r="AD528" t="str">
            <v>(인)</v>
          </cell>
          <cell r="AE528">
            <v>185</v>
          </cell>
          <cell r="AF528" t="str">
            <v>표준</v>
          </cell>
          <cell r="AG528">
            <v>2</v>
          </cell>
          <cell r="AH528">
            <v>0</v>
          </cell>
        </row>
        <row r="529">
          <cell r="G529">
            <v>2406170103</v>
          </cell>
          <cell r="H529" t="str">
            <v>105동</v>
          </cell>
          <cell r="I529">
            <v>240617</v>
          </cell>
          <cell r="J529" t="str">
            <v>105동 5층 바닥</v>
          </cell>
          <cell r="K529">
            <v>290</v>
          </cell>
          <cell r="L529">
            <v>294</v>
          </cell>
          <cell r="M529">
            <v>3018</v>
          </cell>
          <cell r="N529" t="str">
            <v>한라</v>
          </cell>
          <cell r="O529" t="str">
            <v>펌프카(1대)</v>
          </cell>
          <cell r="P529">
            <v>820</v>
          </cell>
          <cell r="Q529">
            <v>1331</v>
          </cell>
          <cell r="R529">
            <v>190</v>
          </cell>
          <cell r="S529">
            <v>48</v>
          </cell>
          <cell r="T529">
            <v>48</v>
          </cell>
          <cell r="U529">
            <v>260</v>
          </cell>
          <cell r="V529"/>
          <cell r="W529" t="str">
            <v>박순홍</v>
          </cell>
          <cell r="X529" t="str">
            <v>(인)</v>
          </cell>
          <cell r="Y529" t="str">
            <v>박순홍</v>
          </cell>
          <cell r="Z529" t="str">
            <v>(인)</v>
          </cell>
          <cell r="AA529" t="str">
            <v>장덕만</v>
          </cell>
          <cell r="AB529" t="str">
            <v>(인)</v>
          </cell>
          <cell r="AC529" t="str">
            <v>장덕만</v>
          </cell>
          <cell r="AD529" t="str">
            <v>(인)</v>
          </cell>
          <cell r="AE529">
            <v>181.9</v>
          </cell>
          <cell r="AF529" t="str">
            <v>표준</v>
          </cell>
          <cell r="AG529">
            <v>3</v>
          </cell>
          <cell r="AH529">
            <v>0</v>
          </cell>
        </row>
        <row r="530">
          <cell r="G530">
            <v>2406170201</v>
          </cell>
          <cell r="H530" t="str">
            <v>104동</v>
          </cell>
          <cell r="I530">
            <v>240617</v>
          </cell>
          <cell r="J530" t="str">
            <v>104동 7층 바닥</v>
          </cell>
          <cell r="K530">
            <v>270</v>
          </cell>
          <cell r="L530">
            <v>270</v>
          </cell>
          <cell r="M530">
            <v>3018</v>
          </cell>
          <cell r="N530" t="str">
            <v>대공</v>
          </cell>
          <cell r="O530" t="str">
            <v>펌프카(1대)</v>
          </cell>
          <cell r="P530">
            <v>1357</v>
          </cell>
          <cell r="Q530">
            <v>1729</v>
          </cell>
          <cell r="R530">
            <v>195</v>
          </cell>
          <cell r="S530">
            <v>38</v>
          </cell>
          <cell r="T530">
            <v>87</v>
          </cell>
          <cell r="U530">
            <v>264</v>
          </cell>
          <cell r="V530"/>
          <cell r="W530" t="str">
            <v>박순홍</v>
          </cell>
          <cell r="X530" t="str">
            <v>(인)</v>
          </cell>
          <cell r="Y530" t="str">
            <v>박순홍</v>
          </cell>
          <cell r="Z530" t="str">
            <v>(인)</v>
          </cell>
          <cell r="AA530" t="str">
            <v>박정환</v>
          </cell>
          <cell r="AB530" t="str">
            <v>(인)</v>
          </cell>
          <cell r="AC530" t="str">
            <v>장덕만</v>
          </cell>
          <cell r="AD530" t="str">
            <v>(인)</v>
          </cell>
          <cell r="AE530">
            <v>179.6</v>
          </cell>
          <cell r="AF530" t="str">
            <v>표준</v>
          </cell>
          <cell r="AG530">
            <v>1</v>
          </cell>
          <cell r="AH530">
            <v>1</v>
          </cell>
          <cell r="AI530">
            <v>2918</v>
          </cell>
          <cell r="AJ530">
            <v>2930</v>
          </cell>
          <cell r="AK530">
            <v>224000</v>
          </cell>
          <cell r="AL530">
            <v>4041</v>
          </cell>
          <cell r="AM530">
            <v>3962</v>
          </cell>
          <cell r="AN530">
            <v>3894</v>
          </cell>
          <cell r="AO530">
            <v>4063</v>
          </cell>
          <cell r="AP530">
            <v>4027</v>
          </cell>
          <cell r="AQ530">
            <v>4039</v>
          </cell>
          <cell r="AR530">
            <v>3864</v>
          </cell>
          <cell r="AS530">
            <v>4092</v>
          </cell>
          <cell r="AT530">
            <v>322000</v>
          </cell>
        </row>
        <row r="531">
          <cell r="G531">
            <v>2406170202</v>
          </cell>
          <cell r="H531" t="str">
            <v>104동</v>
          </cell>
          <cell r="I531">
            <v>240617</v>
          </cell>
          <cell r="J531" t="str">
            <v>104동 7층 바닥</v>
          </cell>
          <cell r="K531">
            <v>270</v>
          </cell>
          <cell r="L531">
            <v>270</v>
          </cell>
          <cell r="M531">
            <v>3018</v>
          </cell>
          <cell r="N531" t="str">
            <v>대공</v>
          </cell>
          <cell r="O531" t="str">
            <v>펌프카(1대)</v>
          </cell>
          <cell r="P531">
            <v>1357</v>
          </cell>
          <cell r="Q531">
            <v>1729</v>
          </cell>
          <cell r="R531">
            <v>190</v>
          </cell>
          <cell r="S531">
            <v>40</v>
          </cell>
          <cell r="T531">
            <v>14</v>
          </cell>
          <cell r="U531">
            <v>273</v>
          </cell>
          <cell r="V531"/>
          <cell r="W531" t="str">
            <v>박순홍</v>
          </cell>
          <cell r="X531" t="str">
            <v>(인)</v>
          </cell>
          <cell r="Y531" t="str">
            <v>박순홍</v>
          </cell>
          <cell r="Z531" t="str">
            <v>(인)</v>
          </cell>
          <cell r="AA531" t="str">
            <v>박정환</v>
          </cell>
          <cell r="AB531" t="str">
            <v>(인)</v>
          </cell>
          <cell r="AC531" t="str">
            <v>장덕만</v>
          </cell>
          <cell r="AD531" t="str">
            <v>(인)</v>
          </cell>
          <cell r="AE531">
            <v>184.3</v>
          </cell>
          <cell r="AF531" t="str">
            <v>표준</v>
          </cell>
          <cell r="AG531">
            <v>2</v>
          </cell>
          <cell r="AH531">
            <v>0</v>
          </cell>
        </row>
        <row r="532">
          <cell r="G532">
            <v>2406170203</v>
          </cell>
          <cell r="H532" t="str">
            <v>104동</v>
          </cell>
          <cell r="I532">
            <v>240617</v>
          </cell>
          <cell r="J532" t="str">
            <v>104동 7층 바닥</v>
          </cell>
          <cell r="K532">
            <v>270</v>
          </cell>
          <cell r="L532">
            <v>270</v>
          </cell>
          <cell r="M532">
            <v>3018</v>
          </cell>
          <cell r="N532" t="str">
            <v>대공</v>
          </cell>
          <cell r="O532" t="str">
            <v>펌프카(1대)</v>
          </cell>
          <cell r="P532">
            <v>1357</v>
          </cell>
          <cell r="Q532">
            <v>1729</v>
          </cell>
          <cell r="R532">
            <v>195</v>
          </cell>
          <cell r="S532">
            <v>51</v>
          </cell>
          <cell r="T532">
            <v>110</v>
          </cell>
          <cell r="U532">
            <v>222</v>
          </cell>
          <cell r="V532"/>
          <cell r="W532" t="str">
            <v>박순홍</v>
          </cell>
          <cell r="X532" t="str">
            <v>(인)</v>
          </cell>
          <cell r="Y532" t="str">
            <v>박순홍</v>
          </cell>
          <cell r="Z532" t="str">
            <v>(인)</v>
          </cell>
          <cell r="AA532" t="str">
            <v>박정환</v>
          </cell>
          <cell r="AB532" t="str">
            <v>(인)</v>
          </cell>
          <cell r="AC532" t="str">
            <v>장덕만</v>
          </cell>
          <cell r="AD532" t="str">
            <v>(인)</v>
          </cell>
          <cell r="AE532">
            <v>174.9</v>
          </cell>
          <cell r="AF532" t="str">
            <v>표준</v>
          </cell>
          <cell r="AG532">
            <v>3</v>
          </cell>
          <cell r="AH532">
            <v>0</v>
          </cell>
        </row>
        <row r="533">
          <cell r="G533">
            <v>2406180101</v>
          </cell>
          <cell r="H533" t="str">
            <v>115동</v>
          </cell>
          <cell r="I533">
            <v>240618</v>
          </cell>
          <cell r="J533" t="str">
            <v>115동 기초</v>
          </cell>
          <cell r="K533">
            <v>980</v>
          </cell>
          <cell r="L533">
            <v>978</v>
          </cell>
          <cell r="M533">
            <v>2415</v>
          </cell>
          <cell r="N533" t="str">
            <v>용호</v>
          </cell>
          <cell r="O533" t="str">
            <v>펌프카(1대)</v>
          </cell>
          <cell r="P533">
            <v>726</v>
          </cell>
          <cell r="Q533">
            <v>1715</v>
          </cell>
          <cell r="R533">
            <v>170</v>
          </cell>
          <cell r="S533">
            <v>38</v>
          </cell>
          <cell r="T533">
            <v>64</v>
          </cell>
          <cell r="U533">
            <v>228</v>
          </cell>
          <cell r="V533"/>
          <cell r="W533" t="str">
            <v>박순홍</v>
          </cell>
          <cell r="X533" t="str">
            <v>(인)</v>
          </cell>
          <cell r="Y533" t="str">
            <v>박순홍</v>
          </cell>
          <cell r="Z533" t="str">
            <v>(인)</v>
          </cell>
          <cell r="AA533" t="str">
            <v>임영구</v>
          </cell>
          <cell r="AB533" t="str">
            <v>(인)</v>
          </cell>
          <cell r="AC533" t="str">
            <v>임영구</v>
          </cell>
          <cell r="AD533" t="str">
            <v>(인)</v>
          </cell>
          <cell r="AE533">
            <v>179.4</v>
          </cell>
          <cell r="AF533" t="str">
            <v>표준</v>
          </cell>
          <cell r="AG533">
            <v>1</v>
          </cell>
          <cell r="AH533">
            <v>1</v>
          </cell>
          <cell r="AI533">
            <v>2291</v>
          </cell>
          <cell r="AJ533">
            <v>2304</v>
          </cell>
          <cell r="AK533">
            <v>176400</v>
          </cell>
          <cell r="AL533">
            <v>3203</v>
          </cell>
          <cell r="AM533">
            <v>3142</v>
          </cell>
          <cell r="AN533">
            <v>3394</v>
          </cell>
          <cell r="AO533">
            <v>3407</v>
          </cell>
          <cell r="AP533">
            <v>3216</v>
          </cell>
          <cell r="AQ533">
            <v>3184</v>
          </cell>
          <cell r="AR533">
            <v>3164</v>
          </cell>
          <cell r="AS533">
            <v>3206</v>
          </cell>
          <cell r="AT533">
            <v>176400</v>
          </cell>
        </row>
        <row r="534">
          <cell r="G534">
            <v>2406180102</v>
          </cell>
          <cell r="H534" t="str">
            <v>115동</v>
          </cell>
          <cell r="I534">
            <v>240618</v>
          </cell>
          <cell r="J534" t="str">
            <v>115동 기초</v>
          </cell>
          <cell r="K534">
            <v>980</v>
          </cell>
          <cell r="L534">
            <v>978</v>
          </cell>
          <cell r="M534">
            <v>2415</v>
          </cell>
          <cell r="N534" t="str">
            <v>용호</v>
          </cell>
          <cell r="O534" t="str">
            <v>펌프카(1대)</v>
          </cell>
          <cell r="P534">
            <v>726</v>
          </cell>
          <cell r="Q534">
            <v>1715</v>
          </cell>
          <cell r="R534">
            <v>170</v>
          </cell>
          <cell r="S534">
            <v>45</v>
          </cell>
          <cell r="T534">
            <v>69</v>
          </cell>
          <cell r="U534">
            <v>224</v>
          </cell>
          <cell r="V534"/>
          <cell r="W534" t="str">
            <v>박순홍</v>
          </cell>
          <cell r="X534" t="str">
            <v>(인)</v>
          </cell>
          <cell r="Y534" t="str">
            <v>박순홍</v>
          </cell>
          <cell r="Z534" t="str">
            <v>(인)</v>
          </cell>
          <cell r="AA534" t="str">
            <v>임영구</v>
          </cell>
          <cell r="AB534" t="str">
            <v>(인)</v>
          </cell>
          <cell r="AC534" t="str">
            <v>임영구</v>
          </cell>
          <cell r="AD534" t="str">
            <v>(인)</v>
          </cell>
          <cell r="AE534">
            <v>179.7</v>
          </cell>
          <cell r="AF534" t="str">
            <v>표준</v>
          </cell>
          <cell r="AG534">
            <v>2</v>
          </cell>
          <cell r="AH534">
            <v>0</v>
          </cell>
        </row>
        <row r="535">
          <cell r="G535">
            <v>2406180103</v>
          </cell>
          <cell r="H535" t="str">
            <v>115동</v>
          </cell>
          <cell r="I535">
            <v>240618</v>
          </cell>
          <cell r="J535" t="str">
            <v>115동 기초</v>
          </cell>
          <cell r="K535">
            <v>980</v>
          </cell>
          <cell r="L535">
            <v>978</v>
          </cell>
          <cell r="M535">
            <v>2415</v>
          </cell>
          <cell r="N535" t="str">
            <v>용호</v>
          </cell>
          <cell r="O535" t="str">
            <v>펌프카(1대)</v>
          </cell>
          <cell r="P535">
            <v>726</v>
          </cell>
          <cell r="Q535">
            <v>1715</v>
          </cell>
          <cell r="R535">
            <v>165</v>
          </cell>
          <cell r="S535">
            <v>49</v>
          </cell>
          <cell r="T535">
            <v>56</v>
          </cell>
          <cell r="U535">
            <v>232</v>
          </cell>
          <cell r="V535"/>
          <cell r="W535" t="str">
            <v>박순홍</v>
          </cell>
          <cell r="X535" t="str">
            <v>(인)</v>
          </cell>
          <cell r="Y535" t="str">
            <v>박순홍</v>
          </cell>
          <cell r="Z535" t="str">
            <v>(인)</v>
          </cell>
          <cell r="AA535" t="str">
            <v>임영구</v>
          </cell>
          <cell r="AB535" t="str">
            <v>(인)</v>
          </cell>
          <cell r="AC535" t="str">
            <v>임영구</v>
          </cell>
          <cell r="AD535" t="str">
            <v>(인)</v>
          </cell>
          <cell r="AE535">
            <v>181.3</v>
          </cell>
          <cell r="AF535" t="str">
            <v>표준</v>
          </cell>
          <cell r="AG535">
            <v>3</v>
          </cell>
          <cell r="AH535">
            <v>0</v>
          </cell>
        </row>
        <row r="536">
          <cell r="G536">
            <v>2406180104</v>
          </cell>
          <cell r="H536" t="str">
            <v>115동</v>
          </cell>
          <cell r="I536">
            <v>240618</v>
          </cell>
          <cell r="J536" t="str">
            <v>115동 기초</v>
          </cell>
          <cell r="K536">
            <v>980</v>
          </cell>
          <cell r="L536">
            <v>978</v>
          </cell>
          <cell r="M536">
            <v>2415</v>
          </cell>
          <cell r="N536" t="str">
            <v>용호</v>
          </cell>
          <cell r="O536" t="str">
            <v>펌프카(1대)</v>
          </cell>
          <cell r="P536">
            <v>726</v>
          </cell>
          <cell r="Q536">
            <v>1715</v>
          </cell>
          <cell r="R536">
            <v>150</v>
          </cell>
          <cell r="S536">
            <v>42</v>
          </cell>
          <cell r="T536">
            <v>29</v>
          </cell>
          <cell r="U536">
            <v>233</v>
          </cell>
          <cell r="V536"/>
          <cell r="W536" t="str">
            <v>박순홍</v>
          </cell>
          <cell r="X536" t="str">
            <v>(인)</v>
          </cell>
          <cell r="Y536" t="str">
            <v>박순홍</v>
          </cell>
          <cell r="Z536" t="str">
            <v>(인)</v>
          </cell>
          <cell r="AA536" t="str">
            <v>임영구</v>
          </cell>
          <cell r="AB536" t="str">
            <v>(인)</v>
          </cell>
          <cell r="AC536" t="str">
            <v>임영구</v>
          </cell>
          <cell r="AD536" t="str">
            <v>(인)</v>
          </cell>
          <cell r="AE536">
            <v>176.1</v>
          </cell>
          <cell r="AF536" t="str">
            <v>표준</v>
          </cell>
          <cell r="AG536">
            <v>4</v>
          </cell>
          <cell r="AH536">
            <v>1</v>
          </cell>
          <cell r="AL536">
            <v>3129</v>
          </cell>
          <cell r="AM536">
            <v>3119</v>
          </cell>
          <cell r="AN536">
            <v>3296</v>
          </cell>
          <cell r="AO536">
            <v>3174</v>
          </cell>
          <cell r="AP536">
            <v>3310</v>
          </cell>
          <cell r="AQ536">
            <v>3262</v>
          </cell>
          <cell r="AR536">
            <v>3179</v>
          </cell>
          <cell r="AS536">
            <v>3084</v>
          </cell>
          <cell r="AT536">
            <v>261600</v>
          </cell>
        </row>
        <row r="537">
          <cell r="G537">
            <v>2406180105</v>
          </cell>
          <cell r="H537" t="str">
            <v>115동</v>
          </cell>
          <cell r="I537">
            <v>240618</v>
          </cell>
          <cell r="J537" t="str">
            <v>115동 기초</v>
          </cell>
          <cell r="K537">
            <v>980</v>
          </cell>
          <cell r="L537">
            <v>978</v>
          </cell>
          <cell r="M537">
            <v>2415</v>
          </cell>
          <cell r="N537" t="str">
            <v>용호</v>
          </cell>
          <cell r="O537" t="str">
            <v>펌프카(1대)</v>
          </cell>
          <cell r="P537">
            <v>726</v>
          </cell>
          <cell r="Q537">
            <v>1715</v>
          </cell>
          <cell r="R537">
            <v>150</v>
          </cell>
          <cell r="S537">
            <v>51</v>
          </cell>
          <cell r="T537">
            <v>37</v>
          </cell>
          <cell r="U537">
            <v>252</v>
          </cell>
          <cell r="V537"/>
          <cell r="W537" t="str">
            <v>박순홍</v>
          </cell>
          <cell r="X537" t="str">
            <v>(인)</v>
          </cell>
          <cell r="Y537" t="str">
            <v>박순홍</v>
          </cell>
          <cell r="Z537" t="str">
            <v>(인)</v>
          </cell>
          <cell r="AA537" t="str">
            <v>임영구</v>
          </cell>
          <cell r="AB537" t="str">
            <v>(인)</v>
          </cell>
          <cell r="AC537" t="str">
            <v>임영구</v>
          </cell>
          <cell r="AD537" t="str">
            <v>(인)</v>
          </cell>
          <cell r="AE537">
            <v>177.2</v>
          </cell>
          <cell r="AF537" t="str">
            <v>표준</v>
          </cell>
          <cell r="AG537">
            <v>5</v>
          </cell>
          <cell r="AH537">
            <v>0</v>
          </cell>
        </row>
        <row r="538">
          <cell r="G538">
            <v>2406180106</v>
          </cell>
          <cell r="H538" t="str">
            <v>115동</v>
          </cell>
          <cell r="I538">
            <v>240618</v>
          </cell>
          <cell r="J538" t="str">
            <v>115동 기초</v>
          </cell>
          <cell r="K538">
            <v>980</v>
          </cell>
          <cell r="L538">
            <v>978</v>
          </cell>
          <cell r="M538">
            <v>2415</v>
          </cell>
          <cell r="N538" t="str">
            <v>용호</v>
          </cell>
          <cell r="O538" t="str">
            <v>펌프카(1대)</v>
          </cell>
          <cell r="P538">
            <v>726</v>
          </cell>
          <cell r="Q538">
            <v>1715</v>
          </cell>
          <cell r="R538">
            <v>160</v>
          </cell>
          <cell r="S538">
            <v>42</v>
          </cell>
          <cell r="T538">
            <v>63</v>
          </cell>
          <cell r="U538">
            <v>258</v>
          </cell>
          <cell r="V538"/>
          <cell r="W538" t="str">
            <v>박순홍</v>
          </cell>
          <cell r="X538" t="str">
            <v>(인)</v>
          </cell>
          <cell r="Y538" t="str">
            <v>박순홍</v>
          </cell>
          <cell r="Z538" t="str">
            <v>(인)</v>
          </cell>
          <cell r="AA538" t="str">
            <v>임영구</v>
          </cell>
          <cell r="AB538" t="str">
            <v>(인)</v>
          </cell>
          <cell r="AC538" t="str">
            <v>임영구</v>
          </cell>
          <cell r="AD538" t="str">
            <v>(인)</v>
          </cell>
          <cell r="AE538">
            <v>179.4</v>
          </cell>
          <cell r="AF538" t="str">
            <v>표준</v>
          </cell>
          <cell r="AG538">
            <v>6</v>
          </cell>
          <cell r="AH538">
            <v>0</v>
          </cell>
        </row>
        <row r="539">
          <cell r="G539">
            <v>2406180107</v>
          </cell>
          <cell r="H539" t="str">
            <v>115동</v>
          </cell>
          <cell r="I539">
            <v>240618</v>
          </cell>
          <cell r="J539" t="str">
            <v>115동 기초</v>
          </cell>
          <cell r="K539">
            <v>980</v>
          </cell>
          <cell r="L539">
            <v>978</v>
          </cell>
          <cell r="M539">
            <v>2415</v>
          </cell>
          <cell r="N539" t="str">
            <v>용호</v>
          </cell>
          <cell r="O539" t="str">
            <v>펌프카(1대)</v>
          </cell>
          <cell r="P539">
            <v>726</v>
          </cell>
          <cell r="Q539">
            <v>1715</v>
          </cell>
          <cell r="R539">
            <v>160</v>
          </cell>
          <cell r="S539">
            <v>45</v>
          </cell>
          <cell r="T539">
            <v>39</v>
          </cell>
          <cell r="U539">
            <v>260</v>
          </cell>
          <cell r="V539"/>
          <cell r="W539" t="str">
            <v>박순홍</v>
          </cell>
          <cell r="X539" t="str">
            <v>(인)</v>
          </cell>
          <cell r="Y539" t="str">
            <v>박순홍</v>
          </cell>
          <cell r="Z539" t="str">
            <v>(인)</v>
          </cell>
          <cell r="AA539" t="str">
            <v>임영구</v>
          </cell>
          <cell r="AB539" t="str">
            <v>(인)</v>
          </cell>
          <cell r="AC539" t="str">
            <v>임영구</v>
          </cell>
          <cell r="AD539" t="str">
            <v>(인)</v>
          </cell>
          <cell r="AE539">
            <v>182.3</v>
          </cell>
          <cell r="AF539" t="str">
            <v>표준</v>
          </cell>
          <cell r="AG539">
            <v>7</v>
          </cell>
          <cell r="AH539">
            <v>1</v>
          </cell>
          <cell r="AL539">
            <v>3234</v>
          </cell>
          <cell r="AM539">
            <v>3124</v>
          </cell>
          <cell r="AN539">
            <v>3194</v>
          </cell>
          <cell r="AO539">
            <v>3362</v>
          </cell>
          <cell r="AP539">
            <v>3274</v>
          </cell>
          <cell r="AQ539">
            <v>3094</v>
          </cell>
          <cell r="AR539">
            <v>3174</v>
          </cell>
          <cell r="AS539">
            <v>3264</v>
          </cell>
          <cell r="AT539">
            <v>255400</v>
          </cell>
        </row>
        <row r="540">
          <cell r="G540">
            <v>2406180108</v>
          </cell>
          <cell r="H540" t="str">
            <v>115동</v>
          </cell>
          <cell r="I540">
            <v>240618</v>
          </cell>
          <cell r="J540" t="str">
            <v>115동 기초</v>
          </cell>
          <cell r="K540">
            <v>980</v>
          </cell>
          <cell r="L540">
            <v>978</v>
          </cell>
          <cell r="M540">
            <v>2415</v>
          </cell>
          <cell r="N540" t="str">
            <v>용호</v>
          </cell>
          <cell r="O540" t="str">
            <v>펌프카(1대)</v>
          </cell>
          <cell r="P540">
            <v>726</v>
          </cell>
          <cell r="Q540">
            <v>1715</v>
          </cell>
          <cell r="R540">
            <v>165</v>
          </cell>
          <cell r="S540">
            <v>46</v>
          </cell>
          <cell r="T540">
            <v>62</v>
          </cell>
          <cell r="U540">
            <v>257</v>
          </cell>
          <cell r="V540"/>
          <cell r="W540" t="str">
            <v>박순홍</v>
          </cell>
          <cell r="X540" t="str">
            <v>(인)</v>
          </cell>
          <cell r="Y540" t="str">
            <v>박순홍</v>
          </cell>
          <cell r="Z540" t="str">
            <v>(인)</v>
          </cell>
          <cell r="AA540" t="str">
            <v>임영구</v>
          </cell>
          <cell r="AB540" t="str">
            <v>(인)</v>
          </cell>
          <cell r="AC540" t="str">
            <v>임영구</v>
          </cell>
          <cell r="AD540" t="str">
            <v>(인)</v>
          </cell>
          <cell r="AE540">
            <v>180.6</v>
          </cell>
          <cell r="AF540" t="str">
            <v>표준</v>
          </cell>
          <cell r="AG540">
            <v>8</v>
          </cell>
          <cell r="AH540">
            <v>0</v>
          </cell>
        </row>
        <row r="541">
          <cell r="G541">
            <v>2406180109</v>
          </cell>
          <cell r="H541" t="str">
            <v>115동</v>
          </cell>
          <cell r="I541">
            <v>240618</v>
          </cell>
          <cell r="J541" t="str">
            <v>115동 기초</v>
          </cell>
          <cell r="K541">
            <v>980</v>
          </cell>
          <cell r="L541">
            <v>978</v>
          </cell>
          <cell r="M541">
            <v>2415</v>
          </cell>
          <cell r="N541" t="str">
            <v>용호</v>
          </cell>
          <cell r="O541" t="str">
            <v>펌프카(1대)</v>
          </cell>
          <cell r="P541">
            <v>726</v>
          </cell>
          <cell r="Q541">
            <v>1715</v>
          </cell>
          <cell r="R541">
            <v>170</v>
          </cell>
          <cell r="S541">
            <v>50</v>
          </cell>
          <cell r="T541">
            <v>24</v>
          </cell>
          <cell r="U541">
            <v>259</v>
          </cell>
          <cell r="V541"/>
          <cell r="W541" t="str">
            <v>박순홍</v>
          </cell>
          <cell r="X541" t="str">
            <v>(인)</v>
          </cell>
          <cell r="Y541" t="str">
            <v>박순홍</v>
          </cell>
          <cell r="Z541" t="str">
            <v>(인)</v>
          </cell>
          <cell r="AA541" t="str">
            <v>임영구</v>
          </cell>
          <cell r="AB541" t="str">
            <v>(인)</v>
          </cell>
          <cell r="AC541" t="str">
            <v>임영구</v>
          </cell>
          <cell r="AD541" t="str">
            <v>(인)</v>
          </cell>
          <cell r="AE541">
            <v>181.4</v>
          </cell>
          <cell r="AF541" t="str">
            <v>표준</v>
          </cell>
          <cell r="AG541">
            <v>9</v>
          </cell>
          <cell r="AH541">
            <v>0</v>
          </cell>
        </row>
        <row r="542">
          <cell r="G542">
            <v>2406180201</v>
          </cell>
          <cell r="H542" t="str">
            <v>115동</v>
          </cell>
          <cell r="I542">
            <v>240618</v>
          </cell>
          <cell r="J542" t="str">
            <v>115동 기초</v>
          </cell>
          <cell r="K542">
            <v>780</v>
          </cell>
          <cell r="L542">
            <v>780</v>
          </cell>
          <cell r="M542">
            <v>2415</v>
          </cell>
          <cell r="N542" t="str">
            <v>대공</v>
          </cell>
          <cell r="O542" t="str">
            <v>펌프카(1대)</v>
          </cell>
          <cell r="P542">
            <v>750</v>
          </cell>
          <cell r="Q542">
            <v>1603</v>
          </cell>
          <cell r="R542">
            <v>170</v>
          </cell>
          <cell r="S542">
            <v>44</v>
          </cell>
          <cell r="T542">
            <v>63</v>
          </cell>
          <cell r="U542">
            <v>211</v>
          </cell>
          <cell r="V542"/>
          <cell r="W542" t="str">
            <v>박순홍</v>
          </cell>
          <cell r="X542" t="str">
            <v>(인)</v>
          </cell>
          <cell r="Y542" t="str">
            <v>박순홍</v>
          </cell>
          <cell r="Z542" t="str">
            <v>(인)</v>
          </cell>
          <cell r="AA542" t="str">
            <v>임영구</v>
          </cell>
          <cell r="AB542" t="str">
            <v>(인)</v>
          </cell>
          <cell r="AC542" t="str">
            <v>임영구</v>
          </cell>
          <cell r="AD542" t="str">
            <v>(인)</v>
          </cell>
          <cell r="AE542">
            <v>169.4</v>
          </cell>
          <cell r="AF542" t="str">
            <v>표준</v>
          </cell>
          <cell r="AG542">
            <v>1</v>
          </cell>
          <cell r="AH542">
            <v>1</v>
          </cell>
          <cell r="AI542">
            <v>2294</v>
          </cell>
          <cell r="AJ542">
            <v>2296</v>
          </cell>
          <cell r="AK542">
            <v>175600</v>
          </cell>
          <cell r="AL542">
            <v>3160</v>
          </cell>
          <cell r="AM542">
            <v>3234</v>
          </cell>
          <cell r="AN542">
            <v>3214</v>
          </cell>
          <cell r="AO542">
            <v>3301</v>
          </cell>
          <cell r="AP542">
            <v>3179</v>
          </cell>
          <cell r="AQ542">
            <v>3267</v>
          </cell>
          <cell r="AR542">
            <v>3194</v>
          </cell>
          <cell r="AS542">
            <v>3264</v>
          </cell>
          <cell r="AT542">
            <v>247600</v>
          </cell>
        </row>
        <row r="543">
          <cell r="G543">
            <v>2406180202</v>
          </cell>
          <cell r="H543" t="str">
            <v>115동</v>
          </cell>
          <cell r="I543">
            <v>240618</v>
          </cell>
          <cell r="J543" t="str">
            <v>115동 기초</v>
          </cell>
          <cell r="K543">
            <v>780</v>
          </cell>
          <cell r="L543">
            <v>780</v>
          </cell>
          <cell r="M543">
            <v>2415</v>
          </cell>
          <cell r="N543" t="str">
            <v>대공</v>
          </cell>
          <cell r="O543" t="str">
            <v>펌프카(1대)</v>
          </cell>
          <cell r="P543">
            <v>750</v>
          </cell>
          <cell r="Q543">
            <v>1603</v>
          </cell>
          <cell r="R543">
            <v>170</v>
          </cell>
          <cell r="S543">
            <v>43</v>
          </cell>
          <cell r="T543">
            <v>34</v>
          </cell>
          <cell r="U543">
            <v>228</v>
          </cell>
          <cell r="V543"/>
          <cell r="W543" t="str">
            <v>박순홍</v>
          </cell>
          <cell r="X543" t="str">
            <v>(인)</v>
          </cell>
          <cell r="Y543" t="str">
            <v>박순홍</v>
          </cell>
          <cell r="Z543" t="str">
            <v>(인)</v>
          </cell>
          <cell r="AA543" t="str">
            <v>임영구</v>
          </cell>
          <cell r="AB543" t="str">
            <v>(인)</v>
          </cell>
          <cell r="AC543" t="str">
            <v>임영구</v>
          </cell>
          <cell r="AD543" t="str">
            <v>(인)</v>
          </cell>
          <cell r="AE543">
            <v>180.6</v>
          </cell>
          <cell r="AF543" t="str">
            <v>표준</v>
          </cell>
          <cell r="AG543">
            <v>2</v>
          </cell>
          <cell r="AH543">
            <v>0</v>
          </cell>
        </row>
        <row r="544">
          <cell r="G544">
            <v>2406180203</v>
          </cell>
          <cell r="H544" t="str">
            <v>115동</v>
          </cell>
          <cell r="I544">
            <v>240618</v>
          </cell>
          <cell r="J544" t="str">
            <v>115동 기초</v>
          </cell>
          <cell r="K544">
            <v>780</v>
          </cell>
          <cell r="L544">
            <v>780</v>
          </cell>
          <cell r="M544">
            <v>2415</v>
          </cell>
          <cell r="N544" t="str">
            <v>대공</v>
          </cell>
          <cell r="O544" t="str">
            <v>펌프카(1대)</v>
          </cell>
          <cell r="P544">
            <v>750</v>
          </cell>
          <cell r="Q544">
            <v>1603</v>
          </cell>
          <cell r="R544">
            <v>170</v>
          </cell>
          <cell r="S544">
            <v>49</v>
          </cell>
          <cell r="T544">
            <v>67</v>
          </cell>
          <cell r="U544">
            <v>246</v>
          </cell>
          <cell r="V544"/>
          <cell r="W544" t="str">
            <v>박순홍</v>
          </cell>
          <cell r="X544" t="str">
            <v>(인)</v>
          </cell>
          <cell r="Y544" t="str">
            <v>박순홍</v>
          </cell>
          <cell r="Z544" t="str">
            <v>(인)</v>
          </cell>
          <cell r="AA544" t="str">
            <v>임영구</v>
          </cell>
          <cell r="AB544" t="str">
            <v>(인)</v>
          </cell>
          <cell r="AC544" t="str">
            <v>임영구</v>
          </cell>
          <cell r="AD544" t="str">
            <v>(인)</v>
          </cell>
          <cell r="AE544">
            <v>181.6</v>
          </cell>
          <cell r="AF544" t="str">
            <v>표준</v>
          </cell>
          <cell r="AG544">
            <v>3</v>
          </cell>
          <cell r="AH544">
            <v>0</v>
          </cell>
        </row>
        <row r="545">
          <cell r="G545">
            <v>2406180204</v>
          </cell>
          <cell r="H545" t="str">
            <v>115동</v>
          </cell>
          <cell r="I545">
            <v>240618</v>
          </cell>
          <cell r="J545" t="str">
            <v>115동 기초</v>
          </cell>
          <cell r="K545">
            <v>780</v>
          </cell>
          <cell r="L545">
            <v>780</v>
          </cell>
          <cell r="M545">
            <v>2415</v>
          </cell>
          <cell r="N545" t="str">
            <v>대공</v>
          </cell>
          <cell r="O545" t="str">
            <v>펌프카(1대)</v>
          </cell>
          <cell r="P545">
            <v>750</v>
          </cell>
          <cell r="Q545">
            <v>1603</v>
          </cell>
          <cell r="R545">
            <v>150</v>
          </cell>
          <cell r="S545">
            <v>48</v>
          </cell>
          <cell r="T545">
            <v>41</v>
          </cell>
          <cell r="U545">
            <v>264</v>
          </cell>
          <cell r="V545"/>
          <cell r="W545" t="str">
            <v>박순홍</v>
          </cell>
          <cell r="X545" t="str">
            <v>(인)</v>
          </cell>
          <cell r="Y545" t="str">
            <v>박순홍</v>
          </cell>
          <cell r="Z545" t="str">
            <v>(인)</v>
          </cell>
          <cell r="AA545" t="str">
            <v>임영구</v>
          </cell>
          <cell r="AB545" t="str">
            <v>(인)</v>
          </cell>
          <cell r="AC545" t="str">
            <v>임영구</v>
          </cell>
          <cell r="AD545" t="str">
            <v>(인)</v>
          </cell>
          <cell r="AE545">
            <v>179.6</v>
          </cell>
          <cell r="AF545" t="str">
            <v>표준</v>
          </cell>
          <cell r="AG545">
            <v>4</v>
          </cell>
          <cell r="AH545">
            <v>1</v>
          </cell>
          <cell r="AL545">
            <v>3134</v>
          </cell>
          <cell r="AM545">
            <v>3152</v>
          </cell>
          <cell r="AN545">
            <v>3162</v>
          </cell>
          <cell r="AO545">
            <v>3213</v>
          </cell>
          <cell r="AP545">
            <v>3262</v>
          </cell>
          <cell r="AQ545">
            <v>3271</v>
          </cell>
          <cell r="AR545">
            <v>3231</v>
          </cell>
          <cell r="AS545">
            <v>3309</v>
          </cell>
          <cell r="AT545">
            <v>252800</v>
          </cell>
        </row>
        <row r="546">
          <cell r="G546">
            <v>2406180205</v>
          </cell>
          <cell r="H546" t="str">
            <v>115동</v>
          </cell>
          <cell r="I546">
            <v>240618</v>
          </cell>
          <cell r="J546" t="str">
            <v>115동 기초</v>
          </cell>
          <cell r="K546">
            <v>780</v>
          </cell>
          <cell r="L546">
            <v>780</v>
          </cell>
          <cell r="M546">
            <v>2415</v>
          </cell>
          <cell r="N546" t="str">
            <v>대공</v>
          </cell>
          <cell r="O546" t="str">
            <v>펌프카(1대)</v>
          </cell>
          <cell r="P546">
            <v>750</v>
          </cell>
          <cell r="Q546">
            <v>1603</v>
          </cell>
          <cell r="R546">
            <v>155</v>
          </cell>
          <cell r="S546">
            <v>50</v>
          </cell>
          <cell r="T546">
            <v>55</v>
          </cell>
          <cell r="U546">
            <v>265</v>
          </cell>
          <cell r="V546"/>
          <cell r="W546" t="str">
            <v>박순홍</v>
          </cell>
          <cell r="X546" t="str">
            <v>(인)</v>
          </cell>
          <cell r="Y546" t="str">
            <v>박순홍</v>
          </cell>
          <cell r="Z546" t="str">
            <v>(인)</v>
          </cell>
          <cell r="AA546" t="str">
            <v>임영구</v>
          </cell>
          <cell r="AB546" t="str">
            <v>(인)</v>
          </cell>
          <cell r="AC546" t="str">
            <v>임영구</v>
          </cell>
          <cell r="AD546" t="str">
            <v>(인)</v>
          </cell>
          <cell r="AE546">
            <v>180.6</v>
          </cell>
          <cell r="AF546" t="str">
            <v>표준</v>
          </cell>
          <cell r="AG546">
            <v>5</v>
          </cell>
          <cell r="AH546">
            <v>0</v>
          </cell>
        </row>
        <row r="547">
          <cell r="G547">
            <v>2406180206</v>
          </cell>
          <cell r="H547" t="str">
            <v>115동</v>
          </cell>
          <cell r="I547">
            <v>240618</v>
          </cell>
          <cell r="J547" t="str">
            <v>115동 기초</v>
          </cell>
          <cell r="K547">
            <v>780</v>
          </cell>
          <cell r="L547">
            <v>780</v>
          </cell>
          <cell r="M547">
            <v>2415</v>
          </cell>
          <cell r="N547" t="str">
            <v>대공</v>
          </cell>
          <cell r="O547" t="str">
            <v>펌프카(1대)</v>
          </cell>
          <cell r="P547">
            <v>750</v>
          </cell>
          <cell r="Q547">
            <v>1603</v>
          </cell>
          <cell r="R547">
            <v>170</v>
          </cell>
          <cell r="S547">
            <v>38</v>
          </cell>
          <cell r="T547">
            <v>50</v>
          </cell>
          <cell r="U547">
            <v>273</v>
          </cell>
          <cell r="V547"/>
          <cell r="W547" t="str">
            <v>박순홍</v>
          </cell>
          <cell r="X547" t="str">
            <v>(인)</v>
          </cell>
          <cell r="Y547" t="str">
            <v>박순홍</v>
          </cell>
          <cell r="Z547" t="str">
            <v>(인)</v>
          </cell>
          <cell r="AA547" t="str">
            <v>임영구</v>
          </cell>
          <cell r="AB547" t="str">
            <v>(인)</v>
          </cell>
          <cell r="AC547" t="str">
            <v>임영구</v>
          </cell>
          <cell r="AD547" t="str">
            <v>(인)</v>
          </cell>
          <cell r="AE547">
            <v>190.1</v>
          </cell>
          <cell r="AF547" t="str">
            <v>표준</v>
          </cell>
          <cell r="AG547">
            <v>6</v>
          </cell>
          <cell r="AH547">
            <v>0</v>
          </cell>
        </row>
        <row r="548">
          <cell r="G548">
            <v>2406180207</v>
          </cell>
          <cell r="H548" t="str">
            <v>115동</v>
          </cell>
          <cell r="I548">
            <v>240618</v>
          </cell>
          <cell r="J548" t="str">
            <v>115동 기초</v>
          </cell>
          <cell r="K548">
            <v>780</v>
          </cell>
          <cell r="L548">
            <v>780</v>
          </cell>
          <cell r="M548">
            <v>2415</v>
          </cell>
          <cell r="N548" t="str">
            <v>대공</v>
          </cell>
          <cell r="O548" t="str">
            <v>펌프카(1대)</v>
          </cell>
          <cell r="P548">
            <v>750</v>
          </cell>
          <cell r="Q548">
            <v>1603</v>
          </cell>
          <cell r="R548">
            <v>150</v>
          </cell>
          <cell r="S548">
            <v>42</v>
          </cell>
          <cell r="T548">
            <v>65</v>
          </cell>
          <cell r="U548">
            <v>274</v>
          </cell>
          <cell r="V548"/>
          <cell r="W548" t="str">
            <v>박순홍</v>
          </cell>
          <cell r="X548" t="str">
            <v>(인)</v>
          </cell>
          <cell r="Y548" t="str">
            <v>박순홍</v>
          </cell>
          <cell r="Z548" t="str">
            <v>(인)</v>
          </cell>
          <cell r="AA548" t="str">
            <v>임영구</v>
          </cell>
          <cell r="AB548" t="str">
            <v>(인)</v>
          </cell>
          <cell r="AC548" t="str">
            <v>임영구</v>
          </cell>
          <cell r="AD548" t="str">
            <v>(인)</v>
          </cell>
          <cell r="AE548">
            <v>177.6</v>
          </cell>
          <cell r="AF548" t="str">
            <v>표준</v>
          </cell>
          <cell r="AG548">
            <v>7</v>
          </cell>
          <cell r="AH548">
            <v>1</v>
          </cell>
          <cell r="AL548">
            <v>3162</v>
          </cell>
          <cell r="AM548">
            <v>3193</v>
          </cell>
          <cell r="AN548">
            <v>3162</v>
          </cell>
          <cell r="AO548">
            <v>3264</v>
          </cell>
          <cell r="AP548">
            <v>3301</v>
          </cell>
          <cell r="AQ548">
            <v>3179</v>
          </cell>
          <cell r="AR548">
            <v>3194</v>
          </cell>
          <cell r="AS548">
            <v>3267</v>
          </cell>
          <cell r="AT548">
            <v>252000</v>
          </cell>
        </row>
        <row r="549">
          <cell r="G549">
            <v>2406180301</v>
          </cell>
          <cell r="H549" t="str">
            <v>120동</v>
          </cell>
          <cell r="I549">
            <v>240618</v>
          </cell>
          <cell r="J549" t="str">
            <v>120동 버림</v>
          </cell>
          <cell r="K549">
            <v>250</v>
          </cell>
          <cell r="L549">
            <v>252</v>
          </cell>
          <cell r="M549">
            <v>1812</v>
          </cell>
          <cell r="N549" t="str">
            <v>영진</v>
          </cell>
          <cell r="O549" t="str">
            <v>펌프카(1대)</v>
          </cell>
          <cell r="P549">
            <v>1340</v>
          </cell>
          <cell r="Q549">
            <v>1730</v>
          </cell>
          <cell r="R549">
            <v>120</v>
          </cell>
          <cell r="S549">
            <v>45</v>
          </cell>
          <cell r="T549">
            <v>65</v>
          </cell>
          <cell r="U549">
            <v>243</v>
          </cell>
          <cell r="V549"/>
          <cell r="W549" t="str">
            <v>박순홍</v>
          </cell>
          <cell r="X549" t="str">
            <v>(인)</v>
          </cell>
          <cell r="Y549" t="str">
            <v>박순홍</v>
          </cell>
          <cell r="Z549" t="str">
            <v>(인)</v>
          </cell>
          <cell r="AA549" t="str">
            <v>김만고</v>
          </cell>
          <cell r="AB549" t="str">
            <v>(인)</v>
          </cell>
          <cell r="AC549" t="str">
            <v>임영구</v>
          </cell>
          <cell r="AD549" t="str">
            <v>(인)</v>
          </cell>
          <cell r="AE549">
            <v>171.6</v>
          </cell>
          <cell r="AF549" t="str">
            <v>표준</v>
          </cell>
          <cell r="AG549">
            <v>1</v>
          </cell>
          <cell r="AH549">
            <v>1</v>
          </cell>
          <cell r="AI549">
            <v>1573</v>
          </cell>
          <cell r="AJ549">
            <v>1576</v>
          </cell>
          <cell r="AK549">
            <v>121000</v>
          </cell>
          <cell r="AL549">
            <v>2419</v>
          </cell>
          <cell r="AM549">
            <v>2330</v>
          </cell>
          <cell r="AN549">
            <v>2320</v>
          </cell>
          <cell r="AO549">
            <v>2410</v>
          </cell>
          <cell r="AP549">
            <v>2362</v>
          </cell>
          <cell r="AQ549">
            <v>2279</v>
          </cell>
          <cell r="AR549">
            <v>2284</v>
          </cell>
          <cell r="AS549">
            <v>2294</v>
          </cell>
          <cell r="AT549">
            <v>187800</v>
          </cell>
        </row>
        <row r="550">
          <cell r="G550">
            <v>2406180302</v>
          </cell>
          <cell r="H550" t="str">
            <v>120동</v>
          </cell>
          <cell r="I550">
            <v>240618</v>
          </cell>
          <cell r="J550" t="str">
            <v>120동 버림</v>
          </cell>
          <cell r="K550">
            <v>250</v>
          </cell>
          <cell r="L550">
            <v>252</v>
          </cell>
          <cell r="M550">
            <v>1812</v>
          </cell>
          <cell r="N550" t="str">
            <v>영진</v>
          </cell>
          <cell r="O550" t="str">
            <v>펌프카(1대)</v>
          </cell>
          <cell r="P550">
            <v>1340</v>
          </cell>
          <cell r="Q550">
            <v>1730</v>
          </cell>
          <cell r="R550">
            <v>130</v>
          </cell>
          <cell r="S550">
            <v>50</v>
          </cell>
          <cell r="T550">
            <v>27</v>
          </cell>
          <cell r="U550">
            <v>235</v>
          </cell>
          <cell r="V550"/>
          <cell r="W550" t="str">
            <v>박순홍</v>
          </cell>
          <cell r="X550" t="str">
            <v>(인)</v>
          </cell>
          <cell r="Y550" t="str">
            <v>박순홍</v>
          </cell>
          <cell r="Z550" t="str">
            <v>(인)</v>
          </cell>
          <cell r="AA550" t="str">
            <v>김만고</v>
          </cell>
          <cell r="AB550" t="str">
            <v>(인)</v>
          </cell>
          <cell r="AC550" t="str">
            <v>임영구</v>
          </cell>
          <cell r="AD550" t="str">
            <v>(인)</v>
          </cell>
          <cell r="AE550">
            <v>170.8</v>
          </cell>
          <cell r="AF550" t="str">
            <v>표준</v>
          </cell>
          <cell r="AG550">
            <v>2</v>
          </cell>
          <cell r="AH550">
            <v>0</v>
          </cell>
        </row>
        <row r="551">
          <cell r="G551">
            <v>2406180303</v>
          </cell>
          <cell r="H551" t="str">
            <v>120동</v>
          </cell>
          <cell r="I551">
            <v>240618</v>
          </cell>
          <cell r="J551" t="str">
            <v>120동 버림</v>
          </cell>
          <cell r="K551">
            <v>250</v>
          </cell>
          <cell r="L551">
            <v>252</v>
          </cell>
          <cell r="M551">
            <v>1812</v>
          </cell>
          <cell r="N551" t="str">
            <v>영진</v>
          </cell>
          <cell r="O551" t="str">
            <v>펌프카(1대)</v>
          </cell>
          <cell r="P551">
            <v>1340</v>
          </cell>
          <cell r="Q551">
            <v>1730</v>
          </cell>
          <cell r="R551">
            <v>110</v>
          </cell>
          <cell r="S551">
            <v>51</v>
          </cell>
          <cell r="T551">
            <v>35</v>
          </cell>
          <cell r="U551">
            <v>250</v>
          </cell>
          <cell r="V551"/>
          <cell r="W551" t="str">
            <v>박순홍</v>
          </cell>
          <cell r="X551" t="str">
            <v>(인)</v>
          </cell>
          <cell r="Y551" t="str">
            <v>박순홍</v>
          </cell>
          <cell r="Z551" t="str">
            <v>(인)</v>
          </cell>
          <cell r="AA551" t="str">
            <v>김만고</v>
          </cell>
          <cell r="AB551" t="str">
            <v>(인)</v>
          </cell>
          <cell r="AC551" t="str">
            <v>임영구</v>
          </cell>
          <cell r="AD551" t="str">
            <v>(인)</v>
          </cell>
          <cell r="AE551">
            <v>163.19999999999999</v>
          </cell>
          <cell r="AF551" t="str">
            <v>표준</v>
          </cell>
          <cell r="AG551">
            <v>3</v>
          </cell>
          <cell r="AH551">
            <v>0</v>
          </cell>
        </row>
        <row r="552">
          <cell r="G552">
            <v>2406190101</v>
          </cell>
          <cell r="H552" t="str">
            <v>109동</v>
          </cell>
          <cell r="I552">
            <v>240619</v>
          </cell>
          <cell r="J552" t="str">
            <v>109동 2차</v>
          </cell>
          <cell r="K552">
            <v>450</v>
          </cell>
          <cell r="L552">
            <v>450</v>
          </cell>
          <cell r="M552">
            <v>3015</v>
          </cell>
          <cell r="N552" t="str">
            <v>대원</v>
          </cell>
          <cell r="O552" t="str">
            <v>펌프카(1대)</v>
          </cell>
          <cell r="P552">
            <v>755</v>
          </cell>
          <cell r="Q552">
            <v>1418</v>
          </cell>
          <cell r="R552">
            <v>160</v>
          </cell>
          <cell r="S552">
            <v>39</v>
          </cell>
          <cell r="T552">
            <v>14</v>
          </cell>
          <cell r="U552">
            <v>199</v>
          </cell>
          <cell r="V552"/>
          <cell r="W552" t="str">
            <v>박순홍</v>
          </cell>
          <cell r="X552" t="str">
            <v>(인)</v>
          </cell>
          <cell r="Y552" t="str">
            <v>박순홍</v>
          </cell>
          <cell r="Z552" t="str">
            <v>(인)</v>
          </cell>
          <cell r="AA552" t="str">
            <v>정창인</v>
          </cell>
          <cell r="AB552" t="str">
            <v>(인)</v>
          </cell>
          <cell r="AC552" t="str">
            <v>정창인</v>
          </cell>
          <cell r="AD552" t="str">
            <v>(인)</v>
          </cell>
          <cell r="AE552">
            <v>181.4</v>
          </cell>
          <cell r="AF552" t="str">
            <v>표준</v>
          </cell>
          <cell r="AG552">
            <v>1</v>
          </cell>
          <cell r="AH552">
            <v>1</v>
          </cell>
          <cell r="AI552">
            <v>2910</v>
          </cell>
          <cell r="AJ552">
            <v>2870</v>
          </cell>
          <cell r="AK552">
            <v>230000</v>
          </cell>
          <cell r="AL552">
            <v>3873</v>
          </cell>
          <cell r="AM552">
            <v>3901</v>
          </cell>
          <cell r="AN552">
            <v>3990</v>
          </cell>
          <cell r="AO552">
            <v>3868</v>
          </cell>
          <cell r="AP552">
            <v>3940</v>
          </cell>
          <cell r="AQ552">
            <v>4062</v>
          </cell>
          <cell r="AR552">
            <v>3927</v>
          </cell>
          <cell r="AS552">
            <v>3864</v>
          </cell>
          <cell r="AT552">
            <v>307400</v>
          </cell>
        </row>
        <row r="553">
          <cell r="G553">
            <v>2406190102</v>
          </cell>
          <cell r="H553" t="str">
            <v>109동</v>
          </cell>
          <cell r="I553">
            <v>240619</v>
          </cell>
          <cell r="J553" t="str">
            <v>109동 2차</v>
          </cell>
          <cell r="K553">
            <v>450</v>
          </cell>
          <cell r="L553">
            <v>450</v>
          </cell>
          <cell r="M553">
            <v>3015</v>
          </cell>
          <cell r="N553" t="str">
            <v>대원</v>
          </cell>
          <cell r="O553" t="str">
            <v>펌프카(1대)</v>
          </cell>
          <cell r="P553">
            <v>755</v>
          </cell>
          <cell r="Q553">
            <v>1418</v>
          </cell>
          <cell r="R553">
            <v>155</v>
          </cell>
          <cell r="S553">
            <v>48</v>
          </cell>
          <cell r="T553">
            <v>69</v>
          </cell>
          <cell r="U553">
            <v>289</v>
          </cell>
          <cell r="V553"/>
          <cell r="W553" t="str">
            <v>박순홍</v>
          </cell>
          <cell r="X553" t="str">
            <v>(인)</v>
          </cell>
          <cell r="Y553" t="str">
            <v>박순홍</v>
          </cell>
          <cell r="Z553" t="str">
            <v>(인)</v>
          </cell>
          <cell r="AA553" t="str">
            <v>정창인</v>
          </cell>
          <cell r="AB553" t="str">
            <v>(인)</v>
          </cell>
          <cell r="AC553" t="str">
            <v>정창인</v>
          </cell>
          <cell r="AD553" t="str">
            <v>(인)</v>
          </cell>
          <cell r="AE553">
            <v>179.3</v>
          </cell>
          <cell r="AF553" t="str">
            <v>표준</v>
          </cell>
          <cell r="AG553">
            <v>2</v>
          </cell>
          <cell r="AH553">
            <v>0</v>
          </cell>
        </row>
        <row r="554">
          <cell r="G554">
            <v>2406190103</v>
          </cell>
          <cell r="H554" t="str">
            <v>109동</v>
          </cell>
          <cell r="I554">
            <v>240619</v>
          </cell>
          <cell r="J554" t="str">
            <v>109동 2차</v>
          </cell>
          <cell r="K554">
            <v>450</v>
          </cell>
          <cell r="L554">
            <v>450</v>
          </cell>
          <cell r="M554">
            <v>3015</v>
          </cell>
          <cell r="N554" t="str">
            <v>대원</v>
          </cell>
          <cell r="O554" t="str">
            <v>펌프카(1대)</v>
          </cell>
          <cell r="P554">
            <v>755</v>
          </cell>
          <cell r="Q554">
            <v>1418</v>
          </cell>
          <cell r="R554">
            <v>160</v>
          </cell>
          <cell r="S554">
            <v>55</v>
          </cell>
          <cell r="T554">
            <v>23</v>
          </cell>
          <cell r="U554">
            <v>280</v>
          </cell>
          <cell r="V554"/>
          <cell r="W554" t="str">
            <v>박순홍</v>
          </cell>
          <cell r="X554" t="str">
            <v>(인)</v>
          </cell>
          <cell r="Y554" t="str">
            <v>박순홍</v>
          </cell>
          <cell r="Z554" t="str">
            <v>(인)</v>
          </cell>
          <cell r="AA554" t="str">
            <v>정창인</v>
          </cell>
          <cell r="AB554" t="str">
            <v>(인)</v>
          </cell>
          <cell r="AC554" t="str">
            <v>정창인</v>
          </cell>
          <cell r="AD554" t="str">
            <v>(인)</v>
          </cell>
          <cell r="AE554">
            <v>181.6</v>
          </cell>
          <cell r="AF554" t="str">
            <v>표준</v>
          </cell>
          <cell r="AG554">
            <v>3</v>
          </cell>
          <cell r="AH554">
            <v>0</v>
          </cell>
        </row>
        <row r="555">
          <cell r="G555">
            <v>2406190104</v>
          </cell>
          <cell r="H555" t="str">
            <v>109동</v>
          </cell>
          <cell r="I555">
            <v>240619</v>
          </cell>
          <cell r="J555" t="str">
            <v>109동 2차</v>
          </cell>
          <cell r="K555">
            <v>450</v>
          </cell>
          <cell r="L555">
            <v>450</v>
          </cell>
          <cell r="M555">
            <v>3015</v>
          </cell>
          <cell r="N555" t="str">
            <v>대원</v>
          </cell>
          <cell r="O555" t="str">
            <v>펌프카(1대)</v>
          </cell>
          <cell r="P555">
            <v>755</v>
          </cell>
          <cell r="Q555">
            <v>1418</v>
          </cell>
          <cell r="R555">
            <v>160</v>
          </cell>
          <cell r="S555">
            <v>42</v>
          </cell>
          <cell r="T555">
            <v>33</v>
          </cell>
          <cell r="U555">
            <v>270</v>
          </cell>
          <cell r="V555"/>
          <cell r="W555" t="str">
            <v>박순홍</v>
          </cell>
          <cell r="X555" t="str">
            <v>(인)</v>
          </cell>
          <cell r="Y555" t="str">
            <v>박순홍</v>
          </cell>
          <cell r="Z555" t="str">
            <v>(인)</v>
          </cell>
          <cell r="AA555" t="str">
            <v>이루비</v>
          </cell>
          <cell r="AB555" t="str">
            <v>(인)</v>
          </cell>
          <cell r="AC555" t="str">
            <v>정창인</v>
          </cell>
          <cell r="AD555" t="str">
            <v>(인)</v>
          </cell>
          <cell r="AE555">
            <v>177.4</v>
          </cell>
          <cell r="AF555" t="str">
            <v>표준</v>
          </cell>
          <cell r="AG555">
            <v>4</v>
          </cell>
          <cell r="AH555">
            <v>1</v>
          </cell>
          <cell r="AL555">
            <v>3939</v>
          </cell>
          <cell r="AM555">
            <v>3949</v>
          </cell>
          <cell r="AN555">
            <v>3972</v>
          </cell>
          <cell r="AO555">
            <v>3888</v>
          </cell>
          <cell r="AP555">
            <v>3862</v>
          </cell>
          <cell r="AQ555">
            <v>3927</v>
          </cell>
          <cell r="AR555">
            <v>4004</v>
          </cell>
          <cell r="AS555">
            <v>3869</v>
          </cell>
          <cell r="AT555">
            <v>311400</v>
          </cell>
        </row>
        <row r="556">
          <cell r="G556">
            <v>2406190201</v>
          </cell>
          <cell r="H556" t="str">
            <v>114동</v>
          </cell>
          <cell r="I556">
            <v>240619</v>
          </cell>
          <cell r="J556" t="str">
            <v>114동 지하3층</v>
          </cell>
          <cell r="K556">
            <v>480</v>
          </cell>
          <cell r="L556">
            <v>480</v>
          </cell>
          <cell r="M556">
            <v>3015</v>
          </cell>
          <cell r="N556" t="str">
            <v>쌍용</v>
          </cell>
          <cell r="O556" t="str">
            <v>펌프카(1대)</v>
          </cell>
          <cell r="P556">
            <v>816</v>
          </cell>
          <cell r="Q556">
            <v>1525</v>
          </cell>
          <cell r="R556">
            <v>165</v>
          </cell>
          <cell r="S556">
            <v>36</v>
          </cell>
          <cell r="T556">
            <v>42</v>
          </cell>
          <cell r="U556">
            <v>271</v>
          </cell>
          <cell r="V556"/>
          <cell r="W556" t="str">
            <v>박순홍</v>
          </cell>
          <cell r="X556" t="str">
            <v>(인)</v>
          </cell>
          <cell r="Y556" t="str">
            <v>박순홍</v>
          </cell>
          <cell r="Z556" t="str">
            <v>(인)</v>
          </cell>
          <cell r="AA556" t="str">
            <v>김만고</v>
          </cell>
          <cell r="AB556" t="str">
            <v>(인)</v>
          </cell>
          <cell r="AC556" t="str">
            <v>김만고</v>
          </cell>
          <cell r="AD556" t="str">
            <v>(인)</v>
          </cell>
          <cell r="AE556">
            <v>179.7</v>
          </cell>
          <cell r="AF556" t="str">
            <v>표준</v>
          </cell>
          <cell r="AG556">
            <v>1</v>
          </cell>
          <cell r="AH556">
            <v>1</v>
          </cell>
          <cell r="AI556">
            <v>2793</v>
          </cell>
          <cell r="AJ556">
            <v>2834</v>
          </cell>
          <cell r="AK556">
            <v>222600</v>
          </cell>
          <cell r="AL556">
            <v>3801</v>
          </cell>
          <cell r="AM556">
            <v>3771</v>
          </cell>
          <cell r="AN556">
            <v>3885</v>
          </cell>
          <cell r="AO556">
            <v>3758</v>
          </cell>
          <cell r="AP556">
            <v>3717</v>
          </cell>
          <cell r="AQ556">
            <v>3802</v>
          </cell>
          <cell r="AR556">
            <v>3714</v>
          </cell>
          <cell r="AS556">
            <v>3809</v>
          </cell>
          <cell r="AT556">
            <v>295200</v>
          </cell>
        </row>
        <row r="557">
          <cell r="G557">
            <v>2406190202</v>
          </cell>
          <cell r="H557" t="str">
            <v>114동</v>
          </cell>
          <cell r="I557">
            <v>240619</v>
          </cell>
          <cell r="J557" t="str">
            <v>114동 지하3층</v>
          </cell>
          <cell r="K557">
            <v>480</v>
          </cell>
          <cell r="L557">
            <v>480</v>
          </cell>
          <cell r="M557">
            <v>3015</v>
          </cell>
          <cell r="N557" t="str">
            <v>쌍용</v>
          </cell>
          <cell r="O557" t="str">
            <v>펌프카(1대)</v>
          </cell>
          <cell r="P557">
            <v>816</v>
          </cell>
          <cell r="Q557">
            <v>1525</v>
          </cell>
          <cell r="R557">
            <v>160</v>
          </cell>
          <cell r="S557">
            <v>45</v>
          </cell>
          <cell r="T557">
            <v>34</v>
          </cell>
          <cell r="U557">
            <v>256</v>
          </cell>
          <cell r="V557"/>
          <cell r="W557" t="str">
            <v>박순홍</v>
          </cell>
          <cell r="X557" t="str">
            <v>(인)</v>
          </cell>
          <cell r="Y557" t="str">
            <v>박순홍</v>
          </cell>
          <cell r="Z557" t="str">
            <v>(인)</v>
          </cell>
          <cell r="AA557" t="str">
            <v>김만고</v>
          </cell>
          <cell r="AB557" t="str">
            <v>(인)</v>
          </cell>
          <cell r="AC557" t="str">
            <v>김만고</v>
          </cell>
          <cell r="AD557" t="str">
            <v>(인)</v>
          </cell>
          <cell r="AE557">
            <v>179.4</v>
          </cell>
          <cell r="AF557" t="str">
            <v>표준</v>
          </cell>
          <cell r="AG557">
            <v>2</v>
          </cell>
          <cell r="AH557">
            <v>0</v>
          </cell>
        </row>
        <row r="558">
          <cell r="G558">
            <v>2406190203</v>
          </cell>
          <cell r="H558" t="str">
            <v>114동</v>
          </cell>
          <cell r="I558">
            <v>240619</v>
          </cell>
          <cell r="J558" t="str">
            <v>114동 지하3층</v>
          </cell>
          <cell r="K558">
            <v>480</v>
          </cell>
          <cell r="L558">
            <v>480</v>
          </cell>
          <cell r="M558">
            <v>3015</v>
          </cell>
          <cell r="N558" t="str">
            <v>쌍용</v>
          </cell>
          <cell r="O558" t="str">
            <v>펌프카(1대)</v>
          </cell>
          <cell r="P558">
            <v>816</v>
          </cell>
          <cell r="Q558">
            <v>1525</v>
          </cell>
          <cell r="R558">
            <v>160</v>
          </cell>
          <cell r="S558">
            <v>50</v>
          </cell>
          <cell r="T558">
            <v>153</v>
          </cell>
          <cell r="U558">
            <v>268</v>
          </cell>
          <cell r="V558"/>
          <cell r="W558" t="str">
            <v>박순홍</v>
          </cell>
          <cell r="X558" t="str">
            <v>(인)</v>
          </cell>
          <cell r="Y558" t="str">
            <v>박순홍</v>
          </cell>
          <cell r="Z558" t="str">
            <v>(인)</v>
          </cell>
          <cell r="AA558" t="str">
            <v>김만고</v>
          </cell>
          <cell r="AB558" t="str">
            <v>(인)</v>
          </cell>
          <cell r="AC558" t="str">
            <v>김만고</v>
          </cell>
          <cell r="AD558" t="str">
            <v>(인)</v>
          </cell>
          <cell r="AE558">
            <v>181.4</v>
          </cell>
          <cell r="AF558" t="str">
            <v>표준</v>
          </cell>
          <cell r="AG558">
            <v>3</v>
          </cell>
          <cell r="AH558">
            <v>0</v>
          </cell>
        </row>
        <row r="559">
          <cell r="G559">
            <v>2406190204</v>
          </cell>
          <cell r="H559" t="str">
            <v>114동</v>
          </cell>
          <cell r="I559">
            <v>240619</v>
          </cell>
          <cell r="J559" t="str">
            <v>114동 지하3층</v>
          </cell>
          <cell r="K559">
            <v>480</v>
          </cell>
          <cell r="L559">
            <v>480</v>
          </cell>
          <cell r="M559">
            <v>3015</v>
          </cell>
          <cell r="N559" t="str">
            <v>쌍용</v>
          </cell>
          <cell r="O559" t="str">
            <v>펌프카(1대)</v>
          </cell>
          <cell r="P559">
            <v>816</v>
          </cell>
          <cell r="Q559">
            <v>1525</v>
          </cell>
          <cell r="R559">
            <v>140</v>
          </cell>
          <cell r="S559">
            <v>50</v>
          </cell>
          <cell r="T559">
            <v>25</v>
          </cell>
          <cell r="U559">
            <v>266</v>
          </cell>
          <cell r="V559"/>
          <cell r="W559" t="str">
            <v>박순홍</v>
          </cell>
          <cell r="X559" t="str">
            <v>(인)</v>
          </cell>
          <cell r="Y559" t="str">
            <v>박순홍</v>
          </cell>
          <cell r="Z559" t="str">
            <v>(인)</v>
          </cell>
          <cell r="AA559" t="str">
            <v>김만고</v>
          </cell>
          <cell r="AB559" t="str">
            <v>(인)</v>
          </cell>
          <cell r="AC559" t="str">
            <v>김만고</v>
          </cell>
          <cell r="AD559" t="str">
            <v>(인)</v>
          </cell>
          <cell r="AE559">
            <v>180.6</v>
          </cell>
          <cell r="AF559" t="str">
            <v>표준</v>
          </cell>
          <cell r="AG559">
            <v>4</v>
          </cell>
          <cell r="AH559">
            <v>1</v>
          </cell>
          <cell r="AL559">
            <v>3911</v>
          </cell>
          <cell r="AM559">
            <v>3834</v>
          </cell>
          <cell r="AN559">
            <v>3919</v>
          </cell>
          <cell r="AO559">
            <v>3880</v>
          </cell>
          <cell r="AP559">
            <v>3837</v>
          </cell>
          <cell r="AQ559">
            <v>3769</v>
          </cell>
          <cell r="AR559">
            <v>3816</v>
          </cell>
          <cell r="AS559">
            <v>3769</v>
          </cell>
          <cell r="AT559">
            <v>294800</v>
          </cell>
        </row>
        <row r="560">
          <cell r="G560">
            <v>2406190301</v>
          </cell>
          <cell r="H560" t="str">
            <v>114동</v>
          </cell>
          <cell r="I560">
            <v>240619</v>
          </cell>
          <cell r="J560" t="str">
            <v>114동 지하3층</v>
          </cell>
          <cell r="K560">
            <v>460</v>
          </cell>
          <cell r="L560">
            <v>462</v>
          </cell>
          <cell r="M560">
            <v>3015</v>
          </cell>
          <cell r="N560" t="str">
            <v>동양</v>
          </cell>
          <cell r="O560" t="str">
            <v>펌프카(1대)</v>
          </cell>
          <cell r="P560">
            <v>820</v>
          </cell>
          <cell r="Q560">
            <v>1715</v>
          </cell>
          <cell r="R560">
            <v>145</v>
          </cell>
          <cell r="S560">
            <v>46</v>
          </cell>
          <cell r="T560">
            <v>13</v>
          </cell>
          <cell r="U560">
            <v>253</v>
          </cell>
          <cell r="V560"/>
          <cell r="W560" t="str">
            <v>박순홍</v>
          </cell>
          <cell r="X560" t="str">
            <v>(인)</v>
          </cell>
          <cell r="Y560" t="str">
            <v>박순홍</v>
          </cell>
          <cell r="Z560" t="str">
            <v>(인)</v>
          </cell>
          <cell r="AA560" t="str">
            <v>김만고</v>
          </cell>
          <cell r="AB560" t="str">
            <v>(인)</v>
          </cell>
          <cell r="AC560" t="str">
            <v>김만고</v>
          </cell>
          <cell r="AD560" t="str">
            <v>(인)</v>
          </cell>
          <cell r="AE560">
            <v>187.2</v>
          </cell>
          <cell r="AF560" t="str">
            <v>표준</v>
          </cell>
          <cell r="AG560">
            <v>1</v>
          </cell>
          <cell r="AH560">
            <v>1</v>
          </cell>
          <cell r="AI560">
            <v>2951</v>
          </cell>
          <cell r="AJ560">
            <v>2938</v>
          </cell>
          <cell r="AK560">
            <v>230800</v>
          </cell>
          <cell r="AL560">
            <v>3977</v>
          </cell>
          <cell r="AM560">
            <v>4064</v>
          </cell>
          <cell r="AN560">
            <v>4076</v>
          </cell>
          <cell r="AO560">
            <v>3911</v>
          </cell>
          <cell r="AP560">
            <v>3962</v>
          </cell>
          <cell r="AQ560">
            <v>4014</v>
          </cell>
          <cell r="AR560">
            <v>3872</v>
          </cell>
          <cell r="AS560">
            <v>3962</v>
          </cell>
          <cell r="AT560">
            <v>307600</v>
          </cell>
        </row>
        <row r="561">
          <cell r="G561">
            <v>2406190302</v>
          </cell>
          <cell r="H561" t="str">
            <v>114동</v>
          </cell>
          <cell r="I561">
            <v>240619</v>
          </cell>
          <cell r="J561" t="str">
            <v>114동 지하3층</v>
          </cell>
          <cell r="K561">
            <v>460</v>
          </cell>
          <cell r="L561">
            <v>462</v>
          </cell>
          <cell r="M561">
            <v>3015</v>
          </cell>
          <cell r="N561" t="str">
            <v>동양</v>
          </cell>
          <cell r="O561" t="str">
            <v>펌프카(1대)</v>
          </cell>
          <cell r="P561">
            <v>820</v>
          </cell>
          <cell r="Q561">
            <v>1715</v>
          </cell>
          <cell r="R561">
            <v>150</v>
          </cell>
          <cell r="S561">
            <v>40</v>
          </cell>
          <cell r="T561">
            <v>86</v>
          </cell>
          <cell r="U561">
            <v>273</v>
          </cell>
          <cell r="V561"/>
          <cell r="W561" t="str">
            <v>박순홍</v>
          </cell>
          <cell r="X561" t="str">
            <v>(인)</v>
          </cell>
          <cell r="Y561" t="str">
            <v>박순홍</v>
          </cell>
          <cell r="Z561" t="str">
            <v>(인)</v>
          </cell>
          <cell r="AA561" t="str">
            <v>김만고</v>
          </cell>
          <cell r="AB561" t="str">
            <v>(인)</v>
          </cell>
          <cell r="AC561" t="str">
            <v>김만고</v>
          </cell>
          <cell r="AD561" t="str">
            <v>(인)</v>
          </cell>
          <cell r="AE561">
            <v>182.6</v>
          </cell>
          <cell r="AF561" t="str">
            <v>표준</v>
          </cell>
          <cell r="AG561">
            <v>2</v>
          </cell>
          <cell r="AH561">
            <v>0</v>
          </cell>
        </row>
        <row r="562">
          <cell r="G562">
            <v>2406190303</v>
          </cell>
          <cell r="H562" t="str">
            <v>114동</v>
          </cell>
          <cell r="I562">
            <v>240619</v>
          </cell>
          <cell r="J562" t="str">
            <v>114동 지하3층</v>
          </cell>
          <cell r="K562">
            <v>460</v>
          </cell>
          <cell r="L562">
            <v>462</v>
          </cell>
          <cell r="M562">
            <v>3015</v>
          </cell>
          <cell r="N562" t="str">
            <v>동양</v>
          </cell>
          <cell r="O562" t="str">
            <v>펌프카(1대)</v>
          </cell>
          <cell r="P562">
            <v>820</v>
          </cell>
          <cell r="Q562">
            <v>1715</v>
          </cell>
          <cell r="R562">
            <v>155</v>
          </cell>
          <cell r="S562">
            <v>46</v>
          </cell>
          <cell r="T562">
            <v>67</v>
          </cell>
          <cell r="U562">
            <v>283</v>
          </cell>
          <cell r="V562"/>
          <cell r="W562" t="str">
            <v>박순홍</v>
          </cell>
          <cell r="X562" t="str">
            <v>(인)</v>
          </cell>
          <cell r="Y562" t="str">
            <v>박순홍</v>
          </cell>
          <cell r="Z562" t="str">
            <v>(인)</v>
          </cell>
          <cell r="AA562" t="str">
            <v>김만고</v>
          </cell>
          <cell r="AB562" t="str">
            <v>(인)</v>
          </cell>
          <cell r="AC562" t="str">
            <v>김만고</v>
          </cell>
          <cell r="AD562" t="str">
            <v>(인)</v>
          </cell>
          <cell r="AE562">
            <v>187.4</v>
          </cell>
          <cell r="AF562" t="str">
            <v>표준</v>
          </cell>
          <cell r="AG562">
            <v>3</v>
          </cell>
          <cell r="AH562">
            <v>0</v>
          </cell>
        </row>
        <row r="563">
          <cell r="G563">
            <v>2406190304</v>
          </cell>
          <cell r="H563" t="str">
            <v>114동</v>
          </cell>
          <cell r="I563">
            <v>240619</v>
          </cell>
          <cell r="J563" t="str">
            <v>114동 지하3층</v>
          </cell>
          <cell r="K563">
            <v>460</v>
          </cell>
          <cell r="L563">
            <v>462</v>
          </cell>
          <cell r="M563">
            <v>3015</v>
          </cell>
          <cell r="N563" t="str">
            <v>동양</v>
          </cell>
          <cell r="O563" t="str">
            <v>펌프카(1대)</v>
          </cell>
          <cell r="P563">
            <v>820</v>
          </cell>
          <cell r="Q563">
            <v>1715</v>
          </cell>
          <cell r="R563">
            <v>150</v>
          </cell>
          <cell r="S563">
            <v>46</v>
          </cell>
          <cell r="T563">
            <v>124</v>
          </cell>
          <cell r="U563">
            <v>251</v>
          </cell>
          <cell r="V563"/>
          <cell r="W563" t="str">
            <v>박순홍</v>
          </cell>
          <cell r="X563" t="str">
            <v>(인)</v>
          </cell>
          <cell r="Y563" t="str">
            <v>박순홍</v>
          </cell>
          <cell r="Z563" t="str">
            <v>(인)</v>
          </cell>
          <cell r="AA563" t="str">
            <v>김만고</v>
          </cell>
          <cell r="AB563" t="str">
            <v>(인)</v>
          </cell>
          <cell r="AC563" t="str">
            <v>김만고</v>
          </cell>
          <cell r="AD563" t="str">
            <v>(인)</v>
          </cell>
          <cell r="AE563">
            <v>178.3</v>
          </cell>
          <cell r="AF563" t="str">
            <v>표준</v>
          </cell>
          <cell r="AG563">
            <v>4</v>
          </cell>
          <cell r="AH563">
            <v>1</v>
          </cell>
          <cell r="AL563">
            <v>3862</v>
          </cell>
          <cell r="AM563">
            <v>3845</v>
          </cell>
          <cell r="AN563">
            <v>3857</v>
          </cell>
          <cell r="AO563">
            <v>3692</v>
          </cell>
          <cell r="AP563">
            <v>3868</v>
          </cell>
          <cell r="AQ563">
            <v>3904</v>
          </cell>
          <cell r="AR563">
            <v>3862</v>
          </cell>
          <cell r="AS563">
            <v>3924</v>
          </cell>
          <cell r="AT563">
            <v>300800</v>
          </cell>
        </row>
        <row r="564">
          <cell r="G564">
            <v>2406190401</v>
          </cell>
          <cell r="H564" t="str">
            <v>103동</v>
          </cell>
          <cell r="I564">
            <v>240619</v>
          </cell>
          <cell r="J564" t="str">
            <v>103동 8층 바닥</v>
          </cell>
          <cell r="K564">
            <v>280</v>
          </cell>
          <cell r="L564">
            <v>282</v>
          </cell>
          <cell r="M564">
            <v>3018</v>
          </cell>
          <cell r="N564" t="str">
            <v>대원</v>
          </cell>
          <cell r="O564" t="str">
            <v>펌프카(1대)</v>
          </cell>
          <cell r="P564">
            <v>830</v>
          </cell>
          <cell r="Q564">
            <v>1327</v>
          </cell>
          <cell r="R564">
            <v>190</v>
          </cell>
          <cell r="S564">
            <v>42</v>
          </cell>
          <cell r="T564">
            <v>39</v>
          </cell>
          <cell r="U564">
            <v>260</v>
          </cell>
          <cell r="V564"/>
          <cell r="W564" t="str">
            <v>박순홍</v>
          </cell>
          <cell r="X564" t="str">
            <v>(인)</v>
          </cell>
          <cell r="Y564" t="str">
            <v>박순홍</v>
          </cell>
          <cell r="Z564" t="str">
            <v>(인)</v>
          </cell>
          <cell r="AA564" t="str">
            <v>이루비</v>
          </cell>
          <cell r="AB564" t="str">
            <v>(인)</v>
          </cell>
          <cell r="AC564" t="str">
            <v>최상옥</v>
          </cell>
          <cell r="AD564" t="str">
            <v>(인)</v>
          </cell>
          <cell r="AE564">
            <v>192.6</v>
          </cell>
          <cell r="AF564" t="str">
            <v>표준</v>
          </cell>
          <cell r="AG564">
            <v>1</v>
          </cell>
          <cell r="AH564">
            <v>1</v>
          </cell>
          <cell r="AI564">
            <v>3058</v>
          </cell>
          <cell r="AJ564">
            <v>3122</v>
          </cell>
          <cell r="AK564">
            <v>241200</v>
          </cell>
          <cell r="AL564">
            <v>3977</v>
          </cell>
          <cell r="AM564">
            <v>4033</v>
          </cell>
          <cell r="AN564">
            <v>3987</v>
          </cell>
          <cell r="AO564">
            <v>4015</v>
          </cell>
          <cell r="AP564">
            <v>3987</v>
          </cell>
          <cell r="AQ564">
            <v>4041</v>
          </cell>
          <cell r="AR564">
            <v>4024</v>
          </cell>
          <cell r="AS564">
            <v>4005</v>
          </cell>
          <cell r="AT564">
            <v>307200</v>
          </cell>
        </row>
        <row r="565">
          <cell r="G565">
            <v>2406190402</v>
          </cell>
          <cell r="H565" t="str">
            <v>103동</v>
          </cell>
          <cell r="I565">
            <v>240619</v>
          </cell>
          <cell r="J565" t="str">
            <v>103동 8층 바닥</v>
          </cell>
          <cell r="K565">
            <v>280</v>
          </cell>
          <cell r="L565">
            <v>282</v>
          </cell>
          <cell r="M565">
            <v>3018</v>
          </cell>
          <cell r="N565" t="str">
            <v>대원</v>
          </cell>
          <cell r="O565" t="str">
            <v>펌프카(1대)</v>
          </cell>
          <cell r="P565">
            <v>830</v>
          </cell>
          <cell r="Q565">
            <v>1327</v>
          </cell>
          <cell r="R565">
            <v>195</v>
          </cell>
          <cell r="S565">
            <v>47</v>
          </cell>
          <cell r="T565">
            <v>46</v>
          </cell>
          <cell r="U565">
            <v>266</v>
          </cell>
          <cell r="V565"/>
          <cell r="W565" t="str">
            <v>박순홍</v>
          </cell>
          <cell r="X565" t="str">
            <v>(인)</v>
          </cell>
          <cell r="Y565" t="str">
            <v>박순홍</v>
          </cell>
          <cell r="Z565" t="str">
            <v>(인)</v>
          </cell>
          <cell r="AA565" t="str">
            <v>이루비</v>
          </cell>
          <cell r="AB565" t="str">
            <v>(인)</v>
          </cell>
          <cell r="AC565" t="str">
            <v>최상옥</v>
          </cell>
          <cell r="AD565" t="str">
            <v>(인)</v>
          </cell>
          <cell r="AE565">
            <v>183.6</v>
          </cell>
          <cell r="AF565" t="str">
            <v>표준</v>
          </cell>
          <cell r="AG565">
            <v>2</v>
          </cell>
          <cell r="AH565">
            <v>0</v>
          </cell>
        </row>
        <row r="566">
          <cell r="G566">
            <v>2406190403</v>
          </cell>
          <cell r="H566" t="str">
            <v>103동</v>
          </cell>
          <cell r="I566">
            <v>240619</v>
          </cell>
          <cell r="J566" t="str">
            <v>103동 8층 바닥</v>
          </cell>
          <cell r="K566">
            <v>280</v>
          </cell>
          <cell r="L566">
            <v>282</v>
          </cell>
          <cell r="M566">
            <v>3018</v>
          </cell>
          <cell r="N566" t="str">
            <v>대원</v>
          </cell>
          <cell r="O566" t="str">
            <v>펌프카(1대)</v>
          </cell>
          <cell r="P566">
            <v>830</v>
          </cell>
          <cell r="Q566">
            <v>1327</v>
          </cell>
          <cell r="R566">
            <v>190</v>
          </cell>
          <cell r="S566">
            <v>49</v>
          </cell>
          <cell r="T566">
            <v>75</v>
          </cell>
          <cell r="U566">
            <v>277</v>
          </cell>
          <cell r="V566"/>
          <cell r="W566" t="str">
            <v>박순홍</v>
          </cell>
          <cell r="X566" t="str">
            <v>(인)</v>
          </cell>
          <cell r="Y566" t="str">
            <v>박순홍</v>
          </cell>
          <cell r="Z566" t="str">
            <v>(인)</v>
          </cell>
          <cell r="AA566" t="str">
            <v>이루비</v>
          </cell>
          <cell r="AB566" t="str">
            <v>(인)</v>
          </cell>
          <cell r="AC566" t="str">
            <v>최상옥</v>
          </cell>
          <cell r="AD566" t="str">
            <v>(인)</v>
          </cell>
          <cell r="AE566">
            <v>186.3</v>
          </cell>
          <cell r="AF566" t="str">
            <v>표준</v>
          </cell>
          <cell r="AG566">
            <v>3</v>
          </cell>
          <cell r="AH566">
            <v>0</v>
          </cell>
        </row>
        <row r="567">
          <cell r="G567">
            <v>2406190501</v>
          </cell>
          <cell r="H567" t="str">
            <v>109동</v>
          </cell>
          <cell r="I567">
            <v>240619</v>
          </cell>
          <cell r="J567" t="str">
            <v>109동 2차</v>
          </cell>
          <cell r="K567">
            <v>6</v>
          </cell>
          <cell r="L567">
            <v>6</v>
          </cell>
          <cell r="M567">
            <v>2715</v>
          </cell>
          <cell r="N567" t="str">
            <v>대원</v>
          </cell>
          <cell r="O567" t="str">
            <v>펌프카(1대)</v>
          </cell>
          <cell r="P567">
            <v>1455</v>
          </cell>
          <cell r="Q567">
            <v>1503</v>
          </cell>
          <cell r="R567">
            <v>150</v>
          </cell>
          <cell r="S567">
            <v>50</v>
          </cell>
          <cell r="T567">
            <v>48</v>
          </cell>
          <cell r="U567">
            <v>263</v>
          </cell>
          <cell r="V567"/>
          <cell r="W567" t="str">
            <v>박순홍</v>
          </cell>
          <cell r="X567" t="str">
            <v>(인)</v>
          </cell>
          <cell r="Y567" t="str">
            <v>박순홍</v>
          </cell>
          <cell r="Z567" t="str">
            <v>(인)</v>
          </cell>
          <cell r="AA567" t="str">
            <v>이루비</v>
          </cell>
          <cell r="AB567" t="str">
            <v>(인)</v>
          </cell>
          <cell r="AC567" t="str">
            <v>정창인</v>
          </cell>
          <cell r="AD567" t="str">
            <v>(인)</v>
          </cell>
          <cell r="AE567">
            <v>179.7</v>
          </cell>
          <cell r="AF567" t="str">
            <v>표준</v>
          </cell>
          <cell r="AG567">
            <v>1</v>
          </cell>
          <cell r="AH567">
            <v>1</v>
          </cell>
          <cell r="AI567">
            <v>2647</v>
          </cell>
          <cell r="AJ567">
            <v>2637</v>
          </cell>
          <cell r="AK567">
            <v>206600</v>
          </cell>
          <cell r="AL567">
            <v>3633</v>
          </cell>
          <cell r="AM567">
            <v>3549</v>
          </cell>
          <cell r="AN567">
            <v>3506</v>
          </cell>
          <cell r="AO567">
            <v>3440</v>
          </cell>
          <cell r="AP567">
            <v>3462</v>
          </cell>
          <cell r="AQ567">
            <v>3527</v>
          </cell>
          <cell r="AR567">
            <v>3601</v>
          </cell>
          <cell r="AS567">
            <v>3616</v>
          </cell>
          <cell r="AT567">
            <v>277000</v>
          </cell>
        </row>
        <row r="568">
          <cell r="G568">
            <v>2406200101</v>
          </cell>
          <cell r="H568" t="str">
            <v>108동</v>
          </cell>
          <cell r="I568">
            <v>240620</v>
          </cell>
          <cell r="J568" t="str">
            <v>108동 주변주차장 기초</v>
          </cell>
          <cell r="K568">
            <v>970</v>
          </cell>
          <cell r="L568">
            <v>972</v>
          </cell>
          <cell r="M568">
            <v>2415</v>
          </cell>
          <cell r="N568" t="str">
            <v>영진</v>
          </cell>
          <cell r="O568" t="str">
            <v>펌프카(1대)</v>
          </cell>
          <cell r="P568">
            <v>735</v>
          </cell>
          <cell r="Q568">
            <v>1655</v>
          </cell>
          <cell r="R568">
            <v>150</v>
          </cell>
          <cell r="S568">
            <v>40</v>
          </cell>
          <cell r="T568">
            <v>40</v>
          </cell>
          <cell r="U568">
            <v>261</v>
          </cell>
          <cell r="V568"/>
          <cell r="W568" t="str">
            <v>박순홍</v>
          </cell>
          <cell r="X568" t="str">
            <v>(인)</v>
          </cell>
          <cell r="Y568" t="str">
            <v>박순홍</v>
          </cell>
          <cell r="Z568" t="str">
            <v>(인)</v>
          </cell>
          <cell r="AA568" t="str">
            <v>정창인</v>
          </cell>
          <cell r="AB568" t="str">
            <v>(인)</v>
          </cell>
          <cell r="AC568" t="str">
            <v>정창인</v>
          </cell>
          <cell r="AD568" t="str">
            <v>(인)</v>
          </cell>
          <cell r="AE568">
            <v>191.6</v>
          </cell>
          <cell r="AF568" t="str">
            <v>표준</v>
          </cell>
          <cell r="AG568">
            <v>1</v>
          </cell>
          <cell r="AH568">
            <v>1</v>
          </cell>
          <cell r="AI568">
            <v>2350</v>
          </cell>
          <cell r="AJ568">
            <v>2336</v>
          </cell>
          <cell r="AK568">
            <v>184200</v>
          </cell>
          <cell r="AL568">
            <v>3304</v>
          </cell>
          <cell r="AM568">
            <v>3217</v>
          </cell>
          <cell r="AN568">
            <v>3206</v>
          </cell>
          <cell r="AO568">
            <v>3174</v>
          </cell>
          <cell r="AP568">
            <v>3162</v>
          </cell>
          <cell r="AQ568">
            <v>3184</v>
          </cell>
          <cell r="AR568">
            <v>3219</v>
          </cell>
          <cell r="AS568">
            <v>3104</v>
          </cell>
          <cell r="AT568">
            <v>184200</v>
          </cell>
        </row>
        <row r="569">
          <cell r="G569">
            <v>2406200102</v>
          </cell>
          <cell r="H569" t="str">
            <v>108동</v>
          </cell>
          <cell r="I569">
            <v>240620</v>
          </cell>
          <cell r="J569" t="str">
            <v>108동 주변주차장 기초</v>
          </cell>
          <cell r="K569">
            <v>970</v>
          </cell>
          <cell r="L569">
            <v>972</v>
          </cell>
          <cell r="M569">
            <v>2415</v>
          </cell>
          <cell r="N569" t="str">
            <v>영진</v>
          </cell>
          <cell r="O569" t="str">
            <v>펌프카(1대)</v>
          </cell>
          <cell r="P569">
            <v>735</v>
          </cell>
          <cell r="Q569">
            <v>1655</v>
          </cell>
          <cell r="R569">
            <v>150</v>
          </cell>
          <cell r="S569">
            <v>40</v>
          </cell>
          <cell r="T569">
            <v>90</v>
          </cell>
          <cell r="U569">
            <v>249</v>
          </cell>
          <cell r="V569"/>
          <cell r="W569" t="str">
            <v>박순홍</v>
          </cell>
          <cell r="X569" t="str">
            <v>(인)</v>
          </cell>
          <cell r="Y569" t="str">
            <v>박순홍</v>
          </cell>
          <cell r="Z569" t="str">
            <v>(인)</v>
          </cell>
          <cell r="AA569" t="str">
            <v>정창인</v>
          </cell>
          <cell r="AB569" t="str">
            <v>(인)</v>
          </cell>
          <cell r="AC569" t="str">
            <v>정창인</v>
          </cell>
          <cell r="AD569" t="str">
            <v>(인)</v>
          </cell>
          <cell r="AE569">
            <v>168.6</v>
          </cell>
          <cell r="AF569" t="str">
            <v>표준</v>
          </cell>
          <cell r="AG569">
            <v>2</v>
          </cell>
          <cell r="AH569">
            <v>0</v>
          </cell>
        </row>
        <row r="570">
          <cell r="G570">
            <v>2406200103</v>
          </cell>
          <cell r="H570" t="str">
            <v>108동</v>
          </cell>
          <cell r="I570">
            <v>240620</v>
          </cell>
          <cell r="J570" t="str">
            <v>108동 주변주차장 기초</v>
          </cell>
          <cell r="K570">
            <v>970</v>
          </cell>
          <cell r="L570">
            <v>972</v>
          </cell>
          <cell r="M570">
            <v>2415</v>
          </cell>
          <cell r="N570" t="str">
            <v>영진</v>
          </cell>
          <cell r="O570" t="str">
            <v>펌프카(1대)</v>
          </cell>
          <cell r="P570">
            <v>735</v>
          </cell>
          <cell r="Q570">
            <v>1655</v>
          </cell>
          <cell r="R570">
            <v>150</v>
          </cell>
          <cell r="S570">
            <v>37</v>
          </cell>
          <cell r="T570">
            <v>28</v>
          </cell>
          <cell r="U570">
            <v>286</v>
          </cell>
          <cell r="V570"/>
          <cell r="W570" t="str">
            <v>박순홍</v>
          </cell>
          <cell r="X570" t="str">
            <v>(인)</v>
          </cell>
          <cell r="Y570" t="str">
            <v>박순홍</v>
          </cell>
          <cell r="Z570" t="str">
            <v>(인)</v>
          </cell>
          <cell r="AA570" t="str">
            <v>정창인</v>
          </cell>
          <cell r="AB570" t="str">
            <v>(인)</v>
          </cell>
          <cell r="AC570" t="str">
            <v>정창인</v>
          </cell>
          <cell r="AD570" t="str">
            <v>(인)</v>
          </cell>
          <cell r="AE570">
            <v>183.2</v>
          </cell>
          <cell r="AF570" t="str">
            <v>표준</v>
          </cell>
          <cell r="AG570">
            <v>3</v>
          </cell>
          <cell r="AH570">
            <v>0</v>
          </cell>
        </row>
        <row r="571">
          <cell r="G571">
            <v>2406200104</v>
          </cell>
          <cell r="H571" t="str">
            <v>108동</v>
          </cell>
          <cell r="I571">
            <v>240620</v>
          </cell>
          <cell r="J571" t="str">
            <v>108동 주변주차장 기초</v>
          </cell>
          <cell r="K571">
            <v>970</v>
          </cell>
          <cell r="L571">
            <v>972</v>
          </cell>
          <cell r="M571">
            <v>2415</v>
          </cell>
          <cell r="N571" t="str">
            <v>영진</v>
          </cell>
          <cell r="O571" t="str">
            <v>펌프카(1대)</v>
          </cell>
          <cell r="P571">
            <v>735</v>
          </cell>
          <cell r="Q571">
            <v>1655</v>
          </cell>
          <cell r="R571">
            <v>160</v>
          </cell>
          <cell r="S571">
            <v>39</v>
          </cell>
          <cell r="T571">
            <v>32</v>
          </cell>
          <cell r="U571">
            <v>248</v>
          </cell>
          <cell r="V571"/>
          <cell r="W571" t="str">
            <v>박순홍</v>
          </cell>
          <cell r="X571" t="str">
            <v>(인)</v>
          </cell>
          <cell r="Y571" t="str">
            <v>박순홍</v>
          </cell>
          <cell r="Z571" t="str">
            <v>(인)</v>
          </cell>
          <cell r="AA571" t="str">
            <v>정창인</v>
          </cell>
          <cell r="AB571" t="str">
            <v>(인)</v>
          </cell>
          <cell r="AC571" t="str">
            <v>정창인</v>
          </cell>
          <cell r="AD571" t="str">
            <v>(인)</v>
          </cell>
          <cell r="AE571">
            <v>180.7</v>
          </cell>
          <cell r="AF571" t="str">
            <v>표준</v>
          </cell>
          <cell r="AG571">
            <v>4</v>
          </cell>
          <cell r="AH571">
            <v>1</v>
          </cell>
          <cell r="AL571">
            <v>3211</v>
          </cell>
          <cell r="AM571">
            <v>3218</v>
          </cell>
          <cell r="AN571">
            <v>3183</v>
          </cell>
          <cell r="AO571">
            <v>3211</v>
          </cell>
          <cell r="AP571">
            <v>3110</v>
          </cell>
          <cell r="AQ571">
            <v>3206</v>
          </cell>
          <cell r="AR571">
            <v>3304</v>
          </cell>
          <cell r="AS571">
            <v>3264</v>
          </cell>
          <cell r="AT571">
            <v>257600</v>
          </cell>
        </row>
        <row r="572">
          <cell r="G572">
            <v>2406200105</v>
          </cell>
          <cell r="H572" t="str">
            <v>108동</v>
          </cell>
          <cell r="I572">
            <v>240620</v>
          </cell>
          <cell r="J572" t="str">
            <v>108동 주변주차장 기초</v>
          </cell>
          <cell r="K572">
            <v>970</v>
          </cell>
          <cell r="L572">
            <v>972</v>
          </cell>
          <cell r="M572">
            <v>2415</v>
          </cell>
          <cell r="N572" t="str">
            <v>영진</v>
          </cell>
          <cell r="O572" t="str">
            <v>펌프카(1대)</v>
          </cell>
          <cell r="P572">
            <v>735</v>
          </cell>
          <cell r="Q572">
            <v>1655</v>
          </cell>
          <cell r="R572">
            <v>170</v>
          </cell>
          <cell r="S572">
            <v>36</v>
          </cell>
          <cell r="T572">
            <v>13</v>
          </cell>
          <cell r="U572">
            <v>194</v>
          </cell>
          <cell r="V572"/>
          <cell r="W572" t="str">
            <v>박순홍</v>
          </cell>
          <cell r="X572" t="str">
            <v>(인)</v>
          </cell>
          <cell r="Y572" t="str">
            <v>박순홍</v>
          </cell>
          <cell r="Z572" t="str">
            <v>(인)</v>
          </cell>
          <cell r="AA572" t="str">
            <v>정창인</v>
          </cell>
          <cell r="AB572" t="str">
            <v>(인)</v>
          </cell>
          <cell r="AC572" t="str">
            <v>정창인</v>
          </cell>
          <cell r="AD572" t="str">
            <v>(인)</v>
          </cell>
          <cell r="AE572">
            <v>168.7</v>
          </cell>
          <cell r="AF572" t="str">
            <v>표준</v>
          </cell>
          <cell r="AG572">
            <v>5</v>
          </cell>
          <cell r="AH572">
            <v>0</v>
          </cell>
        </row>
        <row r="573">
          <cell r="G573">
            <v>2406200106</v>
          </cell>
          <cell r="H573" t="str">
            <v>108동</v>
          </cell>
          <cell r="I573">
            <v>240620</v>
          </cell>
          <cell r="J573" t="str">
            <v>108동 주변주차장 기초</v>
          </cell>
          <cell r="K573">
            <v>970</v>
          </cell>
          <cell r="L573">
            <v>972</v>
          </cell>
          <cell r="M573">
            <v>2415</v>
          </cell>
          <cell r="N573" t="str">
            <v>영진</v>
          </cell>
          <cell r="O573" t="str">
            <v>펌프카(1대)</v>
          </cell>
          <cell r="P573">
            <v>735</v>
          </cell>
          <cell r="Q573">
            <v>1655</v>
          </cell>
          <cell r="R573">
            <v>175</v>
          </cell>
          <cell r="S573">
            <v>40</v>
          </cell>
          <cell r="T573">
            <v>98</v>
          </cell>
          <cell r="U573">
            <v>226</v>
          </cell>
          <cell r="V573"/>
          <cell r="W573" t="str">
            <v>박순홍</v>
          </cell>
          <cell r="X573" t="str">
            <v>(인)</v>
          </cell>
          <cell r="Y573" t="str">
            <v>박순홍</v>
          </cell>
          <cell r="Z573" t="str">
            <v>(인)</v>
          </cell>
          <cell r="AA573" t="str">
            <v>정창인</v>
          </cell>
          <cell r="AB573" t="str">
            <v>(인)</v>
          </cell>
          <cell r="AC573" t="str">
            <v>정창인</v>
          </cell>
          <cell r="AD573" t="str">
            <v>(인)</v>
          </cell>
          <cell r="AE573">
            <v>175.6</v>
          </cell>
          <cell r="AF573" t="str">
            <v>표준</v>
          </cell>
          <cell r="AG573">
            <v>6</v>
          </cell>
          <cell r="AH573">
            <v>0</v>
          </cell>
        </row>
        <row r="574">
          <cell r="G574">
            <v>2406200107</v>
          </cell>
          <cell r="H574" t="str">
            <v>108동</v>
          </cell>
          <cell r="I574">
            <v>240620</v>
          </cell>
          <cell r="J574" t="str">
            <v>108동 주변주차장 기초</v>
          </cell>
          <cell r="K574">
            <v>970</v>
          </cell>
          <cell r="L574">
            <v>972</v>
          </cell>
          <cell r="M574">
            <v>2415</v>
          </cell>
          <cell r="N574" t="str">
            <v>영진</v>
          </cell>
          <cell r="O574" t="str">
            <v>펌프카(1대)</v>
          </cell>
          <cell r="P574">
            <v>735</v>
          </cell>
          <cell r="Q574">
            <v>1655</v>
          </cell>
          <cell r="R574">
            <v>160</v>
          </cell>
          <cell r="S574">
            <v>35</v>
          </cell>
          <cell r="T574">
            <v>52</v>
          </cell>
          <cell r="U574">
            <v>192</v>
          </cell>
          <cell r="V574"/>
          <cell r="W574" t="str">
            <v>박순홍</v>
          </cell>
          <cell r="X574" t="str">
            <v>(인)</v>
          </cell>
          <cell r="Y574" t="str">
            <v>박순홍</v>
          </cell>
          <cell r="Z574" t="str">
            <v>(인)</v>
          </cell>
          <cell r="AA574" t="str">
            <v>정창인</v>
          </cell>
          <cell r="AB574" t="str">
            <v>(인)</v>
          </cell>
          <cell r="AC574" t="str">
            <v>정창인</v>
          </cell>
          <cell r="AD574" t="str">
            <v>(인)</v>
          </cell>
          <cell r="AE574">
            <v>176.4</v>
          </cell>
          <cell r="AF574" t="str">
            <v>표준</v>
          </cell>
          <cell r="AG574">
            <v>7</v>
          </cell>
          <cell r="AH574">
            <v>1</v>
          </cell>
          <cell r="AL574">
            <v>3121</v>
          </cell>
          <cell r="AM574">
            <v>3241</v>
          </cell>
          <cell r="AN574">
            <v>3249</v>
          </cell>
          <cell r="AO574">
            <v>3121</v>
          </cell>
          <cell r="AP574">
            <v>3206</v>
          </cell>
          <cell r="AQ574">
            <v>3207</v>
          </cell>
          <cell r="AR574">
            <v>3194</v>
          </cell>
          <cell r="AS574">
            <v>3206</v>
          </cell>
          <cell r="AT574">
            <v>251000</v>
          </cell>
        </row>
        <row r="575">
          <cell r="G575">
            <v>2406200108</v>
          </cell>
          <cell r="H575" t="str">
            <v>108동</v>
          </cell>
          <cell r="I575">
            <v>240620</v>
          </cell>
          <cell r="J575" t="str">
            <v>108동 주변주차장 기초</v>
          </cell>
          <cell r="K575">
            <v>970</v>
          </cell>
          <cell r="L575">
            <v>972</v>
          </cell>
          <cell r="M575">
            <v>2415</v>
          </cell>
          <cell r="N575" t="str">
            <v>영진</v>
          </cell>
          <cell r="O575" t="str">
            <v>펌프카(1대)</v>
          </cell>
          <cell r="P575">
            <v>735</v>
          </cell>
          <cell r="Q575">
            <v>1655</v>
          </cell>
          <cell r="R575">
            <v>150</v>
          </cell>
          <cell r="S575">
            <v>48</v>
          </cell>
          <cell r="T575">
            <v>43</v>
          </cell>
          <cell r="U575">
            <v>235</v>
          </cell>
          <cell r="V575"/>
          <cell r="W575" t="str">
            <v>박순홍</v>
          </cell>
          <cell r="X575" t="str">
            <v>(인)</v>
          </cell>
          <cell r="Y575" t="str">
            <v>박순홍</v>
          </cell>
          <cell r="Z575" t="str">
            <v>(인)</v>
          </cell>
          <cell r="AA575" t="str">
            <v>정창인</v>
          </cell>
          <cell r="AB575" t="str">
            <v>(인)</v>
          </cell>
          <cell r="AC575" t="str">
            <v>정창인</v>
          </cell>
          <cell r="AD575" t="str">
            <v>(인)</v>
          </cell>
          <cell r="AE575">
            <v>169.2</v>
          </cell>
          <cell r="AF575" t="str">
            <v>표준</v>
          </cell>
          <cell r="AG575">
            <v>8</v>
          </cell>
          <cell r="AH575">
            <v>0</v>
          </cell>
        </row>
        <row r="576">
          <cell r="G576">
            <v>2406200109</v>
          </cell>
          <cell r="H576" t="str">
            <v>108동</v>
          </cell>
          <cell r="I576">
            <v>240620</v>
          </cell>
          <cell r="J576" t="str">
            <v>108동 주변주차장 기초</v>
          </cell>
          <cell r="K576">
            <v>970</v>
          </cell>
          <cell r="L576">
            <v>972</v>
          </cell>
          <cell r="M576">
            <v>2415</v>
          </cell>
          <cell r="N576" t="str">
            <v>영진</v>
          </cell>
          <cell r="O576" t="str">
            <v>펌프카(1대)</v>
          </cell>
          <cell r="P576">
            <v>735</v>
          </cell>
          <cell r="Q576">
            <v>1655</v>
          </cell>
          <cell r="R576">
            <v>160</v>
          </cell>
          <cell r="S576">
            <v>49</v>
          </cell>
          <cell r="T576">
            <v>34</v>
          </cell>
          <cell r="U576">
            <v>246</v>
          </cell>
          <cell r="V576"/>
          <cell r="W576" t="str">
            <v>박순홍</v>
          </cell>
          <cell r="X576" t="str">
            <v>(인)</v>
          </cell>
          <cell r="Y576" t="str">
            <v>박순홍</v>
          </cell>
          <cell r="Z576" t="str">
            <v>(인)</v>
          </cell>
          <cell r="AA576" t="str">
            <v>정창인</v>
          </cell>
          <cell r="AB576" t="str">
            <v>(인)</v>
          </cell>
          <cell r="AC576" t="str">
            <v>정창인</v>
          </cell>
          <cell r="AD576" t="str">
            <v>(인)</v>
          </cell>
          <cell r="AE576">
            <v>174.2</v>
          </cell>
          <cell r="AF576" t="str">
            <v>표준</v>
          </cell>
          <cell r="AG576">
            <v>9</v>
          </cell>
          <cell r="AH576">
            <v>0</v>
          </cell>
        </row>
        <row r="577">
          <cell r="G577">
            <v>2406200201</v>
          </cell>
          <cell r="H577" t="str">
            <v>108동</v>
          </cell>
          <cell r="I577">
            <v>240620</v>
          </cell>
          <cell r="J577" t="str">
            <v>108동 주변주차장 기초</v>
          </cell>
          <cell r="K577">
            <v>660</v>
          </cell>
          <cell r="L577">
            <v>660</v>
          </cell>
          <cell r="M577">
            <v>2415</v>
          </cell>
          <cell r="N577" t="str">
            <v>동양</v>
          </cell>
          <cell r="O577" t="str">
            <v>펌프카(1대)</v>
          </cell>
          <cell r="P577">
            <v>730</v>
          </cell>
          <cell r="Q577">
            <v>1450</v>
          </cell>
          <cell r="R577">
            <v>155</v>
          </cell>
          <cell r="S577">
            <v>38</v>
          </cell>
          <cell r="T577">
            <v>41</v>
          </cell>
          <cell r="U577">
            <v>252</v>
          </cell>
          <cell r="V577"/>
          <cell r="W577" t="str">
            <v>박순홍</v>
          </cell>
          <cell r="X577" t="str">
            <v>(인)</v>
          </cell>
          <cell r="Y577" t="str">
            <v>박순홍</v>
          </cell>
          <cell r="Z577" t="str">
            <v>(인)</v>
          </cell>
          <cell r="AA577" t="str">
            <v>정창인</v>
          </cell>
          <cell r="AB577" t="str">
            <v>(인)</v>
          </cell>
          <cell r="AC577" t="str">
            <v>정창인</v>
          </cell>
          <cell r="AD577" t="str">
            <v>(인)</v>
          </cell>
          <cell r="AE577">
            <v>186.3</v>
          </cell>
          <cell r="AF577" t="str">
            <v>표준</v>
          </cell>
          <cell r="AG577">
            <v>1</v>
          </cell>
          <cell r="AH577">
            <v>1</v>
          </cell>
          <cell r="AI577">
            <v>2279</v>
          </cell>
          <cell r="AJ577">
            <v>2313</v>
          </cell>
          <cell r="AK577">
            <v>184400</v>
          </cell>
          <cell r="AL577">
            <v>3147</v>
          </cell>
          <cell r="AM577">
            <v>3256</v>
          </cell>
          <cell r="AN577">
            <v>3142</v>
          </cell>
          <cell r="AO577">
            <v>3292</v>
          </cell>
          <cell r="AP577">
            <v>3204</v>
          </cell>
          <cell r="AQ577">
            <v>3117</v>
          </cell>
          <cell r="AR577">
            <v>3192</v>
          </cell>
          <cell r="AS577">
            <v>3142</v>
          </cell>
          <cell r="AT577">
            <v>257800</v>
          </cell>
        </row>
        <row r="578">
          <cell r="G578">
            <v>2406200202</v>
          </cell>
          <cell r="H578" t="str">
            <v>108동</v>
          </cell>
          <cell r="I578">
            <v>240620</v>
          </cell>
          <cell r="J578" t="str">
            <v>108동 주변주차장 기초</v>
          </cell>
          <cell r="K578">
            <v>660</v>
          </cell>
          <cell r="L578">
            <v>660</v>
          </cell>
          <cell r="M578">
            <v>2415</v>
          </cell>
          <cell r="N578" t="str">
            <v>동양</v>
          </cell>
          <cell r="O578" t="str">
            <v>펌프카(1대)</v>
          </cell>
          <cell r="P578">
            <v>730</v>
          </cell>
          <cell r="Q578">
            <v>1450</v>
          </cell>
          <cell r="R578">
            <v>150</v>
          </cell>
          <cell r="S578">
            <v>41</v>
          </cell>
          <cell r="T578">
            <v>45</v>
          </cell>
          <cell r="U578">
            <v>259</v>
          </cell>
          <cell r="V578"/>
          <cell r="W578" t="str">
            <v>박순홍</v>
          </cell>
          <cell r="X578" t="str">
            <v>(인)</v>
          </cell>
          <cell r="Y578" t="str">
            <v>박순홍</v>
          </cell>
          <cell r="Z578" t="str">
            <v>(인)</v>
          </cell>
          <cell r="AA578" t="str">
            <v>정창인</v>
          </cell>
          <cell r="AB578" t="str">
            <v>(인)</v>
          </cell>
          <cell r="AC578" t="str">
            <v>정창인</v>
          </cell>
          <cell r="AD578" t="str">
            <v>(인)</v>
          </cell>
          <cell r="AE578">
            <v>184.4</v>
          </cell>
          <cell r="AF578" t="str">
            <v>표준</v>
          </cell>
          <cell r="AG578">
            <v>2</v>
          </cell>
          <cell r="AH578">
            <v>0</v>
          </cell>
        </row>
        <row r="579">
          <cell r="G579">
            <v>2406200203</v>
          </cell>
          <cell r="H579" t="str">
            <v>108동</v>
          </cell>
          <cell r="I579">
            <v>240620</v>
          </cell>
          <cell r="J579" t="str">
            <v>108동 주변주차장 기초</v>
          </cell>
          <cell r="K579">
            <v>660</v>
          </cell>
          <cell r="L579">
            <v>660</v>
          </cell>
          <cell r="M579">
            <v>2415</v>
          </cell>
          <cell r="N579" t="str">
            <v>동양</v>
          </cell>
          <cell r="O579" t="str">
            <v>펌프카(1대)</v>
          </cell>
          <cell r="P579">
            <v>730</v>
          </cell>
          <cell r="Q579">
            <v>1450</v>
          </cell>
          <cell r="R579">
            <v>140</v>
          </cell>
          <cell r="S579">
            <v>56</v>
          </cell>
          <cell r="T579">
            <v>42</v>
          </cell>
          <cell r="U579">
            <v>246</v>
          </cell>
          <cell r="V579"/>
          <cell r="W579" t="str">
            <v>박순홍</v>
          </cell>
          <cell r="X579" t="str">
            <v>(인)</v>
          </cell>
          <cell r="Y579" t="str">
            <v>박순홍</v>
          </cell>
          <cell r="Z579" t="str">
            <v>(인)</v>
          </cell>
          <cell r="AA579" t="str">
            <v>정창인</v>
          </cell>
          <cell r="AB579" t="str">
            <v>(인)</v>
          </cell>
          <cell r="AC579" t="str">
            <v>정창인</v>
          </cell>
          <cell r="AD579" t="str">
            <v>(인)</v>
          </cell>
          <cell r="AE579">
            <v>183.7</v>
          </cell>
          <cell r="AF579" t="str">
            <v>표준</v>
          </cell>
          <cell r="AG579">
            <v>3</v>
          </cell>
          <cell r="AH579">
            <v>0</v>
          </cell>
        </row>
        <row r="580">
          <cell r="G580">
            <v>2406200204</v>
          </cell>
          <cell r="H580" t="str">
            <v>108동</v>
          </cell>
          <cell r="I580">
            <v>240620</v>
          </cell>
          <cell r="J580" t="str">
            <v>108동 주변주차장 기초</v>
          </cell>
          <cell r="K580">
            <v>660</v>
          </cell>
          <cell r="L580">
            <v>660</v>
          </cell>
          <cell r="M580">
            <v>2415</v>
          </cell>
          <cell r="N580" t="str">
            <v>동양</v>
          </cell>
          <cell r="O580" t="str">
            <v>펌프카(1대)</v>
          </cell>
          <cell r="P580">
            <v>730</v>
          </cell>
          <cell r="Q580">
            <v>1450</v>
          </cell>
          <cell r="R580">
            <v>140</v>
          </cell>
          <cell r="S580">
            <v>52</v>
          </cell>
          <cell r="T580">
            <v>45</v>
          </cell>
          <cell r="U580">
            <v>279</v>
          </cell>
          <cell r="V580"/>
          <cell r="W580" t="str">
            <v>박순홍</v>
          </cell>
          <cell r="X580" t="str">
            <v>(인)</v>
          </cell>
          <cell r="Y580" t="str">
            <v>박순홍</v>
          </cell>
          <cell r="Z580" t="str">
            <v>(인)</v>
          </cell>
          <cell r="AA580" t="str">
            <v>정창인</v>
          </cell>
          <cell r="AB580" t="str">
            <v>(인)</v>
          </cell>
          <cell r="AC580" t="str">
            <v>정창인</v>
          </cell>
          <cell r="AD580" t="str">
            <v>(인)</v>
          </cell>
          <cell r="AE580">
            <v>189.4</v>
          </cell>
          <cell r="AF580" t="str">
            <v>표준</v>
          </cell>
          <cell r="AG580">
            <v>4</v>
          </cell>
          <cell r="AH580">
            <v>1</v>
          </cell>
          <cell r="AL580">
            <v>3264</v>
          </cell>
          <cell r="AM580">
            <v>3218</v>
          </cell>
          <cell r="AN580">
            <v>3096</v>
          </cell>
          <cell r="AO580">
            <v>2933</v>
          </cell>
          <cell r="AP580">
            <v>3207</v>
          </cell>
          <cell r="AQ580">
            <v>3304</v>
          </cell>
          <cell r="AR580">
            <v>3219</v>
          </cell>
          <cell r="AS580">
            <v>3179</v>
          </cell>
          <cell r="AT580">
            <v>260800</v>
          </cell>
        </row>
        <row r="581">
          <cell r="G581">
            <v>2406200205</v>
          </cell>
          <cell r="H581" t="str">
            <v>108동</v>
          </cell>
          <cell r="I581">
            <v>240620</v>
          </cell>
          <cell r="J581" t="str">
            <v>108동 주변주차장 기초</v>
          </cell>
          <cell r="K581">
            <v>660</v>
          </cell>
          <cell r="L581">
            <v>660</v>
          </cell>
          <cell r="M581">
            <v>2415</v>
          </cell>
          <cell r="N581" t="str">
            <v>동양</v>
          </cell>
          <cell r="O581" t="str">
            <v>펌프카(1대)</v>
          </cell>
          <cell r="P581">
            <v>730</v>
          </cell>
          <cell r="Q581">
            <v>1450</v>
          </cell>
          <cell r="R581">
            <v>135</v>
          </cell>
          <cell r="S581">
            <v>45</v>
          </cell>
          <cell r="T581">
            <v>59</v>
          </cell>
          <cell r="U581">
            <v>196</v>
          </cell>
          <cell r="V581"/>
          <cell r="W581" t="str">
            <v>박순홍</v>
          </cell>
          <cell r="X581" t="str">
            <v>(인)</v>
          </cell>
          <cell r="Y581" t="str">
            <v>박순홍</v>
          </cell>
          <cell r="Z581" t="str">
            <v>(인)</v>
          </cell>
          <cell r="AA581" t="str">
            <v>정창인</v>
          </cell>
          <cell r="AB581" t="str">
            <v>(인)</v>
          </cell>
          <cell r="AC581" t="str">
            <v>정창인</v>
          </cell>
          <cell r="AD581" t="str">
            <v>(인)</v>
          </cell>
          <cell r="AE581">
            <v>181.6</v>
          </cell>
          <cell r="AF581" t="str">
            <v>표준</v>
          </cell>
          <cell r="AG581">
            <v>5</v>
          </cell>
          <cell r="AH581">
            <v>0</v>
          </cell>
        </row>
        <row r="582">
          <cell r="G582">
            <v>2406200206</v>
          </cell>
          <cell r="H582" t="str">
            <v>108동</v>
          </cell>
          <cell r="I582">
            <v>240620</v>
          </cell>
          <cell r="J582" t="str">
            <v>108동 주변주차장 기초</v>
          </cell>
          <cell r="K582">
            <v>660</v>
          </cell>
          <cell r="L582">
            <v>660</v>
          </cell>
          <cell r="M582">
            <v>2415</v>
          </cell>
          <cell r="N582" t="str">
            <v>동양</v>
          </cell>
          <cell r="O582" t="str">
            <v>펌프카(1대)</v>
          </cell>
          <cell r="P582">
            <v>730</v>
          </cell>
          <cell r="Q582">
            <v>1450</v>
          </cell>
          <cell r="R582">
            <v>150</v>
          </cell>
          <cell r="S582">
            <v>46</v>
          </cell>
          <cell r="T582">
            <v>105</v>
          </cell>
          <cell r="U582">
            <v>200</v>
          </cell>
          <cell r="V582"/>
          <cell r="W582" t="str">
            <v>박순홍</v>
          </cell>
          <cell r="X582" t="str">
            <v>(인)</v>
          </cell>
          <cell r="Y582" t="str">
            <v>박순홍</v>
          </cell>
          <cell r="Z582" t="str">
            <v>(인)</v>
          </cell>
          <cell r="AA582" t="str">
            <v>정창인</v>
          </cell>
          <cell r="AB582" t="str">
            <v>(인)</v>
          </cell>
          <cell r="AC582" t="str">
            <v>정창인</v>
          </cell>
          <cell r="AD582" t="str">
            <v>(인)</v>
          </cell>
          <cell r="AE582">
            <v>188.7</v>
          </cell>
          <cell r="AF582" t="str">
            <v>표준</v>
          </cell>
          <cell r="AG582">
            <v>6</v>
          </cell>
          <cell r="AH582">
            <v>0</v>
          </cell>
        </row>
        <row r="583">
          <cell r="G583">
            <v>2406200301</v>
          </cell>
          <cell r="H583" t="str">
            <v>102동</v>
          </cell>
          <cell r="I583">
            <v>240620</v>
          </cell>
          <cell r="J583" t="str">
            <v>102동 2층 바닥</v>
          </cell>
          <cell r="K583">
            <v>270</v>
          </cell>
          <cell r="L583">
            <v>270</v>
          </cell>
          <cell r="M583">
            <v>3018</v>
          </cell>
          <cell r="N583" t="str">
            <v>대원</v>
          </cell>
          <cell r="O583" t="str">
            <v>펌프카(1대)</v>
          </cell>
          <cell r="P583">
            <v>755</v>
          </cell>
          <cell r="Q583">
            <v>1136</v>
          </cell>
          <cell r="R583">
            <v>165</v>
          </cell>
          <cell r="S583">
            <v>39</v>
          </cell>
          <cell r="T583">
            <v>39</v>
          </cell>
          <cell r="U583">
            <v>253</v>
          </cell>
          <cell r="V583"/>
          <cell r="W583" t="str">
            <v>박순홍</v>
          </cell>
          <cell r="X583" t="str">
            <v>(인)</v>
          </cell>
          <cell r="Y583" t="str">
            <v>박순홍</v>
          </cell>
          <cell r="Z583" t="str">
            <v>(인)</v>
          </cell>
          <cell r="AA583" t="str">
            <v>이홍걸</v>
          </cell>
          <cell r="AB583" t="str">
            <v>(인)</v>
          </cell>
          <cell r="AC583" t="str">
            <v>이홍걸</v>
          </cell>
          <cell r="AD583" t="str">
            <v>(인)</v>
          </cell>
          <cell r="AE583">
            <v>193.4</v>
          </cell>
          <cell r="AF583" t="str">
            <v>표준</v>
          </cell>
          <cell r="AG583">
            <v>1</v>
          </cell>
          <cell r="AH583">
            <v>1</v>
          </cell>
          <cell r="AI583">
            <v>2811</v>
          </cell>
          <cell r="AJ583">
            <v>2783</v>
          </cell>
          <cell r="AK583">
            <v>224400</v>
          </cell>
          <cell r="AL583">
            <v>3963</v>
          </cell>
          <cell r="AM583">
            <v>3819</v>
          </cell>
          <cell r="AN583">
            <v>3766</v>
          </cell>
          <cell r="AO583">
            <v>3816</v>
          </cell>
          <cell r="AP583">
            <v>3961</v>
          </cell>
          <cell r="AQ583">
            <v>3827</v>
          </cell>
          <cell r="AR583">
            <v>3818</v>
          </cell>
          <cell r="AS583">
            <v>3929</v>
          </cell>
          <cell r="AT583">
            <v>309200</v>
          </cell>
        </row>
        <row r="584">
          <cell r="G584">
            <v>2406200302</v>
          </cell>
          <cell r="H584" t="str">
            <v>102동</v>
          </cell>
          <cell r="I584">
            <v>240620</v>
          </cell>
          <cell r="J584" t="str">
            <v>102동 2층 바닥</v>
          </cell>
          <cell r="K584">
            <v>270</v>
          </cell>
          <cell r="L584">
            <v>270</v>
          </cell>
          <cell r="M584">
            <v>3018</v>
          </cell>
          <cell r="N584" t="str">
            <v>대원</v>
          </cell>
          <cell r="O584" t="str">
            <v>펌프카(1대)</v>
          </cell>
          <cell r="P584">
            <v>755</v>
          </cell>
          <cell r="Q584">
            <v>1136</v>
          </cell>
          <cell r="R584">
            <v>170</v>
          </cell>
          <cell r="S584">
            <v>44</v>
          </cell>
          <cell r="T584">
            <v>38</v>
          </cell>
          <cell r="U584">
            <v>264</v>
          </cell>
          <cell r="V584"/>
          <cell r="W584" t="str">
            <v>박순홍</v>
          </cell>
          <cell r="X584" t="str">
            <v>(인)</v>
          </cell>
          <cell r="Y584" t="str">
            <v>박순홍</v>
          </cell>
          <cell r="Z584" t="str">
            <v>(인)</v>
          </cell>
          <cell r="AA584" t="str">
            <v>이홍걸</v>
          </cell>
          <cell r="AB584" t="str">
            <v>(인)</v>
          </cell>
          <cell r="AC584" t="str">
            <v>이홍걸</v>
          </cell>
          <cell r="AD584" t="str">
            <v>(인)</v>
          </cell>
          <cell r="AE584">
            <v>176.4</v>
          </cell>
          <cell r="AF584" t="str">
            <v>표준</v>
          </cell>
          <cell r="AG584">
            <v>2</v>
          </cell>
          <cell r="AH584">
            <v>0</v>
          </cell>
        </row>
        <row r="585">
          <cell r="G585">
            <v>2406200303</v>
          </cell>
          <cell r="H585" t="str">
            <v>102동</v>
          </cell>
          <cell r="I585">
            <v>240620</v>
          </cell>
          <cell r="J585" t="str">
            <v>102동 2층 바닥</v>
          </cell>
          <cell r="K585">
            <v>270</v>
          </cell>
          <cell r="L585">
            <v>270</v>
          </cell>
          <cell r="M585">
            <v>3018</v>
          </cell>
          <cell r="N585" t="str">
            <v>대원</v>
          </cell>
          <cell r="O585" t="str">
            <v>펌프카(1대)</v>
          </cell>
          <cell r="P585">
            <v>755</v>
          </cell>
          <cell r="Q585">
            <v>1136</v>
          </cell>
          <cell r="R585">
            <v>175</v>
          </cell>
          <cell r="S585">
            <v>51</v>
          </cell>
          <cell r="T585">
            <v>38</v>
          </cell>
          <cell r="U585">
            <v>267</v>
          </cell>
          <cell r="V585"/>
          <cell r="W585" t="str">
            <v>박순홍</v>
          </cell>
          <cell r="X585" t="str">
            <v>(인)</v>
          </cell>
          <cell r="Y585" t="str">
            <v>박순홍</v>
          </cell>
          <cell r="Z585" t="str">
            <v>(인)</v>
          </cell>
          <cell r="AA585" t="str">
            <v>이홍걸</v>
          </cell>
          <cell r="AB585" t="str">
            <v>(인)</v>
          </cell>
          <cell r="AC585" t="str">
            <v>이홍걸</v>
          </cell>
          <cell r="AD585" t="str">
            <v>(인)</v>
          </cell>
          <cell r="AE585">
            <v>181.6</v>
          </cell>
          <cell r="AF585" t="str">
            <v>표준</v>
          </cell>
          <cell r="AG585">
            <v>3</v>
          </cell>
          <cell r="AH585">
            <v>0</v>
          </cell>
        </row>
        <row r="586">
          <cell r="G586">
            <v>2406200401</v>
          </cell>
          <cell r="H586" t="str">
            <v>101동, 102동</v>
          </cell>
          <cell r="I586">
            <v>240620</v>
          </cell>
          <cell r="J586" t="str">
            <v>램프(#4구간)</v>
          </cell>
          <cell r="K586">
            <v>90</v>
          </cell>
          <cell r="L586">
            <v>93</v>
          </cell>
          <cell r="M586">
            <v>2715</v>
          </cell>
          <cell r="N586" t="str">
            <v>대원</v>
          </cell>
          <cell r="O586" t="str">
            <v>펌프카(1대)</v>
          </cell>
          <cell r="P586">
            <v>1258</v>
          </cell>
          <cell r="Q586">
            <v>1555</v>
          </cell>
          <cell r="R586">
            <v>170</v>
          </cell>
          <cell r="S586">
            <v>45</v>
          </cell>
          <cell r="T586">
            <v>22</v>
          </cell>
          <cell r="U586">
            <v>232</v>
          </cell>
          <cell r="V586"/>
          <cell r="W586" t="str">
            <v>박순홍</v>
          </cell>
          <cell r="X586" t="str">
            <v>(인)</v>
          </cell>
          <cell r="Y586" t="str">
            <v>박순홍</v>
          </cell>
          <cell r="Z586" t="str">
            <v>(인)</v>
          </cell>
          <cell r="AA586" t="str">
            <v>이홍걸</v>
          </cell>
          <cell r="AB586" t="str">
            <v>(인)</v>
          </cell>
          <cell r="AC586" t="str">
            <v>이홍걸</v>
          </cell>
          <cell r="AD586" t="str">
            <v>(인)</v>
          </cell>
          <cell r="AE586">
            <v>181.3</v>
          </cell>
          <cell r="AF586" t="str">
            <v>표준</v>
          </cell>
          <cell r="AG586">
            <v>1</v>
          </cell>
          <cell r="AH586">
            <v>1</v>
          </cell>
          <cell r="AI586">
            <v>2495</v>
          </cell>
          <cell r="AJ586">
            <v>2476</v>
          </cell>
          <cell r="AK586">
            <v>201200</v>
          </cell>
          <cell r="AL586">
            <v>3631</v>
          </cell>
          <cell r="AM586">
            <v>3562</v>
          </cell>
          <cell r="AN586">
            <v>3571</v>
          </cell>
          <cell r="AO586">
            <v>3481</v>
          </cell>
          <cell r="AP586">
            <v>3638</v>
          </cell>
          <cell r="AQ586">
            <v>3627</v>
          </cell>
          <cell r="AR586">
            <v>3566</v>
          </cell>
          <cell r="AS586">
            <v>3646</v>
          </cell>
          <cell r="AT586">
            <v>277400</v>
          </cell>
        </row>
        <row r="587">
          <cell r="G587">
            <v>2406200501</v>
          </cell>
          <cell r="H587" t="str">
            <v>117동</v>
          </cell>
          <cell r="I587">
            <v>240620</v>
          </cell>
          <cell r="J587" t="str">
            <v>C-1 옹벽</v>
          </cell>
          <cell r="K587">
            <v>200</v>
          </cell>
          <cell r="L587">
            <v>204</v>
          </cell>
          <cell r="M587">
            <v>3015</v>
          </cell>
          <cell r="N587" t="str">
            <v>한진</v>
          </cell>
          <cell r="O587" t="str">
            <v>펌프카(1대)</v>
          </cell>
          <cell r="P587">
            <v>737</v>
          </cell>
          <cell r="Q587">
            <v>1212</v>
          </cell>
          <cell r="R587">
            <v>160</v>
          </cell>
          <cell r="S587">
            <v>41</v>
          </cell>
          <cell r="T587">
            <v>33</v>
          </cell>
          <cell r="U587">
            <v>255</v>
          </cell>
          <cell r="V587"/>
          <cell r="W587" t="str">
            <v>박순홍</v>
          </cell>
          <cell r="X587" t="str">
            <v>(인)</v>
          </cell>
          <cell r="Y587" t="str">
            <v>박순홍</v>
          </cell>
          <cell r="Z587" t="str">
            <v>(인)</v>
          </cell>
          <cell r="AA587" t="str">
            <v>김만고</v>
          </cell>
          <cell r="AB587" t="str">
            <v>(인)</v>
          </cell>
          <cell r="AC587" t="str">
            <v>임영구</v>
          </cell>
          <cell r="AD587" t="str">
            <v>(인)</v>
          </cell>
          <cell r="AE587">
            <v>183.6</v>
          </cell>
          <cell r="AF587" t="str">
            <v>표준</v>
          </cell>
          <cell r="AG587">
            <v>1</v>
          </cell>
          <cell r="AH587">
            <v>1</v>
          </cell>
          <cell r="AI587">
            <v>2760</v>
          </cell>
          <cell r="AJ587">
            <v>2658</v>
          </cell>
          <cell r="AK587">
            <v>208600</v>
          </cell>
          <cell r="AL587">
            <v>3766</v>
          </cell>
          <cell r="AM587">
            <v>3733</v>
          </cell>
          <cell r="AN587">
            <v>3840</v>
          </cell>
          <cell r="AO587">
            <v>3792</v>
          </cell>
          <cell r="AP587">
            <v>3813</v>
          </cell>
          <cell r="AQ587">
            <v>3794</v>
          </cell>
          <cell r="AR587">
            <v>3920</v>
          </cell>
          <cell r="AS587">
            <v>3814</v>
          </cell>
          <cell r="AT587">
            <v>299400</v>
          </cell>
        </row>
        <row r="588">
          <cell r="G588">
            <v>2406200502</v>
          </cell>
          <cell r="H588" t="str">
            <v>117동</v>
          </cell>
          <cell r="I588">
            <v>240620</v>
          </cell>
          <cell r="J588" t="str">
            <v>C-1 옹벽</v>
          </cell>
          <cell r="K588">
            <v>200</v>
          </cell>
          <cell r="L588">
            <v>204</v>
          </cell>
          <cell r="M588">
            <v>3015</v>
          </cell>
          <cell r="N588" t="str">
            <v>한진</v>
          </cell>
          <cell r="O588" t="str">
            <v>펌프카(1대)</v>
          </cell>
          <cell r="P588">
            <v>737</v>
          </cell>
          <cell r="Q588">
            <v>1212</v>
          </cell>
          <cell r="R588">
            <v>160</v>
          </cell>
          <cell r="S588">
            <v>40</v>
          </cell>
          <cell r="T588">
            <v>31</v>
          </cell>
          <cell r="U588">
            <v>267</v>
          </cell>
          <cell r="V588"/>
          <cell r="W588" t="str">
            <v>박순홍</v>
          </cell>
          <cell r="X588" t="str">
            <v>(인)</v>
          </cell>
          <cell r="Y588" t="str">
            <v>박순홍</v>
          </cell>
          <cell r="Z588" t="str">
            <v>(인)</v>
          </cell>
          <cell r="AA588" t="str">
            <v>김만고</v>
          </cell>
          <cell r="AB588" t="str">
            <v>(인)</v>
          </cell>
          <cell r="AC588" t="str">
            <v>임영구</v>
          </cell>
          <cell r="AD588" t="str">
            <v>(인)</v>
          </cell>
          <cell r="AE588">
            <v>183.4</v>
          </cell>
          <cell r="AF588" t="str">
            <v>표준</v>
          </cell>
          <cell r="AG588">
            <v>2</v>
          </cell>
          <cell r="AH588">
            <v>0</v>
          </cell>
        </row>
        <row r="589">
          <cell r="G589">
            <v>2406210101</v>
          </cell>
          <cell r="H589" t="str">
            <v>112동</v>
          </cell>
          <cell r="I589">
            <v>240621</v>
          </cell>
          <cell r="J589" t="str">
            <v>112동 및 주변주차장 기초</v>
          </cell>
          <cell r="K589">
            <v>930</v>
          </cell>
          <cell r="L589">
            <v>936</v>
          </cell>
          <cell r="M589">
            <v>2415</v>
          </cell>
          <cell r="N589" t="str">
            <v>용호</v>
          </cell>
          <cell r="O589" t="str">
            <v>펌프카(1대)</v>
          </cell>
          <cell r="P589">
            <v>740</v>
          </cell>
          <cell r="Q589">
            <v>1706</v>
          </cell>
          <cell r="R589">
            <v>160</v>
          </cell>
          <cell r="S589">
            <v>45</v>
          </cell>
          <cell r="T589">
            <v>15</v>
          </cell>
          <cell r="U589">
            <v>237</v>
          </cell>
          <cell r="V589"/>
          <cell r="W589" t="str">
            <v>박순홍</v>
          </cell>
          <cell r="X589" t="str">
            <v>(인)</v>
          </cell>
          <cell r="Y589" t="str">
            <v>박순홍</v>
          </cell>
          <cell r="Z589" t="str">
            <v>(인)</v>
          </cell>
          <cell r="AA589" t="str">
            <v>박정환</v>
          </cell>
          <cell r="AB589" t="str">
            <v>(인)</v>
          </cell>
          <cell r="AC589" t="str">
            <v>김만고</v>
          </cell>
          <cell r="AD589" t="str">
            <v>(인)</v>
          </cell>
          <cell r="AE589">
            <v>178.1</v>
          </cell>
          <cell r="AF589" t="str">
            <v>표준</v>
          </cell>
          <cell r="AG589">
            <v>1</v>
          </cell>
          <cell r="AH589">
            <v>1</v>
          </cell>
          <cell r="AI589">
            <v>2350</v>
          </cell>
          <cell r="AJ589">
            <v>2318</v>
          </cell>
          <cell r="AK589">
            <v>183400</v>
          </cell>
          <cell r="AL589">
            <v>3128</v>
          </cell>
          <cell r="AM589">
            <v>3209</v>
          </cell>
          <cell r="AN589">
            <v>3008</v>
          </cell>
          <cell r="AO589">
            <v>3084</v>
          </cell>
          <cell r="AP589">
            <v>3024</v>
          </cell>
          <cell r="AQ589">
            <v>3167</v>
          </cell>
          <cell r="AR589">
            <v>3096</v>
          </cell>
          <cell r="AS589">
            <v>3132</v>
          </cell>
          <cell r="AT589">
            <v>243600</v>
          </cell>
        </row>
        <row r="590">
          <cell r="G590">
            <v>2406210102</v>
          </cell>
          <cell r="H590" t="str">
            <v>112동</v>
          </cell>
          <cell r="I590">
            <v>240621</v>
          </cell>
          <cell r="J590" t="str">
            <v>112동 및 주변주차장 기초</v>
          </cell>
          <cell r="K590">
            <v>930</v>
          </cell>
          <cell r="L590">
            <v>936</v>
          </cell>
          <cell r="M590">
            <v>2415</v>
          </cell>
          <cell r="N590" t="str">
            <v>용호</v>
          </cell>
          <cell r="O590" t="str">
            <v>펌프카(1대)</v>
          </cell>
          <cell r="P590">
            <v>740</v>
          </cell>
          <cell r="Q590">
            <v>1706</v>
          </cell>
          <cell r="R590">
            <v>170</v>
          </cell>
          <cell r="S590">
            <v>50</v>
          </cell>
          <cell r="T590">
            <v>20</v>
          </cell>
          <cell r="U590">
            <v>254</v>
          </cell>
          <cell r="V590"/>
          <cell r="W590" t="str">
            <v>박순홍</v>
          </cell>
          <cell r="X590" t="str">
            <v>(인)</v>
          </cell>
          <cell r="Y590" t="str">
            <v>박순홍</v>
          </cell>
          <cell r="Z590" t="str">
            <v>(인)</v>
          </cell>
          <cell r="AA590" t="str">
            <v>박정환</v>
          </cell>
          <cell r="AB590" t="str">
            <v>(인)</v>
          </cell>
          <cell r="AC590" t="str">
            <v>김만고</v>
          </cell>
          <cell r="AD590" t="str">
            <v>(인)</v>
          </cell>
          <cell r="AE590">
            <v>179.4</v>
          </cell>
          <cell r="AF590" t="str">
            <v>표준</v>
          </cell>
          <cell r="AG590">
            <v>2</v>
          </cell>
          <cell r="AH590">
            <v>0</v>
          </cell>
        </row>
        <row r="591">
          <cell r="G591">
            <v>2406210103</v>
          </cell>
          <cell r="H591" t="str">
            <v>112동</v>
          </cell>
          <cell r="I591">
            <v>240621</v>
          </cell>
          <cell r="J591" t="str">
            <v>112동 및 주변주차장 기초</v>
          </cell>
          <cell r="K591">
            <v>930</v>
          </cell>
          <cell r="L591">
            <v>936</v>
          </cell>
          <cell r="M591">
            <v>2415</v>
          </cell>
          <cell r="N591" t="str">
            <v>용호</v>
          </cell>
          <cell r="O591" t="str">
            <v>펌프카(1대)</v>
          </cell>
          <cell r="P591">
            <v>740</v>
          </cell>
          <cell r="Q591">
            <v>1706</v>
          </cell>
          <cell r="R591">
            <v>150</v>
          </cell>
          <cell r="S591">
            <v>43</v>
          </cell>
          <cell r="T591">
            <v>79</v>
          </cell>
          <cell r="U591">
            <v>246</v>
          </cell>
          <cell r="V591"/>
          <cell r="W591" t="str">
            <v>박순홍</v>
          </cell>
          <cell r="X591" t="str">
            <v>(인)</v>
          </cell>
          <cell r="Y591" t="str">
            <v>박순홍</v>
          </cell>
          <cell r="Z591" t="str">
            <v>(인)</v>
          </cell>
          <cell r="AA591" t="str">
            <v>박정환</v>
          </cell>
          <cell r="AB591" t="str">
            <v>(인)</v>
          </cell>
          <cell r="AC591" t="str">
            <v>김만고</v>
          </cell>
          <cell r="AD591" t="str">
            <v>(인)</v>
          </cell>
          <cell r="AE591">
            <v>179.2</v>
          </cell>
          <cell r="AF591" t="str">
            <v>표준</v>
          </cell>
          <cell r="AG591">
            <v>3</v>
          </cell>
          <cell r="AH591">
            <v>0</v>
          </cell>
        </row>
        <row r="592">
          <cell r="G592">
            <v>2406210104</v>
          </cell>
          <cell r="H592" t="str">
            <v>112동</v>
          </cell>
          <cell r="I592">
            <v>240621</v>
          </cell>
          <cell r="J592" t="str">
            <v>112동 및 주변주차장 기초</v>
          </cell>
          <cell r="K592">
            <v>930</v>
          </cell>
          <cell r="L592">
            <v>936</v>
          </cell>
          <cell r="M592">
            <v>2415</v>
          </cell>
          <cell r="N592" t="str">
            <v>용호</v>
          </cell>
          <cell r="O592" t="str">
            <v>펌프카(1대)</v>
          </cell>
          <cell r="P592">
            <v>740</v>
          </cell>
          <cell r="Q592">
            <v>1706</v>
          </cell>
          <cell r="R592">
            <v>165</v>
          </cell>
          <cell r="S592">
            <v>49</v>
          </cell>
          <cell r="T592">
            <v>76</v>
          </cell>
          <cell r="U592">
            <v>260</v>
          </cell>
          <cell r="V592"/>
          <cell r="W592" t="str">
            <v>박순홍</v>
          </cell>
          <cell r="X592" t="str">
            <v>(인)</v>
          </cell>
          <cell r="Y592" t="str">
            <v>박순홍</v>
          </cell>
          <cell r="Z592" t="str">
            <v>(인)</v>
          </cell>
          <cell r="AA592" t="str">
            <v>박정환</v>
          </cell>
          <cell r="AB592" t="str">
            <v>(인)</v>
          </cell>
          <cell r="AC592" t="str">
            <v>김만고</v>
          </cell>
          <cell r="AD592" t="str">
            <v>(인)</v>
          </cell>
          <cell r="AE592">
            <v>178.7</v>
          </cell>
          <cell r="AF592" t="str">
            <v>표준</v>
          </cell>
          <cell r="AG592">
            <v>4</v>
          </cell>
          <cell r="AH592">
            <v>1</v>
          </cell>
          <cell r="AL592">
            <v>3084</v>
          </cell>
          <cell r="AM592">
            <v>3181</v>
          </cell>
          <cell r="AN592">
            <v>3208</v>
          </cell>
          <cell r="AO592">
            <v>3066</v>
          </cell>
          <cell r="AP592">
            <v>3176</v>
          </cell>
          <cell r="AQ592">
            <v>3066</v>
          </cell>
          <cell r="AR592">
            <v>3167</v>
          </cell>
          <cell r="AS592">
            <v>3104</v>
          </cell>
          <cell r="AT592">
            <v>249400</v>
          </cell>
        </row>
        <row r="593">
          <cell r="G593">
            <v>2406210105</v>
          </cell>
          <cell r="H593" t="str">
            <v>112동</v>
          </cell>
          <cell r="I593">
            <v>240621</v>
          </cell>
          <cell r="J593" t="str">
            <v>112동 및 주변주차장 기초</v>
          </cell>
          <cell r="K593">
            <v>930</v>
          </cell>
          <cell r="L593">
            <v>936</v>
          </cell>
          <cell r="M593">
            <v>2415</v>
          </cell>
          <cell r="N593" t="str">
            <v>용호</v>
          </cell>
          <cell r="O593" t="str">
            <v>펌프카(1대)</v>
          </cell>
          <cell r="P593">
            <v>740</v>
          </cell>
          <cell r="Q593">
            <v>1706</v>
          </cell>
          <cell r="R593">
            <v>170</v>
          </cell>
          <cell r="S593">
            <v>42</v>
          </cell>
          <cell r="T593">
            <v>55</v>
          </cell>
          <cell r="U593">
            <v>249</v>
          </cell>
          <cell r="V593"/>
          <cell r="W593" t="str">
            <v>박순홍</v>
          </cell>
          <cell r="X593" t="str">
            <v>(인)</v>
          </cell>
          <cell r="Y593" t="str">
            <v>박순홍</v>
          </cell>
          <cell r="Z593" t="str">
            <v>(인)</v>
          </cell>
          <cell r="AA593" t="str">
            <v>박정환</v>
          </cell>
          <cell r="AB593" t="str">
            <v>(인)</v>
          </cell>
          <cell r="AC593" t="str">
            <v>김만고</v>
          </cell>
          <cell r="AD593" t="str">
            <v>(인)</v>
          </cell>
          <cell r="AE593">
            <v>184.2</v>
          </cell>
          <cell r="AF593" t="str">
            <v>표준</v>
          </cell>
          <cell r="AG593">
            <v>5</v>
          </cell>
          <cell r="AH593">
            <v>0</v>
          </cell>
        </row>
        <row r="594">
          <cell r="G594">
            <v>2406210106</v>
          </cell>
          <cell r="H594" t="str">
            <v>112동</v>
          </cell>
          <cell r="I594">
            <v>240621</v>
          </cell>
          <cell r="J594" t="str">
            <v>112동 및 주변주차장 기초</v>
          </cell>
          <cell r="K594">
            <v>930</v>
          </cell>
          <cell r="L594">
            <v>936</v>
          </cell>
          <cell r="M594">
            <v>2415</v>
          </cell>
          <cell r="N594" t="str">
            <v>용호</v>
          </cell>
          <cell r="O594" t="str">
            <v>펌프카(1대)</v>
          </cell>
          <cell r="P594">
            <v>740</v>
          </cell>
          <cell r="Q594">
            <v>1706</v>
          </cell>
          <cell r="R594">
            <v>170</v>
          </cell>
          <cell r="S594">
            <v>47</v>
          </cell>
          <cell r="T594">
            <v>92</v>
          </cell>
          <cell r="U594">
            <v>234</v>
          </cell>
          <cell r="V594"/>
          <cell r="W594" t="str">
            <v>박순홍</v>
          </cell>
          <cell r="X594" t="str">
            <v>(인)</v>
          </cell>
          <cell r="Y594" t="str">
            <v>박순홍</v>
          </cell>
          <cell r="Z594" t="str">
            <v>(인)</v>
          </cell>
          <cell r="AA594" t="str">
            <v>박정환</v>
          </cell>
          <cell r="AB594" t="str">
            <v>(인)</v>
          </cell>
          <cell r="AC594" t="str">
            <v>김만고</v>
          </cell>
          <cell r="AD594" t="str">
            <v>(인)</v>
          </cell>
          <cell r="AE594">
            <v>171.4</v>
          </cell>
          <cell r="AF594" t="str">
            <v>표준</v>
          </cell>
          <cell r="AG594">
            <v>6</v>
          </cell>
          <cell r="AH594">
            <v>0</v>
          </cell>
        </row>
        <row r="595">
          <cell r="G595">
            <v>2406210107</v>
          </cell>
          <cell r="H595" t="str">
            <v>112동</v>
          </cell>
          <cell r="I595">
            <v>240621</v>
          </cell>
          <cell r="J595" t="str">
            <v>112동 및 주변주차장 기초</v>
          </cell>
          <cell r="K595">
            <v>930</v>
          </cell>
          <cell r="L595">
            <v>936</v>
          </cell>
          <cell r="M595">
            <v>2415</v>
          </cell>
          <cell r="N595" t="str">
            <v>용호</v>
          </cell>
          <cell r="O595" t="str">
            <v>펌프카(1대)</v>
          </cell>
          <cell r="P595">
            <v>740</v>
          </cell>
          <cell r="Q595">
            <v>1706</v>
          </cell>
          <cell r="R595">
            <v>170</v>
          </cell>
          <cell r="S595">
            <v>52</v>
          </cell>
          <cell r="T595">
            <v>72</v>
          </cell>
          <cell r="U595">
            <v>251</v>
          </cell>
          <cell r="V595"/>
          <cell r="W595" t="str">
            <v>박순홍</v>
          </cell>
          <cell r="X595" t="str">
            <v>(인)</v>
          </cell>
          <cell r="Y595" t="str">
            <v>박순홍</v>
          </cell>
          <cell r="Z595" t="str">
            <v>(인)</v>
          </cell>
          <cell r="AA595" t="str">
            <v>박정환</v>
          </cell>
          <cell r="AB595" t="str">
            <v>(인)</v>
          </cell>
          <cell r="AC595" t="str">
            <v>김만고</v>
          </cell>
          <cell r="AD595" t="str">
            <v>(인)</v>
          </cell>
          <cell r="AE595">
            <v>183.2</v>
          </cell>
          <cell r="AF595" t="str">
            <v>표준</v>
          </cell>
          <cell r="AG595">
            <v>7</v>
          </cell>
          <cell r="AH595">
            <v>1</v>
          </cell>
          <cell r="AL595">
            <v>3128</v>
          </cell>
          <cell r="AM595">
            <v>3082</v>
          </cell>
          <cell r="AN595">
            <v>3072</v>
          </cell>
          <cell r="AO595">
            <v>3208</v>
          </cell>
          <cell r="AP595">
            <v>3128</v>
          </cell>
          <cell r="AQ595">
            <v>3063</v>
          </cell>
          <cell r="AR595">
            <v>3149</v>
          </cell>
          <cell r="AS595">
            <v>3065</v>
          </cell>
          <cell r="AT595">
            <v>241400</v>
          </cell>
        </row>
        <row r="596">
          <cell r="G596">
            <v>2406210108</v>
          </cell>
          <cell r="H596" t="str">
            <v>112동</v>
          </cell>
          <cell r="I596">
            <v>240621</v>
          </cell>
          <cell r="J596" t="str">
            <v>112동 및 주변주차장 기초</v>
          </cell>
          <cell r="K596">
            <v>930</v>
          </cell>
          <cell r="L596">
            <v>936</v>
          </cell>
          <cell r="M596">
            <v>2415</v>
          </cell>
          <cell r="N596" t="str">
            <v>용호</v>
          </cell>
          <cell r="O596" t="str">
            <v>펌프카(1대)</v>
          </cell>
          <cell r="P596">
            <v>740</v>
          </cell>
          <cell r="Q596">
            <v>1706</v>
          </cell>
          <cell r="R596">
            <v>155</v>
          </cell>
          <cell r="S596">
            <v>49</v>
          </cell>
          <cell r="T596">
            <v>46</v>
          </cell>
          <cell r="U596">
            <v>245</v>
          </cell>
          <cell r="V596"/>
          <cell r="W596" t="str">
            <v>박순홍</v>
          </cell>
          <cell r="X596" t="str">
            <v>(인)</v>
          </cell>
          <cell r="Y596" t="str">
            <v>박순홍</v>
          </cell>
          <cell r="Z596" t="str">
            <v>(인)</v>
          </cell>
          <cell r="AA596" t="str">
            <v>박정환</v>
          </cell>
          <cell r="AB596" t="str">
            <v>(인)</v>
          </cell>
          <cell r="AC596" t="str">
            <v>김만고</v>
          </cell>
          <cell r="AD596" t="str">
            <v>(인)</v>
          </cell>
          <cell r="AE596">
            <v>182.9</v>
          </cell>
          <cell r="AF596" t="str">
            <v>표준</v>
          </cell>
          <cell r="AG596">
            <v>8</v>
          </cell>
          <cell r="AH596">
            <v>0</v>
          </cell>
        </row>
        <row r="597">
          <cell r="G597">
            <v>2406210201</v>
          </cell>
          <cell r="H597" t="str">
            <v>112동</v>
          </cell>
          <cell r="I597">
            <v>240621</v>
          </cell>
          <cell r="J597" t="str">
            <v>112동 및 주변주차장 기초</v>
          </cell>
          <cell r="K597">
            <v>840</v>
          </cell>
          <cell r="L597">
            <v>840</v>
          </cell>
          <cell r="M597">
            <v>2415</v>
          </cell>
          <cell r="N597" t="str">
            <v>대공</v>
          </cell>
          <cell r="O597" t="str">
            <v>펌프카(1대)</v>
          </cell>
          <cell r="P597">
            <v>743</v>
          </cell>
          <cell r="Q597">
            <v>1631</v>
          </cell>
          <cell r="R597">
            <v>170</v>
          </cell>
          <cell r="S597">
            <v>44</v>
          </cell>
          <cell r="T597">
            <v>21</v>
          </cell>
          <cell r="U597">
            <v>242</v>
          </cell>
          <cell r="V597"/>
          <cell r="W597" t="str">
            <v>박순홍</v>
          </cell>
          <cell r="X597" t="str">
            <v>(인)</v>
          </cell>
          <cell r="Y597" t="str">
            <v>박순홍</v>
          </cell>
          <cell r="Z597" t="str">
            <v>(인)</v>
          </cell>
          <cell r="AA597" t="str">
            <v>박정환</v>
          </cell>
          <cell r="AB597" t="str">
            <v>(인)</v>
          </cell>
          <cell r="AC597" t="str">
            <v>김만고</v>
          </cell>
          <cell r="AD597" t="str">
            <v>(인)</v>
          </cell>
          <cell r="AE597">
            <v>179.6</v>
          </cell>
          <cell r="AF597" t="str">
            <v>표준</v>
          </cell>
          <cell r="AG597">
            <v>1</v>
          </cell>
          <cell r="AH597">
            <v>1</v>
          </cell>
          <cell r="AI597">
            <v>2286</v>
          </cell>
          <cell r="AJ597">
            <v>2219</v>
          </cell>
          <cell r="AK597">
            <v>180400</v>
          </cell>
          <cell r="AL597">
            <v>2982</v>
          </cell>
          <cell r="AM597">
            <v>3037</v>
          </cell>
          <cell r="AN597">
            <v>3021</v>
          </cell>
          <cell r="AO597">
            <v>2986</v>
          </cell>
          <cell r="AP597">
            <v>3137</v>
          </cell>
          <cell r="AQ597">
            <v>3180</v>
          </cell>
          <cell r="AR597">
            <v>3256</v>
          </cell>
          <cell r="AS597">
            <v>3099</v>
          </cell>
          <cell r="AT597">
            <v>255600</v>
          </cell>
        </row>
        <row r="598">
          <cell r="G598">
            <v>2406210202</v>
          </cell>
          <cell r="H598" t="str">
            <v>112동</v>
          </cell>
          <cell r="I598">
            <v>240621</v>
          </cell>
          <cell r="J598" t="str">
            <v>112동 및 주변주차장 기초</v>
          </cell>
          <cell r="K598">
            <v>840</v>
          </cell>
          <cell r="L598">
            <v>840</v>
          </cell>
          <cell r="M598">
            <v>2415</v>
          </cell>
          <cell r="N598" t="str">
            <v>대공</v>
          </cell>
          <cell r="O598" t="str">
            <v>펌프카(1대)</v>
          </cell>
          <cell r="P598">
            <v>743</v>
          </cell>
          <cell r="Q598">
            <v>1631</v>
          </cell>
          <cell r="R598">
            <v>170</v>
          </cell>
          <cell r="S598">
            <v>48</v>
          </cell>
          <cell r="T598">
            <v>22</v>
          </cell>
          <cell r="U598">
            <v>239</v>
          </cell>
          <cell r="V598"/>
          <cell r="W598" t="str">
            <v>박순홍</v>
          </cell>
          <cell r="X598" t="str">
            <v>(인)</v>
          </cell>
          <cell r="Y598" t="str">
            <v>박순홍</v>
          </cell>
          <cell r="Z598" t="str">
            <v>(인)</v>
          </cell>
          <cell r="AA598" t="str">
            <v>박정환</v>
          </cell>
          <cell r="AB598" t="str">
            <v>(인)</v>
          </cell>
          <cell r="AC598" t="str">
            <v>김만고</v>
          </cell>
          <cell r="AD598" t="str">
            <v>(인)</v>
          </cell>
          <cell r="AE598">
            <v>177.6</v>
          </cell>
          <cell r="AF598" t="str">
            <v>표준</v>
          </cell>
          <cell r="AG598">
            <v>2</v>
          </cell>
          <cell r="AH598">
            <v>0</v>
          </cell>
        </row>
        <row r="599">
          <cell r="G599">
            <v>2406210203</v>
          </cell>
          <cell r="H599" t="str">
            <v>112동</v>
          </cell>
          <cell r="I599">
            <v>240621</v>
          </cell>
          <cell r="J599" t="str">
            <v>112동 및 주변주차장 기초</v>
          </cell>
          <cell r="K599">
            <v>840</v>
          </cell>
          <cell r="L599">
            <v>840</v>
          </cell>
          <cell r="M599">
            <v>2415</v>
          </cell>
          <cell r="N599" t="str">
            <v>대공</v>
          </cell>
          <cell r="O599" t="str">
            <v>펌프카(1대)</v>
          </cell>
          <cell r="P599">
            <v>743</v>
          </cell>
          <cell r="Q599">
            <v>1631</v>
          </cell>
          <cell r="R599">
            <v>165</v>
          </cell>
          <cell r="S599">
            <v>51</v>
          </cell>
          <cell r="T599">
            <v>96</v>
          </cell>
          <cell r="U599">
            <v>246</v>
          </cell>
          <cell r="V599"/>
          <cell r="W599" t="str">
            <v>박순홍</v>
          </cell>
          <cell r="X599" t="str">
            <v>(인)</v>
          </cell>
          <cell r="Y599" t="str">
            <v>박순홍</v>
          </cell>
          <cell r="Z599" t="str">
            <v>(인)</v>
          </cell>
          <cell r="AA599" t="str">
            <v>박정환</v>
          </cell>
          <cell r="AB599" t="str">
            <v>(인)</v>
          </cell>
          <cell r="AC599" t="str">
            <v>김만고</v>
          </cell>
          <cell r="AD599" t="str">
            <v>(인)</v>
          </cell>
          <cell r="AE599">
            <v>179.2</v>
          </cell>
          <cell r="AF599" t="str">
            <v>표준</v>
          </cell>
          <cell r="AG599">
            <v>3</v>
          </cell>
          <cell r="AH599">
            <v>0</v>
          </cell>
        </row>
        <row r="600">
          <cell r="G600">
            <v>2406210204</v>
          </cell>
          <cell r="H600" t="str">
            <v>112동</v>
          </cell>
          <cell r="I600">
            <v>240621</v>
          </cell>
          <cell r="J600" t="str">
            <v>112동 및 주변주차장 기초</v>
          </cell>
          <cell r="K600">
            <v>840</v>
          </cell>
          <cell r="L600">
            <v>840</v>
          </cell>
          <cell r="M600">
            <v>2415</v>
          </cell>
          <cell r="N600" t="str">
            <v>대공</v>
          </cell>
          <cell r="O600" t="str">
            <v>펌프카(1대)</v>
          </cell>
          <cell r="P600">
            <v>743</v>
          </cell>
          <cell r="Q600">
            <v>1631</v>
          </cell>
          <cell r="R600">
            <v>170</v>
          </cell>
          <cell r="S600">
            <v>53</v>
          </cell>
          <cell r="T600">
            <v>126</v>
          </cell>
          <cell r="U600">
            <v>264</v>
          </cell>
          <cell r="V600"/>
          <cell r="W600" t="str">
            <v>박순홍</v>
          </cell>
          <cell r="X600" t="str">
            <v>(인)</v>
          </cell>
          <cell r="Y600" t="str">
            <v>박순홍</v>
          </cell>
          <cell r="Z600" t="str">
            <v>(인)</v>
          </cell>
          <cell r="AA600" t="str">
            <v>박정환</v>
          </cell>
          <cell r="AB600" t="str">
            <v>(인)</v>
          </cell>
          <cell r="AC600" t="str">
            <v>김만고</v>
          </cell>
          <cell r="AD600" t="str">
            <v>(인)</v>
          </cell>
          <cell r="AE600">
            <v>177.6</v>
          </cell>
          <cell r="AF600" t="str">
            <v>표준</v>
          </cell>
          <cell r="AG600">
            <v>4</v>
          </cell>
          <cell r="AH600">
            <v>1</v>
          </cell>
          <cell r="AL600">
            <v>3146</v>
          </cell>
          <cell r="AM600">
            <v>3084</v>
          </cell>
          <cell r="AN600">
            <v>3172</v>
          </cell>
          <cell r="AO600">
            <v>3236</v>
          </cell>
          <cell r="AP600">
            <v>3029</v>
          </cell>
          <cell r="AQ600">
            <v>3088</v>
          </cell>
          <cell r="AR600">
            <v>3162</v>
          </cell>
          <cell r="AS600">
            <v>3167</v>
          </cell>
          <cell r="AT600">
            <v>248600</v>
          </cell>
        </row>
        <row r="601">
          <cell r="G601">
            <v>2406210205</v>
          </cell>
          <cell r="H601" t="str">
            <v>112동</v>
          </cell>
          <cell r="I601">
            <v>240621</v>
          </cell>
          <cell r="J601" t="str">
            <v>112동 및 주변주차장 기초</v>
          </cell>
          <cell r="K601">
            <v>840</v>
          </cell>
          <cell r="L601">
            <v>840</v>
          </cell>
          <cell r="M601">
            <v>2415</v>
          </cell>
          <cell r="N601" t="str">
            <v>대공</v>
          </cell>
          <cell r="O601" t="str">
            <v>펌프카(1대)</v>
          </cell>
          <cell r="P601">
            <v>743</v>
          </cell>
          <cell r="Q601">
            <v>1631</v>
          </cell>
          <cell r="R601">
            <v>170</v>
          </cell>
          <cell r="S601">
            <v>42</v>
          </cell>
          <cell r="T601">
            <v>41</v>
          </cell>
          <cell r="U601">
            <v>249</v>
          </cell>
          <cell r="V601"/>
          <cell r="W601" t="str">
            <v>박순홍</v>
          </cell>
          <cell r="X601" t="str">
            <v>(인)</v>
          </cell>
          <cell r="Y601" t="str">
            <v>박순홍</v>
          </cell>
          <cell r="Z601" t="str">
            <v>(인)</v>
          </cell>
          <cell r="AA601" t="str">
            <v>박정환</v>
          </cell>
          <cell r="AB601" t="str">
            <v>(인)</v>
          </cell>
          <cell r="AC601" t="str">
            <v>김만고</v>
          </cell>
          <cell r="AD601" t="str">
            <v>(인)</v>
          </cell>
          <cell r="AE601">
            <v>184.2</v>
          </cell>
          <cell r="AF601" t="str">
            <v>표준</v>
          </cell>
          <cell r="AG601">
            <v>5</v>
          </cell>
          <cell r="AH601">
            <v>0</v>
          </cell>
        </row>
        <row r="602">
          <cell r="G602">
            <v>2406210206</v>
          </cell>
          <cell r="H602" t="str">
            <v>112동</v>
          </cell>
          <cell r="I602">
            <v>240621</v>
          </cell>
          <cell r="J602" t="str">
            <v>112동 및 주변주차장 기초</v>
          </cell>
          <cell r="K602">
            <v>840</v>
          </cell>
          <cell r="L602">
            <v>840</v>
          </cell>
          <cell r="M602">
            <v>2415</v>
          </cell>
          <cell r="N602" t="str">
            <v>대공</v>
          </cell>
          <cell r="O602" t="str">
            <v>펌프카(1대)</v>
          </cell>
          <cell r="P602">
            <v>743</v>
          </cell>
          <cell r="Q602">
            <v>1631</v>
          </cell>
          <cell r="R602">
            <v>165</v>
          </cell>
          <cell r="S602">
            <v>47</v>
          </cell>
          <cell r="T602">
            <v>40</v>
          </cell>
          <cell r="U602">
            <v>238</v>
          </cell>
          <cell r="V602"/>
          <cell r="W602" t="str">
            <v>박순홍</v>
          </cell>
          <cell r="X602" t="str">
            <v>(인)</v>
          </cell>
          <cell r="Y602" t="str">
            <v>박순홍</v>
          </cell>
          <cell r="Z602" t="str">
            <v>(인)</v>
          </cell>
          <cell r="AA602" t="str">
            <v>박정환</v>
          </cell>
          <cell r="AB602" t="str">
            <v>(인)</v>
          </cell>
          <cell r="AC602" t="str">
            <v>김만고</v>
          </cell>
          <cell r="AD602" t="str">
            <v>(인)</v>
          </cell>
          <cell r="AE602">
            <v>177.2</v>
          </cell>
          <cell r="AF602" t="str">
            <v>표준</v>
          </cell>
          <cell r="AG602">
            <v>6</v>
          </cell>
          <cell r="AH602">
            <v>0</v>
          </cell>
        </row>
        <row r="603">
          <cell r="G603">
            <v>2406210207</v>
          </cell>
          <cell r="H603" t="str">
            <v>112동</v>
          </cell>
          <cell r="I603">
            <v>240621</v>
          </cell>
          <cell r="J603" t="str">
            <v>112동 및 주변주차장 기초</v>
          </cell>
          <cell r="K603">
            <v>840</v>
          </cell>
          <cell r="L603">
            <v>840</v>
          </cell>
          <cell r="M603">
            <v>2415</v>
          </cell>
          <cell r="N603" t="str">
            <v>대공</v>
          </cell>
          <cell r="O603" t="str">
            <v>펌프카(1대)</v>
          </cell>
          <cell r="P603">
            <v>743</v>
          </cell>
          <cell r="Q603">
            <v>1631</v>
          </cell>
          <cell r="R603">
            <v>160</v>
          </cell>
          <cell r="S603">
            <v>40</v>
          </cell>
          <cell r="T603">
            <v>22</v>
          </cell>
          <cell r="U603">
            <v>270</v>
          </cell>
          <cell r="V603"/>
          <cell r="W603" t="str">
            <v>박순홍</v>
          </cell>
          <cell r="X603" t="str">
            <v>(인)</v>
          </cell>
          <cell r="Y603" t="str">
            <v>박순홍</v>
          </cell>
          <cell r="Z603" t="str">
            <v>(인)</v>
          </cell>
          <cell r="AA603" t="str">
            <v>박정환</v>
          </cell>
          <cell r="AB603" t="str">
            <v>(인)</v>
          </cell>
          <cell r="AC603" t="str">
            <v>김만고</v>
          </cell>
          <cell r="AD603" t="str">
            <v>(인)</v>
          </cell>
          <cell r="AE603">
            <v>181.9</v>
          </cell>
          <cell r="AF603" t="str">
            <v>표준</v>
          </cell>
          <cell r="AG603">
            <v>7</v>
          </cell>
          <cell r="AH603">
            <v>1</v>
          </cell>
          <cell r="AL603">
            <v>3174</v>
          </cell>
          <cell r="AM603">
            <v>3208</v>
          </cell>
          <cell r="AN603">
            <v>3035</v>
          </cell>
          <cell r="AO603">
            <v>3137</v>
          </cell>
          <cell r="AP603">
            <v>3261</v>
          </cell>
          <cell r="AQ603">
            <v>3208</v>
          </cell>
          <cell r="AR603">
            <v>3203</v>
          </cell>
          <cell r="AS603">
            <v>3170</v>
          </cell>
          <cell r="AT603">
            <v>246200</v>
          </cell>
        </row>
        <row r="604">
          <cell r="G604">
            <v>2406210301</v>
          </cell>
          <cell r="H604" t="str">
            <v>101동</v>
          </cell>
          <cell r="I604">
            <v>240621</v>
          </cell>
          <cell r="J604" t="str">
            <v>101동 1차</v>
          </cell>
          <cell r="K604">
            <v>300</v>
          </cell>
          <cell r="L604">
            <v>300</v>
          </cell>
          <cell r="M604">
            <v>3015</v>
          </cell>
          <cell r="N604" t="str">
            <v>대성</v>
          </cell>
          <cell r="O604" t="str">
            <v>펌프카(1대)</v>
          </cell>
          <cell r="P604">
            <v>750</v>
          </cell>
          <cell r="Q604">
            <v>1256</v>
          </cell>
          <cell r="R604">
            <v>170</v>
          </cell>
          <cell r="S604">
            <v>44</v>
          </cell>
          <cell r="T604">
            <v>23</v>
          </cell>
          <cell r="U604">
            <v>249</v>
          </cell>
          <cell r="V604"/>
          <cell r="W604" t="str">
            <v>박순홍</v>
          </cell>
          <cell r="X604" t="str">
            <v>(인)</v>
          </cell>
          <cell r="Y604" t="str">
            <v>박순홍</v>
          </cell>
          <cell r="Z604" t="str">
            <v>(인)</v>
          </cell>
          <cell r="AA604" t="str">
            <v>이루비</v>
          </cell>
          <cell r="AB604" t="str">
            <v>(인)</v>
          </cell>
          <cell r="AC604" t="str">
            <v>이루비</v>
          </cell>
          <cell r="AD604" t="str">
            <v>(인)</v>
          </cell>
          <cell r="AE604">
            <v>180.9</v>
          </cell>
          <cell r="AF604" t="str">
            <v>표준</v>
          </cell>
          <cell r="AG604">
            <v>1</v>
          </cell>
          <cell r="AH604">
            <v>1</v>
          </cell>
          <cell r="AI604">
            <v>2808</v>
          </cell>
          <cell r="AJ604">
            <v>2784</v>
          </cell>
          <cell r="AK604">
            <v>222600</v>
          </cell>
          <cell r="AL604">
            <v>3781</v>
          </cell>
          <cell r="AM604">
            <v>3866</v>
          </cell>
          <cell r="AN604">
            <v>3827</v>
          </cell>
          <cell r="AO604">
            <v>3729</v>
          </cell>
          <cell r="AP604">
            <v>3638</v>
          </cell>
          <cell r="AQ604">
            <v>3812</v>
          </cell>
          <cell r="AR604">
            <v>3873</v>
          </cell>
          <cell r="AS604">
            <v>3796</v>
          </cell>
          <cell r="AT604">
            <v>296000</v>
          </cell>
        </row>
        <row r="605">
          <cell r="G605">
            <v>2406210302</v>
          </cell>
          <cell r="H605" t="str">
            <v>101동</v>
          </cell>
          <cell r="I605">
            <v>240621</v>
          </cell>
          <cell r="J605" t="str">
            <v>101동 1차</v>
          </cell>
          <cell r="K605">
            <v>300</v>
          </cell>
          <cell r="L605">
            <v>300</v>
          </cell>
          <cell r="M605">
            <v>3015</v>
          </cell>
          <cell r="N605" t="str">
            <v>대성</v>
          </cell>
          <cell r="O605" t="str">
            <v>펌프카(1대)</v>
          </cell>
          <cell r="P605">
            <v>750</v>
          </cell>
          <cell r="Q605">
            <v>1256</v>
          </cell>
          <cell r="R605">
            <v>170</v>
          </cell>
          <cell r="S605">
            <v>49</v>
          </cell>
          <cell r="T605">
            <v>23</v>
          </cell>
          <cell r="U605">
            <v>244</v>
          </cell>
          <cell r="V605"/>
          <cell r="W605" t="str">
            <v>박순홍</v>
          </cell>
          <cell r="X605" t="str">
            <v>(인)</v>
          </cell>
          <cell r="Y605" t="str">
            <v>박순홍</v>
          </cell>
          <cell r="Z605" t="str">
            <v>(인)</v>
          </cell>
          <cell r="AA605" t="str">
            <v>이루비</v>
          </cell>
          <cell r="AB605" t="str">
            <v>(인)</v>
          </cell>
          <cell r="AC605" t="str">
            <v>이루비</v>
          </cell>
          <cell r="AD605" t="str">
            <v>(인)</v>
          </cell>
          <cell r="AE605">
            <v>182.6</v>
          </cell>
          <cell r="AF605" t="str">
            <v>표준</v>
          </cell>
          <cell r="AG605">
            <v>2</v>
          </cell>
          <cell r="AH605">
            <v>0</v>
          </cell>
        </row>
        <row r="606">
          <cell r="G606">
            <v>2406210303</v>
          </cell>
          <cell r="H606" t="str">
            <v>101동</v>
          </cell>
          <cell r="I606">
            <v>240621</v>
          </cell>
          <cell r="J606" t="str">
            <v>101동 1차</v>
          </cell>
          <cell r="K606">
            <v>300</v>
          </cell>
          <cell r="L606">
            <v>300</v>
          </cell>
          <cell r="M606">
            <v>3015</v>
          </cell>
          <cell r="N606" t="str">
            <v>대성</v>
          </cell>
          <cell r="O606" t="str">
            <v>펌프카(1대)</v>
          </cell>
          <cell r="P606">
            <v>750</v>
          </cell>
          <cell r="Q606">
            <v>1256</v>
          </cell>
          <cell r="R606">
            <v>150</v>
          </cell>
          <cell r="S606">
            <v>50</v>
          </cell>
          <cell r="T606">
            <v>95</v>
          </cell>
          <cell r="U606">
            <v>227</v>
          </cell>
          <cell r="V606"/>
          <cell r="W606" t="str">
            <v>박순홍</v>
          </cell>
          <cell r="X606" t="str">
            <v>(인)</v>
          </cell>
          <cell r="Y606" t="str">
            <v>박순홍</v>
          </cell>
          <cell r="Z606" t="str">
            <v>(인)</v>
          </cell>
          <cell r="AA606" t="str">
            <v>이루비</v>
          </cell>
          <cell r="AB606" t="str">
            <v>(인)</v>
          </cell>
          <cell r="AC606" t="str">
            <v>이루비</v>
          </cell>
          <cell r="AD606" t="str">
            <v>(인)</v>
          </cell>
          <cell r="AE606">
            <v>171.7</v>
          </cell>
          <cell r="AF606" t="str">
            <v>표준</v>
          </cell>
          <cell r="AG606">
            <v>3</v>
          </cell>
          <cell r="AH606">
            <v>0</v>
          </cell>
        </row>
        <row r="607">
          <cell r="G607">
            <v>2406210401</v>
          </cell>
          <cell r="H607" t="str">
            <v>106동</v>
          </cell>
          <cell r="I607">
            <v>240621</v>
          </cell>
          <cell r="J607" t="str">
            <v>106동 5층 바닥</v>
          </cell>
          <cell r="K607">
            <v>280</v>
          </cell>
          <cell r="L607">
            <v>276</v>
          </cell>
          <cell r="M607">
            <v>3018</v>
          </cell>
          <cell r="N607" t="str">
            <v>신우</v>
          </cell>
          <cell r="O607" t="str">
            <v>펌프카(1대)</v>
          </cell>
          <cell r="P607">
            <v>907</v>
          </cell>
          <cell r="Q607">
            <v>1310</v>
          </cell>
          <cell r="R607">
            <v>180</v>
          </cell>
          <cell r="S607">
            <v>41</v>
          </cell>
          <cell r="T607">
            <v>13</v>
          </cell>
          <cell r="U607">
            <v>233</v>
          </cell>
          <cell r="V607"/>
          <cell r="W607" t="str">
            <v>박순홍</v>
          </cell>
          <cell r="X607" t="str">
            <v>(인)</v>
          </cell>
          <cell r="Y607" t="str">
            <v>박순홍</v>
          </cell>
          <cell r="Z607" t="str">
            <v>(인)</v>
          </cell>
          <cell r="AA607" t="str">
            <v>이루비</v>
          </cell>
          <cell r="AB607" t="str">
            <v>(인)</v>
          </cell>
          <cell r="AC607" t="str">
            <v>이루비</v>
          </cell>
          <cell r="AD607" t="str">
            <v>(인)</v>
          </cell>
          <cell r="AE607">
            <v>182</v>
          </cell>
          <cell r="AF607" t="str">
            <v>표준</v>
          </cell>
          <cell r="AG607">
            <v>1</v>
          </cell>
          <cell r="AH607">
            <v>1</v>
          </cell>
          <cell r="AI607">
            <v>2762</v>
          </cell>
          <cell r="AJ607">
            <v>2833</v>
          </cell>
          <cell r="AK607">
            <v>219800</v>
          </cell>
          <cell r="AL607">
            <v>3866</v>
          </cell>
          <cell r="AM607">
            <v>3612</v>
          </cell>
          <cell r="AN607">
            <v>3766</v>
          </cell>
          <cell r="AO607">
            <v>3820</v>
          </cell>
          <cell r="AP607">
            <v>3802</v>
          </cell>
          <cell r="AQ607">
            <v>3961</v>
          </cell>
          <cell r="AR607">
            <v>3804</v>
          </cell>
          <cell r="AS607">
            <v>3901</v>
          </cell>
          <cell r="AT607">
            <v>303200</v>
          </cell>
        </row>
        <row r="608">
          <cell r="G608">
            <v>2406210402</v>
          </cell>
          <cell r="H608" t="str">
            <v>106동</v>
          </cell>
          <cell r="I608">
            <v>240621</v>
          </cell>
          <cell r="J608" t="str">
            <v>106동 5층 바닥</v>
          </cell>
          <cell r="K608">
            <v>280</v>
          </cell>
          <cell r="L608">
            <v>276</v>
          </cell>
          <cell r="M608">
            <v>3018</v>
          </cell>
          <cell r="N608" t="str">
            <v>신우</v>
          </cell>
          <cell r="O608" t="str">
            <v>펌프카(1대)</v>
          </cell>
          <cell r="P608">
            <v>907</v>
          </cell>
          <cell r="Q608">
            <v>1310</v>
          </cell>
          <cell r="R608">
            <v>190</v>
          </cell>
          <cell r="S608">
            <v>48</v>
          </cell>
          <cell r="T608">
            <v>24</v>
          </cell>
          <cell r="U608">
            <v>215</v>
          </cell>
          <cell r="V608"/>
          <cell r="W608" t="str">
            <v>박순홍</v>
          </cell>
          <cell r="X608" t="str">
            <v>(인)</v>
          </cell>
          <cell r="Y608" t="str">
            <v>박순홍</v>
          </cell>
          <cell r="Z608" t="str">
            <v>(인)</v>
          </cell>
          <cell r="AA608" t="str">
            <v>이루비</v>
          </cell>
          <cell r="AB608" t="str">
            <v>(인)</v>
          </cell>
          <cell r="AC608" t="str">
            <v>이루비</v>
          </cell>
          <cell r="AD608" t="str">
            <v>(인)</v>
          </cell>
          <cell r="AE608">
            <v>186</v>
          </cell>
          <cell r="AF608" t="str">
            <v>표준</v>
          </cell>
          <cell r="AG608">
            <v>2</v>
          </cell>
          <cell r="AH608">
            <v>0</v>
          </cell>
        </row>
        <row r="609">
          <cell r="G609">
            <v>2406210403</v>
          </cell>
          <cell r="H609" t="str">
            <v>106동</v>
          </cell>
          <cell r="I609">
            <v>240621</v>
          </cell>
          <cell r="J609" t="str">
            <v>106동 5층 바닥</v>
          </cell>
          <cell r="K609">
            <v>280</v>
          </cell>
          <cell r="L609">
            <v>276</v>
          </cell>
          <cell r="M609">
            <v>3018</v>
          </cell>
          <cell r="N609" t="str">
            <v>신우</v>
          </cell>
          <cell r="O609" t="str">
            <v>펌프카(1대)</v>
          </cell>
          <cell r="P609">
            <v>907</v>
          </cell>
          <cell r="Q609">
            <v>1310</v>
          </cell>
          <cell r="R609">
            <v>190</v>
          </cell>
          <cell r="S609">
            <v>50</v>
          </cell>
          <cell r="T609">
            <v>30</v>
          </cell>
          <cell r="U609">
            <v>222</v>
          </cell>
          <cell r="V609"/>
          <cell r="W609" t="str">
            <v>박순홍</v>
          </cell>
          <cell r="X609" t="str">
            <v>(인)</v>
          </cell>
          <cell r="Y609" t="str">
            <v>박순홍</v>
          </cell>
          <cell r="Z609" t="str">
            <v>(인)</v>
          </cell>
          <cell r="AA609" t="str">
            <v>이루비</v>
          </cell>
          <cell r="AB609" t="str">
            <v>(인)</v>
          </cell>
          <cell r="AC609" t="str">
            <v>이루비</v>
          </cell>
          <cell r="AD609" t="str">
            <v>(인)</v>
          </cell>
          <cell r="AE609">
            <v>184.7</v>
          </cell>
          <cell r="AF609" t="str">
            <v>표준</v>
          </cell>
          <cell r="AG609">
            <v>3</v>
          </cell>
          <cell r="AH609">
            <v>0</v>
          </cell>
        </row>
        <row r="610">
          <cell r="G610">
            <v>2406210501</v>
          </cell>
          <cell r="H610" t="str">
            <v>101동</v>
          </cell>
          <cell r="I610">
            <v>240621</v>
          </cell>
          <cell r="J610" t="str">
            <v>101동 1차</v>
          </cell>
          <cell r="K610">
            <v>330</v>
          </cell>
          <cell r="L610">
            <v>330</v>
          </cell>
          <cell r="M610">
            <v>3015</v>
          </cell>
          <cell r="N610" t="str">
            <v>울산</v>
          </cell>
          <cell r="O610" t="str">
            <v>펌프카(1대)</v>
          </cell>
          <cell r="P610">
            <v>1218</v>
          </cell>
          <cell r="Q610">
            <v>1815</v>
          </cell>
          <cell r="R610">
            <v>165</v>
          </cell>
          <cell r="S610">
            <v>49</v>
          </cell>
          <cell r="T610">
            <v>50</v>
          </cell>
          <cell r="U610">
            <v>274</v>
          </cell>
          <cell r="V610"/>
          <cell r="W610" t="str">
            <v>박순홍</v>
          </cell>
          <cell r="X610" t="str">
            <v>(인)</v>
          </cell>
          <cell r="Y610" t="str">
            <v>박순홍</v>
          </cell>
          <cell r="Z610" t="str">
            <v>(인)</v>
          </cell>
          <cell r="AA610" t="str">
            <v>이루비</v>
          </cell>
          <cell r="AB610" t="str">
            <v>(인)</v>
          </cell>
          <cell r="AC610" t="str">
            <v>이루비</v>
          </cell>
          <cell r="AD610" t="str">
            <v>(인)</v>
          </cell>
          <cell r="AE610">
            <v>172.6</v>
          </cell>
          <cell r="AF610" t="str">
            <v>표준</v>
          </cell>
          <cell r="AG610">
            <v>1</v>
          </cell>
          <cell r="AH610">
            <v>1</v>
          </cell>
          <cell r="AI610">
            <v>2513</v>
          </cell>
          <cell r="AJ610">
            <v>2566</v>
          </cell>
          <cell r="AK610">
            <v>194800</v>
          </cell>
          <cell r="AL610">
            <v>3561</v>
          </cell>
          <cell r="AM610">
            <v>3542</v>
          </cell>
          <cell r="AN610">
            <v>3654</v>
          </cell>
          <cell r="AO610">
            <v>3637</v>
          </cell>
          <cell r="AP610">
            <v>3542</v>
          </cell>
          <cell r="AQ610">
            <v>3711</v>
          </cell>
          <cell r="AR610">
            <v>3615</v>
          </cell>
          <cell r="AS610">
            <v>3694</v>
          </cell>
          <cell r="AT610">
            <v>293000</v>
          </cell>
        </row>
        <row r="611">
          <cell r="G611">
            <v>2406210502</v>
          </cell>
          <cell r="H611" t="str">
            <v>101동</v>
          </cell>
          <cell r="I611">
            <v>240621</v>
          </cell>
          <cell r="J611" t="str">
            <v>101동 1차</v>
          </cell>
          <cell r="K611">
            <v>330</v>
          </cell>
          <cell r="L611">
            <v>330</v>
          </cell>
          <cell r="M611">
            <v>3015</v>
          </cell>
          <cell r="N611" t="str">
            <v>울산</v>
          </cell>
          <cell r="O611" t="str">
            <v>펌프카(1대)</v>
          </cell>
          <cell r="P611">
            <v>1218</v>
          </cell>
          <cell r="Q611">
            <v>1815</v>
          </cell>
          <cell r="R611">
            <v>165</v>
          </cell>
          <cell r="S611">
            <v>40</v>
          </cell>
          <cell r="T611">
            <v>60</v>
          </cell>
          <cell r="U611">
            <v>260</v>
          </cell>
          <cell r="V611"/>
          <cell r="W611" t="str">
            <v>박순홍</v>
          </cell>
          <cell r="X611" t="str">
            <v>(인)</v>
          </cell>
          <cell r="Y611" t="str">
            <v>박순홍</v>
          </cell>
          <cell r="Z611" t="str">
            <v>(인)</v>
          </cell>
          <cell r="AA611" t="str">
            <v>이루비</v>
          </cell>
          <cell r="AB611" t="str">
            <v>(인)</v>
          </cell>
          <cell r="AC611" t="str">
            <v>이루비</v>
          </cell>
          <cell r="AD611" t="str">
            <v>(인)</v>
          </cell>
          <cell r="AE611">
            <v>173</v>
          </cell>
          <cell r="AF611" t="str">
            <v>표준</v>
          </cell>
          <cell r="AG611">
            <v>2</v>
          </cell>
          <cell r="AH611">
            <v>0</v>
          </cell>
        </row>
        <row r="612">
          <cell r="G612">
            <v>2406210503</v>
          </cell>
          <cell r="H612" t="str">
            <v>101동</v>
          </cell>
          <cell r="I612">
            <v>240621</v>
          </cell>
          <cell r="J612" t="str">
            <v>101동 1차</v>
          </cell>
          <cell r="K612">
            <v>330</v>
          </cell>
          <cell r="L612">
            <v>330</v>
          </cell>
          <cell r="M612">
            <v>3015</v>
          </cell>
          <cell r="N612" t="str">
            <v>울산</v>
          </cell>
          <cell r="O612" t="str">
            <v>펌프카(1대)</v>
          </cell>
          <cell r="P612">
            <v>1218</v>
          </cell>
          <cell r="Q612">
            <v>1815</v>
          </cell>
          <cell r="R612">
            <v>160</v>
          </cell>
          <cell r="S612">
            <v>50</v>
          </cell>
          <cell r="T612">
            <v>67</v>
          </cell>
          <cell r="U612">
            <v>220</v>
          </cell>
          <cell r="V612"/>
          <cell r="W612" t="str">
            <v>박순홍</v>
          </cell>
          <cell r="X612" t="str">
            <v>(인)</v>
          </cell>
          <cell r="Y612" t="str">
            <v>박순홍</v>
          </cell>
          <cell r="Z612" t="str">
            <v>(인)</v>
          </cell>
          <cell r="AA612" t="str">
            <v>이루비</v>
          </cell>
          <cell r="AB612" t="str">
            <v>(인)</v>
          </cell>
          <cell r="AC612" t="str">
            <v>이루비</v>
          </cell>
          <cell r="AD612" t="str">
            <v>(인)</v>
          </cell>
          <cell r="AE612">
            <v>172.6</v>
          </cell>
          <cell r="AF612" t="str">
            <v>표준</v>
          </cell>
          <cell r="AG612">
            <v>3</v>
          </cell>
          <cell r="AH612">
            <v>0</v>
          </cell>
        </row>
        <row r="613">
          <cell r="G613">
            <v>2406210601</v>
          </cell>
          <cell r="H613" t="str">
            <v>101동</v>
          </cell>
          <cell r="I613">
            <v>240621</v>
          </cell>
          <cell r="J613" t="str">
            <v>101동 1차</v>
          </cell>
          <cell r="K613">
            <v>60</v>
          </cell>
          <cell r="L613">
            <v>60</v>
          </cell>
          <cell r="M613">
            <v>3015</v>
          </cell>
          <cell r="N613" t="str">
            <v>대공</v>
          </cell>
          <cell r="O613" t="str">
            <v>펌프카(1대)</v>
          </cell>
          <cell r="P613">
            <v>1519</v>
          </cell>
          <cell r="Q613">
            <v>1612</v>
          </cell>
          <cell r="R613">
            <v>175</v>
          </cell>
          <cell r="S613">
            <v>42</v>
          </cell>
          <cell r="T613">
            <v>15</v>
          </cell>
          <cell r="U613">
            <v>242</v>
          </cell>
          <cell r="V613"/>
          <cell r="W613" t="str">
            <v>박순홍</v>
          </cell>
          <cell r="X613" t="str">
            <v>(인)</v>
          </cell>
          <cell r="Y613" t="str">
            <v>박순홍</v>
          </cell>
          <cell r="Z613" t="str">
            <v>(인)</v>
          </cell>
          <cell r="AA613" t="str">
            <v>이루비</v>
          </cell>
          <cell r="AB613" t="str">
            <v>(인)</v>
          </cell>
          <cell r="AC613" t="str">
            <v>이루비</v>
          </cell>
          <cell r="AD613" t="str">
            <v>(인)</v>
          </cell>
          <cell r="AE613">
            <v>178.6</v>
          </cell>
          <cell r="AF613" t="str">
            <v>표준</v>
          </cell>
          <cell r="AG613">
            <v>1</v>
          </cell>
          <cell r="AH613">
            <v>1</v>
          </cell>
          <cell r="AI613">
            <v>2859</v>
          </cell>
          <cell r="AJ613">
            <v>2844</v>
          </cell>
          <cell r="AK613">
            <v>221200</v>
          </cell>
          <cell r="AL613">
            <v>3868</v>
          </cell>
          <cell r="AM613">
            <v>3919</v>
          </cell>
          <cell r="AN613">
            <v>3866</v>
          </cell>
          <cell r="AO613">
            <v>3818</v>
          </cell>
          <cell r="AP613">
            <v>3910</v>
          </cell>
          <cell r="AQ613">
            <v>3728</v>
          </cell>
          <cell r="AR613">
            <v>3810</v>
          </cell>
          <cell r="AS613">
            <v>3980</v>
          </cell>
          <cell r="AT613">
            <v>305000</v>
          </cell>
        </row>
        <row r="614">
          <cell r="G614">
            <v>2406210701</v>
          </cell>
          <cell r="H614" t="str">
            <v>116동</v>
          </cell>
          <cell r="I614">
            <v>240621</v>
          </cell>
          <cell r="J614" t="str">
            <v>H구간 버림</v>
          </cell>
          <cell r="K614">
            <v>80</v>
          </cell>
          <cell r="L614">
            <v>80</v>
          </cell>
          <cell r="M614">
            <v>1812</v>
          </cell>
          <cell r="N614" t="str">
            <v>신우</v>
          </cell>
          <cell r="O614" t="str">
            <v>펌프카(1대)</v>
          </cell>
          <cell r="P614">
            <v>1400</v>
          </cell>
          <cell r="Q614">
            <v>1615</v>
          </cell>
          <cell r="R614">
            <v>120</v>
          </cell>
          <cell r="S614">
            <v>51</v>
          </cell>
          <cell r="T614">
            <v>60</v>
          </cell>
          <cell r="U614">
            <v>243</v>
          </cell>
          <cell r="V614"/>
          <cell r="W614" t="str">
            <v>박순홍</v>
          </cell>
          <cell r="X614" t="str">
            <v>(인)</v>
          </cell>
          <cell r="Y614" t="str">
            <v>박순홍</v>
          </cell>
          <cell r="Z614" t="str">
            <v>(인)</v>
          </cell>
          <cell r="AA614" t="str">
            <v>임영구</v>
          </cell>
          <cell r="AB614" t="str">
            <v>(인)</v>
          </cell>
          <cell r="AC614" t="str">
            <v>임영구</v>
          </cell>
          <cell r="AD614" t="str">
            <v>(인)</v>
          </cell>
          <cell r="AE614">
            <v>184.4</v>
          </cell>
          <cell r="AF614" t="str">
            <v>표준</v>
          </cell>
          <cell r="AG614">
            <v>1</v>
          </cell>
          <cell r="AH614">
            <v>1</v>
          </cell>
          <cell r="AI614">
            <v>1497</v>
          </cell>
          <cell r="AJ614">
            <v>1504</v>
          </cell>
          <cell r="AK614">
            <v>117800</v>
          </cell>
          <cell r="AL614">
            <v>2380</v>
          </cell>
          <cell r="AM614">
            <v>2327</v>
          </cell>
          <cell r="AN614">
            <v>2317</v>
          </cell>
          <cell r="AO614">
            <v>2319</v>
          </cell>
          <cell r="AP614">
            <v>2217</v>
          </cell>
          <cell r="AQ614">
            <v>2319</v>
          </cell>
          <cell r="AR614">
            <v>2267</v>
          </cell>
          <cell r="AS614">
            <v>2306</v>
          </cell>
          <cell r="AT614">
            <v>186000</v>
          </cell>
        </row>
        <row r="615">
          <cell r="G615">
            <v>2406240101</v>
          </cell>
          <cell r="H615" t="str">
            <v>110동</v>
          </cell>
          <cell r="I615">
            <v>240624</v>
          </cell>
          <cell r="J615" t="str">
            <v>110동 2차</v>
          </cell>
          <cell r="K615">
            <v>220</v>
          </cell>
          <cell r="L615">
            <v>222</v>
          </cell>
          <cell r="M615">
            <v>2715</v>
          </cell>
          <cell r="N615" t="str">
            <v>영진</v>
          </cell>
          <cell r="O615" t="str">
            <v>펌프카(1대)</v>
          </cell>
          <cell r="P615">
            <v>758</v>
          </cell>
          <cell r="Q615">
            <v>1620</v>
          </cell>
          <cell r="R615">
            <v>155</v>
          </cell>
          <cell r="S615">
            <v>45</v>
          </cell>
          <cell r="T615">
            <v>36</v>
          </cell>
          <cell r="U615">
            <v>276</v>
          </cell>
          <cell r="V615"/>
          <cell r="W615" t="str">
            <v>박순홍</v>
          </cell>
          <cell r="X615" t="str">
            <v>(인)</v>
          </cell>
          <cell r="Y615" t="str">
            <v>박순홍</v>
          </cell>
          <cell r="Z615" t="str">
            <v>(인)</v>
          </cell>
          <cell r="AA615" t="str">
            <v>최인철</v>
          </cell>
          <cell r="AB615" t="str">
            <v>(인)</v>
          </cell>
          <cell r="AC615" t="str">
            <v>최인철</v>
          </cell>
          <cell r="AD615" t="str">
            <v>(인)</v>
          </cell>
          <cell r="AE615">
            <v>170.2</v>
          </cell>
          <cell r="AF615" t="str">
            <v>표준</v>
          </cell>
          <cell r="AG615">
            <v>1</v>
          </cell>
          <cell r="AH615">
            <v>1</v>
          </cell>
          <cell r="AI615">
            <v>2615</v>
          </cell>
          <cell r="AJ615">
            <v>2594</v>
          </cell>
          <cell r="AK615">
            <v>201600</v>
          </cell>
          <cell r="AL615">
            <v>3488</v>
          </cell>
          <cell r="AM615">
            <v>3468</v>
          </cell>
          <cell r="AN615">
            <v>3526</v>
          </cell>
          <cell r="AO615">
            <v>3473</v>
          </cell>
          <cell r="AP615">
            <v>3445</v>
          </cell>
          <cell r="AQ615">
            <v>3429</v>
          </cell>
          <cell r="AR615">
            <v>3327</v>
          </cell>
          <cell r="AS615">
            <v>3506</v>
          </cell>
          <cell r="AT615">
            <v>272000</v>
          </cell>
        </row>
        <row r="616">
          <cell r="G616">
            <v>2406240102</v>
          </cell>
          <cell r="H616" t="str">
            <v>110동</v>
          </cell>
          <cell r="I616">
            <v>240624</v>
          </cell>
          <cell r="J616" t="str">
            <v>110동 2차</v>
          </cell>
          <cell r="K616">
            <v>220</v>
          </cell>
          <cell r="L616">
            <v>222</v>
          </cell>
          <cell r="M616">
            <v>2715</v>
          </cell>
          <cell r="N616" t="str">
            <v>영진</v>
          </cell>
          <cell r="O616" t="str">
            <v>펌프카(1대)</v>
          </cell>
          <cell r="P616">
            <v>758</v>
          </cell>
          <cell r="Q616">
            <v>1620</v>
          </cell>
          <cell r="R616">
            <v>160</v>
          </cell>
          <cell r="S616">
            <v>45</v>
          </cell>
          <cell r="T616">
            <v>80</v>
          </cell>
          <cell r="U616">
            <v>238</v>
          </cell>
          <cell r="V616"/>
          <cell r="W616" t="str">
            <v>박순홍</v>
          </cell>
          <cell r="X616" t="str">
            <v>(인)</v>
          </cell>
          <cell r="Y616" t="str">
            <v>박순홍</v>
          </cell>
          <cell r="Z616" t="str">
            <v>(인)</v>
          </cell>
          <cell r="AA616" t="str">
            <v>최인철</v>
          </cell>
          <cell r="AB616" t="str">
            <v>(인)</v>
          </cell>
          <cell r="AC616" t="str">
            <v>최인철</v>
          </cell>
          <cell r="AD616" t="str">
            <v>(인)</v>
          </cell>
          <cell r="AE616">
            <v>180.5</v>
          </cell>
          <cell r="AF616" t="str">
            <v>표준</v>
          </cell>
          <cell r="AG616">
            <v>2</v>
          </cell>
          <cell r="AH616">
            <v>0</v>
          </cell>
        </row>
        <row r="617">
          <cell r="G617">
            <v>2406240201</v>
          </cell>
          <cell r="H617" t="str">
            <v>110동</v>
          </cell>
          <cell r="I617">
            <v>240624</v>
          </cell>
          <cell r="J617" t="str">
            <v>110동 2차</v>
          </cell>
          <cell r="K617">
            <v>410</v>
          </cell>
          <cell r="L617">
            <v>408</v>
          </cell>
          <cell r="M617">
            <v>3015</v>
          </cell>
          <cell r="N617" t="str">
            <v>영진</v>
          </cell>
          <cell r="O617" t="str">
            <v>펌프카(1대)</v>
          </cell>
          <cell r="P617">
            <v>810</v>
          </cell>
          <cell r="Q617">
            <v>1319</v>
          </cell>
          <cell r="R617">
            <v>150</v>
          </cell>
          <cell r="S617">
            <v>42</v>
          </cell>
          <cell r="T617">
            <v>39</v>
          </cell>
          <cell r="U617">
            <v>245</v>
          </cell>
          <cell r="V617"/>
          <cell r="W617" t="str">
            <v>박순홍</v>
          </cell>
          <cell r="X617" t="str">
            <v>(인)</v>
          </cell>
          <cell r="Y617" t="str">
            <v>박순홍</v>
          </cell>
          <cell r="Z617" t="str">
            <v>(인)</v>
          </cell>
          <cell r="AA617" t="str">
            <v>최인철</v>
          </cell>
          <cell r="AB617" t="str">
            <v>(인)</v>
          </cell>
          <cell r="AC617" t="str">
            <v>최인철</v>
          </cell>
          <cell r="AD617" t="str">
            <v>(인)</v>
          </cell>
          <cell r="AE617">
            <v>184.4</v>
          </cell>
          <cell r="AF617" t="str">
            <v>표준</v>
          </cell>
          <cell r="AG617">
            <v>1</v>
          </cell>
          <cell r="AH617">
            <v>1</v>
          </cell>
          <cell r="AI617">
            <v>3139</v>
          </cell>
          <cell r="AJ617">
            <v>2900</v>
          </cell>
          <cell r="AK617">
            <v>221800</v>
          </cell>
          <cell r="AL617">
            <v>3975</v>
          </cell>
          <cell r="AM617">
            <v>3982</v>
          </cell>
          <cell r="AN617">
            <v>3934</v>
          </cell>
          <cell r="AO617">
            <v>3969</v>
          </cell>
          <cell r="AP617">
            <v>4053</v>
          </cell>
          <cell r="AQ617">
            <v>4036</v>
          </cell>
          <cell r="AR617">
            <v>3966</v>
          </cell>
          <cell r="AS617">
            <v>3896</v>
          </cell>
          <cell r="AT617">
            <v>316400</v>
          </cell>
        </row>
        <row r="618">
          <cell r="G618">
            <v>2406240202</v>
          </cell>
          <cell r="H618" t="str">
            <v>110동</v>
          </cell>
          <cell r="I618">
            <v>240624</v>
          </cell>
          <cell r="J618" t="str">
            <v>110동 2차</v>
          </cell>
          <cell r="K618">
            <v>410</v>
          </cell>
          <cell r="L618">
            <v>408</v>
          </cell>
          <cell r="M618">
            <v>3015</v>
          </cell>
          <cell r="N618" t="str">
            <v>영진</v>
          </cell>
          <cell r="O618" t="str">
            <v>펌프카(1대)</v>
          </cell>
          <cell r="P618">
            <v>810</v>
          </cell>
          <cell r="Q618">
            <v>1319</v>
          </cell>
          <cell r="R618">
            <v>155</v>
          </cell>
          <cell r="S618">
            <v>38</v>
          </cell>
          <cell r="T618">
            <v>32</v>
          </cell>
          <cell r="U618">
            <v>254</v>
          </cell>
          <cell r="V618"/>
          <cell r="W618" t="str">
            <v>박순홍</v>
          </cell>
          <cell r="X618" t="str">
            <v>(인)</v>
          </cell>
          <cell r="Y618" t="str">
            <v>박순홍</v>
          </cell>
          <cell r="Z618" t="str">
            <v>(인)</v>
          </cell>
          <cell r="AA618" t="str">
            <v>최인철</v>
          </cell>
          <cell r="AB618" t="str">
            <v>(인)</v>
          </cell>
          <cell r="AC618" t="str">
            <v>최인철</v>
          </cell>
          <cell r="AD618" t="str">
            <v>(인)</v>
          </cell>
          <cell r="AE618">
            <v>173.6</v>
          </cell>
          <cell r="AF618" t="str">
            <v>표준</v>
          </cell>
          <cell r="AG618">
            <v>2</v>
          </cell>
          <cell r="AH618">
            <v>0</v>
          </cell>
        </row>
        <row r="619">
          <cell r="G619">
            <v>2406240203</v>
          </cell>
          <cell r="H619" t="str">
            <v>110동</v>
          </cell>
          <cell r="I619">
            <v>240624</v>
          </cell>
          <cell r="J619" t="str">
            <v>110동 2차</v>
          </cell>
          <cell r="K619">
            <v>410</v>
          </cell>
          <cell r="L619">
            <v>408</v>
          </cell>
          <cell r="M619">
            <v>3015</v>
          </cell>
          <cell r="N619" t="str">
            <v>영진</v>
          </cell>
          <cell r="O619" t="str">
            <v>펌프카(1대)</v>
          </cell>
          <cell r="P619">
            <v>810</v>
          </cell>
          <cell r="Q619">
            <v>1319</v>
          </cell>
          <cell r="R619">
            <v>150</v>
          </cell>
          <cell r="S619">
            <v>42</v>
          </cell>
          <cell r="T619">
            <v>39</v>
          </cell>
          <cell r="U619">
            <v>247</v>
          </cell>
          <cell r="V619"/>
          <cell r="W619" t="str">
            <v>박순홍</v>
          </cell>
          <cell r="X619" t="str">
            <v>(인)</v>
          </cell>
          <cell r="Y619" t="str">
            <v>박순홍</v>
          </cell>
          <cell r="Z619" t="str">
            <v>(인)</v>
          </cell>
          <cell r="AA619" t="str">
            <v>최인철</v>
          </cell>
          <cell r="AB619" t="str">
            <v>(인)</v>
          </cell>
          <cell r="AC619" t="str">
            <v>최인철</v>
          </cell>
          <cell r="AD619" t="str">
            <v>(인)</v>
          </cell>
          <cell r="AE619">
            <v>179.5</v>
          </cell>
          <cell r="AF619" t="str">
            <v>표준</v>
          </cell>
          <cell r="AG619">
            <v>3</v>
          </cell>
          <cell r="AH619">
            <v>0</v>
          </cell>
        </row>
        <row r="620">
          <cell r="G620">
            <v>2406240204</v>
          </cell>
          <cell r="H620" t="str">
            <v>110동</v>
          </cell>
          <cell r="I620">
            <v>240624</v>
          </cell>
          <cell r="J620" t="str">
            <v>110동 2차</v>
          </cell>
          <cell r="K620">
            <v>410</v>
          </cell>
          <cell r="L620">
            <v>408</v>
          </cell>
          <cell r="M620">
            <v>3015</v>
          </cell>
          <cell r="N620" t="str">
            <v>영진</v>
          </cell>
          <cell r="O620" t="str">
            <v>펌프카(1대)</v>
          </cell>
          <cell r="P620">
            <v>810</v>
          </cell>
          <cell r="Q620">
            <v>1319</v>
          </cell>
          <cell r="R620">
            <v>155</v>
          </cell>
          <cell r="S620">
            <v>41</v>
          </cell>
          <cell r="T620">
            <v>20</v>
          </cell>
          <cell r="U620">
            <v>260</v>
          </cell>
          <cell r="V620"/>
          <cell r="W620" t="str">
            <v>박순홍</v>
          </cell>
          <cell r="X620" t="str">
            <v>(인)</v>
          </cell>
          <cell r="Y620" t="str">
            <v>박순홍</v>
          </cell>
          <cell r="Z620" t="str">
            <v>(인)</v>
          </cell>
          <cell r="AA620" t="str">
            <v>최인철</v>
          </cell>
          <cell r="AB620" t="str">
            <v>(인)</v>
          </cell>
          <cell r="AC620" t="str">
            <v>최인철</v>
          </cell>
          <cell r="AD620" t="str">
            <v>(인)</v>
          </cell>
          <cell r="AE620">
            <v>161.30000000000001</v>
          </cell>
          <cell r="AF620" t="str">
            <v>표준</v>
          </cell>
          <cell r="AG620">
            <v>4</v>
          </cell>
          <cell r="AH620">
            <v>1</v>
          </cell>
          <cell r="AL620">
            <v>3819</v>
          </cell>
          <cell r="AM620">
            <v>3837</v>
          </cell>
          <cell r="AN620">
            <v>3743</v>
          </cell>
          <cell r="AO620">
            <v>3753</v>
          </cell>
          <cell r="AP620">
            <v>3794</v>
          </cell>
          <cell r="AQ620">
            <v>3876</v>
          </cell>
          <cell r="AR620">
            <v>3862</v>
          </cell>
          <cell r="AS620">
            <v>3724</v>
          </cell>
          <cell r="AT620">
            <v>293200</v>
          </cell>
        </row>
        <row r="621">
          <cell r="G621">
            <v>2406240301</v>
          </cell>
          <cell r="H621" t="str">
            <v>105동</v>
          </cell>
          <cell r="I621">
            <v>240624</v>
          </cell>
          <cell r="J621" t="str">
            <v>105동 6층 바닥</v>
          </cell>
          <cell r="K621">
            <v>280</v>
          </cell>
          <cell r="L621">
            <v>282</v>
          </cell>
          <cell r="M621">
            <v>3018</v>
          </cell>
          <cell r="N621" t="str">
            <v>대공</v>
          </cell>
          <cell r="O621" t="str">
            <v>펌프카(1대)</v>
          </cell>
          <cell r="P621">
            <v>828</v>
          </cell>
          <cell r="Q621">
            <v>1242</v>
          </cell>
          <cell r="R621">
            <v>180</v>
          </cell>
          <cell r="S621">
            <v>45</v>
          </cell>
          <cell r="T621">
            <v>44</v>
          </cell>
          <cell r="U621">
            <v>257</v>
          </cell>
          <cell r="V621"/>
          <cell r="W621" t="str">
            <v>박순홍</v>
          </cell>
          <cell r="X621" t="str">
            <v>(인)</v>
          </cell>
          <cell r="Y621" t="str">
            <v>박순홍</v>
          </cell>
          <cell r="Z621" t="str">
            <v>(인)</v>
          </cell>
          <cell r="AA621" t="str">
            <v>최인철</v>
          </cell>
          <cell r="AB621" t="str">
            <v>(인)</v>
          </cell>
          <cell r="AC621" t="str">
            <v>장덕만</v>
          </cell>
          <cell r="AD621" t="str">
            <v>(인)</v>
          </cell>
          <cell r="AE621">
            <v>183.7</v>
          </cell>
          <cell r="AF621" t="str">
            <v>표준</v>
          </cell>
          <cell r="AG621">
            <v>1</v>
          </cell>
          <cell r="AH621">
            <v>1</v>
          </cell>
          <cell r="AI621">
            <v>2885</v>
          </cell>
          <cell r="AJ621">
            <v>2901</v>
          </cell>
          <cell r="AK621">
            <v>223200</v>
          </cell>
          <cell r="AL621">
            <v>4043</v>
          </cell>
          <cell r="AM621">
            <v>3924</v>
          </cell>
          <cell r="AN621">
            <v>3893</v>
          </cell>
          <cell r="AO621">
            <v>4021</v>
          </cell>
          <cell r="AP621">
            <v>4036</v>
          </cell>
          <cell r="AQ621">
            <v>4072</v>
          </cell>
          <cell r="AR621">
            <v>3954</v>
          </cell>
          <cell r="AS621">
            <v>3978</v>
          </cell>
          <cell r="AT621">
            <v>304000</v>
          </cell>
        </row>
        <row r="622">
          <cell r="G622">
            <v>2406240302</v>
          </cell>
          <cell r="H622" t="str">
            <v>105동</v>
          </cell>
          <cell r="I622">
            <v>240624</v>
          </cell>
          <cell r="J622" t="str">
            <v>105동 6층 바닥</v>
          </cell>
          <cell r="K622">
            <v>280</v>
          </cell>
          <cell r="L622">
            <v>282</v>
          </cell>
          <cell r="M622">
            <v>3018</v>
          </cell>
          <cell r="N622" t="str">
            <v>대공</v>
          </cell>
          <cell r="O622" t="str">
            <v>펌프카(1대)</v>
          </cell>
          <cell r="P622">
            <v>828</v>
          </cell>
          <cell r="Q622">
            <v>1242</v>
          </cell>
          <cell r="R622">
            <v>170</v>
          </cell>
          <cell r="S622">
            <v>45</v>
          </cell>
          <cell r="T622">
            <v>40</v>
          </cell>
          <cell r="U622">
            <v>282</v>
          </cell>
          <cell r="V622"/>
          <cell r="W622" t="str">
            <v>박순홍</v>
          </cell>
          <cell r="X622" t="str">
            <v>(인)</v>
          </cell>
          <cell r="Y622" t="str">
            <v>박순홍</v>
          </cell>
          <cell r="Z622" t="str">
            <v>(인)</v>
          </cell>
          <cell r="AA622" t="str">
            <v>최인철</v>
          </cell>
          <cell r="AB622" t="str">
            <v>(인)</v>
          </cell>
          <cell r="AC622" t="str">
            <v>장덕만</v>
          </cell>
          <cell r="AD622" t="str">
            <v>(인)</v>
          </cell>
          <cell r="AE622">
            <v>181.9</v>
          </cell>
          <cell r="AF622" t="str">
            <v>표준</v>
          </cell>
          <cell r="AG622">
            <v>2</v>
          </cell>
          <cell r="AH622">
            <v>0</v>
          </cell>
        </row>
        <row r="623">
          <cell r="G623">
            <v>2406240303</v>
          </cell>
          <cell r="H623" t="str">
            <v>105동</v>
          </cell>
          <cell r="I623">
            <v>240624</v>
          </cell>
          <cell r="J623" t="str">
            <v>105동 6층 바닥</v>
          </cell>
          <cell r="K623">
            <v>280</v>
          </cell>
          <cell r="L623">
            <v>282</v>
          </cell>
          <cell r="M623">
            <v>3018</v>
          </cell>
          <cell r="N623" t="str">
            <v>대공</v>
          </cell>
          <cell r="O623" t="str">
            <v>펌프카(1대)</v>
          </cell>
          <cell r="P623">
            <v>828</v>
          </cell>
          <cell r="Q623">
            <v>1242</v>
          </cell>
          <cell r="R623">
            <v>170</v>
          </cell>
          <cell r="S623">
            <v>42</v>
          </cell>
          <cell r="T623">
            <v>39</v>
          </cell>
          <cell r="U623">
            <v>240</v>
          </cell>
          <cell r="V623"/>
          <cell r="W623" t="str">
            <v>박순홍</v>
          </cell>
          <cell r="X623" t="str">
            <v>(인)</v>
          </cell>
          <cell r="Y623" t="str">
            <v>박순홍</v>
          </cell>
          <cell r="Z623" t="str">
            <v>(인)</v>
          </cell>
          <cell r="AA623" t="str">
            <v>최인철</v>
          </cell>
          <cell r="AB623" t="str">
            <v>(인)</v>
          </cell>
          <cell r="AC623" t="str">
            <v>장덕만</v>
          </cell>
          <cell r="AD623" t="str">
            <v>(인)</v>
          </cell>
          <cell r="AE623">
            <v>179.3</v>
          </cell>
          <cell r="AF623" t="str">
            <v>표준</v>
          </cell>
          <cell r="AG623">
            <v>3</v>
          </cell>
          <cell r="AH623">
            <v>0</v>
          </cell>
        </row>
        <row r="624">
          <cell r="G624">
            <v>2406240401</v>
          </cell>
          <cell r="H624" t="str">
            <v>103동, 104동</v>
          </cell>
          <cell r="I624">
            <v>240624</v>
          </cell>
          <cell r="J624" t="str">
            <v>3~4동, 5~6동 파라펫</v>
          </cell>
          <cell r="K624">
            <v>50</v>
          </cell>
          <cell r="L624">
            <v>48</v>
          </cell>
          <cell r="M624">
            <v>3015</v>
          </cell>
          <cell r="N624" t="str">
            <v>대공</v>
          </cell>
          <cell r="O624" t="str">
            <v>펌프카(1대)</v>
          </cell>
          <cell r="P624">
            <v>1258</v>
          </cell>
          <cell r="Q624">
            <v>1624</v>
          </cell>
          <cell r="R624">
            <v>150</v>
          </cell>
          <cell r="S624">
            <v>40</v>
          </cell>
          <cell r="T624">
            <v>33</v>
          </cell>
          <cell r="U624">
            <v>258</v>
          </cell>
          <cell r="V624"/>
          <cell r="W624" t="str">
            <v>박순홍</v>
          </cell>
          <cell r="X624" t="str">
            <v>(인)</v>
          </cell>
          <cell r="Y624" t="str">
            <v>박순홍</v>
          </cell>
          <cell r="Z624" t="str">
            <v>(인)</v>
          </cell>
          <cell r="AA624" t="str">
            <v>이루비</v>
          </cell>
          <cell r="AB624" t="str">
            <v>(인)</v>
          </cell>
          <cell r="AC624" t="str">
            <v>장덕만</v>
          </cell>
          <cell r="AD624" t="str">
            <v>(인)</v>
          </cell>
          <cell r="AE624">
            <v>184</v>
          </cell>
          <cell r="AF624" t="str">
            <v>표준</v>
          </cell>
          <cell r="AG624">
            <v>1</v>
          </cell>
          <cell r="AH624">
            <v>1</v>
          </cell>
          <cell r="AI624">
            <v>2831</v>
          </cell>
          <cell r="AJ624">
            <v>2789</v>
          </cell>
          <cell r="AK624">
            <v>223800</v>
          </cell>
          <cell r="AL624">
            <v>3827</v>
          </cell>
          <cell r="AM624">
            <v>3784</v>
          </cell>
          <cell r="AN624">
            <v>3822</v>
          </cell>
          <cell r="AO624">
            <v>3906</v>
          </cell>
          <cell r="AP624">
            <v>3978</v>
          </cell>
          <cell r="AQ624">
            <v>4014</v>
          </cell>
          <cell r="AR624">
            <v>3926</v>
          </cell>
          <cell r="AS624">
            <v>3873</v>
          </cell>
          <cell r="AT624">
            <v>299400</v>
          </cell>
        </row>
        <row r="625">
          <cell r="G625">
            <v>2406250101</v>
          </cell>
          <cell r="H625" t="str">
            <v>108동, 120동</v>
          </cell>
          <cell r="I625">
            <v>240625</v>
          </cell>
          <cell r="J625" t="str">
            <v>108동 주변주차장 및 120동 E/V기초</v>
          </cell>
          <cell r="K625">
            <v>220</v>
          </cell>
          <cell r="L625">
            <v>224</v>
          </cell>
          <cell r="M625">
            <v>2415</v>
          </cell>
          <cell r="N625" t="str">
            <v>대원</v>
          </cell>
          <cell r="O625" t="str">
            <v>펌프카(1대)</v>
          </cell>
          <cell r="P625">
            <v>747</v>
          </cell>
          <cell r="Q625">
            <v>1221</v>
          </cell>
          <cell r="R625">
            <v>155</v>
          </cell>
          <cell r="S625">
            <v>39</v>
          </cell>
          <cell r="T625">
            <v>50</v>
          </cell>
          <cell r="U625">
            <v>271</v>
          </cell>
          <cell r="V625"/>
          <cell r="W625" t="str">
            <v>박순홍</v>
          </cell>
          <cell r="X625" t="str">
            <v>(인)</v>
          </cell>
          <cell r="Y625" t="str">
            <v>박순홍</v>
          </cell>
          <cell r="Z625" t="str">
            <v>(인)</v>
          </cell>
          <cell r="AA625" t="str">
            <v>박정환</v>
          </cell>
          <cell r="AB625" t="str">
            <v>(인)</v>
          </cell>
          <cell r="AC625" t="str">
            <v>정창인</v>
          </cell>
          <cell r="AD625" t="str">
            <v>(인)</v>
          </cell>
          <cell r="AE625">
            <v>171.9</v>
          </cell>
          <cell r="AF625" t="str">
            <v>표준</v>
          </cell>
          <cell r="AG625">
            <v>1</v>
          </cell>
          <cell r="AH625">
            <v>1</v>
          </cell>
          <cell r="AI625">
            <v>2330</v>
          </cell>
          <cell r="AJ625">
            <v>2384</v>
          </cell>
          <cell r="AK625">
            <v>184200</v>
          </cell>
          <cell r="AL625">
            <v>3163</v>
          </cell>
          <cell r="AM625">
            <v>3177</v>
          </cell>
          <cell r="AN625">
            <v>3216</v>
          </cell>
          <cell r="AO625">
            <v>3137</v>
          </cell>
          <cell r="AP625">
            <v>3266</v>
          </cell>
          <cell r="AQ625">
            <v>3084</v>
          </cell>
          <cell r="AR625">
            <v>3221</v>
          </cell>
          <cell r="AS625">
            <v>3152</v>
          </cell>
          <cell r="AT625">
            <v>253200</v>
          </cell>
        </row>
        <row r="626">
          <cell r="G626">
            <v>2406250102</v>
          </cell>
          <cell r="H626" t="str">
            <v>108동, 120동</v>
          </cell>
          <cell r="I626">
            <v>240625</v>
          </cell>
          <cell r="J626" t="str">
            <v>108동 주변주차장 및 120동 E/V기초</v>
          </cell>
          <cell r="K626">
            <v>220</v>
          </cell>
          <cell r="L626">
            <v>224</v>
          </cell>
          <cell r="M626">
            <v>2415</v>
          </cell>
          <cell r="N626" t="str">
            <v>대원</v>
          </cell>
          <cell r="O626" t="str">
            <v>펌프카(1대)</v>
          </cell>
          <cell r="P626">
            <v>747</v>
          </cell>
          <cell r="Q626">
            <v>1221</v>
          </cell>
          <cell r="R626">
            <v>155</v>
          </cell>
          <cell r="S626">
            <v>47</v>
          </cell>
          <cell r="T626">
            <v>52</v>
          </cell>
          <cell r="U626">
            <v>242</v>
          </cell>
          <cell r="V626"/>
          <cell r="W626" t="str">
            <v>박순홍</v>
          </cell>
          <cell r="X626" t="str">
            <v>(인)</v>
          </cell>
          <cell r="Y626" t="str">
            <v>박순홍</v>
          </cell>
          <cell r="Z626" t="str">
            <v>(인)</v>
          </cell>
          <cell r="AA626" t="str">
            <v>박정환</v>
          </cell>
          <cell r="AB626" t="str">
            <v>(인)</v>
          </cell>
          <cell r="AC626" t="str">
            <v>정창인</v>
          </cell>
          <cell r="AD626" t="str">
            <v>(인)</v>
          </cell>
          <cell r="AE626">
            <v>179.4</v>
          </cell>
          <cell r="AF626" t="str">
            <v>표준</v>
          </cell>
          <cell r="AG626">
            <v>2</v>
          </cell>
          <cell r="AH626">
            <v>0</v>
          </cell>
        </row>
        <row r="627">
          <cell r="G627">
            <v>2406260101</v>
          </cell>
          <cell r="H627" t="str">
            <v>113동</v>
          </cell>
          <cell r="I627">
            <v>240626</v>
          </cell>
          <cell r="J627" t="str">
            <v>113동 지하2층 1차</v>
          </cell>
          <cell r="K627">
            <v>560</v>
          </cell>
          <cell r="L627">
            <v>558</v>
          </cell>
          <cell r="M627">
            <v>3015</v>
          </cell>
          <cell r="N627" t="str">
            <v>영진</v>
          </cell>
          <cell r="O627" t="str">
            <v>펌프카(1대)</v>
          </cell>
          <cell r="P627">
            <v>832</v>
          </cell>
          <cell r="Q627">
            <v>1625</v>
          </cell>
          <cell r="R627">
            <v>160</v>
          </cell>
          <cell r="S627">
            <v>33</v>
          </cell>
          <cell r="T627">
            <v>113</v>
          </cell>
          <cell r="U627">
            <v>242</v>
          </cell>
          <cell r="V627"/>
          <cell r="W627" t="str">
            <v>박순홍</v>
          </cell>
          <cell r="X627" t="str">
            <v>(인)</v>
          </cell>
          <cell r="Y627" t="str">
            <v>박순홍</v>
          </cell>
          <cell r="Z627" t="str">
            <v>(인)</v>
          </cell>
          <cell r="AA627" t="str">
            <v>김만고</v>
          </cell>
          <cell r="AB627" t="str">
            <v>(인)</v>
          </cell>
          <cell r="AC627" t="str">
            <v>김만고</v>
          </cell>
          <cell r="AD627" t="str">
            <v>(인)</v>
          </cell>
          <cell r="AE627">
            <v>179.7</v>
          </cell>
          <cell r="AF627" t="str">
            <v>표준</v>
          </cell>
          <cell r="AG627">
            <v>1</v>
          </cell>
          <cell r="AH627">
            <v>1</v>
          </cell>
          <cell r="AI627">
            <v>2864</v>
          </cell>
          <cell r="AJ627">
            <v>2844</v>
          </cell>
          <cell r="AK627">
            <v>230400</v>
          </cell>
          <cell r="AL627">
            <v>3862</v>
          </cell>
          <cell r="AM627">
            <v>3796</v>
          </cell>
          <cell r="AN627">
            <v>3761</v>
          </cell>
          <cell r="AO627">
            <v>3903</v>
          </cell>
          <cell r="AP627">
            <v>3926</v>
          </cell>
          <cell r="AQ627">
            <v>3786</v>
          </cell>
          <cell r="AR627">
            <v>3894</v>
          </cell>
          <cell r="AS627">
            <v>4062</v>
          </cell>
          <cell r="AT627">
            <v>297600</v>
          </cell>
        </row>
        <row r="628">
          <cell r="G628">
            <v>2406260102</v>
          </cell>
          <cell r="H628" t="str">
            <v>113동</v>
          </cell>
          <cell r="I628">
            <v>240626</v>
          </cell>
          <cell r="J628" t="str">
            <v>113동 지하2층 1차</v>
          </cell>
          <cell r="K628">
            <v>560</v>
          </cell>
          <cell r="L628">
            <v>558</v>
          </cell>
          <cell r="M628">
            <v>3015</v>
          </cell>
          <cell r="N628" t="str">
            <v>영진</v>
          </cell>
          <cell r="O628" t="str">
            <v>펌프카(1대)</v>
          </cell>
          <cell r="P628">
            <v>832</v>
          </cell>
          <cell r="Q628">
            <v>1625</v>
          </cell>
          <cell r="R628">
            <v>165</v>
          </cell>
          <cell r="S628">
            <v>38</v>
          </cell>
          <cell r="T628">
            <v>118</v>
          </cell>
          <cell r="U628">
            <v>236</v>
          </cell>
          <cell r="V628"/>
          <cell r="W628" t="str">
            <v>박순홍</v>
          </cell>
          <cell r="X628" t="str">
            <v>(인)</v>
          </cell>
          <cell r="Y628" t="str">
            <v>박순홍</v>
          </cell>
          <cell r="Z628" t="str">
            <v>(인)</v>
          </cell>
          <cell r="AA628" t="str">
            <v>김만고</v>
          </cell>
          <cell r="AB628" t="str">
            <v>(인)</v>
          </cell>
          <cell r="AC628" t="str">
            <v>김만고</v>
          </cell>
          <cell r="AD628" t="str">
            <v>(인)</v>
          </cell>
          <cell r="AE628">
            <v>179.6</v>
          </cell>
          <cell r="AF628" t="str">
            <v>표준</v>
          </cell>
          <cell r="AG628">
            <v>2</v>
          </cell>
          <cell r="AH628">
            <v>0</v>
          </cell>
        </row>
        <row r="629">
          <cell r="G629">
            <v>2406260103</v>
          </cell>
          <cell r="H629" t="str">
            <v>113동</v>
          </cell>
          <cell r="I629">
            <v>240626</v>
          </cell>
          <cell r="J629" t="str">
            <v>113동 지하2층 1차</v>
          </cell>
          <cell r="K629">
            <v>560</v>
          </cell>
          <cell r="L629">
            <v>558</v>
          </cell>
          <cell r="M629">
            <v>3015</v>
          </cell>
          <cell r="N629" t="str">
            <v>영진</v>
          </cell>
          <cell r="O629" t="str">
            <v>펌프카(1대)</v>
          </cell>
          <cell r="P629">
            <v>832</v>
          </cell>
          <cell r="Q629">
            <v>1625</v>
          </cell>
          <cell r="R629">
            <v>175</v>
          </cell>
          <cell r="S629">
            <v>45</v>
          </cell>
          <cell r="T629">
            <v>128</v>
          </cell>
          <cell r="U629">
            <v>240</v>
          </cell>
          <cell r="V629"/>
          <cell r="W629" t="str">
            <v>박순홍</v>
          </cell>
          <cell r="X629" t="str">
            <v>(인)</v>
          </cell>
          <cell r="Y629" t="str">
            <v>박순홍</v>
          </cell>
          <cell r="Z629" t="str">
            <v>(인)</v>
          </cell>
          <cell r="AA629" t="str">
            <v>김만고</v>
          </cell>
          <cell r="AB629" t="str">
            <v>(인)</v>
          </cell>
          <cell r="AC629" t="str">
            <v>김만고</v>
          </cell>
          <cell r="AD629" t="str">
            <v>(인)</v>
          </cell>
          <cell r="AE629">
            <v>169.2</v>
          </cell>
          <cell r="AF629" t="str">
            <v>표준</v>
          </cell>
          <cell r="AG629">
            <v>3</v>
          </cell>
          <cell r="AH629">
            <v>0</v>
          </cell>
        </row>
        <row r="630">
          <cell r="G630">
            <v>2406260104</v>
          </cell>
          <cell r="H630" t="str">
            <v>113동</v>
          </cell>
          <cell r="I630">
            <v>240626</v>
          </cell>
          <cell r="J630" t="str">
            <v>113동 지하2층 1차</v>
          </cell>
          <cell r="K630">
            <v>560</v>
          </cell>
          <cell r="L630">
            <v>558</v>
          </cell>
          <cell r="M630">
            <v>3015</v>
          </cell>
          <cell r="N630" t="str">
            <v>영진</v>
          </cell>
          <cell r="O630" t="str">
            <v>펌프카(1대)</v>
          </cell>
          <cell r="P630">
            <v>832</v>
          </cell>
          <cell r="Q630">
            <v>1625</v>
          </cell>
          <cell r="R630">
            <v>160</v>
          </cell>
          <cell r="S630">
            <v>37</v>
          </cell>
          <cell r="T630">
            <v>13</v>
          </cell>
          <cell r="U630">
            <v>287</v>
          </cell>
          <cell r="V630"/>
          <cell r="W630" t="str">
            <v>박순홍</v>
          </cell>
          <cell r="X630" t="str">
            <v>(인)</v>
          </cell>
          <cell r="Y630" t="str">
            <v>박순홍</v>
          </cell>
          <cell r="Z630" t="str">
            <v>(인)</v>
          </cell>
          <cell r="AA630" t="str">
            <v>김만고</v>
          </cell>
          <cell r="AB630" t="str">
            <v>(인)</v>
          </cell>
          <cell r="AC630" t="str">
            <v>김만고</v>
          </cell>
          <cell r="AD630" t="str">
            <v>(인)</v>
          </cell>
          <cell r="AE630">
            <v>179.6</v>
          </cell>
          <cell r="AF630" t="str">
            <v>표준</v>
          </cell>
          <cell r="AG630">
            <v>4</v>
          </cell>
          <cell r="AH630">
            <v>1</v>
          </cell>
          <cell r="AL630">
            <v>3892</v>
          </cell>
          <cell r="AM630">
            <v>4120</v>
          </cell>
          <cell r="AN630">
            <v>4026</v>
          </cell>
          <cell r="AO630">
            <v>4096</v>
          </cell>
          <cell r="AP630">
            <v>3927</v>
          </cell>
          <cell r="AQ630">
            <v>3962</v>
          </cell>
          <cell r="AR630">
            <v>4034</v>
          </cell>
          <cell r="AS630">
            <v>4017</v>
          </cell>
          <cell r="AT630">
            <v>306000</v>
          </cell>
        </row>
        <row r="631">
          <cell r="G631">
            <v>2406260105</v>
          </cell>
          <cell r="H631" t="str">
            <v>113동</v>
          </cell>
          <cell r="I631">
            <v>240626</v>
          </cell>
          <cell r="J631" t="str">
            <v>113동 지하2층 1차</v>
          </cell>
          <cell r="K631">
            <v>560</v>
          </cell>
          <cell r="L631">
            <v>558</v>
          </cell>
          <cell r="M631">
            <v>3015</v>
          </cell>
          <cell r="N631" t="str">
            <v>영진</v>
          </cell>
          <cell r="O631" t="str">
            <v>펌프카(1대)</v>
          </cell>
          <cell r="P631">
            <v>832</v>
          </cell>
          <cell r="Q631">
            <v>1625</v>
          </cell>
          <cell r="R631">
            <v>165</v>
          </cell>
          <cell r="S631">
            <v>42</v>
          </cell>
          <cell r="T631">
            <v>52</v>
          </cell>
          <cell r="U631">
            <v>282</v>
          </cell>
          <cell r="V631"/>
          <cell r="W631" t="str">
            <v>박순홍</v>
          </cell>
          <cell r="X631" t="str">
            <v>(인)</v>
          </cell>
          <cell r="Y631" t="str">
            <v>박순홍</v>
          </cell>
          <cell r="Z631" t="str">
            <v>(인)</v>
          </cell>
          <cell r="AA631" t="str">
            <v>김만고</v>
          </cell>
          <cell r="AB631" t="str">
            <v>(인)</v>
          </cell>
          <cell r="AC631" t="str">
            <v>김만고</v>
          </cell>
          <cell r="AD631" t="str">
            <v>(인)</v>
          </cell>
          <cell r="AE631">
            <v>176.4</v>
          </cell>
          <cell r="AF631" t="str">
            <v>표준</v>
          </cell>
          <cell r="AG631">
            <v>5</v>
          </cell>
          <cell r="AH631">
            <v>0</v>
          </cell>
        </row>
        <row r="632">
          <cell r="G632">
            <v>2406260201</v>
          </cell>
          <cell r="H632" t="str">
            <v>113동</v>
          </cell>
          <cell r="I632">
            <v>240626</v>
          </cell>
          <cell r="J632" t="str">
            <v>113동 지하2층 1차</v>
          </cell>
          <cell r="K632">
            <v>40</v>
          </cell>
          <cell r="L632">
            <v>42</v>
          </cell>
          <cell r="M632">
            <v>2715</v>
          </cell>
          <cell r="N632" t="str">
            <v>영진</v>
          </cell>
          <cell r="O632" t="str">
            <v>펌프카(1대)</v>
          </cell>
          <cell r="P632">
            <v>1400</v>
          </cell>
          <cell r="Q632">
            <v>1522</v>
          </cell>
          <cell r="R632">
            <v>170</v>
          </cell>
          <cell r="S632">
            <v>49</v>
          </cell>
          <cell r="T632">
            <v>83</v>
          </cell>
          <cell r="U632">
            <v>279</v>
          </cell>
          <cell r="V632"/>
          <cell r="W632" t="str">
            <v>박순홍</v>
          </cell>
          <cell r="X632" t="str">
            <v>(인)</v>
          </cell>
          <cell r="Y632" t="str">
            <v>박순홍</v>
          </cell>
          <cell r="Z632" t="str">
            <v>(인)</v>
          </cell>
          <cell r="AA632" t="str">
            <v>김만고</v>
          </cell>
          <cell r="AB632" t="str">
            <v>(인)</v>
          </cell>
          <cell r="AC632" t="str">
            <v>김만고</v>
          </cell>
          <cell r="AD632" t="str">
            <v>(인)</v>
          </cell>
          <cell r="AE632">
            <v>174.2</v>
          </cell>
          <cell r="AF632" t="str">
            <v>표준</v>
          </cell>
          <cell r="AG632">
            <v>1</v>
          </cell>
          <cell r="AH632">
            <v>1</v>
          </cell>
          <cell r="AI632">
            <v>2503</v>
          </cell>
          <cell r="AJ632">
            <v>2498</v>
          </cell>
          <cell r="AK632">
            <v>195200</v>
          </cell>
          <cell r="AL632">
            <v>3473</v>
          </cell>
          <cell r="AM632">
            <v>3549</v>
          </cell>
          <cell r="AN632">
            <v>3475</v>
          </cell>
          <cell r="AO632">
            <v>3529</v>
          </cell>
          <cell r="AP632">
            <v>3394</v>
          </cell>
          <cell r="AQ632">
            <v>3534</v>
          </cell>
          <cell r="AR632">
            <v>3496</v>
          </cell>
          <cell r="AS632">
            <v>3378</v>
          </cell>
          <cell r="AT632">
            <v>273000</v>
          </cell>
        </row>
        <row r="633">
          <cell r="G633">
            <v>2406260301</v>
          </cell>
          <cell r="H633" t="str">
            <v>104동</v>
          </cell>
          <cell r="I633">
            <v>240626</v>
          </cell>
          <cell r="J633" t="str">
            <v>104동 8층 바닥</v>
          </cell>
          <cell r="K633">
            <v>280</v>
          </cell>
          <cell r="L633">
            <v>276</v>
          </cell>
          <cell r="M633">
            <v>3018</v>
          </cell>
          <cell r="N633" t="str">
            <v>용호</v>
          </cell>
          <cell r="O633" t="str">
            <v>펌프카(1대)</v>
          </cell>
          <cell r="P633">
            <v>741</v>
          </cell>
          <cell r="Q633">
            <v>1125</v>
          </cell>
          <cell r="R633">
            <v>180</v>
          </cell>
          <cell r="S633">
            <v>39</v>
          </cell>
          <cell r="T633">
            <v>107</v>
          </cell>
          <cell r="U633">
            <v>235</v>
          </cell>
          <cell r="V633"/>
          <cell r="W633" t="str">
            <v>박순홍</v>
          </cell>
          <cell r="X633" t="str">
            <v>(인)</v>
          </cell>
          <cell r="Y633" t="str">
            <v>박순홍</v>
          </cell>
          <cell r="Z633" t="str">
            <v>(인)</v>
          </cell>
          <cell r="AA633" t="str">
            <v>장덕만</v>
          </cell>
          <cell r="AB633" t="str">
            <v>(인)</v>
          </cell>
          <cell r="AC633" t="str">
            <v>장덕만</v>
          </cell>
          <cell r="AD633" t="str">
            <v>(인)</v>
          </cell>
          <cell r="AE633">
            <v>179.8</v>
          </cell>
          <cell r="AF633" t="str">
            <v>표준</v>
          </cell>
          <cell r="AG633">
            <v>1</v>
          </cell>
          <cell r="AH633">
            <v>1</v>
          </cell>
          <cell r="AI633">
            <v>2867</v>
          </cell>
          <cell r="AJ633">
            <v>2916</v>
          </cell>
          <cell r="AK633">
            <v>228000</v>
          </cell>
          <cell r="AL633">
            <v>3814</v>
          </cell>
          <cell r="AM633">
            <v>3957</v>
          </cell>
          <cell r="AN633">
            <v>3862</v>
          </cell>
          <cell r="AO633">
            <v>3963</v>
          </cell>
          <cell r="AP633">
            <v>3927</v>
          </cell>
          <cell r="AQ633">
            <v>4094</v>
          </cell>
          <cell r="AR633">
            <v>4062</v>
          </cell>
          <cell r="AS633">
            <v>4033</v>
          </cell>
          <cell r="AT633">
            <v>302200</v>
          </cell>
        </row>
        <row r="634">
          <cell r="G634">
            <v>2406260302</v>
          </cell>
          <cell r="H634" t="str">
            <v>104동</v>
          </cell>
          <cell r="I634">
            <v>240626</v>
          </cell>
          <cell r="J634" t="str">
            <v>104동 8층 바닥</v>
          </cell>
          <cell r="K634">
            <v>280</v>
          </cell>
          <cell r="L634">
            <v>276</v>
          </cell>
          <cell r="M634">
            <v>3018</v>
          </cell>
          <cell r="N634" t="str">
            <v>용호</v>
          </cell>
          <cell r="O634" t="str">
            <v>펌프카(1대)</v>
          </cell>
          <cell r="P634">
            <v>741</v>
          </cell>
          <cell r="Q634">
            <v>1125</v>
          </cell>
          <cell r="R634">
            <v>185</v>
          </cell>
          <cell r="S634">
            <v>46</v>
          </cell>
          <cell r="T634">
            <v>100</v>
          </cell>
          <cell r="U634">
            <v>223</v>
          </cell>
          <cell r="V634"/>
          <cell r="W634" t="str">
            <v>박순홍</v>
          </cell>
          <cell r="X634" t="str">
            <v>(인)</v>
          </cell>
          <cell r="Y634" t="str">
            <v>박순홍</v>
          </cell>
          <cell r="Z634" t="str">
            <v>(인)</v>
          </cell>
          <cell r="AA634" t="str">
            <v>장덕만</v>
          </cell>
          <cell r="AB634" t="str">
            <v>(인)</v>
          </cell>
          <cell r="AC634" t="str">
            <v>장덕만</v>
          </cell>
          <cell r="AD634" t="str">
            <v>(인)</v>
          </cell>
          <cell r="AE634">
            <v>186.2</v>
          </cell>
          <cell r="AF634" t="str">
            <v>표준</v>
          </cell>
          <cell r="AG634">
            <v>2</v>
          </cell>
          <cell r="AH634">
            <v>0</v>
          </cell>
        </row>
        <row r="635">
          <cell r="G635">
            <v>2406260303</v>
          </cell>
          <cell r="H635" t="str">
            <v>104동</v>
          </cell>
          <cell r="I635">
            <v>240626</v>
          </cell>
          <cell r="J635" t="str">
            <v>104동 8층 바닥</v>
          </cell>
          <cell r="K635">
            <v>280</v>
          </cell>
          <cell r="L635">
            <v>276</v>
          </cell>
          <cell r="M635">
            <v>3018</v>
          </cell>
          <cell r="N635" t="str">
            <v>용호</v>
          </cell>
          <cell r="O635" t="str">
            <v>펌프카(1대)</v>
          </cell>
          <cell r="P635">
            <v>741</v>
          </cell>
          <cell r="Q635">
            <v>1125</v>
          </cell>
          <cell r="R635">
            <v>190</v>
          </cell>
          <cell r="S635">
            <v>46</v>
          </cell>
          <cell r="T635">
            <v>108</v>
          </cell>
          <cell r="U635">
            <v>233</v>
          </cell>
          <cell r="V635"/>
          <cell r="W635" t="str">
            <v>박순홍</v>
          </cell>
          <cell r="X635" t="str">
            <v>(인)</v>
          </cell>
          <cell r="Y635" t="str">
            <v>박순홍</v>
          </cell>
          <cell r="Z635" t="str">
            <v>(인)</v>
          </cell>
          <cell r="AA635" t="str">
            <v>장덕만</v>
          </cell>
          <cell r="AB635" t="str">
            <v>(인)</v>
          </cell>
          <cell r="AC635" t="str">
            <v>장덕만</v>
          </cell>
          <cell r="AD635" t="str">
            <v>(인)</v>
          </cell>
          <cell r="AE635">
            <v>182.6</v>
          </cell>
          <cell r="AF635" t="str">
            <v>표준</v>
          </cell>
          <cell r="AG635">
            <v>3</v>
          </cell>
          <cell r="AH635">
            <v>0</v>
          </cell>
        </row>
        <row r="636">
          <cell r="G636">
            <v>2406270101</v>
          </cell>
          <cell r="H636" t="str">
            <v>101동</v>
          </cell>
          <cell r="I636">
            <v>240627</v>
          </cell>
          <cell r="J636" t="str">
            <v>101동 2차 및 101동 주변주차장 합벽</v>
          </cell>
          <cell r="K636">
            <v>320</v>
          </cell>
          <cell r="L636">
            <v>318</v>
          </cell>
          <cell r="M636">
            <v>3015</v>
          </cell>
          <cell r="N636" t="str">
            <v>용호</v>
          </cell>
          <cell r="O636" t="str">
            <v>펌프카(1대)</v>
          </cell>
          <cell r="P636">
            <v>750</v>
          </cell>
          <cell r="Q636">
            <v>1255</v>
          </cell>
          <cell r="R636">
            <v>145</v>
          </cell>
          <cell r="S636">
            <v>40</v>
          </cell>
          <cell r="T636">
            <v>43</v>
          </cell>
          <cell r="U636">
            <v>272</v>
          </cell>
          <cell r="V636"/>
          <cell r="W636" t="str">
            <v>박순홍</v>
          </cell>
          <cell r="X636" t="str">
            <v>(인)</v>
          </cell>
          <cell r="Y636" t="str">
            <v>박순홍</v>
          </cell>
          <cell r="Z636" t="str">
            <v>(인)</v>
          </cell>
          <cell r="AA636" t="str">
            <v>이루비</v>
          </cell>
          <cell r="AB636" t="str">
            <v>(인)</v>
          </cell>
          <cell r="AC636" t="str">
            <v>이루비</v>
          </cell>
          <cell r="AD636" t="str">
            <v>(인)</v>
          </cell>
          <cell r="AE636">
            <v>179.8</v>
          </cell>
          <cell r="AF636" t="str">
            <v>표준</v>
          </cell>
          <cell r="AG636">
            <v>1</v>
          </cell>
          <cell r="AH636">
            <v>1</v>
          </cell>
          <cell r="AI636">
            <v>2750</v>
          </cell>
          <cell r="AJ636">
            <v>2648</v>
          </cell>
          <cell r="AK636">
            <v>217600</v>
          </cell>
          <cell r="AL636">
            <v>3834</v>
          </cell>
          <cell r="AM636">
            <v>3969</v>
          </cell>
          <cell r="AN636">
            <v>3954</v>
          </cell>
          <cell r="AO636">
            <v>4012</v>
          </cell>
          <cell r="AP636">
            <v>3926</v>
          </cell>
          <cell r="AQ636">
            <v>4067</v>
          </cell>
          <cell r="AR636">
            <v>4012</v>
          </cell>
          <cell r="AS636">
            <v>3917</v>
          </cell>
          <cell r="AT636">
            <v>314000</v>
          </cell>
        </row>
        <row r="637">
          <cell r="G637">
            <v>2406270102</v>
          </cell>
          <cell r="H637" t="str">
            <v>101동</v>
          </cell>
          <cell r="I637">
            <v>240627</v>
          </cell>
          <cell r="J637" t="str">
            <v>101동 2차 및 101동 주변주차장 합벽</v>
          </cell>
          <cell r="K637">
            <v>320</v>
          </cell>
          <cell r="L637">
            <v>318</v>
          </cell>
          <cell r="M637">
            <v>3015</v>
          </cell>
          <cell r="N637" t="str">
            <v>용호</v>
          </cell>
          <cell r="O637" t="str">
            <v>펌프카(1대)</v>
          </cell>
          <cell r="P637">
            <v>750</v>
          </cell>
          <cell r="Q637">
            <v>1255</v>
          </cell>
          <cell r="R637">
            <v>150</v>
          </cell>
          <cell r="S637">
            <v>40</v>
          </cell>
          <cell r="T637">
            <v>24</v>
          </cell>
          <cell r="U637">
            <v>236</v>
          </cell>
          <cell r="V637"/>
          <cell r="W637" t="str">
            <v>박순홍</v>
          </cell>
          <cell r="X637" t="str">
            <v>(인)</v>
          </cell>
          <cell r="Y637" t="str">
            <v>박순홍</v>
          </cell>
          <cell r="Z637" t="str">
            <v>(인)</v>
          </cell>
          <cell r="AA637" t="str">
            <v>이루비</v>
          </cell>
          <cell r="AB637" t="str">
            <v>(인)</v>
          </cell>
          <cell r="AC637" t="str">
            <v>이루비</v>
          </cell>
          <cell r="AD637" t="str">
            <v>(인)</v>
          </cell>
          <cell r="AE637">
            <v>171.4</v>
          </cell>
          <cell r="AF637" t="str">
            <v>표준</v>
          </cell>
          <cell r="AG637">
            <v>2</v>
          </cell>
          <cell r="AH637">
            <v>0</v>
          </cell>
        </row>
        <row r="638">
          <cell r="G638">
            <v>2406270103</v>
          </cell>
          <cell r="H638" t="str">
            <v>101동</v>
          </cell>
          <cell r="I638">
            <v>240627</v>
          </cell>
          <cell r="J638" t="str">
            <v>101동 2차 및 101동 주변주차장 합벽</v>
          </cell>
          <cell r="K638">
            <v>320</v>
          </cell>
          <cell r="L638">
            <v>318</v>
          </cell>
          <cell r="M638">
            <v>3015</v>
          </cell>
          <cell r="N638" t="str">
            <v>용호</v>
          </cell>
          <cell r="O638" t="str">
            <v>펌프카(1대)</v>
          </cell>
          <cell r="P638">
            <v>750</v>
          </cell>
          <cell r="Q638">
            <v>1255</v>
          </cell>
          <cell r="R638">
            <v>160</v>
          </cell>
          <cell r="S638">
            <v>46</v>
          </cell>
          <cell r="T638">
            <v>15</v>
          </cell>
          <cell r="U638">
            <v>242</v>
          </cell>
          <cell r="V638"/>
          <cell r="W638" t="str">
            <v>박순홍</v>
          </cell>
          <cell r="X638" t="str">
            <v>(인)</v>
          </cell>
          <cell r="Y638" t="str">
            <v>박순홍</v>
          </cell>
          <cell r="Z638" t="str">
            <v>(인)</v>
          </cell>
          <cell r="AA638" t="str">
            <v>이루비</v>
          </cell>
          <cell r="AB638" t="str">
            <v>(인)</v>
          </cell>
          <cell r="AC638" t="str">
            <v>이루비</v>
          </cell>
          <cell r="AD638" t="str">
            <v>(인)</v>
          </cell>
          <cell r="AE638">
            <v>175.9</v>
          </cell>
          <cell r="AF638" t="str">
            <v>표준</v>
          </cell>
          <cell r="AG638">
            <v>3</v>
          </cell>
          <cell r="AH638">
            <v>0</v>
          </cell>
        </row>
        <row r="639">
          <cell r="G639">
            <v>2406270201</v>
          </cell>
          <cell r="H639" t="str">
            <v>103동</v>
          </cell>
          <cell r="I639">
            <v>240627</v>
          </cell>
          <cell r="J639" t="str">
            <v>103동 9층 바닥</v>
          </cell>
          <cell r="K639">
            <v>280</v>
          </cell>
          <cell r="L639">
            <v>282</v>
          </cell>
          <cell r="M639">
            <v>3018</v>
          </cell>
          <cell r="N639" t="str">
            <v>쌍용</v>
          </cell>
          <cell r="O639" t="str">
            <v>펌프카(1대)</v>
          </cell>
          <cell r="P639">
            <v>800</v>
          </cell>
          <cell r="Q639">
            <v>1338</v>
          </cell>
          <cell r="R639">
            <v>190</v>
          </cell>
          <cell r="S639">
            <v>42</v>
          </cell>
          <cell r="T639">
            <v>52</v>
          </cell>
          <cell r="U639">
            <v>232</v>
          </cell>
          <cell r="V639"/>
          <cell r="W639" t="str">
            <v>박순홍</v>
          </cell>
          <cell r="X639" t="str">
            <v>(인)</v>
          </cell>
          <cell r="Y639" t="str">
            <v>박순홍</v>
          </cell>
          <cell r="Z639" t="str">
            <v>(인)</v>
          </cell>
          <cell r="AA639" t="str">
            <v>이루비</v>
          </cell>
          <cell r="AB639" t="str">
            <v>(인)</v>
          </cell>
          <cell r="AC639" t="str">
            <v>최상옥</v>
          </cell>
          <cell r="AD639" t="str">
            <v>(인)</v>
          </cell>
          <cell r="AE639">
            <v>188.6</v>
          </cell>
          <cell r="AF639" t="str">
            <v>표준</v>
          </cell>
          <cell r="AG639">
            <v>1</v>
          </cell>
          <cell r="AH639">
            <v>1</v>
          </cell>
          <cell r="AI639">
            <v>2798</v>
          </cell>
          <cell r="AJ639">
            <v>2832</v>
          </cell>
          <cell r="AK639">
            <v>217600</v>
          </cell>
          <cell r="AL639">
            <v>3951</v>
          </cell>
          <cell r="AM639">
            <v>4007</v>
          </cell>
          <cell r="AN639">
            <v>3944</v>
          </cell>
          <cell r="AO639">
            <v>3978</v>
          </cell>
          <cell r="AP639">
            <v>3913</v>
          </cell>
          <cell r="AQ639">
            <v>3953</v>
          </cell>
          <cell r="AR639">
            <v>3966</v>
          </cell>
          <cell r="AS639">
            <v>3964</v>
          </cell>
          <cell r="AT639">
            <v>302000</v>
          </cell>
        </row>
        <row r="640">
          <cell r="G640">
            <v>2406270202</v>
          </cell>
          <cell r="H640" t="str">
            <v>103동</v>
          </cell>
          <cell r="I640">
            <v>240627</v>
          </cell>
          <cell r="J640" t="str">
            <v>103동 9층 바닥</v>
          </cell>
          <cell r="K640">
            <v>280</v>
          </cell>
          <cell r="L640">
            <v>282</v>
          </cell>
          <cell r="M640">
            <v>3018</v>
          </cell>
          <cell r="N640" t="str">
            <v>쌍용</v>
          </cell>
          <cell r="O640" t="str">
            <v>펌프카(1대)</v>
          </cell>
          <cell r="P640">
            <v>800</v>
          </cell>
          <cell r="Q640">
            <v>1338</v>
          </cell>
          <cell r="R640">
            <v>195</v>
          </cell>
          <cell r="S640">
            <v>46</v>
          </cell>
          <cell r="T640">
            <v>110</v>
          </cell>
          <cell r="U640">
            <v>252</v>
          </cell>
          <cell r="V640"/>
          <cell r="W640" t="str">
            <v>박순홍</v>
          </cell>
          <cell r="X640" t="str">
            <v>(인)</v>
          </cell>
          <cell r="Y640" t="str">
            <v>박순홍</v>
          </cell>
          <cell r="Z640" t="str">
            <v>(인)</v>
          </cell>
          <cell r="AA640" t="str">
            <v>이루비</v>
          </cell>
          <cell r="AB640" t="str">
            <v>(인)</v>
          </cell>
          <cell r="AC640" t="str">
            <v>최상옥</v>
          </cell>
          <cell r="AD640" t="str">
            <v>(인)</v>
          </cell>
          <cell r="AE640">
            <v>182.6</v>
          </cell>
          <cell r="AF640" t="str">
            <v>표준</v>
          </cell>
          <cell r="AG640">
            <v>2</v>
          </cell>
          <cell r="AH640">
            <v>0</v>
          </cell>
        </row>
        <row r="641">
          <cell r="G641">
            <v>2406270203</v>
          </cell>
          <cell r="H641" t="str">
            <v>103동</v>
          </cell>
          <cell r="I641">
            <v>240627</v>
          </cell>
          <cell r="J641" t="str">
            <v>103동 9층 바닥</v>
          </cell>
          <cell r="K641">
            <v>280</v>
          </cell>
          <cell r="L641">
            <v>282</v>
          </cell>
          <cell r="M641">
            <v>3018</v>
          </cell>
          <cell r="N641" t="str">
            <v>쌍용</v>
          </cell>
          <cell r="O641" t="str">
            <v>펌프카(1대)</v>
          </cell>
          <cell r="P641">
            <v>800</v>
          </cell>
          <cell r="Q641">
            <v>1338</v>
          </cell>
          <cell r="R641">
            <v>190</v>
          </cell>
          <cell r="S641">
            <v>38</v>
          </cell>
          <cell r="T641">
            <v>89</v>
          </cell>
          <cell r="U641">
            <v>271</v>
          </cell>
          <cell r="V641"/>
          <cell r="W641" t="str">
            <v>박순홍</v>
          </cell>
          <cell r="X641" t="str">
            <v>(인)</v>
          </cell>
          <cell r="Y641" t="str">
            <v>박순홍</v>
          </cell>
          <cell r="Z641" t="str">
            <v>(인)</v>
          </cell>
          <cell r="AA641" t="str">
            <v>이루비</v>
          </cell>
          <cell r="AB641" t="str">
            <v>(인)</v>
          </cell>
          <cell r="AC641" t="str">
            <v>최상옥</v>
          </cell>
          <cell r="AD641" t="str">
            <v>(인)</v>
          </cell>
          <cell r="AE641">
            <v>184.6</v>
          </cell>
          <cell r="AF641" t="str">
            <v>표준</v>
          </cell>
          <cell r="AG641">
            <v>3</v>
          </cell>
          <cell r="AH641">
            <v>0</v>
          </cell>
        </row>
        <row r="642">
          <cell r="G642">
            <v>2406280101</v>
          </cell>
          <cell r="H642" t="str">
            <v>106동</v>
          </cell>
          <cell r="I642">
            <v>240628</v>
          </cell>
          <cell r="J642" t="str">
            <v>106동 6층 바닥</v>
          </cell>
          <cell r="K642">
            <v>290</v>
          </cell>
          <cell r="L642">
            <v>285</v>
          </cell>
          <cell r="M642">
            <v>3018</v>
          </cell>
          <cell r="N642" t="str">
            <v>대공</v>
          </cell>
          <cell r="O642" t="str">
            <v>펌프카(1대)</v>
          </cell>
          <cell r="P642">
            <v>740</v>
          </cell>
          <cell r="Q642">
            <v>1227</v>
          </cell>
          <cell r="R642">
            <v>190</v>
          </cell>
          <cell r="S642">
            <v>46</v>
          </cell>
          <cell r="T642">
            <v>52</v>
          </cell>
          <cell r="U642">
            <v>230</v>
          </cell>
          <cell r="V642"/>
          <cell r="W642" t="str">
            <v>박순홍</v>
          </cell>
          <cell r="X642" t="str">
            <v>(인)</v>
          </cell>
          <cell r="Y642" t="str">
            <v>박순홍</v>
          </cell>
          <cell r="Z642" t="str">
            <v>(인)</v>
          </cell>
          <cell r="AA642" t="str">
            <v>장덕만</v>
          </cell>
          <cell r="AB642" t="str">
            <v>(인)</v>
          </cell>
          <cell r="AC642" t="str">
            <v>최상옥</v>
          </cell>
          <cell r="AD642" t="str">
            <v>(인)</v>
          </cell>
          <cell r="AE642">
            <v>181.1</v>
          </cell>
          <cell r="AF642" t="str">
            <v>표준</v>
          </cell>
          <cell r="AG642">
            <v>1</v>
          </cell>
          <cell r="AH642">
            <v>1</v>
          </cell>
          <cell r="AI642">
            <v>2839</v>
          </cell>
          <cell r="AJ642">
            <v>2892</v>
          </cell>
          <cell r="AK642">
            <v>227400</v>
          </cell>
          <cell r="AL642">
            <v>3966</v>
          </cell>
          <cell r="AM642">
            <v>3974</v>
          </cell>
          <cell r="AN642">
            <v>4023</v>
          </cell>
          <cell r="AO642">
            <v>3968</v>
          </cell>
          <cell r="AP642">
            <v>4006</v>
          </cell>
          <cell r="AQ642">
            <v>3941</v>
          </cell>
          <cell r="AR642">
            <v>3984</v>
          </cell>
          <cell r="AS642">
            <v>3972</v>
          </cell>
          <cell r="AT642">
            <v>309400</v>
          </cell>
        </row>
        <row r="643">
          <cell r="G643">
            <v>2406280102</v>
          </cell>
          <cell r="H643" t="str">
            <v>106동</v>
          </cell>
          <cell r="I643">
            <v>240628</v>
          </cell>
          <cell r="J643" t="str">
            <v>106동 6층 바닥</v>
          </cell>
          <cell r="K643">
            <v>290</v>
          </cell>
          <cell r="L643">
            <v>285</v>
          </cell>
          <cell r="M643">
            <v>3018</v>
          </cell>
          <cell r="N643" t="str">
            <v>대공</v>
          </cell>
          <cell r="O643" t="str">
            <v>펌프카(1대)</v>
          </cell>
          <cell r="P643">
            <v>740</v>
          </cell>
          <cell r="Q643">
            <v>1227</v>
          </cell>
          <cell r="R643">
            <v>190</v>
          </cell>
          <cell r="S643">
            <v>50</v>
          </cell>
          <cell r="T643">
            <v>52</v>
          </cell>
          <cell r="U643">
            <v>236</v>
          </cell>
          <cell r="V643"/>
          <cell r="W643" t="str">
            <v>박순홍</v>
          </cell>
          <cell r="X643" t="str">
            <v>(인)</v>
          </cell>
          <cell r="Y643" t="str">
            <v>박순홍</v>
          </cell>
          <cell r="Z643" t="str">
            <v>(인)</v>
          </cell>
          <cell r="AA643" t="str">
            <v>장덕만</v>
          </cell>
          <cell r="AB643" t="str">
            <v>(인)</v>
          </cell>
          <cell r="AC643" t="str">
            <v>최상옥</v>
          </cell>
          <cell r="AD643" t="str">
            <v>(인)</v>
          </cell>
          <cell r="AE643">
            <v>179.8</v>
          </cell>
          <cell r="AF643" t="str">
            <v>표준</v>
          </cell>
          <cell r="AG643">
            <v>2</v>
          </cell>
          <cell r="AH643">
            <v>0</v>
          </cell>
        </row>
        <row r="644">
          <cell r="G644">
            <v>2406280103</v>
          </cell>
          <cell r="H644" t="str">
            <v>106동</v>
          </cell>
          <cell r="I644">
            <v>240628</v>
          </cell>
          <cell r="J644" t="str">
            <v>106동 6층 바닥</v>
          </cell>
          <cell r="K644">
            <v>290</v>
          </cell>
          <cell r="L644">
            <v>285</v>
          </cell>
          <cell r="M644">
            <v>3018</v>
          </cell>
          <cell r="N644" t="str">
            <v>대공</v>
          </cell>
          <cell r="O644" t="str">
            <v>펌프카(1대)</v>
          </cell>
          <cell r="P644">
            <v>740</v>
          </cell>
          <cell r="Q644">
            <v>1227</v>
          </cell>
          <cell r="R644">
            <v>195</v>
          </cell>
          <cell r="S644">
            <v>48</v>
          </cell>
          <cell r="T644">
            <v>87</v>
          </cell>
          <cell r="U644">
            <v>248</v>
          </cell>
          <cell r="V644"/>
          <cell r="W644" t="str">
            <v>박순홍</v>
          </cell>
          <cell r="X644" t="str">
            <v>(인)</v>
          </cell>
          <cell r="Y644" t="str">
            <v>박순홍</v>
          </cell>
          <cell r="Z644" t="str">
            <v>(인)</v>
          </cell>
          <cell r="AA644" t="str">
            <v>장덕만</v>
          </cell>
          <cell r="AB644" t="str">
            <v>(인)</v>
          </cell>
          <cell r="AC644" t="str">
            <v>최상옥</v>
          </cell>
          <cell r="AD644" t="str">
            <v>(인)</v>
          </cell>
          <cell r="AE644">
            <v>177.4</v>
          </cell>
          <cell r="AF644" t="str">
            <v>표준</v>
          </cell>
          <cell r="AG644">
            <v>3</v>
          </cell>
          <cell r="AH644">
            <v>0</v>
          </cell>
        </row>
        <row r="645">
          <cell r="G645">
            <v>2407010101</v>
          </cell>
          <cell r="H645" t="str">
            <v>105동</v>
          </cell>
          <cell r="I645">
            <v>240701</v>
          </cell>
          <cell r="J645" t="str">
            <v>105동 7층 바닥</v>
          </cell>
          <cell r="K645">
            <v>280</v>
          </cell>
          <cell r="L645">
            <v>284</v>
          </cell>
          <cell r="M645">
            <v>3018</v>
          </cell>
          <cell r="N645" t="str">
            <v>신우</v>
          </cell>
          <cell r="O645" t="str">
            <v>펌프카(1대)</v>
          </cell>
          <cell r="P645">
            <v>745</v>
          </cell>
          <cell r="Q645">
            <v>1220</v>
          </cell>
          <cell r="R645">
            <v>180</v>
          </cell>
          <cell r="S645">
            <v>41</v>
          </cell>
          <cell r="T645">
            <v>31</v>
          </cell>
          <cell r="U645">
            <v>245</v>
          </cell>
          <cell r="V645"/>
          <cell r="W645" t="str">
            <v>박순홍</v>
          </cell>
          <cell r="X645" t="str">
            <v>(인)</v>
          </cell>
          <cell r="Y645" t="str">
            <v>김광록</v>
          </cell>
          <cell r="Z645" t="str">
            <v>(인)</v>
          </cell>
          <cell r="AA645" t="str">
            <v>장덕만</v>
          </cell>
          <cell r="AB645" t="str">
            <v>(인)</v>
          </cell>
          <cell r="AC645" t="str">
            <v>장덕만</v>
          </cell>
          <cell r="AD645" t="str">
            <v>(인)</v>
          </cell>
          <cell r="AE645">
            <v>188.4</v>
          </cell>
          <cell r="AF645" t="str">
            <v>표준</v>
          </cell>
          <cell r="AG645">
            <v>1</v>
          </cell>
          <cell r="AH645">
            <v>1</v>
          </cell>
          <cell r="AI645">
            <v>2827</v>
          </cell>
          <cell r="AJ645">
            <v>2781</v>
          </cell>
          <cell r="AK645">
            <v>216800</v>
          </cell>
          <cell r="AL645">
            <v>3916</v>
          </cell>
          <cell r="AM645">
            <v>3818</v>
          </cell>
          <cell r="AN645">
            <v>3938</v>
          </cell>
          <cell r="AO645">
            <v>3766</v>
          </cell>
          <cell r="AP645">
            <v>3872</v>
          </cell>
          <cell r="AQ645">
            <v>3962</v>
          </cell>
          <cell r="AR645">
            <v>3761</v>
          </cell>
          <cell r="AS645">
            <v>3885</v>
          </cell>
          <cell r="AT645">
            <v>301000</v>
          </cell>
        </row>
        <row r="646">
          <cell r="G646">
            <v>2407010102</v>
          </cell>
          <cell r="H646" t="str">
            <v>105동</v>
          </cell>
          <cell r="I646">
            <v>240701</v>
          </cell>
          <cell r="J646" t="str">
            <v>105동 7층 바닥</v>
          </cell>
          <cell r="K646">
            <v>280</v>
          </cell>
          <cell r="L646">
            <v>284</v>
          </cell>
          <cell r="M646">
            <v>3018</v>
          </cell>
          <cell r="N646" t="str">
            <v>신우</v>
          </cell>
          <cell r="O646" t="str">
            <v>펌프카(1대)</v>
          </cell>
          <cell r="P646">
            <v>745</v>
          </cell>
          <cell r="Q646">
            <v>1220</v>
          </cell>
          <cell r="R646">
            <v>185</v>
          </cell>
          <cell r="S646">
            <v>43</v>
          </cell>
          <cell r="T646">
            <v>18</v>
          </cell>
          <cell r="U646">
            <v>249</v>
          </cell>
          <cell r="V646"/>
          <cell r="W646" t="str">
            <v>박순홍</v>
          </cell>
          <cell r="X646" t="str">
            <v>(인)</v>
          </cell>
          <cell r="Y646" t="str">
            <v>김광록</v>
          </cell>
          <cell r="Z646" t="str">
            <v>(인)</v>
          </cell>
          <cell r="AA646" t="str">
            <v>장덕만</v>
          </cell>
          <cell r="AB646" t="str">
            <v>(인)</v>
          </cell>
          <cell r="AC646" t="str">
            <v>장덕만</v>
          </cell>
          <cell r="AD646" t="str">
            <v>(인)</v>
          </cell>
          <cell r="AE646">
            <v>187.4</v>
          </cell>
          <cell r="AF646" t="str">
            <v>표준</v>
          </cell>
          <cell r="AG646">
            <v>2</v>
          </cell>
          <cell r="AH646">
            <v>0</v>
          </cell>
        </row>
        <row r="647">
          <cell r="G647">
            <v>2407010103</v>
          </cell>
          <cell r="H647" t="str">
            <v>105동</v>
          </cell>
          <cell r="I647">
            <v>240701</v>
          </cell>
          <cell r="J647" t="str">
            <v>105동 7층 바닥</v>
          </cell>
          <cell r="K647">
            <v>280</v>
          </cell>
          <cell r="L647">
            <v>284</v>
          </cell>
          <cell r="M647">
            <v>3018</v>
          </cell>
          <cell r="N647" t="str">
            <v>신우</v>
          </cell>
          <cell r="O647" t="str">
            <v>펌프카(1대)</v>
          </cell>
          <cell r="P647">
            <v>745</v>
          </cell>
          <cell r="Q647">
            <v>1220</v>
          </cell>
          <cell r="R647">
            <v>185</v>
          </cell>
          <cell r="S647">
            <v>42</v>
          </cell>
          <cell r="T647">
            <v>22</v>
          </cell>
          <cell r="U647">
            <v>255</v>
          </cell>
          <cell r="V647"/>
          <cell r="W647" t="str">
            <v>박순홍</v>
          </cell>
          <cell r="X647" t="str">
            <v>(인)</v>
          </cell>
          <cell r="Y647" t="str">
            <v>김광록</v>
          </cell>
          <cell r="Z647" t="str">
            <v>(인)</v>
          </cell>
          <cell r="AA647" t="str">
            <v>장덕만</v>
          </cell>
          <cell r="AB647" t="str">
            <v>(인)</v>
          </cell>
          <cell r="AC647" t="str">
            <v>장덕만</v>
          </cell>
          <cell r="AD647" t="str">
            <v>(인)</v>
          </cell>
          <cell r="AE647">
            <v>187.6</v>
          </cell>
          <cell r="AF647" t="str">
            <v>표준</v>
          </cell>
          <cell r="AG647">
            <v>3</v>
          </cell>
          <cell r="AH647">
            <v>0</v>
          </cell>
        </row>
        <row r="648">
          <cell r="G648">
            <v>2407010201</v>
          </cell>
          <cell r="H648" t="str">
            <v>115동</v>
          </cell>
          <cell r="I648">
            <v>240701</v>
          </cell>
          <cell r="J648" t="str">
            <v>H구간 기초</v>
          </cell>
          <cell r="K648">
            <v>990</v>
          </cell>
          <cell r="L648">
            <v>990</v>
          </cell>
          <cell r="M648">
            <v>2415</v>
          </cell>
          <cell r="N648" t="str">
            <v>영진</v>
          </cell>
          <cell r="O648" t="str">
            <v>펌프카(1대)</v>
          </cell>
          <cell r="P648">
            <v>806</v>
          </cell>
          <cell r="Q648">
            <v>1700</v>
          </cell>
          <cell r="R648">
            <v>150</v>
          </cell>
          <cell r="S648">
            <v>45</v>
          </cell>
          <cell r="T648">
            <v>65</v>
          </cell>
          <cell r="U648">
            <v>232</v>
          </cell>
          <cell r="V648"/>
          <cell r="W648" t="str">
            <v>박순홍</v>
          </cell>
          <cell r="X648" t="str">
            <v>(인)</v>
          </cell>
          <cell r="Y648" t="str">
            <v>김광록</v>
          </cell>
          <cell r="Z648" t="str">
            <v>(인)</v>
          </cell>
          <cell r="AA648" t="str">
            <v>임영구</v>
          </cell>
          <cell r="AB648" t="str">
            <v>(인)</v>
          </cell>
          <cell r="AC648" t="str">
            <v>임영구</v>
          </cell>
          <cell r="AD648" t="str">
            <v>(인)</v>
          </cell>
          <cell r="AE648">
            <v>169.9</v>
          </cell>
          <cell r="AF648" t="str">
            <v>표준</v>
          </cell>
          <cell r="AG648">
            <v>1</v>
          </cell>
          <cell r="AH648">
            <v>1</v>
          </cell>
          <cell r="AI648">
            <v>2210</v>
          </cell>
          <cell r="AJ648">
            <v>2186</v>
          </cell>
          <cell r="AK648">
            <v>174400</v>
          </cell>
          <cell r="AL648">
            <v>3155</v>
          </cell>
          <cell r="AM648">
            <v>3249</v>
          </cell>
          <cell r="AN648">
            <v>3291</v>
          </cell>
          <cell r="AO648">
            <v>3187</v>
          </cell>
          <cell r="AP648">
            <v>3236</v>
          </cell>
          <cell r="AQ648">
            <v>3128</v>
          </cell>
          <cell r="AR648">
            <v>3201</v>
          </cell>
          <cell r="AS648">
            <v>3224</v>
          </cell>
          <cell r="AT648">
            <v>264000</v>
          </cell>
        </row>
        <row r="649">
          <cell r="G649">
            <v>2407010202</v>
          </cell>
          <cell r="H649" t="str">
            <v>115동</v>
          </cell>
          <cell r="I649">
            <v>240701</v>
          </cell>
          <cell r="J649" t="str">
            <v>H구간 기초</v>
          </cell>
          <cell r="K649">
            <v>990</v>
          </cell>
          <cell r="L649">
            <v>990</v>
          </cell>
          <cell r="M649">
            <v>2415</v>
          </cell>
          <cell r="N649" t="str">
            <v>영진</v>
          </cell>
          <cell r="O649" t="str">
            <v>펌프카(1대)</v>
          </cell>
          <cell r="P649">
            <v>806</v>
          </cell>
          <cell r="Q649">
            <v>1700</v>
          </cell>
          <cell r="R649">
            <v>160</v>
          </cell>
          <cell r="S649">
            <v>47</v>
          </cell>
          <cell r="T649">
            <v>43</v>
          </cell>
          <cell r="U649">
            <v>243</v>
          </cell>
          <cell r="V649"/>
          <cell r="W649" t="str">
            <v>박순홍</v>
          </cell>
          <cell r="X649" t="str">
            <v>(인)</v>
          </cell>
          <cell r="Y649" t="str">
            <v>김광록</v>
          </cell>
          <cell r="Z649" t="str">
            <v>(인)</v>
          </cell>
          <cell r="AA649" t="str">
            <v>임영구</v>
          </cell>
          <cell r="AB649" t="str">
            <v>(인)</v>
          </cell>
          <cell r="AC649" t="str">
            <v>임영구</v>
          </cell>
          <cell r="AD649" t="str">
            <v>(인)</v>
          </cell>
          <cell r="AE649">
            <v>168.6</v>
          </cell>
          <cell r="AF649" t="str">
            <v>표준</v>
          </cell>
          <cell r="AG649">
            <v>2</v>
          </cell>
          <cell r="AH649">
            <v>0</v>
          </cell>
        </row>
        <row r="650">
          <cell r="G650">
            <v>2407010203</v>
          </cell>
          <cell r="H650" t="str">
            <v>115동</v>
          </cell>
          <cell r="I650">
            <v>240701</v>
          </cell>
          <cell r="J650" t="str">
            <v>H구간 기초</v>
          </cell>
          <cell r="K650">
            <v>990</v>
          </cell>
          <cell r="L650">
            <v>990</v>
          </cell>
          <cell r="M650">
            <v>2415</v>
          </cell>
          <cell r="N650" t="str">
            <v>영진</v>
          </cell>
          <cell r="O650" t="str">
            <v>펌프카(1대)</v>
          </cell>
          <cell r="P650">
            <v>806</v>
          </cell>
          <cell r="Q650">
            <v>1700</v>
          </cell>
          <cell r="R650">
            <v>160</v>
          </cell>
          <cell r="S650">
            <v>50</v>
          </cell>
          <cell r="T650">
            <v>40</v>
          </cell>
          <cell r="U650">
            <v>235</v>
          </cell>
          <cell r="V650"/>
          <cell r="W650" t="str">
            <v>박순홍</v>
          </cell>
          <cell r="X650" t="str">
            <v>(인)</v>
          </cell>
          <cell r="Y650" t="str">
            <v>김광록</v>
          </cell>
          <cell r="Z650" t="str">
            <v>(인)</v>
          </cell>
          <cell r="AA650" t="str">
            <v>임영구</v>
          </cell>
          <cell r="AB650" t="str">
            <v>(인)</v>
          </cell>
          <cell r="AC650" t="str">
            <v>임영구</v>
          </cell>
          <cell r="AD650" t="str">
            <v>(인)</v>
          </cell>
          <cell r="AE650">
            <v>175.2</v>
          </cell>
          <cell r="AF650" t="str">
            <v>표준</v>
          </cell>
          <cell r="AG650">
            <v>3</v>
          </cell>
          <cell r="AH650">
            <v>0</v>
          </cell>
        </row>
        <row r="651">
          <cell r="G651">
            <v>2407010204</v>
          </cell>
          <cell r="H651" t="str">
            <v>115동</v>
          </cell>
          <cell r="I651">
            <v>240701</v>
          </cell>
          <cell r="J651" t="str">
            <v>H구간 기초</v>
          </cell>
          <cell r="K651">
            <v>990</v>
          </cell>
          <cell r="L651">
            <v>990</v>
          </cell>
          <cell r="M651">
            <v>2415</v>
          </cell>
          <cell r="N651" t="str">
            <v>영진</v>
          </cell>
          <cell r="O651" t="str">
            <v>펌프카(1대)</v>
          </cell>
          <cell r="P651">
            <v>806</v>
          </cell>
          <cell r="Q651">
            <v>1700</v>
          </cell>
          <cell r="R651">
            <v>170</v>
          </cell>
          <cell r="S651">
            <v>52</v>
          </cell>
          <cell r="T651">
            <v>50</v>
          </cell>
          <cell r="U651">
            <v>242</v>
          </cell>
          <cell r="V651"/>
          <cell r="W651" t="str">
            <v>박순홍</v>
          </cell>
          <cell r="X651" t="str">
            <v>(인)</v>
          </cell>
          <cell r="Y651" t="str">
            <v>김광록</v>
          </cell>
          <cell r="Z651" t="str">
            <v>(인)</v>
          </cell>
          <cell r="AA651" t="str">
            <v>임영구</v>
          </cell>
          <cell r="AB651" t="str">
            <v>(인)</v>
          </cell>
          <cell r="AC651" t="str">
            <v>임영구</v>
          </cell>
          <cell r="AD651" t="str">
            <v>(인)</v>
          </cell>
          <cell r="AE651">
            <v>172.4</v>
          </cell>
          <cell r="AF651" t="str">
            <v>표준</v>
          </cell>
          <cell r="AG651">
            <v>4</v>
          </cell>
          <cell r="AH651">
            <v>1</v>
          </cell>
          <cell r="AL651">
            <v>3290</v>
          </cell>
          <cell r="AM651">
            <v>3285</v>
          </cell>
          <cell r="AN651">
            <v>3021</v>
          </cell>
          <cell r="AO651">
            <v>3108</v>
          </cell>
          <cell r="AP651">
            <v>3218</v>
          </cell>
          <cell r="AQ651">
            <v>3258</v>
          </cell>
          <cell r="AR651">
            <v>3138</v>
          </cell>
          <cell r="AS651">
            <v>3170</v>
          </cell>
          <cell r="AT651">
            <v>256400</v>
          </cell>
        </row>
        <row r="652">
          <cell r="G652">
            <v>2407010205</v>
          </cell>
          <cell r="H652" t="str">
            <v>115동</v>
          </cell>
          <cell r="I652">
            <v>240701</v>
          </cell>
          <cell r="J652" t="str">
            <v>H구간 기초</v>
          </cell>
          <cell r="K652">
            <v>990</v>
          </cell>
          <cell r="L652">
            <v>990</v>
          </cell>
          <cell r="M652">
            <v>2415</v>
          </cell>
          <cell r="N652" t="str">
            <v>영진</v>
          </cell>
          <cell r="O652" t="str">
            <v>펌프카(1대)</v>
          </cell>
          <cell r="P652">
            <v>806</v>
          </cell>
          <cell r="Q652">
            <v>1700</v>
          </cell>
          <cell r="R652">
            <v>170</v>
          </cell>
          <cell r="S652">
            <v>53</v>
          </cell>
          <cell r="T652">
            <v>59</v>
          </cell>
          <cell r="U652">
            <v>227</v>
          </cell>
          <cell r="V652"/>
          <cell r="W652" t="str">
            <v>박순홍</v>
          </cell>
          <cell r="X652" t="str">
            <v>(인)</v>
          </cell>
          <cell r="Y652" t="str">
            <v>김광록</v>
          </cell>
          <cell r="Z652" t="str">
            <v>(인)</v>
          </cell>
          <cell r="AA652" t="str">
            <v>임영구</v>
          </cell>
          <cell r="AB652" t="str">
            <v>(인)</v>
          </cell>
          <cell r="AC652" t="str">
            <v>임영구</v>
          </cell>
          <cell r="AD652" t="str">
            <v>(인)</v>
          </cell>
          <cell r="AE652">
            <v>177</v>
          </cell>
          <cell r="AF652" t="str">
            <v>표준</v>
          </cell>
          <cell r="AG652">
            <v>5</v>
          </cell>
          <cell r="AH652">
            <v>0</v>
          </cell>
        </row>
        <row r="653">
          <cell r="G653">
            <v>2407010206</v>
          </cell>
          <cell r="H653" t="str">
            <v>115동</v>
          </cell>
          <cell r="I653">
            <v>240701</v>
          </cell>
          <cell r="J653" t="str">
            <v>H구간 기초</v>
          </cell>
          <cell r="K653">
            <v>990</v>
          </cell>
          <cell r="L653">
            <v>990</v>
          </cell>
          <cell r="M653">
            <v>2415</v>
          </cell>
          <cell r="N653" t="str">
            <v>영진</v>
          </cell>
          <cell r="O653" t="str">
            <v>펌프카(1대)</v>
          </cell>
          <cell r="P653">
            <v>806</v>
          </cell>
          <cell r="Q653">
            <v>1700</v>
          </cell>
          <cell r="R653">
            <v>145</v>
          </cell>
          <cell r="S653">
            <v>39</v>
          </cell>
          <cell r="T653">
            <v>32</v>
          </cell>
          <cell r="U653">
            <v>226</v>
          </cell>
          <cell r="V653"/>
          <cell r="W653" t="str">
            <v>박순홍</v>
          </cell>
          <cell r="X653" t="str">
            <v>(인)</v>
          </cell>
          <cell r="Y653" t="str">
            <v>김광록</v>
          </cell>
          <cell r="Z653" t="str">
            <v>(인)</v>
          </cell>
          <cell r="AA653" t="str">
            <v>임영구</v>
          </cell>
          <cell r="AB653" t="str">
            <v>(인)</v>
          </cell>
          <cell r="AC653" t="str">
            <v>임영구</v>
          </cell>
          <cell r="AD653" t="str">
            <v>(인)</v>
          </cell>
          <cell r="AE653">
            <v>175.4</v>
          </cell>
          <cell r="AF653" t="str">
            <v>표준</v>
          </cell>
          <cell r="AG653">
            <v>6</v>
          </cell>
          <cell r="AH653">
            <v>0</v>
          </cell>
        </row>
        <row r="654">
          <cell r="G654">
            <v>2407010207</v>
          </cell>
          <cell r="H654" t="str">
            <v>115동</v>
          </cell>
          <cell r="I654">
            <v>240701</v>
          </cell>
          <cell r="J654" t="str">
            <v>H구간 기초</v>
          </cell>
          <cell r="K654">
            <v>990</v>
          </cell>
          <cell r="L654">
            <v>990</v>
          </cell>
          <cell r="M654">
            <v>2415</v>
          </cell>
          <cell r="N654" t="str">
            <v>영진</v>
          </cell>
          <cell r="O654" t="str">
            <v>펌프카(1대)</v>
          </cell>
          <cell r="P654">
            <v>806</v>
          </cell>
          <cell r="Q654">
            <v>1700</v>
          </cell>
          <cell r="R654">
            <v>160</v>
          </cell>
          <cell r="S654">
            <v>45</v>
          </cell>
          <cell r="T654">
            <v>41</v>
          </cell>
          <cell r="U654">
            <v>259</v>
          </cell>
          <cell r="V654"/>
          <cell r="W654" t="str">
            <v>박순홍</v>
          </cell>
          <cell r="X654" t="str">
            <v>(인)</v>
          </cell>
          <cell r="Y654" t="str">
            <v>김광록</v>
          </cell>
          <cell r="Z654" t="str">
            <v>(인)</v>
          </cell>
          <cell r="AA654" t="str">
            <v>임영구</v>
          </cell>
          <cell r="AB654" t="str">
            <v>(인)</v>
          </cell>
          <cell r="AC654" t="str">
            <v>임영구</v>
          </cell>
          <cell r="AD654" t="str">
            <v>(인)</v>
          </cell>
          <cell r="AE654">
            <v>169.3</v>
          </cell>
          <cell r="AF654" t="str">
            <v>표준</v>
          </cell>
          <cell r="AG654">
            <v>7</v>
          </cell>
          <cell r="AH654">
            <v>1</v>
          </cell>
          <cell r="AL654">
            <v>3190</v>
          </cell>
          <cell r="AM654">
            <v>3084</v>
          </cell>
          <cell r="AN654">
            <v>3127</v>
          </cell>
          <cell r="AO654">
            <v>3293</v>
          </cell>
          <cell r="AP654">
            <v>3062</v>
          </cell>
          <cell r="AQ654">
            <v>3021</v>
          </cell>
          <cell r="AR654">
            <v>3277</v>
          </cell>
          <cell r="AS654">
            <v>3158</v>
          </cell>
          <cell r="AT654">
            <v>255200</v>
          </cell>
        </row>
        <row r="655">
          <cell r="G655">
            <v>2407010208</v>
          </cell>
          <cell r="H655" t="str">
            <v>115동</v>
          </cell>
          <cell r="I655">
            <v>240701</v>
          </cell>
          <cell r="J655" t="str">
            <v>H구간 기초</v>
          </cell>
          <cell r="K655">
            <v>990</v>
          </cell>
          <cell r="L655">
            <v>990</v>
          </cell>
          <cell r="M655">
            <v>2415</v>
          </cell>
          <cell r="N655" t="str">
            <v>영진</v>
          </cell>
          <cell r="O655" t="str">
            <v>펌프카(1대)</v>
          </cell>
          <cell r="P655">
            <v>806</v>
          </cell>
          <cell r="Q655">
            <v>1700</v>
          </cell>
          <cell r="R655">
            <v>175</v>
          </cell>
          <cell r="S655">
            <v>47</v>
          </cell>
          <cell r="T655">
            <v>46</v>
          </cell>
          <cell r="U655">
            <v>263</v>
          </cell>
          <cell r="V655"/>
          <cell r="W655" t="str">
            <v>박순홍</v>
          </cell>
          <cell r="X655" t="str">
            <v>(인)</v>
          </cell>
          <cell r="Y655" t="str">
            <v>김광록</v>
          </cell>
          <cell r="Z655" t="str">
            <v>(인)</v>
          </cell>
          <cell r="AA655" t="str">
            <v>임영구</v>
          </cell>
          <cell r="AB655" t="str">
            <v>(인)</v>
          </cell>
          <cell r="AC655" t="str">
            <v>임영구</v>
          </cell>
          <cell r="AD655" t="str">
            <v>(인)</v>
          </cell>
          <cell r="AE655">
            <v>177.5</v>
          </cell>
          <cell r="AF655" t="str">
            <v>표준</v>
          </cell>
          <cell r="AG655">
            <v>8</v>
          </cell>
          <cell r="AH655">
            <v>0</v>
          </cell>
        </row>
        <row r="656">
          <cell r="G656">
            <v>2407010209</v>
          </cell>
          <cell r="H656" t="str">
            <v>115동</v>
          </cell>
          <cell r="I656">
            <v>240701</v>
          </cell>
          <cell r="J656" t="str">
            <v>H구간 기초</v>
          </cell>
          <cell r="K656">
            <v>990</v>
          </cell>
          <cell r="L656">
            <v>990</v>
          </cell>
          <cell r="M656">
            <v>2415</v>
          </cell>
          <cell r="N656" t="str">
            <v>영진</v>
          </cell>
          <cell r="O656" t="str">
            <v>펌프카(1대)</v>
          </cell>
          <cell r="P656">
            <v>806</v>
          </cell>
          <cell r="Q656">
            <v>1700</v>
          </cell>
          <cell r="R656">
            <v>165</v>
          </cell>
          <cell r="S656">
            <v>50</v>
          </cell>
          <cell r="T656">
            <v>27</v>
          </cell>
          <cell r="U656">
            <v>268</v>
          </cell>
          <cell r="V656"/>
          <cell r="W656" t="str">
            <v>박순홍</v>
          </cell>
          <cell r="X656" t="str">
            <v>(인)</v>
          </cell>
          <cell r="Y656" t="str">
            <v>김광록</v>
          </cell>
          <cell r="Z656" t="str">
            <v>(인)</v>
          </cell>
          <cell r="AA656" t="str">
            <v>임영구</v>
          </cell>
          <cell r="AB656" t="str">
            <v>(인)</v>
          </cell>
          <cell r="AC656" t="str">
            <v>임영구</v>
          </cell>
          <cell r="AD656" t="str">
            <v>(인)</v>
          </cell>
          <cell r="AE656">
            <v>180.1</v>
          </cell>
          <cell r="AF656" t="str">
            <v>표준</v>
          </cell>
          <cell r="AG656">
            <v>9</v>
          </cell>
          <cell r="AH656">
            <v>0</v>
          </cell>
        </row>
        <row r="657">
          <cell r="G657">
            <v>2407010301</v>
          </cell>
          <cell r="H657" t="str">
            <v>115동</v>
          </cell>
          <cell r="I657">
            <v>240701</v>
          </cell>
          <cell r="J657" t="str">
            <v>H구간 기초</v>
          </cell>
          <cell r="K657">
            <v>270</v>
          </cell>
          <cell r="L657">
            <v>270</v>
          </cell>
          <cell r="M657">
            <v>2415</v>
          </cell>
          <cell r="N657" t="str">
            <v>신우</v>
          </cell>
          <cell r="O657" t="str">
            <v>펌프카(1대)</v>
          </cell>
          <cell r="P657">
            <v>1310</v>
          </cell>
          <cell r="Q657">
            <v>1608</v>
          </cell>
          <cell r="R657">
            <v>150</v>
          </cell>
          <cell r="S657">
            <v>44</v>
          </cell>
          <cell r="T657">
            <v>62</v>
          </cell>
          <cell r="U657">
            <v>266</v>
          </cell>
          <cell r="V657"/>
          <cell r="W657" t="str">
            <v>박순홍</v>
          </cell>
          <cell r="X657" t="str">
            <v>(인)</v>
          </cell>
          <cell r="Y657" t="str">
            <v>김광록</v>
          </cell>
          <cell r="Z657" t="str">
            <v>(인)</v>
          </cell>
          <cell r="AA657" t="str">
            <v>임영구</v>
          </cell>
          <cell r="AB657" t="str">
            <v>(인)</v>
          </cell>
          <cell r="AC657" t="str">
            <v>임영구</v>
          </cell>
          <cell r="AD657" t="str">
            <v>(인)</v>
          </cell>
          <cell r="AE657">
            <v>183.4</v>
          </cell>
          <cell r="AF657" t="str">
            <v>표준</v>
          </cell>
          <cell r="AG657">
            <v>1</v>
          </cell>
          <cell r="AH657">
            <v>1</v>
          </cell>
          <cell r="AI657">
            <v>2102</v>
          </cell>
          <cell r="AJ657">
            <v>2132</v>
          </cell>
          <cell r="AK657">
            <v>170400</v>
          </cell>
          <cell r="AL657">
            <v>3181</v>
          </cell>
          <cell r="AM657">
            <v>3198</v>
          </cell>
          <cell r="AN657">
            <v>3224</v>
          </cell>
          <cell r="AO657">
            <v>3175</v>
          </cell>
          <cell r="AP657">
            <v>3086</v>
          </cell>
          <cell r="AQ657">
            <v>3019</v>
          </cell>
          <cell r="AR657">
            <v>3142</v>
          </cell>
          <cell r="AS657">
            <v>3218</v>
          </cell>
          <cell r="AT657">
            <v>247000</v>
          </cell>
        </row>
        <row r="658">
          <cell r="G658">
            <v>2407010302</v>
          </cell>
          <cell r="H658" t="str">
            <v>115동</v>
          </cell>
          <cell r="I658">
            <v>240701</v>
          </cell>
          <cell r="J658" t="str">
            <v>H구간 기초</v>
          </cell>
          <cell r="K658">
            <v>270</v>
          </cell>
          <cell r="L658">
            <v>270</v>
          </cell>
          <cell r="M658">
            <v>2415</v>
          </cell>
          <cell r="N658" t="str">
            <v>신우</v>
          </cell>
          <cell r="O658" t="str">
            <v>펌프카(1대)</v>
          </cell>
          <cell r="P658">
            <v>1310</v>
          </cell>
          <cell r="Q658">
            <v>1608</v>
          </cell>
          <cell r="R658">
            <v>150</v>
          </cell>
          <cell r="S658">
            <v>48</v>
          </cell>
          <cell r="T658">
            <v>71</v>
          </cell>
          <cell r="U658">
            <v>220</v>
          </cell>
          <cell r="V658"/>
          <cell r="W658" t="str">
            <v>박순홍</v>
          </cell>
          <cell r="X658" t="str">
            <v>(인)</v>
          </cell>
          <cell r="Y658" t="str">
            <v>김광록</v>
          </cell>
          <cell r="Z658" t="str">
            <v>(인)</v>
          </cell>
          <cell r="AA658" t="str">
            <v>임영구</v>
          </cell>
          <cell r="AB658" t="str">
            <v>(인)</v>
          </cell>
          <cell r="AC658" t="str">
            <v>임영구</v>
          </cell>
          <cell r="AD658" t="str">
            <v>(인)</v>
          </cell>
          <cell r="AE658">
            <v>183.2</v>
          </cell>
          <cell r="AF658" t="str">
            <v>표준</v>
          </cell>
          <cell r="AG658">
            <v>2</v>
          </cell>
          <cell r="AH658">
            <v>0</v>
          </cell>
        </row>
        <row r="659">
          <cell r="G659">
            <v>2407010303</v>
          </cell>
          <cell r="H659" t="str">
            <v>115동</v>
          </cell>
          <cell r="I659">
            <v>240701</v>
          </cell>
          <cell r="J659" t="str">
            <v>H구간 기초</v>
          </cell>
          <cell r="K659">
            <v>270</v>
          </cell>
          <cell r="L659">
            <v>270</v>
          </cell>
          <cell r="M659">
            <v>2415</v>
          </cell>
          <cell r="N659" t="str">
            <v>신우</v>
          </cell>
          <cell r="O659" t="str">
            <v>펌프카(1대)</v>
          </cell>
          <cell r="P659">
            <v>1310</v>
          </cell>
          <cell r="Q659">
            <v>1608</v>
          </cell>
          <cell r="R659">
            <v>170</v>
          </cell>
          <cell r="S659">
            <v>50</v>
          </cell>
          <cell r="T659">
            <v>81</v>
          </cell>
          <cell r="U659">
            <v>231</v>
          </cell>
          <cell r="V659"/>
          <cell r="W659" t="str">
            <v>박순홍</v>
          </cell>
          <cell r="X659" t="str">
            <v>(인)</v>
          </cell>
          <cell r="Y659" t="str">
            <v>김광록</v>
          </cell>
          <cell r="Z659" t="str">
            <v>(인)</v>
          </cell>
          <cell r="AA659" t="str">
            <v>임영구</v>
          </cell>
          <cell r="AB659" t="str">
            <v>(인)</v>
          </cell>
          <cell r="AC659" t="str">
            <v>임영구</v>
          </cell>
          <cell r="AD659" t="str">
            <v>(인)</v>
          </cell>
          <cell r="AE659">
            <v>178</v>
          </cell>
          <cell r="AF659" t="str">
            <v>표준</v>
          </cell>
          <cell r="AG659">
            <v>3</v>
          </cell>
          <cell r="AH659">
            <v>0</v>
          </cell>
        </row>
        <row r="660">
          <cell r="G660">
            <v>2407030101</v>
          </cell>
          <cell r="H660" t="str">
            <v>120동</v>
          </cell>
          <cell r="I660">
            <v>240703</v>
          </cell>
          <cell r="J660" t="str">
            <v>120동 기초</v>
          </cell>
          <cell r="K660">
            <v>840</v>
          </cell>
          <cell r="L660">
            <v>840</v>
          </cell>
          <cell r="M660">
            <v>2415</v>
          </cell>
          <cell r="N660" t="str">
            <v>대원</v>
          </cell>
          <cell r="O660" t="str">
            <v>펌프카(1대)</v>
          </cell>
          <cell r="P660">
            <v>733</v>
          </cell>
          <cell r="Q660">
            <v>1551</v>
          </cell>
          <cell r="R660">
            <v>160</v>
          </cell>
          <cell r="S660">
            <v>51</v>
          </cell>
          <cell r="T660">
            <v>129</v>
          </cell>
          <cell r="U660">
            <v>265</v>
          </cell>
          <cell r="V660"/>
          <cell r="W660" t="str">
            <v>박순홍</v>
          </cell>
          <cell r="X660" t="str">
            <v>(인)</v>
          </cell>
          <cell r="Y660" t="str">
            <v>김광록</v>
          </cell>
          <cell r="Z660" t="str">
            <v>(인)</v>
          </cell>
          <cell r="AA660" t="str">
            <v>박정환</v>
          </cell>
          <cell r="AB660" t="str">
            <v>(인)</v>
          </cell>
          <cell r="AC660" t="str">
            <v>박정환</v>
          </cell>
          <cell r="AD660" t="str">
            <v>(인)</v>
          </cell>
          <cell r="AE660">
            <v>178.6</v>
          </cell>
          <cell r="AF660" t="str">
            <v>표준</v>
          </cell>
          <cell r="AG660">
            <v>1</v>
          </cell>
          <cell r="AH660">
            <v>1</v>
          </cell>
          <cell r="AI660">
            <v>2333</v>
          </cell>
          <cell r="AJ660">
            <v>2316</v>
          </cell>
          <cell r="AK660">
            <v>182000</v>
          </cell>
          <cell r="AL660">
            <v>3238</v>
          </cell>
          <cell r="AM660">
            <v>3371</v>
          </cell>
          <cell r="AN660">
            <v>3368</v>
          </cell>
          <cell r="AO660">
            <v>3221</v>
          </cell>
          <cell r="AP660">
            <v>3361</v>
          </cell>
          <cell r="AQ660">
            <v>3218</v>
          </cell>
          <cell r="AR660">
            <v>3465</v>
          </cell>
          <cell r="AS660">
            <v>3328</v>
          </cell>
          <cell r="AT660">
            <v>267600</v>
          </cell>
        </row>
        <row r="661">
          <cell r="G661">
            <v>2407030102</v>
          </cell>
          <cell r="H661" t="str">
            <v>120동</v>
          </cell>
          <cell r="I661">
            <v>240703</v>
          </cell>
          <cell r="J661" t="str">
            <v>120동 기초</v>
          </cell>
          <cell r="K661">
            <v>840</v>
          </cell>
          <cell r="L661">
            <v>840</v>
          </cell>
          <cell r="M661">
            <v>2415</v>
          </cell>
          <cell r="N661" t="str">
            <v>대원</v>
          </cell>
          <cell r="O661" t="str">
            <v>펌프카(1대)</v>
          </cell>
          <cell r="P661">
            <v>733</v>
          </cell>
          <cell r="Q661">
            <v>1551</v>
          </cell>
          <cell r="R661">
            <v>165</v>
          </cell>
          <cell r="S661">
            <v>46</v>
          </cell>
          <cell r="T661">
            <v>10</v>
          </cell>
          <cell r="U661">
            <v>232</v>
          </cell>
          <cell r="V661"/>
          <cell r="W661" t="str">
            <v>박순홍</v>
          </cell>
          <cell r="X661" t="str">
            <v>(인)</v>
          </cell>
          <cell r="Y661" t="str">
            <v>김광록</v>
          </cell>
          <cell r="Z661" t="str">
            <v>(인)</v>
          </cell>
          <cell r="AA661" t="str">
            <v>박정환</v>
          </cell>
          <cell r="AB661" t="str">
            <v>(인)</v>
          </cell>
          <cell r="AC661" t="str">
            <v>박정환</v>
          </cell>
          <cell r="AD661" t="str">
            <v>(인)</v>
          </cell>
          <cell r="AE661">
            <v>173.9</v>
          </cell>
          <cell r="AF661" t="str">
            <v>표준</v>
          </cell>
          <cell r="AG661">
            <v>2</v>
          </cell>
          <cell r="AH661">
            <v>0</v>
          </cell>
        </row>
        <row r="662">
          <cell r="G662">
            <v>2407030103</v>
          </cell>
          <cell r="H662" t="str">
            <v>120동</v>
          </cell>
          <cell r="I662">
            <v>240703</v>
          </cell>
          <cell r="J662" t="str">
            <v>120동 기초</v>
          </cell>
          <cell r="K662">
            <v>840</v>
          </cell>
          <cell r="L662">
            <v>840</v>
          </cell>
          <cell r="M662">
            <v>2415</v>
          </cell>
          <cell r="N662" t="str">
            <v>대원</v>
          </cell>
          <cell r="O662" t="str">
            <v>펌프카(1대)</v>
          </cell>
          <cell r="P662">
            <v>733</v>
          </cell>
          <cell r="Q662">
            <v>1551</v>
          </cell>
          <cell r="R662">
            <v>150</v>
          </cell>
          <cell r="S662">
            <v>43</v>
          </cell>
          <cell r="T662">
            <v>109</v>
          </cell>
          <cell r="U662">
            <v>246</v>
          </cell>
          <cell r="V662"/>
          <cell r="W662" t="str">
            <v>박순홍</v>
          </cell>
          <cell r="X662" t="str">
            <v>(인)</v>
          </cell>
          <cell r="Y662" t="str">
            <v>김광록</v>
          </cell>
          <cell r="Z662" t="str">
            <v>(인)</v>
          </cell>
          <cell r="AA662" t="str">
            <v>박정환</v>
          </cell>
          <cell r="AB662" t="str">
            <v>(인)</v>
          </cell>
          <cell r="AC662" t="str">
            <v>박정환</v>
          </cell>
          <cell r="AD662" t="str">
            <v>(인)</v>
          </cell>
          <cell r="AE662">
            <v>176.4</v>
          </cell>
          <cell r="AF662" t="str">
            <v>표준</v>
          </cell>
          <cell r="AG662">
            <v>3</v>
          </cell>
          <cell r="AH662">
            <v>0</v>
          </cell>
        </row>
        <row r="663">
          <cell r="G663">
            <v>2407030104</v>
          </cell>
          <cell r="H663" t="str">
            <v>120동</v>
          </cell>
          <cell r="I663">
            <v>240703</v>
          </cell>
          <cell r="J663" t="str">
            <v>120동 기초</v>
          </cell>
          <cell r="K663">
            <v>840</v>
          </cell>
          <cell r="L663">
            <v>840</v>
          </cell>
          <cell r="M663">
            <v>2415</v>
          </cell>
          <cell r="N663" t="str">
            <v>대원</v>
          </cell>
          <cell r="O663" t="str">
            <v>펌프카(1대)</v>
          </cell>
          <cell r="P663">
            <v>733</v>
          </cell>
          <cell r="Q663">
            <v>1551</v>
          </cell>
          <cell r="R663">
            <v>170</v>
          </cell>
          <cell r="S663">
            <v>54</v>
          </cell>
          <cell r="T663">
            <v>42</v>
          </cell>
          <cell r="U663">
            <v>210</v>
          </cell>
          <cell r="V663"/>
          <cell r="W663" t="str">
            <v>박순홍</v>
          </cell>
          <cell r="X663" t="str">
            <v>(인)</v>
          </cell>
          <cell r="Y663" t="str">
            <v>김광록</v>
          </cell>
          <cell r="Z663" t="str">
            <v>(인)</v>
          </cell>
          <cell r="AA663" t="str">
            <v>박정환</v>
          </cell>
          <cell r="AB663" t="str">
            <v>(인)</v>
          </cell>
          <cell r="AC663" t="str">
            <v>박정환</v>
          </cell>
          <cell r="AD663" t="str">
            <v>(인)</v>
          </cell>
          <cell r="AE663">
            <v>172.6</v>
          </cell>
          <cell r="AF663" t="str">
            <v>표준</v>
          </cell>
          <cell r="AG663">
            <v>4</v>
          </cell>
          <cell r="AH663">
            <v>1</v>
          </cell>
          <cell r="AL663">
            <v>3270</v>
          </cell>
          <cell r="AM663">
            <v>3266</v>
          </cell>
          <cell r="AN663">
            <v>3185</v>
          </cell>
          <cell r="AO663">
            <v>3277</v>
          </cell>
          <cell r="AP663">
            <v>3302</v>
          </cell>
          <cell r="AQ663">
            <v>3137</v>
          </cell>
          <cell r="AR663">
            <v>3273</v>
          </cell>
          <cell r="AS663">
            <v>3261</v>
          </cell>
          <cell r="AT663">
            <v>260800</v>
          </cell>
        </row>
        <row r="664">
          <cell r="G664">
            <v>2407030105</v>
          </cell>
          <cell r="H664" t="str">
            <v>120동</v>
          </cell>
          <cell r="I664">
            <v>240703</v>
          </cell>
          <cell r="J664" t="str">
            <v>120동 기초</v>
          </cell>
          <cell r="K664">
            <v>840</v>
          </cell>
          <cell r="L664">
            <v>840</v>
          </cell>
          <cell r="M664">
            <v>2415</v>
          </cell>
          <cell r="N664" t="str">
            <v>대원</v>
          </cell>
          <cell r="O664" t="str">
            <v>펌프카(1대)</v>
          </cell>
          <cell r="P664">
            <v>733</v>
          </cell>
          <cell r="Q664">
            <v>1551</v>
          </cell>
          <cell r="R664">
            <v>170</v>
          </cell>
          <cell r="S664">
            <v>56</v>
          </cell>
          <cell r="T664">
            <v>39</v>
          </cell>
          <cell r="U664">
            <v>222</v>
          </cell>
          <cell r="V664"/>
          <cell r="W664" t="str">
            <v>박순홍</v>
          </cell>
          <cell r="X664" t="str">
            <v>(인)</v>
          </cell>
          <cell r="Y664" t="str">
            <v>김광록</v>
          </cell>
          <cell r="Z664" t="str">
            <v>(인)</v>
          </cell>
          <cell r="AA664" t="str">
            <v>박정환</v>
          </cell>
          <cell r="AB664" t="str">
            <v>(인)</v>
          </cell>
          <cell r="AC664" t="str">
            <v>박정환</v>
          </cell>
          <cell r="AD664" t="str">
            <v>(인)</v>
          </cell>
          <cell r="AE664">
            <v>178</v>
          </cell>
          <cell r="AF664" t="str">
            <v>표준</v>
          </cell>
          <cell r="AG664">
            <v>5</v>
          </cell>
          <cell r="AH664">
            <v>0</v>
          </cell>
        </row>
        <row r="665">
          <cell r="G665">
            <v>2407030106</v>
          </cell>
          <cell r="H665" t="str">
            <v>120동</v>
          </cell>
          <cell r="I665">
            <v>240703</v>
          </cell>
          <cell r="J665" t="str">
            <v>120동 기초</v>
          </cell>
          <cell r="K665">
            <v>840</v>
          </cell>
          <cell r="L665">
            <v>840</v>
          </cell>
          <cell r="M665">
            <v>2415</v>
          </cell>
          <cell r="N665" t="str">
            <v>대원</v>
          </cell>
          <cell r="O665" t="str">
            <v>펌프카(1대)</v>
          </cell>
          <cell r="P665">
            <v>733</v>
          </cell>
          <cell r="Q665">
            <v>1551</v>
          </cell>
          <cell r="R665">
            <v>170</v>
          </cell>
          <cell r="S665">
            <v>42</v>
          </cell>
          <cell r="T665">
            <v>99</v>
          </cell>
          <cell r="U665">
            <v>231</v>
          </cell>
          <cell r="V665"/>
          <cell r="W665" t="str">
            <v>박순홍</v>
          </cell>
          <cell r="X665" t="str">
            <v>(인)</v>
          </cell>
          <cell r="Y665" t="str">
            <v>김광록</v>
          </cell>
          <cell r="Z665" t="str">
            <v>(인)</v>
          </cell>
          <cell r="AA665" t="str">
            <v>박정환</v>
          </cell>
          <cell r="AB665" t="str">
            <v>(인)</v>
          </cell>
          <cell r="AC665" t="str">
            <v>박정환</v>
          </cell>
          <cell r="AD665" t="str">
            <v>(인)</v>
          </cell>
          <cell r="AE665">
            <v>177.4</v>
          </cell>
          <cell r="AF665" t="str">
            <v>표준</v>
          </cell>
          <cell r="AG665">
            <v>6</v>
          </cell>
          <cell r="AH665">
            <v>0</v>
          </cell>
        </row>
        <row r="666">
          <cell r="G666">
            <v>2407030107</v>
          </cell>
          <cell r="H666" t="str">
            <v>120동</v>
          </cell>
          <cell r="I666">
            <v>240703</v>
          </cell>
          <cell r="J666" t="str">
            <v>120동 기초</v>
          </cell>
          <cell r="K666">
            <v>840</v>
          </cell>
          <cell r="L666">
            <v>840</v>
          </cell>
          <cell r="M666">
            <v>2415</v>
          </cell>
          <cell r="N666" t="str">
            <v>대원</v>
          </cell>
          <cell r="O666" t="str">
            <v>펌프카(1대)</v>
          </cell>
          <cell r="P666">
            <v>733</v>
          </cell>
          <cell r="Q666">
            <v>1551</v>
          </cell>
          <cell r="R666">
            <v>155</v>
          </cell>
          <cell r="S666">
            <v>50</v>
          </cell>
          <cell r="T666">
            <v>14</v>
          </cell>
          <cell r="U666">
            <v>249</v>
          </cell>
          <cell r="V666"/>
          <cell r="W666" t="str">
            <v>박순홍</v>
          </cell>
          <cell r="X666" t="str">
            <v>(인)</v>
          </cell>
          <cell r="Y666" t="str">
            <v>김광록</v>
          </cell>
          <cell r="Z666" t="str">
            <v>(인)</v>
          </cell>
          <cell r="AA666" t="str">
            <v>박정환</v>
          </cell>
          <cell r="AB666" t="str">
            <v>(인)</v>
          </cell>
          <cell r="AC666" t="str">
            <v>박정환</v>
          </cell>
          <cell r="AD666" t="str">
            <v>(인)</v>
          </cell>
          <cell r="AE666">
            <v>171.8</v>
          </cell>
          <cell r="AF666" t="str">
            <v>표준</v>
          </cell>
          <cell r="AG666">
            <v>7</v>
          </cell>
          <cell r="AH666">
            <v>1</v>
          </cell>
          <cell r="AL666">
            <v>3126</v>
          </cell>
          <cell r="AM666">
            <v>3318</v>
          </cell>
          <cell r="AN666">
            <v>3258</v>
          </cell>
          <cell r="AO666">
            <v>3309</v>
          </cell>
          <cell r="AP666">
            <v>3266</v>
          </cell>
          <cell r="AQ666">
            <v>3178</v>
          </cell>
          <cell r="AR666">
            <v>3189</v>
          </cell>
          <cell r="AS666">
            <v>3265</v>
          </cell>
          <cell r="AT666">
            <v>247000</v>
          </cell>
        </row>
        <row r="667">
          <cell r="G667">
            <v>2407030201</v>
          </cell>
          <cell r="H667" t="str">
            <v>120동</v>
          </cell>
          <cell r="I667">
            <v>240703</v>
          </cell>
          <cell r="J667" t="str">
            <v>120동 기초</v>
          </cell>
          <cell r="K667">
            <v>830</v>
          </cell>
          <cell r="L667">
            <v>834</v>
          </cell>
          <cell r="M667">
            <v>2415</v>
          </cell>
          <cell r="N667" t="str">
            <v>용호</v>
          </cell>
          <cell r="O667" t="str">
            <v>펌프카(1대)</v>
          </cell>
          <cell r="P667">
            <v>740</v>
          </cell>
          <cell r="Q667">
            <v>1644</v>
          </cell>
          <cell r="R667">
            <v>160</v>
          </cell>
          <cell r="S667">
            <v>40</v>
          </cell>
          <cell r="T667">
            <v>44</v>
          </cell>
          <cell r="U667">
            <v>238</v>
          </cell>
          <cell r="V667"/>
          <cell r="W667" t="str">
            <v>박순홍</v>
          </cell>
          <cell r="X667" t="str">
            <v>(인)</v>
          </cell>
          <cell r="Y667" t="str">
            <v>김광록</v>
          </cell>
          <cell r="Z667" t="str">
            <v>(인)</v>
          </cell>
          <cell r="AA667" t="str">
            <v>박정환</v>
          </cell>
          <cell r="AB667" t="str">
            <v>(인)</v>
          </cell>
          <cell r="AC667" t="str">
            <v>박정환</v>
          </cell>
          <cell r="AD667" t="str">
            <v>(인)</v>
          </cell>
          <cell r="AE667">
            <v>172.7</v>
          </cell>
          <cell r="AF667" t="str">
            <v>표준</v>
          </cell>
          <cell r="AG667">
            <v>1</v>
          </cell>
          <cell r="AH667">
            <v>1</v>
          </cell>
          <cell r="AI667">
            <v>2330</v>
          </cell>
          <cell r="AJ667">
            <v>2312</v>
          </cell>
          <cell r="AK667">
            <v>183800</v>
          </cell>
          <cell r="AL667">
            <v>3183</v>
          </cell>
          <cell r="AM667">
            <v>3255</v>
          </cell>
          <cell r="AN667">
            <v>3307</v>
          </cell>
          <cell r="AO667">
            <v>3199</v>
          </cell>
          <cell r="AP667">
            <v>3249</v>
          </cell>
          <cell r="AQ667">
            <v>3272</v>
          </cell>
          <cell r="AR667">
            <v>3159</v>
          </cell>
          <cell r="AS667">
            <v>3268</v>
          </cell>
          <cell r="AT667">
            <v>262000</v>
          </cell>
        </row>
        <row r="668">
          <cell r="G668">
            <v>2407030202</v>
          </cell>
          <cell r="H668" t="str">
            <v>120동</v>
          </cell>
          <cell r="I668">
            <v>240703</v>
          </cell>
          <cell r="J668" t="str">
            <v>120동 기초</v>
          </cell>
          <cell r="K668">
            <v>830</v>
          </cell>
          <cell r="L668">
            <v>834</v>
          </cell>
          <cell r="M668">
            <v>2415</v>
          </cell>
          <cell r="N668" t="str">
            <v>용호</v>
          </cell>
          <cell r="O668" t="str">
            <v>펌프카(1대)</v>
          </cell>
          <cell r="P668">
            <v>740</v>
          </cell>
          <cell r="Q668">
            <v>1644</v>
          </cell>
          <cell r="R668">
            <v>170</v>
          </cell>
          <cell r="S668">
            <v>46</v>
          </cell>
          <cell r="T668">
            <v>19</v>
          </cell>
          <cell r="U668">
            <v>241</v>
          </cell>
          <cell r="V668"/>
          <cell r="W668" t="str">
            <v>박순홍</v>
          </cell>
          <cell r="X668" t="str">
            <v>(인)</v>
          </cell>
          <cell r="Y668" t="str">
            <v>김광록</v>
          </cell>
          <cell r="Z668" t="str">
            <v>(인)</v>
          </cell>
          <cell r="AA668" t="str">
            <v>박정환</v>
          </cell>
          <cell r="AB668" t="str">
            <v>(인)</v>
          </cell>
          <cell r="AC668" t="str">
            <v>박정환</v>
          </cell>
          <cell r="AD668" t="str">
            <v>(인)</v>
          </cell>
          <cell r="AE668">
            <v>180.3</v>
          </cell>
          <cell r="AF668" t="str">
            <v>표준</v>
          </cell>
          <cell r="AG668">
            <v>2</v>
          </cell>
          <cell r="AH668">
            <v>0</v>
          </cell>
        </row>
        <row r="669">
          <cell r="G669">
            <v>2407030203</v>
          </cell>
          <cell r="H669" t="str">
            <v>120동</v>
          </cell>
          <cell r="I669">
            <v>240703</v>
          </cell>
          <cell r="J669" t="str">
            <v>120동 기초</v>
          </cell>
          <cell r="K669">
            <v>830</v>
          </cell>
          <cell r="L669">
            <v>834</v>
          </cell>
          <cell r="M669">
            <v>2415</v>
          </cell>
          <cell r="N669" t="str">
            <v>용호</v>
          </cell>
          <cell r="O669" t="str">
            <v>펌프카(1대)</v>
          </cell>
          <cell r="P669">
            <v>740</v>
          </cell>
          <cell r="Q669">
            <v>1644</v>
          </cell>
          <cell r="R669">
            <v>170</v>
          </cell>
          <cell r="S669">
            <v>52</v>
          </cell>
          <cell r="T669">
            <v>26</v>
          </cell>
          <cell r="U669">
            <v>249</v>
          </cell>
          <cell r="V669"/>
          <cell r="W669" t="str">
            <v>박순홍</v>
          </cell>
          <cell r="X669" t="str">
            <v>(인)</v>
          </cell>
          <cell r="Y669" t="str">
            <v>김광록</v>
          </cell>
          <cell r="Z669" t="str">
            <v>(인)</v>
          </cell>
          <cell r="AA669" t="str">
            <v>박정환</v>
          </cell>
          <cell r="AB669" t="str">
            <v>(인)</v>
          </cell>
          <cell r="AC669" t="str">
            <v>박정환</v>
          </cell>
          <cell r="AD669" t="str">
            <v>(인)</v>
          </cell>
          <cell r="AE669">
            <v>182.3</v>
          </cell>
          <cell r="AF669" t="str">
            <v>표준</v>
          </cell>
          <cell r="AG669">
            <v>3</v>
          </cell>
          <cell r="AH669">
            <v>0</v>
          </cell>
        </row>
        <row r="670">
          <cell r="G670">
            <v>2407030204</v>
          </cell>
          <cell r="H670" t="str">
            <v>120동</v>
          </cell>
          <cell r="I670">
            <v>240703</v>
          </cell>
          <cell r="J670" t="str">
            <v>120동 기초</v>
          </cell>
          <cell r="K670">
            <v>830</v>
          </cell>
          <cell r="L670">
            <v>834</v>
          </cell>
          <cell r="M670">
            <v>2415</v>
          </cell>
          <cell r="N670" t="str">
            <v>용호</v>
          </cell>
          <cell r="O670" t="str">
            <v>펌프카(1대)</v>
          </cell>
          <cell r="P670">
            <v>740</v>
          </cell>
          <cell r="Q670">
            <v>1644</v>
          </cell>
          <cell r="R670">
            <v>160</v>
          </cell>
          <cell r="S670">
            <v>45</v>
          </cell>
          <cell r="T670">
            <v>34</v>
          </cell>
          <cell r="U670">
            <v>227</v>
          </cell>
          <cell r="V670"/>
          <cell r="W670" t="str">
            <v>박순홍</v>
          </cell>
          <cell r="X670" t="str">
            <v>(인)</v>
          </cell>
          <cell r="Y670" t="str">
            <v>김광록</v>
          </cell>
          <cell r="Z670" t="str">
            <v>(인)</v>
          </cell>
          <cell r="AA670" t="str">
            <v>박정환</v>
          </cell>
          <cell r="AB670" t="str">
            <v>(인)</v>
          </cell>
          <cell r="AC670" t="str">
            <v>박정환</v>
          </cell>
          <cell r="AD670" t="str">
            <v>(인)</v>
          </cell>
          <cell r="AE670">
            <v>181.3</v>
          </cell>
          <cell r="AF670" t="str">
            <v>표준</v>
          </cell>
          <cell r="AG670">
            <v>4</v>
          </cell>
          <cell r="AH670">
            <v>1</v>
          </cell>
          <cell r="AL670">
            <v>3218</v>
          </cell>
          <cell r="AM670">
            <v>3174</v>
          </cell>
          <cell r="AN670">
            <v>3351</v>
          </cell>
          <cell r="AO670">
            <v>3286</v>
          </cell>
          <cell r="AP670">
            <v>3172</v>
          </cell>
          <cell r="AQ670">
            <v>3295</v>
          </cell>
          <cell r="AR670">
            <v>3238</v>
          </cell>
          <cell r="AS670">
            <v>3315</v>
          </cell>
          <cell r="AT670">
            <v>255200</v>
          </cell>
        </row>
        <row r="671">
          <cell r="G671">
            <v>2407030205</v>
          </cell>
          <cell r="H671" t="str">
            <v>120동</v>
          </cell>
          <cell r="I671">
            <v>240703</v>
          </cell>
          <cell r="J671" t="str">
            <v>120동 기초</v>
          </cell>
          <cell r="K671">
            <v>830</v>
          </cell>
          <cell r="L671">
            <v>834</v>
          </cell>
          <cell r="M671">
            <v>2415</v>
          </cell>
          <cell r="N671" t="str">
            <v>용호</v>
          </cell>
          <cell r="O671" t="str">
            <v>펌프카(1대)</v>
          </cell>
          <cell r="P671">
            <v>740</v>
          </cell>
          <cell r="Q671">
            <v>1644</v>
          </cell>
          <cell r="R671">
            <v>165</v>
          </cell>
          <cell r="S671">
            <v>49</v>
          </cell>
          <cell r="T671">
            <v>99</v>
          </cell>
          <cell r="U671">
            <v>232</v>
          </cell>
          <cell r="V671"/>
          <cell r="W671" t="str">
            <v>박순홍</v>
          </cell>
          <cell r="X671" t="str">
            <v>(인)</v>
          </cell>
          <cell r="Y671" t="str">
            <v>김광록</v>
          </cell>
          <cell r="Z671" t="str">
            <v>(인)</v>
          </cell>
          <cell r="AA671" t="str">
            <v>박정환</v>
          </cell>
          <cell r="AB671" t="str">
            <v>(인)</v>
          </cell>
          <cell r="AC671" t="str">
            <v>박정환</v>
          </cell>
          <cell r="AD671" t="str">
            <v>(인)</v>
          </cell>
          <cell r="AE671">
            <v>178.7</v>
          </cell>
          <cell r="AF671" t="str">
            <v>표준</v>
          </cell>
          <cell r="AG671">
            <v>5</v>
          </cell>
          <cell r="AH671">
            <v>0</v>
          </cell>
        </row>
        <row r="672">
          <cell r="G672">
            <v>2407030206</v>
          </cell>
          <cell r="H672" t="str">
            <v>120동</v>
          </cell>
          <cell r="I672">
            <v>240703</v>
          </cell>
          <cell r="J672" t="str">
            <v>120동 기초</v>
          </cell>
          <cell r="K672">
            <v>830</v>
          </cell>
          <cell r="L672">
            <v>834</v>
          </cell>
          <cell r="M672">
            <v>2415</v>
          </cell>
          <cell r="N672" t="str">
            <v>용호</v>
          </cell>
          <cell r="O672" t="str">
            <v>펌프카(1대)</v>
          </cell>
          <cell r="P672">
            <v>740</v>
          </cell>
          <cell r="Q672">
            <v>1644</v>
          </cell>
          <cell r="R672">
            <v>170</v>
          </cell>
          <cell r="S672">
            <v>52</v>
          </cell>
          <cell r="T672">
            <v>122</v>
          </cell>
          <cell r="U672">
            <v>237</v>
          </cell>
          <cell r="V672"/>
          <cell r="W672" t="str">
            <v>박순홍</v>
          </cell>
          <cell r="X672" t="str">
            <v>(인)</v>
          </cell>
          <cell r="Y672" t="str">
            <v>김광록</v>
          </cell>
          <cell r="Z672" t="str">
            <v>(인)</v>
          </cell>
          <cell r="AA672" t="str">
            <v>박정환</v>
          </cell>
          <cell r="AB672" t="str">
            <v>(인)</v>
          </cell>
          <cell r="AC672" t="str">
            <v>박정환</v>
          </cell>
          <cell r="AD672" t="str">
            <v>(인)</v>
          </cell>
          <cell r="AE672">
            <v>180.4</v>
          </cell>
          <cell r="AF672" t="str">
            <v>표준</v>
          </cell>
          <cell r="AG672">
            <v>6</v>
          </cell>
          <cell r="AH672">
            <v>0</v>
          </cell>
        </row>
        <row r="673">
          <cell r="G673">
            <v>2407030207</v>
          </cell>
          <cell r="H673" t="str">
            <v>120동</v>
          </cell>
          <cell r="I673">
            <v>240703</v>
          </cell>
          <cell r="J673" t="str">
            <v>120동 기초</v>
          </cell>
          <cell r="K673">
            <v>830</v>
          </cell>
          <cell r="L673">
            <v>834</v>
          </cell>
          <cell r="M673">
            <v>2415</v>
          </cell>
          <cell r="N673" t="str">
            <v>용호</v>
          </cell>
          <cell r="O673" t="str">
            <v>펌프카(1대)</v>
          </cell>
          <cell r="P673">
            <v>740</v>
          </cell>
          <cell r="Q673">
            <v>1644</v>
          </cell>
          <cell r="R673">
            <v>155</v>
          </cell>
          <cell r="S673">
            <v>50</v>
          </cell>
          <cell r="T673">
            <v>14</v>
          </cell>
          <cell r="U673">
            <v>249</v>
          </cell>
          <cell r="V673"/>
          <cell r="W673" t="str">
            <v>박순홍</v>
          </cell>
          <cell r="X673" t="str">
            <v>(인)</v>
          </cell>
          <cell r="Y673" t="str">
            <v>김광록</v>
          </cell>
          <cell r="Z673" t="str">
            <v>(인)</v>
          </cell>
          <cell r="AA673" t="str">
            <v>박정환</v>
          </cell>
          <cell r="AB673" t="str">
            <v>(인)</v>
          </cell>
          <cell r="AC673" t="str">
            <v>박정환</v>
          </cell>
          <cell r="AD673" t="str">
            <v>(인)</v>
          </cell>
          <cell r="AE673">
            <v>171.8</v>
          </cell>
          <cell r="AF673" t="str">
            <v>표준</v>
          </cell>
          <cell r="AG673">
            <v>7</v>
          </cell>
          <cell r="AH673">
            <v>1</v>
          </cell>
          <cell r="AL673">
            <v>3311</v>
          </cell>
          <cell r="AM673">
            <v>3258</v>
          </cell>
          <cell r="AN673">
            <v>3177</v>
          </cell>
          <cell r="AO673">
            <v>3177</v>
          </cell>
          <cell r="AP673">
            <v>3238</v>
          </cell>
          <cell r="AQ673">
            <v>3279</v>
          </cell>
          <cell r="AR673">
            <v>3265</v>
          </cell>
          <cell r="AS673">
            <v>3186</v>
          </cell>
          <cell r="AT673">
            <v>263800</v>
          </cell>
        </row>
        <row r="674">
          <cell r="G674">
            <v>2407030301</v>
          </cell>
          <cell r="H674" t="str">
            <v>113동, 114동, 107동</v>
          </cell>
          <cell r="I674">
            <v>240703</v>
          </cell>
          <cell r="J674" t="str">
            <v>램프#3주변, 113~114동 사이 주차장, 수영장~107동 사이 주차장 슬래브</v>
          </cell>
          <cell r="K674">
            <v>230</v>
          </cell>
          <cell r="L674">
            <v>234</v>
          </cell>
          <cell r="M674">
            <v>2715</v>
          </cell>
          <cell r="N674" t="str">
            <v>영진</v>
          </cell>
          <cell r="O674" t="str">
            <v>펌프카(1대)</v>
          </cell>
          <cell r="P674">
            <v>920</v>
          </cell>
          <cell r="Q674">
            <v>1630</v>
          </cell>
          <cell r="R674">
            <v>150</v>
          </cell>
          <cell r="S674">
            <v>39</v>
          </cell>
          <cell r="T674">
            <v>27</v>
          </cell>
          <cell r="U674">
            <v>213</v>
          </cell>
          <cell r="V674"/>
          <cell r="W674" t="str">
            <v>박순홍</v>
          </cell>
          <cell r="X674" t="str">
            <v>(인)</v>
          </cell>
          <cell r="Y674" t="str">
            <v>김광록</v>
          </cell>
          <cell r="Z674" t="str">
            <v>(인)</v>
          </cell>
          <cell r="AA674" t="str">
            <v>정창인</v>
          </cell>
          <cell r="AB674" t="str">
            <v>(인)</v>
          </cell>
          <cell r="AC674" t="str">
            <v>정창인</v>
          </cell>
          <cell r="AD674" t="str">
            <v>(인)</v>
          </cell>
          <cell r="AE674">
            <v>175.7</v>
          </cell>
          <cell r="AF674" t="str">
            <v>표준</v>
          </cell>
          <cell r="AG674">
            <v>1</v>
          </cell>
          <cell r="AH674">
            <v>1</v>
          </cell>
          <cell r="AI674">
            <v>2699</v>
          </cell>
          <cell r="AJ674">
            <v>2617</v>
          </cell>
          <cell r="AK674">
            <v>207200</v>
          </cell>
          <cell r="AL674">
            <v>3361</v>
          </cell>
          <cell r="AM674">
            <v>3229</v>
          </cell>
          <cell r="AN674">
            <v>3368</v>
          </cell>
          <cell r="AO674">
            <v>3327</v>
          </cell>
          <cell r="AP674">
            <v>3468</v>
          </cell>
          <cell r="AQ674">
            <v>3472</v>
          </cell>
          <cell r="AR674">
            <v>3453</v>
          </cell>
          <cell r="AS674">
            <v>3498</v>
          </cell>
          <cell r="AT674">
            <v>268600</v>
          </cell>
        </row>
        <row r="675">
          <cell r="G675">
            <v>2407030302</v>
          </cell>
          <cell r="H675" t="str">
            <v>113동, 114동, 107동</v>
          </cell>
          <cell r="I675">
            <v>240703</v>
          </cell>
          <cell r="J675" t="str">
            <v>램프#3주변, 113~114동 사이 주차장, 수영장~107동 사이 주차장 슬래브</v>
          </cell>
          <cell r="K675">
            <v>230</v>
          </cell>
          <cell r="L675">
            <v>234</v>
          </cell>
          <cell r="M675">
            <v>2715</v>
          </cell>
          <cell r="N675" t="str">
            <v>영진</v>
          </cell>
          <cell r="O675" t="str">
            <v>펌프카(1대)</v>
          </cell>
          <cell r="P675">
            <v>920</v>
          </cell>
          <cell r="Q675">
            <v>1630</v>
          </cell>
          <cell r="R675">
            <v>155</v>
          </cell>
          <cell r="S675">
            <v>50</v>
          </cell>
          <cell r="T675">
            <v>19</v>
          </cell>
          <cell r="U675">
            <v>257</v>
          </cell>
          <cell r="V675"/>
          <cell r="W675" t="str">
            <v>박순홍</v>
          </cell>
          <cell r="X675" t="str">
            <v>(인)</v>
          </cell>
          <cell r="Y675" t="str">
            <v>김광록</v>
          </cell>
          <cell r="Z675" t="str">
            <v>(인)</v>
          </cell>
          <cell r="AA675" t="str">
            <v>김만고</v>
          </cell>
          <cell r="AB675" t="str">
            <v>(인)</v>
          </cell>
          <cell r="AC675" t="str">
            <v>정창인</v>
          </cell>
          <cell r="AD675" t="str">
            <v>(인)</v>
          </cell>
          <cell r="AE675">
            <v>170.2</v>
          </cell>
          <cell r="AF675" t="str">
            <v>표준</v>
          </cell>
          <cell r="AG675">
            <v>2</v>
          </cell>
          <cell r="AH675">
            <v>0</v>
          </cell>
        </row>
        <row r="676">
          <cell r="G676">
            <v>2407040101</v>
          </cell>
          <cell r="H676" t="str">
            <v>104동</v>
          </cell>
          <cell r="I676">
            <v>240704</v>
          </cell>
          <cell r="J676" t="str">
            <v>104동 9층 바닥</v>
          </cell>
          <cell r="K676">
            <v>290</v>
          </cell>
          <cell r="L676">
            <v>288</v>
          </cell>
          <cell r="M676">
            <v>3018</v>
          </cell>
          <cell r="N676" t="str">
            <v>대공</v>
          </cell>
          <cell r="O676" t="str">
            <v>펌프카(1대)</v>
          </cell>
          <cell r="P676">
            <v>848</v>
          </cell>
          <cell r="Q676">
            <v>1512</v>
          </cell>
          <cell r="R676">
            <v>180</v>
          </cell>
          <cell r="S676">
            <v>42</v>
          </cell>
          <cell r="T676">
            <v>61</v>
          </cell>
          <cell r="U676">
            <v>257</v>
          </cell>
          <cell r="V676"/>
          <cell r="W676" t="str">
            <v>박순홍</v>
          </cell>
          <cell r="X676" t="str">
            <v>(인)</v>
          </cell>
          <cell r="Y676" t="str">
            <v>김광록</v>
          </cell>
          <cell r="Z676" t="str">
            <v>(인)</v>
          </cell>
          <cell r="AA676" t="str">
            <v>장덕만</v>
          </cell>
          <cell r="AB676" t="str">
            <v>(인)</v>
          </cell>
          <cell r="AC676" t="str">
            <v>장덕만</v>
          </cell>
          <cell r="AD676" t="str">
            <v>(인)</v>
          </cell>
          <cell r="AE676">
            <v>177.5</v>
          </cell>
          <cell r="AF676" t="str">
            <v>표준</v>
          </cell>
          <cell r="AG676">
            <v>1</v>
          </cell>
          <cell r="AH676">
            <v>1</v>
          </cell>
          <cell r="AI676">
            <v>2784</v>
          </cell>
          <cell r="AJ676">
            <v>2836</v>
          </cell>
          <cell r="AK676">
            <v>220800</v>
          </cell>
          <cell r="AL676">
            <v>3961</v>
          </cell>
          <cell r="AM676">
            <v>4020</v>
          </cell>
          <cell r="AN676">
            <v>4028</v>
          </cell>
          <cell r="AO676">
            <v>3935</v>
          </cell>
          <cell r="AP676">
            <v>3877</v>
          </cell>
          <cell r="AQ676">
            <v>4121</v>
          </cell>
          <cell r="AR676">
            <v>4021</v>
          </cell>
          <cell r="AS676">
            <v>4018</v>
          </cell>
          <cell r="AT676">
            <v>312200</v>
          </cell>
        </row>
        <row r="677">
          <cell r="G677">
            <v>2407040102</v>
          </cell>
          <cell r="H677" t="str">
            <v>104동</v>
          </cell>
          <cell r="I677">
            <v>240704</v>
          </cell>
          <cell r="J677" t="str">
            <v>104동 9층 바닥</v>
          </cell>
          <cell r="K677">
            <v>290</v>
          </cell>
          <cell r="L677">
            <v>288</v>
          </cell>
          <cell r="M677">
            <v>3018</v>
          </cell>
          <cell r="N677" t="str">
            <v>대공</v>
          </cell>
          <cell r="O677" t="str">
            <v>펌프카(1대)</v>
          </cell>
          <cell r="P677">
            <v>848</v>
          </cell>
          <cell r="Q677">
            <v>1512</v>
          </cell>
          <cell r="R677">
            <v>190</v>
          </cell>
          <cell r="S677">
            <v>40</v>
          </cell>
          <cell r="T677">
            <v>44</v>
          </cell>
          <cell r="U677">
            <v>236</v>
          </cell>
          <cell r="V677"/>
          <cell r="W677" t="str">
            <v>박순홍</v>
          </cell>
          <cell r="X677" t="str">
            <v>(인)</v>
          </cell>
          <cell r="Y677" t="str">
            <v>김광록</v>
          </cell>
          <cell r="Z677" t="str">
            <v>(인)</v>
          </cell>
          <cell r="AA677" t="str">
            <v>장덕만</v>
          </cell>
          <cell r="AB677" t="str">
            <v>(인)</v>
          </cell>
          <cell r="AC677" t="str">
            <v>장덕만</v>
          </cell>
          <cell r="AD677" t="str">
            <v>(인)</v>
          </cell>
          <cell r="AE677">
            <v>182.6</v>
          </cell>
          <cell r="AF677" t="str">
            <v>표준</v>
          </cell>
          <cell r="AG677">
            <v>2</v>
          </cell>
          <cell r="AH677">
            <v>0</v>
          </cell>
        </row>
        <row r="678">
          <cell r="G678">
            <v>2407040103</v>
          </cell>
          <cell r="H678" t="str">
            <v>104동</v>
          </cell>
          <cell r="I678">
            <v>240704</v>
          </cell>
          <cell r="J678" t="str">
            <v>104동 9층 바닥</v>
          </cell>
          <cell r="K678">
            <v>290</v>
          </cell>
          <cell r="L678">
            <v>288</v>
          </cell>
          <cell r="M678">
            <v>3018</v>
          </cell>
          <cell r="N678" t="str">
            <v>대공</v>
          </cell>
          <cell r="O678" t="str">
            <v>펌프카(1대)</v>
          </cell>
          <cell r="P678">
            <v>848</v>
          </cell>
          <cell r="Q678">
            <v>1512</v>
          </cell>
          <cell r="R678">
            <v>195</v>
          </cell>
          <cell r="S678">
            <v>44</v>
          </cell>
          <cell r="T678">
            <v>31</v>
          </cell>
          <cell r="U678">
            <v>263</v>
          </cell>
          <cell r="V678"/>
          <cell r="W678" t="str">
            <v>박순홍</v>
          </cell>
          <cell r="X678" t="str">
            <v>(인)</v>
          </cell>
          <cell r="Y678" t="str">
            <v>김광록</v>
          </cell>
          <cell r="Z678" t="str">
            <v>(인)</v>
          </cell>
          <cell r="AA678" t="str">
            <v>장덕만</v>
          </cell>
          <cell r="AB678" t="str">
            <v>(인)</v>
          </cell>
          <cell r="AC678" t="str">
            <v>장덕만</v>
          </cell>
          <cell r="AD678" t="str">
            <v>(인)</v>
          </cell>
          <cell r="AE678">
            <v>175.6</v>
          </cell>
          <cell r="AF678" t="str">
            <v>표준</v>
          </cell>
          <cell r="AG678">
            <v>3</v>
          </cell>
          <cell r="AH678">
            <v>0</v>
          </cell>
        </row>
        <row r="679">
          <cell r="G679">
            <v>2407040201</v>
          </cell>
          <cell r="H679" t="str">
            <v>107동</v>
          </cell>
          <cell r="I679">
            <v>240704</v>
          </cell>
          <cell r="J679" t="str">
            <v>107동 2층 바닥</v>
          </cell>
          <cell r="K679">
            <v>300</v>
          </cell>
          <cell r="L679">
            <v>300</v>
          </cell>
          <cell r="M679">
            <v>3018</v>
          </cell>
          <cell r="N679" t="str">
            <v>쌍용</v>
          </cell>
          <cell r="O679" t="str">
            <v>펌프카(1대)</v>
          </cell>
          <cell r="P679">
            <v>955</v>
          </cell>
          <cell r="Q679">
            <v>1449</v>
          </cell>
          <cell r="R679">
            <v>190</v>
          </cell>
          <cell r="S679">
            <v>39</v>
          </cell>
          <cell r="T679">
            <v>94</v>
          </cell>
          <cell r="U679">
            <v>248</v>
          </cell>
          <cell r="V679"/>
          <cell r="W679" t="str">
            <v>박순홍</v>
          </cell>
          <cell r="X679" t="str">
            <v>(인)</v>
          </cell>
          <cell r="Y679" t="str">
            <v>김광록</v>
          </cell>
          <cell r="Z679" t="str">
            <v>(인)</v>
          </cell>
          <cell r="AA679" t="str">
            <v>정창인</v>
          </cell>
          <cell r="AB679" t="str">
            <v>(인)</v>
          </cell>
          <cell r="AC679" t="str">
            <v>정창인</v>
          </cell>
          <cell r="AD679" t="str">
            <v>(인)</v>
          </cell>
          <cell r="AE679">
            <v>174.8</v>
          </cell>
          <cell r="AF679" t="str">
            <v>표준</v>
          </cell>
          <cell r="AG679">
            <v>1</v>
          </cell>
          <cell r="AH679">
            <v>1</v>
          </cell>
          <cell r="AI679">
            <v>2854</v>
          </cell>
          <cell r="AJ679">
            <v>2874</v>
          </cell>
          <cell r="AK679">
            <v>221800</v>
          </cell>
          <cell r="AL679">
            <v>3836</v>
          </cell>
          <cell r="AM679">
            <v>4081</v>
          </cell>
          <cell r="AN679">
            <v>4029</v>
          </cell>
          <cell r="AO679">
            <v>3908</v>
          </cell>
          <cell r="AP679">
            <v>4027</v>
          </cell>
          <cell r="AQ679">
            <v>4065</v>
          </cell>
          <cell r="AR679">
            <v>3931</v>
          </cell>
          <cell r="AS679">
            <v>4059</v>
          </cell>
          <cell r="AT679">
            <v>317400</v>
          </cell>
        </row>
        <row r="680">
          <cell r="G680">
            <v>2407040202</v>
          </cell>
          <cell r="H680" t="str">
            <v>107동</v>
          </cell>
          <cell r="I680">
            <v>240704</v>
          </cell>
          <cell r="J680" t="str">
            <v>107동 2층 바닥</v>
          </cell>
          <cell r="K680">
            <v>300</v>
          </cell>
          <cell r="L680">
            <v>300</v>
          </cell>
          <cell r="M680">
            <v>3018</v>
          </cell>
          <cell r="N680" t="str">
            <v>쌍용</v>
          </cell>
          <cell r="O680" t="str">
            <v>펌프카(1대)</v>
          </cell>
          <cell r="P680">
            <v>955</v>
          </cell>
          <cell r="Q680">
            <v>1449</v>
          </cell>
          <cell r="R680">
            <v>190</v>
          </cell>
          <cell r="S680">
            <v>53</v>
          </cell>
          <cell r="T680">
            <v>52</v>
          </cell>
          <cell r="U680">
            <v>260</v>
          </cell>
          <cell r="V680"/>
          <cell r="W680" t="str">
            <v>박순홍</v>
          </cell>
          <cell r="X680" t="str">
            <v>(인)</v>
          </cell>
          <cell r="Y680" t="str">
            <v>김광록</v>
          </cell>
          <cell r="Z680" t="str">
            <v>(인)</v>
          </cell>
          <cell r="AA680" t="str">
            <v>정창인</v>
          </cell>
          <cell r="AB680" t="str">
            <v>(인)</v>
          </cell>
          <cell r="AC680" t="str">
            <v>정창인</v>
          </cell>
          <cell r="AD680" t="str">
            <v>(인)</v>
          </cell>
          <cell r="AE680">
            <v>178.4</v>
          </cell>
          <cell r="AF680" t="str">
            <v>표준</v>
          </cell>
          <cell r="AG680">
            <v>2</v>
          </cell>
          <cell r="AH680">
            <v>0</v>
          </cell>
        </row>
        <row r="681">
          <cell r="G681">
            <v>2407040203</v>
          </cell>
          <cell r="H681" t="str">
            <v>107동</v>
          </cell>
          <cell r="I681">
            <v>240704</v>
          </cell>
          <cell r="J681" t="str">
            <v>107동 2층 바닥</v>
          </cell>
          <cell r="K681">
            <v>300</v>
          </cell>
          <cell r="L681">
            <v>300</v>
          </cell>
          <cell r="M681">
            <v>3018</v>
          </cell>
          <cell r="N681" t="str">
            <v>쌍용</v>
          </cell>
          <cell r="O681" t="str">
            <v>펌프카(1대)</v>
          </cell>
          <cell r="P681">
            <v>955</v>
          </cell>
          <cell r="Q681">
            <v>1449</v>
          </cell>
          <cell r="R681">
            <v>190</v>
          </cell>
          <cell r="S681">
            <v>39</v>
          </cell>
          <cell r="T681">
            <v>51</v>
          </cell>
          <cell r="U681">
            <v>265</v>
          </cell>
          <cell r="V681"/>
          <cell r="W681" t="str">
            <v>박순홍</v>
          </cell>
          <cell r="X681" t="str">
            <v>(인)</v>
          </cell>
          <cell r="Y681" t="str">
            <v>김광록</v>
          </cell>
          <cell r="Z681" t="str">
            <v>(인)</v>
          </cell>
          <cell r="AA681" t="str">
            <v>정창인</v>
          </cell>
          <cell r="AB681" t="str">
            <v>(인)</v>
          </cell>
          <cell r="AC681" t="str">
            <v>정창인</v>
          </cell>
          <cell r="AD681" t="str">
            <v>(인)</v>
          </cell>
          <cell r="AE681">
            <v>186.6</v>
          </cell>
          <cell r="AF681" t="str">
            <v>표준</v>
          </cell>
          <cell r="AG681">
            <v>3</v>
          </cell>
          <cell r="AH681">
            <v>0</v>
          </cell>
        </row>
        <row r="682">
          <cell r="G682">
            <v>2407040301</v>
          </cell>
          <cell r="H682" t="str">
            <v>102동, 103동</v>
          </cell>
          <cell r="I682">
            <v>240704</v>
          </cell>
          <cell r="J682" t="str">
            <v>102동~103동 사이 주차장 슬래브</v>
          </cell>
          <cell r="K682">
            <v>90</v>
          </cell>
          <cell r="L682">
            <v>87</v>
          </cell>
          <cell r="M682">
            <v>2715</v>
          </cell>
          <cell r="N682" t="str">
            <v>대원</v>
          </cell>
          <cell r="O682" t="str">
            <v>펌프카(1대)</v>
          </cell>
          <cell r="P682">
            <v>1500</v>
          </cell>
          <cell r="Q682">
            <v>1700</v>
          </cell>
          <cell r="R682">
            <v>150</v>
          </cell>
          <cell r="S682">
            <v>44</v>
          </cell>
          <cell r="T682">
            <v>21</v>
          </cell>
          <cell r="U682">
            <v>236</v>
          </cell>
          <cell r="V682"/>
          <cell r="W682" t="str">
            <v>박순홍</v>
          </cell>
          <cell r="X682" t="str">
            <v>(인)</v>
          </cell>
          <cell r="Y682" t="str">
            <v>김광록</v>
          </cell>
          <cell r="Z682" t="str">
            <v>(인)</v>
          </cell>
          <cell r="AA682" t="str">
            <v>이루비</v>
          </cell>
          <cell r="AB682" t="str">
            <v>(인)</v>
          </cell>
          <cell r="AC682" t="str">
            <v>이홍걸</v>
          </cell>
          <cell r="AD682" t="str">
            <v>(인)</v>
          </cell>
          <cell r="AE682">
            <v>177.5</v>
          </cell>
          <cell r="AF682" t="str">
            <v>표준</v>
          </cell>
          <cell r="AG682">
            <v>1</v>
          </cell>
          <cell r="AH682">
            <v>1</v>
          </cell>
          <cell r="AI682">
            <v>2618</v>
          </cell>
          <cell r="AJ682">
            <v>2572</v>
          </cell>
          <cell r="AK682">
            <v>197400</v>
          </cell>
          <cell r="AL682">
            <v>3619</v>
          </cell>
          <cell r="AM682">
            <v>3629</v>
          </cell>
          <cell r="AN682">
            <v>3618</v>
          </cell>
          <cell r="AO682">
            <v>3568</v>
          </cell>
          <cell r="AP682">
            <v>3683</v>
          </cell>
          <cell r="AQ682">
            <v>3731</v>
          </cell>
          <cell r="AR682">
            <v>3528</v>
          </cell>
          <cell r="AS682">
            <v>3637</v>
          </cell>
          <cell r="AT682">
            <v>276200</v>
          </cell>
        </row>
        <row r="683">
          <cell r="G683">
            <v>2407050101</v>
          </cell>
          <cell r="H683" t="str">
            <v>103동</v>
          </cell>
          <cell r="I683">
            <v>240705</v>
          </cell>
          <cell r="J683" t="str">
            <v>103동 10층 바닥</v>
          </cell>
          <cell r="K683">
            <v>280</v>
          </cell>
          <cell r="L683">
            <v>276</v>
          </cell>
          <cell r="M683">
            <v>3018</v>
          </cell>
          <cell r="N683" t="str">
            <v>대원</v>
          </cell>
          <cell r="O683" t="str">
            <v>펌프카(1대)</v>
          </cell>
          <cell r="P683">
            <v>756</v>
          </cell>
          <cell r="Q683">
            <v>1351</v>
          </cell>
          <cell r="R683">
            <v>180</v>
          </cell>
          <cell r="S683">
            <v>48</v>
          </cell>
          <cell r="T683">
            <v>105</v>
          </cell>
          <cell r="U683">
            <v>261</v>
          </cell>
          <cell r="V683"/>
          <cell r="W683" t="str">
            <v>박순홍</v>
          </cell>
          <cell r="X683" t="str">
            <v>(인)</v>
          </cell>
          <cell r="Y683" t="str">
            <v>김광록</v>
          </cell>
          <cell r="Z683" t="str">
            <v>(인)</v>
          </cell>
          <cell r="AA683" t="str">
            <v>장덕만</v>
          </cell>
          <cell r="AB683" t="str">
            <v>(인)</v>
          </cell>
          <cell r="AC683" t="str">
            <v>최상옥</v>
          </cell>
          <cell r="AD683" t="str">
            <v>(인)</v>
          </cell>
          <cell r="AE683">
            <v>183.4</v>
          </cell>
          <cell r="AF683" t="str">
            <v>표준</v>
          </cell>
          <cell r="AG683">
            <v>1</v>
          </cell>
          <cell r="AH683">
            <v>1</v>
          </cell>
          <cell r="AI683">
            <v>2874</v>
          </cell>
          <cell r="AJ683">
            <v>2896</v>
          </cell>
          <cell r="AK683">
            <v>223200</v>
          </cell>
          <cell r="AL683">
            <v>4011</v>
          </cell>
          <cell r="AM683">
            <v>3996</v>
          </cell>
          <cell r="AN683">
            <v>4028</v>
          </cell>
          <cell r="AO683">
            <v>4055</v>
          </cell>
          <cell r="AP683">
            <v>3984</v>
          </cell>
          <cell r="AQ683">
            <v>4005</v>
          </cell>
          <cell r="AR683">
            <v>4006</v>
          </cell>
          <cell r="AS683">
            <v>3984</v>
          </cell>
          <cell r="AT683">
            <v>317800</v>
          </cell>
        </row>
        <row r="684">
          <cell r="G684">
            <v>2407050102</v>
          </cell>
          <cell r="H684" t="str">
            <v>103동</v>
          </cell>
          <cell r="I684">
            <v>240705</v>
          </cell>
          <cell r="J684" t="str">
            <v>103동 10층 바닥</v>
          </cell>
          <cell r="K684">
            <v>280</v>
          </cell>
          <cell r="L684">
            <v>276</v>
          </cell>
          <cell r="M684">
            <v>3018</v>
          </cell>
          <cell r="N684" t="str">
            <v>대원</v>
          </cell>
          <cell r="O684" t="str">
            <v>펌프카(1대)</v>
          </cell>
          <cell r="P684">
            <v>756</v>
          </cell>
          <cell r="Q684">
            <v>1351</v>
          </cell>
          <cell r="R684">
            <v>190</v>
          </cell>
          <cell r="S684">
            <v>48</v>
          </cell>
          <cell r="T684">
            <v>63</v>
          </cell>
          <cell r="U684">
            <v>234</v>
          </cell>
          <cell r="V684"/>
          <cell r="W684" t="str">
            <v>박순홍</v>
          </cell>
          <cell r="X684" t="str">
            <v>(인)</v>
          </cell>
          <cell r="Y684" t="str">
            <v>김광록</v>
          </cell>
          <cell r="Z684" t="str">
            <v>(인)</v>
          </cell>
          <cell r="AA684" t="str">
            <v>장덕만</v>
          </cell>
          <cell r="AB684" t="str">
            <v>(인)</v>
          </cell>
          <cell r="AC684" t="str">
            <v>최상옥</v>
          </cell>
          <cell r="AD684" t="str">
            <v>(인)</v>
          </cell>
          <cell r="AE684">
            <v>186.7</v>
          </cell>
          <cell r="AF684" t="str">
            <v>표준</v>
          </cell>
          <cell r="AG684">
            <v>2</v>
          </cell>
          <cell r="AH684">
            <v>0</v>
          </cell>
        </row>
        <row r="685">
          <cell r="G685">
            <v>2407050103</v>
          </cell>
          <cell r="H685" t="str">
            <v>103동</v>
          </cell>
          <cell r="I685">
            <v>240705</v>
          </cell>
          <cell r="J685" t="str">
            <v>103동 10층 바닥</v>
          </cell>
          <cell r="K685">
            <v>280</v>
          </cell>
          <cell r="L685">
            <v>276</v>
          </cell>
          <cell r="M685">
            <v>3018</v>
          </cell>
          <cell r="N685" t="str">
            <v>대원</v>
          </cell>
          <cell r="O685" t="str">
            <v>펌프카(1대)</v>
          </cell>
          <cell r="P685">
            <v>756</v>
          </cell>
          <cell r="Q685">
            <v>1351</v>
          </cell>
          <cell r="R685">
            <v>195</v>
          </cell>
          <cell r="S685">
            <v>50</v>
          </cell>
          <cell r="T685">
            <v>40</v>
          </cell>
          <cell r="U685">
            <v>247</v>
          </cell>
          <cell r="V685"/>
          <cell r="W685" t="str">
            <v>박순홍</v>
          </cell>
          <cell r="X685" t="str">
            <v>(인)</v>
          </cell>
          <cell r="Y685" t="str">
            <v>김광록</v>
          </cell>
          <cell r="Z685" t="str">
            <v>(인)</v>
          </cell>
          <cell r="AA685" t="str">
            <v>장덕만</v>
          </cell>
          <cell r="AB685" t="str">
            <v>(인)</v>
          </cell>
          <cell r="AC685" t="str">
            <v>최상옥</v>
          </cell>
          <cell r="AD685" t="str">
            <v>(인)</v>
          </cell>
          <cell r="AE685">
            <v>181.5</v>
          </cell>
          <cell r="AF685" t="str">
            <v>표준</v>
          </cell>
          <cell r="AG685">
            <v>3</v>
          </cell>
          <cell r="AH685">
            <v>0</v>
          </cell>
        </row>
        <row r="686">
          <cell r="G686">
            <v>2407050201</v>
          </cell>
          <cell r="H686" t="str">
            <v>103동</v>
          </cell>
          <cell r="I686">
            <v>240705</v>
          </cell>
          <cell r="J686" t="str">
            <v>102~103동 사이 지하주차장 슬래브</v>
          </cell>
          <cell r="K686">
            <v>160</v>
          </cell>
          <cell r="L686">
            <v>161</v>
          </cell>
          <cell r="M686">
            <v>2715</v>
          </cell>
          <cell r="N686" t="str">
            <v>대원</v>
          </cell>
          <cell r="O686" t="str">
            <v>펌프카(1대)</v>
          </cell>
          <cell r="P686">
            <v>814</v>
          </cell>
          <cell r="Q686">
            <v>1143</v>
          </cell>
          <cell r="R686">
            <v>160</v>
          </cell>
          <cell r="S686">
            <v>50</v>
          </cell>
          <cell r="T686">
            <v>29</v>
          </cell>
          <cell r="U686">
            <v>221</v>
          </cell>
          <cell r="V686"/>
          <cell r="W686" t="str">
            <v>박순홍</v>
          </cell>
          <cell r="X686" t="str">
            <v>(인)</v>
          </cell>
          <cell r="Y686" t="str">
            <v>김광록</v>
          </cell>
          <cell r="Z686" t="str">
            <v>(인)</v>
          </cell>
          <cell r="AA686" t="str">
            <v>장덕만</v>
          </cell>
          <cell r="AB686" t="str">
            <v>(인)</v>
          </cell>
          <cell r="AC686" t="str">
            <v>최상옥</v>
          </cell>
          <cell r="AD686" t="str">
            <v>(인)</v>
          </cell>
          <cell r="AE686">
            <v>171.4</v>
          </cell>
          <cell r="AF686" t="str">
            <v>표준</v>
          </cell>
          <cell r="AG686">
            <v>1</v>
          </cell>
          <cell r="AH686">
            <v>1</v>
          </cell>
          <cell r="AI686">
            <v>2581</v>
          </cell>
          <cell r="AJ686">
            <v>2572</v>
          </cell>
          <cell r="AK686">
            <v>200000</v>
          </cell>
          <cell r="AL686">
            <v>3654</v>
          </cell>
          <cell r="AM686">
            <v>3577</v>
          </cell>
          <cell r="AN686">
            <v>3633</v>
          </cell>
          <cell r="AO686">
            <v>3598</v>
          </cell>
          <cell r="AP686">
            <v>3631</v>
          </cell>
          <cell r="AQ686">
            <v>3614</v>
          </cell>
          <cell r="AR686">
            <v>3622</v>
          </cell>
          <cell r="AS686">
            <v>3608</v>
          </cell>
          <cell r="AT686">
            <v>277800</v>
          </cell>
        </row>
        <row r="687">
          <cell r="G687">
            <v>2407050202</v>
          </cell>
          <cell r="H687" t="str">
            <v>103동</v>
          </cell>
          <cell r="I687">
            <v>240705</v>
          </cell>
          <cell r="J687" t="str">
            <v>102~103동 사이 지하주차장 슬래브</v>
          </cell>
          <cell r="K687">
            <v>160</v>
          </cell>
          <cell r="L687">
            <v>161</v>
          </cell>
          <cell r="M687">
            <v>2715</v>
          </cell>
          <cell r="N687" t="str">
            <v>대원</v>
          </cell>
          <cell r="O687" t="str">
            <v>펌프카(1대)</v>
          </cell>
          <cell r="P687">
            <v>814</v>
          </cell>
          <cell r="Q687">
            <v>1143</v>
          </cell>
          <cell r="R687">
            <v>175</v>
          </cell>
          <cell r="S687">
            <v>40</v>
          </cell>
          <cell r="T687">
            <v>18</v>
          </cell>
          <cell r="U687">
            <v>206</v>
          </cell>
          <cell r="V687"/>
          <cell r="W687" t="str">
            <v>박순홍</v>
          </cell>
          <cell r="X687" t="str">
            <v>(인)</v>
          </cell>
          <cell r="Y687" t="str">
            <v>김광록</v>
          </cell>
          <cell r="Z687" t="str">
            <v>(인)</v>
          </cell>
          <cell r="AA687" t="str">
            <v>장덕만</v>
          </cell>
          <cell r="AB687" t="str">
            <v>(인)</v>
          </cell>
          <cell r="AC687" t="str">
            <v>최상옥</v>
          </cell>
          <cell r="AD687" t="str">
            <v>(인)</v>
          </cell>
          <cell r="AE687">
            <v>175.4</v>
          </cell>
          <cell r="AF687" t="str">
            <v>표준</v>
          </cell>
          <cell r="AG687">
            <v>2</v>
          </cell>
          <cell r="AH687">
            <v>0</v>
          </cell>
        </row>
        <row r="688">
          <cell r="G688">
            <v>2407050301</v>
          </cell>
          <cell r="H688" t="str">
            <v>104동, 105동, 108동</v>
          </cell>
          <cell r="I688">
            <v>240705</v>
          </cell>
          <cell r="J688" t="str">
            <v>104~105동 사이(4구간) 버림, 108동 주변주차장(3구간) 버림</v>
          </cell>
          <cell r="K688">
            <v>40</v>
          </cell>
          <cell r="L688">
            <v>36</v>
          </cell>
          <cell r="M688">
            <v>1812</v>
          </cell>
          <cell r="N688" t="str">
            <v>대공</v>
          </cell>
          <cell r="O688" t="str">
            <v>펌프카(1대)</v>
          </cell>
          <cell r="P688">
            <v>1300</v>
          </cell>
          <cell r="Q688">
            <v>1444</v>
          </cell>
          <cell r="R688">
            <v>120</v>
          </cell>
          <cell r="S688">
            <v>46</v>
          </cell>
          <cell r="T688">
            <v>27</v>
          </cell>
          <cell r="U688">
            <v>250</v>
          </cell>
          <cell r="V688"/>
          <cell r="W688" t="str">
            <v>박순홍</v>
          </cell>
          <cell r="X688" t="str">
            <v>(인)</v>
          </cell>
          <cell r="Y688" t="str">
            <v>김광록</v>
          </cell>
          <cell r="Z688" t="str">
            <v>(인)</v>
          </cell>
          <cell r="AA688" t="str">
            <v>장덕만</v>
          </cell>
          <cell r="AB688" t="str">
            <v>(인)</v>
          </cell>
          <cell r="AC688" t="str">
            <v>정창인</v>
          </cell>
          <cell r="AD688" t="str">
            <v>(인)</v>
          </cell>
          <cell r="AE688">
            <v>173.2</v>
          </cell>
          <cell r="AF688" t="str">
            <v>표준</v>
          </cell>
          <cell r="AG688">
            <v>1</v>
          </cell>
          <cell r="AH688">
            <v>1</v>
          </cell>
          <cell r="AI688">
            <v>1650</v>
          </cell>
          <cell r="AJ688">
            <v>1620</v>
          </cell>
          <cell r="AK688">
            <v>126400</v>
          </cell>
          <cell r="AL688">
            <v>2484</v>
          </cell>
          <cell r="AM688">
            <v>2538</v>
          </cell>
          <cell r="AN688">
            <v>2471</v>
          </cell>
          <cell r="AO688">
            <v>2612</v>
          </cell>
          <cell r="AP688">
            <v>2536</v>
          </cell>
          <cell r="AQ688">
            <v>2538</v>
          </cell>
          <cell r="AR688">
            <v>2571</v>
          </cell>
          <cell r="AS688">
            <v>2569</v>
          </cell>
          <cell r="AT688">
            <v>208800</v>
          </cell>
        </row>
        <row r="689">
          <cell r="G689">
            <v>2407080101</v>
          </cell>
          <cell r="H689" t="str">
            <v>106동</v>
          </cell>
          <cell r="I689">
            <v>240708</v>
          </cell>
          <cell r="J689" t="str">
            <v>106동 7층 바닥</v>
          </cell>
          <cell r="K689">
            <v>290</v>
          </cell>
          <cell r="L689">
            <v>293</v>
          </cell>
          <cell r="M689">
            <v>3018</v>
          </cell>
          <cell r="N689" t="str">
            <v>동양</v>
          </cell>
          <cell r="O689" t="str">
            <v>펌프카(1대)</v>
          </cell>
          <cell r="P689">
            <v>840</v>
          </cell>
          <cell r="Q689">
            <v>1300</v>
          </cell>
          <cell r="R689">
            <v>170</v>
          </cell>
          <cell r="S689">
            <v>47</v>
          </cell>
          <cell r="T689">
            <v>83</v>
          </cell>
          <cell r="U689">
            <v>196</v>
          </cell>
          <cell r="V689"/>
          <cell r="W689" t="str">
            <v>박순홍</v>
          </cell>
          <cell r="X689" t="str">
            <v>(인)</v>
          </cell>
          <cell r="Y689" t="str">
            <v>박순홍</v>
          </cell>
          <cell r="Z689" t="str">
            <v>(인)</v>
          </cell>
          <cell r="AA689" t="str">
            <v>이루비</v>
          </cell>
          <cell r="AB689" t="str">
            <v>(인)</v>
          </cell>
          <cell r="AC689" t="str">
            <v>정창인</v>
          </cell>
          <cell r="AD689" t="str">
            <v>(인)</v>
          </cell>
          <cell r="AE689">
            <v>188</v>
          </cell>
          <cell r="AF689" t="str">
            <v>표준</v>
          </cell>
          <cell r="AG689">
            <v>1</v>
          </cell>
          <cell r="AH689">
            <v>1</v>
          </cell>
          <cell r="AI689">
            <v>2751</v>
          </cell>
          <cell r="AJ689">
            <v>2730</v>
          </cell>
          <cell r="AK689">
            <v>213000</v>
          </cell>
          <cell r="AL689">
            <v>3778</v>
          </cell>
          <cell r="AM689">
            <v>3857</v>
          </cell>
          <cell r="AN689">
            <v>3722</v>
          </cell>
          <cell r="AO689">
            <v>3794</v>
          </cell>
          <cell r="AP689">
            <v>3861</v>
          </cell>
          <cell r="AQ689">
            <v>3839</v>
          </cell>
          <cell r="AR689">
            <v>3867</v>
          </cell>
          <cell r="AS689">
            <v>3924</v>
          </cell>
          <cell r="AT689">
            <v>296200</v>
          </cell>
        </row>
        <row r="690">
          <cell r="G690">
            <v>2407080102</v>
          </cell>
          <cell r="H690" t="str">
            <v>106동</v>
          </cell>
          <cell r="I690">
            <v>240708</v>
          </cell>
          <cell r="J690" t="str">
            <v>106동 7층 바닥</v>
          </cell>
          <cell r="K690">
            <v>290</v>
          </cell>
          <cell r="L690">
            <v>293</v>
          </cell>
          <cell r="M690">
            <v>3018</v>
          </cell>
          <cell r="N690" t="str">
            <v>동양</v>
          </cell>
          <cell r="O690" t="str">
            <v>펌프카(1대)</v>
          </cell>
          <cell r="P690">
            <v>840</v>
          </cell>
          <cell r="Q690">
            <v>1300</v>
          </cell>
          <cell r="R690">
            <v>190</v>
          </cell>
          <cell r="S690">
            <v>42</v>
          </cell>
          <cell r="T690">
            <v>82</v>
          </cell>
          <cell r="U690">
            <v>189</v>
          </cell>
          <cell r="V690"/>
          <cell r="W690" t="str">
            <v>박순홍</v>
          </cell>
          <cell r="X690" t="str">
            <v>(인)</v>
          </cell>
          <cell r="Y690" t="str">
            <v>박순홍</v>
          </cell>
          <cell r="Z690" t="str">
            <v>(인)</v>
          </cell>
          <cell r="AA690" t="str">
            <v>이루비</v>
          </cell>
          <cell r="AB690" t="str">
            <v>(인)</v>
          </cell>
          <cell r="AC690" t="str">
            <v>정창인</v>
          </cell>
          <cell r="AD690" t="str">
            <v>(인)</v>
          </cell>
          <cell r="AE690">
            <v>188.9</v>
          </cell>
          <cell r="AF690" t="str">
            <v>표준</v>
          </cell>
          <cell r="AG690">
            <v>2</v>
          </cell>
          <cell r="AH690">
            <v>0</v>
          </cell>
        </row>
        <row r="691">
          <cell r="G691">
            <v>2407080103</v>
          </cell>
          <cell r="H691" t="str">
            <v>106동</v>
          </cell>
          <cell r="I691">
            <v>240708</v>
          </cell>
          <cell r="J691" t="str">
            <v>106동 7층 바닥</v>
          </cell>
          <cell r="K691">
            <v>290</v>
          </cell>
          <cell r="L691">
            <v>293</v>
          </cell>
          <cell r="M691">
            <v>3018</v>
          </cell>
          <cell r="N691" t="str">
            <v>동양</v>
          </cell>
          <cell r="O691" t="str">
            <v>펌프카(1대)</v>
          </cell>
          <cell r="P691">
            <v>840</v>
          </cell>
          <cell r="Q691">
            <v>1300</v>
          </cell>
          <cell r="R691">
            <v>200</v>
          </cell>
          <cell r="S691">
            <v>45</v>
          </cell>
          <cell r="T691">
            <v>82</v>
          </cell>
          <cell r="U691">
            <v>204</v>
          </cell>
          <cell r="V691"/>
          <cell r="W691" t="str">
            <v>박순홍</v>
          </cell>
          <cell r="X691" t="str">
            <v>(인)</v>
          </cell>
          <cell r="Y691" t="str">
            <v>박순홍</v>
          </cell>
          <cell r="Z691" t="str">
            <v>(인)</v>
          </cell>
          <cell r="AA691" t="str">
            <v>이루비</v>
          </cell>
          <cell r="AB691" t="str">
            <v>(인)</v>
          </cell>
          <cell r="AC691" t="str">
            <v>정창인</v>
          </cell>
          <cell r="AD691" t="str">
            <v>(인)</v>
          </cell>
          <cell r="AE691">
            <v>189.1</v>
          </cell>
          <cell r="AF691" t="str">
            <v>표준</v>
          </cell>
          <cell r="AG691">
            <v>3</v>
          </cell>
          <cell r="AH691">
            <v>0</v>
          </cell>
        </row>
        <row r="692">
          <cell r="G692">
            <v>2407080201</v>
          </cell>
          <cell r="H692" t="str">
            <v>108동</v>
          </cell>
          <cell r="I692">
            <v>240708</v>
          </cell>
          <cell r="J692" t="str">
            <v>108동 주변주차장(3구간) 기초</v>
          </cell>
          <cell r="K692">
            <v>160</v>
          </cell>
          <cell r="L692">
            <v>163</v>
          </cell>
          <cell r="M692">
            <v>2415</v>
          </cell>
          <cell r="N692" t="str">
            <v>대공</v>
          </cell>
          <cell r="O692" t="str">
            <v>펌프카(1대)</v>
          </cell>
          <cell r="P692">
            <v>844</v>
          </cell>
          <cell r="Q692">
            <v>1236</v>
          </cell>
          <cell r="R692">
            <v>140</v>
          </cell>
          <cell r="S692">
            <v>36</v>
          </cell>
          <cell r="T692">
            <v>39</v>
          </cell>
          <cell r="U692">
            <v>207</v>
          </cell>
          <cell r="V692"/>
          <cell r="W692" t="str">
            <v>박순홍</v>
          </cell>
          <cell r="X692" t="str">
            <v>(인)</v>
          </cell>
          <cell r="Y692" t="str">
            <v>박순홍</v>
          </cell>
          <cell r="Z692" t="str">
            <v>(인)</v>
          </cell>
          <cell r="AA692" t="str">
            <v>정창인</v>
          </cell>
          <cell r="AB692" t="str">
            <v>(인)</v>
          </cell>
          <cell r="AC692" t="str">
            <v>정창인</v>
          </cell>
          <cell r="AD692" t="str">
            <v>(인)</v>
          </cell>
          <cell r="AE692">
            <v>171.4</v>
          </cell>
          <cell r="AF692" t="str">
            <v>표준</v>
          </cell>
          <cell r="AG692">
            <v>1</v>
          </cell>
          <cell r="AH692">
            <v>1</v>
          </cell>
          <cell r="AI692">
            <v>2303</v>
          </cell>
          <cell r="AJ692">
            <v>2363</v>
          </cell>
          <cell r="AK692">
            <v>181600</v>
          </cell>
          <cell r="AL692">
            <v>3215</v>
          </cell>
          <cell r="AM692">
            <v>3207</v>
          </cell>
          <cell r="AN692">
            <v>3177</v>
          </cell>
          <cell r="AO692">
            <v>3204</v>
          </cell>
          <cell r="AP692">
            <v>3194</v>
          </cell>
          <cell r="AQ692">
            <v>3179</v>
          </cell>
          <cell r="AR692">
            <v>3144</v>
          </cell>
          <cell r="AS692">
            <v>3192</v>
          </cell>
          <cell r="AT692">
            <v>245200</v>
          </cell>
        </row>
        <row r="693">
          <cell r="G693">
            <v>2407080202</v>
          </cell>
          <cell r="H693" t="str">
            <v>108동</v>
          </cell>
          <cell r="I693">
            <v>240708</v>
          </cell>
          <cell r="J693" t="str">
            <v>108동 주변주차장(3구간) 기초</v>
          </cell>
          <cell r="K693">
            <v>160</v>
          </cell>
          <cell r="L693">
            <v>163</v>
          </cell>
          <cell r="M693">
            <v>2415</v>
          </cell>
          <cell r="N693" t="str">
            <v>대공</v>
          </cell>
          <cell r="O693" t="str">
            <v>펌프카(1대)</v>
          </cell>
          <cell r="P693">
            <v>844</v>
          </cell>
          <cell r="Q693">
            <v>1236</v>
          </cell>
          <cell r="R693">
            <v>140</v>
          </cell>
          <cell r="S693">
            <v>46</v>
          </cell>
          <cell r="T693">
            <v>44</v>
          </cell>
          <cell r="U693">
            <v>202</v>
          </cell>
          <cell r="V693"/>
          <cell r="W693" t="str">
            <v>박순홍</v>
          </cell>
          <cell r="X693" t="str">
            <v>(인)</v>
          </cell>
          <cell r="Y693" t="str">
            <v>박순홍</v>
          </cell>
          <cell r="Z693" t="str">
            <v>(인)</v>
          </cell>
          <cell r="AA693" t="str">
            <v>정창인</v>
          </cell>
          <cell r="AB693" t="str">
            <v>(인)</v>
          </cell>
          <cell r="AC693" t="str">
            <v>정창인</v>
          </cell>
          <cell r="AD693" t="str">
            <v>(인)</v>
          </cell>
          <cell r="AE693">
            <v>171.6</v>
          </cell>
          <cell r="AF693" t="str">
            <v>표준</v>
          </cell>
          <cell r="AG693">
            <v>2</v>
          </cell>
          <cell r="AH693">
            <v>0</v>
          </cell>
        </row>
        <row r="694">
          <cell r="G694">
            <v>2407080301</v>
          </cell>
          <cell r="H694" t="str">
            <v>102동</v>
          </cell>
          <cell r="I694">
            <v>240708</v>
          </cell>
          <cell r="J694" t="str">
            <v>102동 3층 바닥</v>
          </cell>
          <cell r="K694">
            <v>300</v>
          </cell>
          <cell r="L694">
            <v>299</v>
          </cell>
          <cell r="M694">
            <v>3018</v>
          </cell>
          <cell r="N694" t="str">
            <v>대공</v>
          </cell>
          <cell r="O694" t="str">
            <v>펌프카(1대)</v>
          </cell>
          <cell r="P694">
            <v>1144</v>
          </cell>
          <cell r="Q694">
            <v>1756</v>
          </cell>
          <cell r="R694">
            <v>175</v>
          </cell>
          <cell r="S694">
            <v>41</v>
          </cell>
          <cell r="T694">
            <v>27</v>
          </cell>
          <cell r="U694">
            <v>191</v>
          </cell>
          <cell r="V694"/>
          <cell r="W694" t="str">
            <v>박순홍</v>
          </cell>
          <cell r="X694" t="str">
            <v>(인)</v>
          </cell>
          <cell r="Y694" t="str">
            <v>박순홍</v>
          </cell>
          <cell r="Z694" t="str">
            <v>(인)</v>
          </cell>
          <cell r="AA694" t="str">
            <v>이홍걸</v>
          </cell>
          <cell r="AB694" t="str">
            <v>(인)</v>
          </cell>
          <cell r="AC694" t="str">
            <v>이홍걸</v>
          </cell>
          <cell r="AD694" t="str">
            <v>(인)</v>
          </cell>
          <cell r="AE694">
            <v>181.6</v>
          </cell>
          <cell r="AF694" t="str">
            <v>표준</v>
          </cell>
          <cell r="AG694">
            <v>1</v>
          </cell>
          <cell r="AH694">
            <v>1</v>
          </cell>
          <cell r="AI694">
            <v>2763</v>
          </cell>
          <cell r="AJ694">
            <v>2821</v>
          </cell>
          <cell r="AK694">
            <v>215400</v>
          </cell>
          <cell r="AL694">
            <v>3870</v>
          </cell>
          <cell r="AM694">
            <v>3771</v>
          </cell>
          <cell r="AN694">
            <v>3904</v>
          </cell>
          <cell r="AO694">
            <v>4024</v>
          </cell>
          <cell r="AP694">
            <v>4067</v>
          </cell>
          <cell r="AQ694">
            <v>4039</v>
          </cell>
          <cell r="AR694">
            <v>3924</v>
          </cell>
          <cell r="AS694">
            <v>3988</v>
          </cell>
          <cell r="AT694">
            <v>300800</v>
          </cell>
        </row>
        <row r="695">
          <cell r="G695">
            <v>2407080302</v>
          </cell>
          <cell r="H695" t="str">
            <v>102동</v>
          </cell>
          <cell r="I695">
            <v>240708</v>
          </cell>
          <cell r="J695" t="str">
            <v>102동 3층 바닥</v>
          </cell>
          <cell r="K695">
            <v>300</v>
          </cell>
          <cell r="L695">
            <v>299</v>
          </cell>
          <cell r="M695">
            <v>3018</v>
          </cell>
          <cell r="N695" t="str">
            <v>대공</v>
          </cell>
          <cell r="O695" t="str">
            <v>펌프카(1대)</v>
          </cell>
          <cell r="P695">
            <v>1144</v>
          </cell>
          <cell r="Q695">
            <v>1756</v>
          </cell>
          <cell r="R695">
            <v>180</v>
          </cell>
          <cell r="S695">
            <v>46</v>
          </cell>
          <cell r="T695">
            <v>21</v>
          </cell>
          <cell r="U695">
            <v>201</v>
          </cell>
          <cell r="V695"/>
          <cell r="W695" t="str">
            <v>박순홍</v>
          </cell>
          <cell r="X695" t="str">
            <v>(인)</v>
          </cell>
          <cell r="Y695" t="str">
            <v>박순홍</v>
          </cell>
          <cell r="Z695" t="str">
            <v>(인)</v>
          </cell>
          <cell r="AA695" t="str">
            <v>이홍걸</v>
          </cell>
          <cell r="AB695" t="str">
            <v>(인)</v>
          </cell>
          <cell r="AC695" t="str">
            <v>이홍걸</v>
          </cell>
          <cell r="AD695" t="str">
            <v>(인)</v>
          </cell>
          <cell r="AE695">
            <v>179.4</v>
          </cell>
          <cell r="AF695" t="str">
            <v>표준</v>
          </cell>
          <cell r="AG695">
            <v>2</v>
          </cell>
          <cell r="AH695">
            <v>0</v>
          </cell>
        </row>
        <row r="696">
          <cell r="G696">
            <v>2407080303</v>
          </cell>
          <cell r="H696" t="str">
            <v>102동</v>
          </cell>
          <cell r="I696">
            <v>240708</v>
          </cell>
          <cell r="J696" t="str">
            <v>102동 3층 바닥</v>
          </cell>
          <cell r="K696">
            <v>300</v>
          </cell>
          <cell r="L696">
            <v>299</v>
          </cell>
          <cell r="M696">
            <v>3018</v>
          </cell>
          <cell r="N696" t="str">
            <v>대공</v>
          </cell>
          <cell r="O696" t="str">
            <v>펌프카(1대)</v>
          </cell>
          <cell r="P696">
            <v>1144</v>
          </cell>
          <cell r="Q696">
            <v>1756</v>
          </cell>
          <cell r="R696">
            <v>190</v>
          </cell>
          <cell r="S696">
            <v>39</v>
          </cell>
          <cell r="T696">
            <v>30</v>
          </cell>
          <cell r="U696">
            <v>204</v>
          </cell>
          <cell r="V696"/>
          <cell r="W696" t="str">
            <v>박순홍</v>
          </cell>
          <cell r="X696" t="str">
            <v>(인)</v>
          </cell>
          <cell r="Y696" t="str">
            <v>박순홍</v>
          </cell>
          <cell r="Z696" t="str">
            <v>(인)</v>
          </cell>
          <cell r="AA696" t="str">
            <v>이홍걸</v>
          </cell>
          <cell r="AB696" t="str">
            <v>(인)</v>
          </cell>
          <cell r="AC696" t="str">
            <v>이홍걸</v>
          </cell>
          <cell r="AD696" t="str">
            <v>(인)</v>
          </cell>
          <cell r="AE696">
            <v>175</v>
          </cell>
          <cell r="AF696" t="str">
            <v>표준</v>
          </cell>
          <cell r="AG696">
            <v>3</v>
          </cell>
          <cell r="AH696">
            <v>0</v>
          </cell>
        </row>
        <row r="697">
          <cell r="G697">
            <v>2407080401</v>
          </cell>
          <cell r="H697" t="str">
            <v>105동</v>
          </cell>
          <cell r="I697">
            <v>240708</v>
          </cell>
          <cell r="J697" t="str">
            <v>105동 8층 바닥</v>
          </cell>
          <cell r="K697">
            <v>290</v>
          </cell>
          <cell r="L697">
            <v>288</v>
          </cell>
          <cell r="M697">
            <v>3018</v>
          </cell>
          <cell r="N697" t="str">
            <v>동양</v>
          </cell>
          <cell r="O697" t="str">
            <v>펌프카(1대)</v>
          </cell>
          <cell r="P697">
            <v>1310</v>
          </cell>
          <cell r="Q697">
            <v>1640</v>
          </cell>
          <cell r="R697">
            <v>180</v>
          </cell>
          <cell r="S697">
            <v>39</v>
          </cell>
          <cell r="T697">
            <v>50</v>
          </cell>
          <cell r="U697">
            <v>213</v>
          </cell>
          <cell r="V697"/>
          <cell r="W697" t="str">
            <v>박순홍</v>
          </cell>
          <cell r="X697" t="str">
            <v>(인)</v>
          </cell>
          <cell r="Y697" t="str">
            <v>박순홍</v>
          </cell>
          <cell r="Z697" t="str">
            <v>(인)</v>
          </cell>
          <cell r="AA697" t="str">
            <v>장덕만</v>
          </cell>
          <cell r="AB697" t="str">
            <v>(인)</v>
          </cell>
          <cell r="AC697" t="str">
            <v>이홍걸</v>
          </cell>
          <cell r="AD697" t="str">
            <v>(인)</v>
          </cell>
          <cell r="AE697">
            <v>192.4</v>
          </cell>
          <cell r="AF697" t="str">
            <v>표준</v>
          </cell>
          <cell r="AG697">
            <v>1</v>
          </cell>
          <cell r="AH697">
            <v>1</v>
          </cell>
          <cell r="AI697">
            <v>2869</v>
          </cell>
          <cell r="AJ697">
            <v>2836</v>
          </cell>
          <cell r="AK697">
            <v>224000</v>
          </cell>
          <cell r="AL697">
            <v>3822</v>
          </cell>
          <cell r="AM697">
            <v>3789</v>
          </cell>
          <cell r="AN697">
            <v>3794</v>
          </cell>
          <cell r="AO697">
            <v>3692</v>
          </cell>
          <cell r="AP697">
            <v>3894</v>
          </cell>
          <cell r="AQ697">
            <v>3872</v>
          </cell>
          <cell r="AR697">
            <v>3926</v>
          </cell>
          <cell r="AS697">
            <v>3704</v>
          </cell>
          <cell r="AT697">
            <v>284200</v>
          </cell>
        </row>
        <row r="698">
          <cell r="G698">
            <v>2407080402</v>
          </cell>
          <cell r="H698" t="str">
            <v>105동</v>
          </cell>
          <cell r="I698">
            <v>240708</v>
          </cell>
          <cell r="J698" t="str">
            <v>105동 8층 바닥</v>
          </cell>
          <cell r="K698">
            <v>290</v>
          </cell>
          <cell r="L698">
            <v>288</v>
          </cell>
          <cell r="M698">
            <v>3018</v>
          </cell>
          <cell r="N698" t="str">
            <v>동양</v>
          </cell>
          <cell r="O698" t="str">
            <v>펌프카(1대)</v>
          </cell>
          <cell r="P698">
            <v>1310</v>
          </cell>
          <cell r="Q698">
            <v>1640</v>
          </cell>
          <cell r="R698">
            <v>185</v>
          </cell>
          <cell r="S698">
            <v>44</v>
          </cell>
          <cell r="T698">
            <v>15</v>
          </cell>
          <cell r="U698">
            <v>189</v>
          </cell>
          <cell r="V698"/>
          <cell r="W698" t="str">
            <v>박순홍</v>
          </cell>
          <cell r="X698" t="str">
            <v>(인)</v>
          </cell>
          <cell r="Y698" t="str">
            <v>박순홍</v>
          </cell>
          <cell r="Z698" t="str">
            <v>(인)</v>
          </cell>
          <cell r="AA698" t="str">
            <v>장덕만</v>
          </cell>
          <cell r="AB698" t="str">
            <v>(인)</v>
          </cell>
          <cell r="AC698" t="str">
            <v>이홍걸</v>
          </cell>
          <cell r="AD698" t="str">
            <v>(인)</v>
          </cell>
          <cell r="AE698">
            <v>189.7</v>
          </cell>
          <cell r="AF698" t="str">
            <v>표준</v>
          </cell>
          <cell r="AG698">
            <v>2</v>
          </cell>
          <cell r="AH698">
            <v>0</v>
          </cell>
        </row>
        <row r="699">
          <cell r="G699">
            <v>2407080403</v>
          </cell>
          <cell r="H699" t="str">
            <v>105동</v>
          </cell>
          <cell r="I699">
            <v>240708</v>
          </cell>
          <cell r="J699" t="str">
            <v>105동 8층 바닥</v>
          </cell>
          <cell r="K699">
            <v>290</v>
          </cell>
          <cell r="L699">
            <v>288</v>
          </cell>
          <cell r="M699">
            <v>3018</v>
          </cell>
          <cell r="N699" t="str">
            <v>동양</v>
          </cell>
          <cell r="O699" t="str">
            <v>펌프카(1대)</v>
          </cell>
          <cell r="P699">
            <v>1310</v>
          </cell>
          <cell r="Q699">
            <v>1640</v>
          </cell>
          <cell r="R699">
            <v>195</v>
          </cell>
          <cell r="S699">
            <v>46</v>
          </cell>
          <cell r="T699">
            <v>19</v>
          </cell>
          <cell r="U699">
            <v>208</v>
          </cell>
          <cell r="V699"/>
          <cell r="W699" t="str">
            <v>박순홍</v>
          </cell>
          <cell r="X699" t="str">
            <v>(인)</v>
          </cell>
          <cell r="Y699" t="str">
            <v>박순홍</v>
          </cell>
          <cell r="Z699" t="str">
            <v>(인)</v>
          </cell>
          <cell r="AA699" t="str">
            <v>장덕만</v>
          </cell>
          <cell r="AB699" t="str">
            <v>(인)</v>
          </cell>
          <cell r="AC699" t="str">
            <v>이홍걸</v>
          </cell>
          <cell r="AD699" t="str">
            <v>(인)</v>
          </cell>
          <cell r="AE699">
            <v>194.2</v>
          </cell>
          <cell r="AF699" t="str">
            <v>표준</v>
          </cell>
          <cell r="AG699">
            <v>3</v>
          </cell>
          <cell r="AH699">
            <v>0</v>
          </cell>
        </row>
        <row r="700">
          <cell r="G700">
            <v>2407080501</v>
          </cell>
          <cell r="H700" t="str">
            <v>113동</v>
          </cell>
          <cell r="I700">
            <v>240708</v>
          </cell>
          <cell r="J700" t="str">
            <v>113동 1층 바닥</v>
          </cell>
          <cell r="K700">
            <v>350</v>
          </cell>
          <cell r="L700">
            <v>348</v>
          </cell>
          <cell r="M700">
            <v>3015</v>
          </cell>
          <cell r="N700" t="str">
            <v>용호</v>
          </cell>
          <cell r="O700" t="str">
            <v>펌프카(1대)</v>
          </cell>
          <cell r="P700">
            <v>916</v>
          </cell>
          <cell r="Q700">
            <v>1450</v>
          </cell>
          <cell r="R700">
            <v>155</v>
          </cell>
          <cell r="S700">
            <v>43</v>
          </cell>
          <cell r="T700">
            <v>38</v>
          </cell>
          <cell r="U700">
            <v>209</v>
          </cell>
          <cell r="V700"/>
          <cell r="W700" t="str">
            <v>박순홍</v>
          </cell>
          <cell r="X700" t="str">
            <v>(인)</v>
          </cell>
          <cell r="Y700" t="str">
            <v>박순홍</v>
          </cell>
          <cell r="Z700" t="str">
            <v>(인)</v>
          </cell>
          <cell r="AA700" t="str">
            <v>김만고</v>
          </cell>
          <cell r="AB700" t="str">
            <v>(인)</v>
          </cell>
          <cell r="AC700" t="str">
            <v>김만고</v>
          </cell>
          <cell r="AD700" t="str">
            <v>(인)</v>
          </cell>
          <cell r="AE700">
            <v>179.4</v>
          </cell>
          <cell r="AF700" t="str">
            <v>표준</v>
          </cell>
          <cell r="AG700">
            <v>1</v>
          </cell>
          <cell r="AH700">
            <v>1</v>
          </cell>
          <cell r="AI700">
            <v>2791</v>
          </cell>
          <cell r="AJ700">
            <v>2768</v>
          </cell>
          <cell r="AK700">
            <v>220600</v>
          </cell>
          <cell r="AL700">
            <v>3768</v>
          </cell>
          <cell r="AM700">
            <v>3939</v>
          </cell>
          <cell r="AN700">
            <v>3967</v>
          </cell>
          <cell r="AO700">
            <v>3845</v>
          </cell>
          <cell r="AP700">
            <v>3893</v>
          </cell>
          <cell r="AQ700">
            <v>3794</v>
          </cell>
          <cell r="AR700">
            <v>3862</v>
          </cell>
          <cell r="AS700">
            <v>3739</v>
          </cell>
          <cell r="AT700">
            <v>307800</v>
          </cell>
        </row>
        <row r="701">
          <cell r="G701">
            <v>2407080502</v>
          </cell>
          <cell r="H701" t="str">
            <v>113동</v>
          </cell>
          <cell r="I701">
            <v>240708</v>
          </cell>
          <cell r="J701" t="str">
            <v>113동 1층 바닥</v>
          </cell>
          <cell r="K701">
            <v>350</v>
          </cell>
          <cell r="L701">
            <v>348</v>
          </cell>
          <cell r="M701">
            <v>3015</v>
          </cell>
          <cell r="N701" t="str">
            <v>용호</v>
          </cell>
          <cell r="O701" t="str">
            <v>펌프카(1대)</v>
          </cell>
          <cell r="P701">
            <v>916</v>
          </cell>
          <cell r="Q701">
            <v>1450</v>
          </cell>
          <cell r="R701">
            <v>160</v>
          </cell>
          <cell r="S701">
            <v>50</v>
          </cell>
          <cell r="T701">
            <v>25</v>
          </cell>
          <cell r="U701">
            <v>213</v>
          </cell>
          <cell r="V701"/>
          <cell r="W701" t="str">
            <v>박순홍</v>
          </cell>
          <cell r="X701" t="str">
            <v>(인)</v>
          </cell>
          <cell r="Y701" t="str">
            <v>박순홍</v>
          </cell>
          <cell r="Z701" t="str">
            <v>(인)</v>
          </cell>
          <cell r="AA701" t="str">
            <v>김만고</v>
          </cell>
          <cell r="AB701" t="str">
            <v>(인)</v>
          </cell>
          <cell r="AC701" t="str">
            <v>김만고</v>
          </cell>
          <cell r="AD701" t="str">
            <v>(인)</v>
          </cell>
          <cell r="AE701">
            <v>179.5</v>
          </cell>
          <cell r="AF701" t="str">
            <v>표준</v>
          </cell>
          <cell r="AG701">
            <v>2</v>
          </cell>
          <cell r="AH701">
            <v>0</v>
          </cell>
        </row>
        <row r="702">
          <cell r="G702">
            <v>2407080503</v>
          </cell>
          <cell r="H702" t="str">
            <v>113동</v>
          </cell>
          <cell r="I702">
            <v>240708</v>
          </cell>
          <cell r="J702" t="str">
            <v>113동 1층 바닥</v>
          </cell>
          <cell r="K702">
            <v>350</v>
          </cell>
          <cell r="L702">
            <v>348</v>
          </cell>
          <cell r="M702">
            <v>3015</v>
          </cell>
          <cell r="N702" t="str">
            <v>용호</v>
          </cell>
          <cell r="O702" t="str">
            <v>펌프카(1대)</v>
          </cell>
          <cell r="P702">
            <v>916</v>
          </cell>
          <cell r="Q702">
            <v>1450</v>
          </cell>
          <cell r="R702">
            <v>170</v>
          </cell>
          <cell r="S702">
            <v>41</v>
          </cell>
          <cell r="T702">
            <v>20</v>
          </cell>
          <cell r="U702">
            <v>221</v>
          </cell>
          <cell r="V702"/>
          <cell r="W702" t="str">
            <v>박순홍</v>
          </cell>
          <cell r="X702" t="str">
            <v>(인)</v>
          </cell>
          <cell r="Y702" t="str">
            <v>박순홍</v>
          </cell>
          <cell r="Z702" t="str">
            <v>(인)</v>
          </cell>
          <cell r="AA702" t="str">
            <v>김만고</v>
          </cell>
          <cell r="AB702" t="str">
            <v>(인)</v>
          </cell>
          <cell r="AC702" t="str">
            <v>김만고</v>
          </cell>
          <cell r="AD702" t="str">
            <v>(인)</v>
          </cell>
          <cell r="AE702">
            <v>179.3</v>
          </cell>
          <cell r="AF702" t="str">
            <v>표준</v>
          </cell>
          <cell r="AG702">
            <v>3</v>
          </cell>
          <cell r="AH702">
            <v>0</v>
          </cell>
        </row>
        <row r="703">
          <cell r="G703">
            <v>2407080601</v>
          </cell>
          <cell r="H703" t="str">
            <v>120동</v>
          </cell>
          <cell r="I703">
            <v>240708</v>
          </cell>
          <cell r="J703" t="str">
            <v>M,K,T구간 버림</v>
          </cell>
          <cell r="K703">
            <v>120</v>
          </cell>
          <cell r="L703">
            <v>116</v>
          </cell>
          <cell r="M703">
            <v>1812</v>
          </cell>
          <cell r="N703" t="str">
            <v>대공</v>
          </cell>
          <cell r="O703" t="str">
            <v>펌프카(1대)</v>
          </cell>
          <cell r="P703">
            <v>1408</v>
          </cell>
          <cell r="Q703">
            <v>1728</v>
          </cell>
          <cell r="R703">
            <v>125</v>
          </cell>
          <cell r="S703">
            <v>42</v>
          </cell>
          <cell r="T703">
            <v>27</v>
          </cell>
          <cell r="U703">
            <v>212</v>
          </cell>
          <cell r="V703"/>
          <cell r="W703" t="str">
            <v>박순홍</v>
          </cell>
          <cell r="X703" t="str">
            <v>(인)</v>
          </cell>
          <cell r="Y703" t="str">
            <v>박순홍</v>
          </cell>
          <cell r="Z703" t="str">
            <v>(인)</v>
          </cell>
          <cell r="AA703" t="str">
            <v>박정환</v>
          </cell>
          <cell r="AB703" t="str">
            <v>(인)</v>
          </cell>
          <cell r="AC703" t="str">
            <v>김만고</v>
          </cell>
          <cell r="AD703" t="str">
            <v>(인)</v>
          </cell>
          <cell r="AE703">
            <v>172.5</v>
          </cell>
          <cell r="AF703" t="str">
            <v>표준</v>
          </cell>
          <cell r="AG703">
            <v>1</v>
          </cell>
          <cell r="AH703">
            <v>1</v>
          </cell>
          <cell r="AI703">
            <v>1710</v>
          </cell>
          <cell r="AJ703">
            <v>1682</v>
          </cell>
          <cell r="AK703">
            <v>133800</v>
          </cell>
          <cell r="AL703">
            <v>2307</v>
          </cell>
          <cell r="AM703">
            <v>2392</v>
          </cell>
          <cell r="AN703">
            <v>2401</v>
          </cell>
          <cell r="AO703">
            <v>2370</v>
          </cell>
          <cell r="AP703">
            <v>2182</v>
          </cell>
          <cell r="AQ703">
            <v>2206</v>
          </cell>
          <cell r="AR703">
            <v>2307</v>
          </cell>
          <cell r="AS703">
            <v>2209</v>
          </cell>
          <cell r="AT703">
            <v>184800</v>
          </cell>
        </row>
        <row r="704">
          <cell r="G704">
            <v>2407080701</v>
          </cell>
          <cell r="H704" t="str">
            <v>120동</v>
          </cell>
          <cell r="I704">
            <v>240708</v>
          </cell>
          <cell r="J704" t="str">
            <v>M,K,T구간 버림</v>
          </cell>
          <cell r="K704">
            <v>110</v>
          </cell>
          <cell r="L704">
            <v>108</v>
          </cell>
          <cell r="M704">
            <v>1812</v>
          </cell>
          <cell r="N704" t="str">
            <v>용호</v>
          </cell>
          <cell r="O704" t="str">
            <v>펌프카(1대)</v>
          </cell>
          <cell r="P704">
            <v>1500</v>
          </cell>
          <cell r="Q704">
            <v>1708</v>
          </cell>
          <cell r="R704">
            <v>140</v>
          </cell>
          <cell r="S704">
            <v>49</v>
          </cell>
          <cell r="T704">
            <v>24</v>
          </cell>
          <cell r="U704">
            <v>227</v>
          </cell>
          <cell r="V704"/>
          <cell r="W704" t="str">
            <v>박순홍</v>
          </cell>
          <cell r="X704" t="str">
            <v>(인)</v>
          </cell>
          <cell r="Y704" t="str">
            <v>박순홍</v>
          </cell>
          <cell r="Z704" t="str">
            <v>(인)</v>
          </cell>
          <cell r="AA704" t="str">
            <v>박정환</v>
          </cell>
          <cell r="AB704" t="str">
            <v>(인)</v>
          </cell>
          <cell r="AC704" t="str">
            <v>김만고</v>
          </cell>
          <cell r="AD704" t="str">
            <v>(인)</v>
          </cell>
          <cell r="AE704">
            <v>174.4</v>
          </cell>
          <cell r="AF704" t="str">
            <v>표준</v>
          </cell>
          <cell r="AG704">
            <v>1</v>
          </cell>
          <cell r="AH704">
            <v>1</v>
          </cell>
          <cell r="AI704">
            <v>1713</v>
          </cell>
          <cell r="AJ704">
            <v>1682</v>
          </cell>
          <cell r="AK704">
            <v>133200</v>
          </cell>
          <cell r="AL704">
            <v>2571</v>
          </cell>
          <cell r="AM704">
            <v>2319</v>
          </cell>
          <cell r="AN704">
            <v>2281</v>
          </cell>
          <cell r="AO704">
            <v>2375</v>
          </cell>
          <cell r="AP704">
            <v>2225</v>
          </cell>
          <cell r="AQ704">
            <v>2304</v>
          </cell>
          <cell r="AR704">
            <v>2209</v>
          </cell>
          <cell r="AS704">
            <v>2312</v>
          </cell>
          <cell r="AT704">
            <v>178400</v>
          </cell>
        </row>
        <row r="705">
          <cell r="G705">
            <v>2407110101</v>
          </cell>
          <cell r="H705" t="str">
            <v>108동</v>
          </cell>
          <cell r="I705">
            <v>240711</v>
          </cell>
          <cell r="J705" t="str">
            <v>6-1, 6-2 구간</v>
          </cell>
          <cell r="K705">
            <v>190</v>
          </cell>
          <cell r="L705">
            <v>186</v>
          </cell>
          <cell r="M705">
            <v>2715</v>
          </cell>
          <cell r="N705" t="str">
            <v>신우</v>
          </cell>
          <cell r="O705" t="str">
            <v>펌프카(1대)</v>
          </cell>
          <cell r="P705">
            <v>929</v>
          </cell>
          <cell r="Q705">
            <v>1440</v>
          </cell>
          <cell r="R705">
            <v>160</v>
          </cell>
          <cell r="S705">
            <v>37</v>
          </cell>
          <cell r="T705">
            <v>67</v>
          </cell>
          <cell r="U705">
            <v>276</v>
          </cell>
          <cell r="V705"/>
          <cell r="W705" t="str">
            <v>박순홍</v>
          </cell>
          <cell r="X705" t="str">
            <v>(인)</v>
          </cell>
          <cell r="Y705" t="str">
            <v>박순홍</v>
          </cell>
          <cell r="Z705" t="str">
            <v>(인)</v>
          </cell>
          <cell r="AA705" t="str">
            <v>정창인</v>
          </cell>
          <cell r="AB705" t="str">
            <v>(인)</v>
          </cell>
          <cell r="AC705" t="str">
            <v>정창인</v>
          </cell>
          <cell r="AD705" t="str">
            <v>(인)</v>
          </cell>
          <cell r="AE705">
            <v>188.9</v>
          </cell>
          <cell r="AF705" t="str">
            <v>표준</v>
          </cell>
          <cell r="AG705">
            <v>1</v>
          </cell>
          <cell r="AH705">
            <v>1</v>
          </cell>
          <cell r="AI705">
            <v>2592</v>
          </cell>
          <cell r="AJ705">
            <v>2561</v>
          </cell>
          <cell r="AK705">
            <v>197000</v>
          </cell>
          <cell r="AL705">
            <v>3427</v>
          </cell>
          <cell r="AM705">
            <v>3580</v>
          </cell>
          <cell r="AN705">
            <v>3502</v>
          </cell>
          <cell r="AO705">
            <v>3419</v>
          </cell>
          <cell r="AP705">
            <v>3419</v>
          </cell>
          <cell r="AQ705">
            <v>3506</v>
          </cell>
          <cell r="AR705">
            <v>3427</v>
          </cell>
          <cell r="AS705">
            <v>3519</v>
          </cell>
          <cell r="AT705">
            <v>274600</v>
          </cell>
        </row>
        <row r="706">
          <cell r="G706">
            <v>2407110102</v>
          </cell>
          <cell r="H706" t="str">
            <v>108동</v>
          </cell>
          <cell r="I706">
            <v>240711</v>
          </cell>
          <cell r="J706" t="str">
            <v>6-1, 6-2 구간</v>
          </cell>
          <cell r="K706">
            <v>190</v>
          </cell>
          <cell r="L706">
            <v>186</v>
          </cell>
          <cell r="M706">
            <v>2715</v>
          </cell>
          <cell r="N706" t="str">
            <v>신우</v>
          </cell>
          <cell r="O706" t="str">
            <v>펌프카(1대)</v>
          </cell>
          <cell r="P706">
            <v>929</v>
          </cell>
          <cell r="Q706">
            <v>1440</v>
          </cell>
          <cell r="R706">
            <v>140</v>
          </cell>
          <cell r="S706">
            <v>40</v>
          </cell>
          <cell r="T706">
            <v>46</v>
          </cell>
          <cell r="U706">
            <v>226</v>
          </cell>
          <cell r="V706"/>
          <cell r="W706" t="str">
            <v>박순홍</v>
          </cell>
          <cell r="X706" t="str">
            <v>(인)</v>
          </cell>
          <cell r="Y706" t="str">
            <v>박순홍</v>
          </cell>
          <cell r="Z706" t="str">
            <v>(인)</v>
          </cell>
          <cell r="AA706" t="str">
            <v>정창인</v>
          </cell>
          <cell r="AB706" t="str">
            <v>(인)</v>
          </cell>
          <cell r="AC706" t="str">
            <v>정창인</v>
          </cell>
          <cell r="AD706" t="str">
            <v>(인)</v>
          </cell>
          <cell r="AE706">
            <v>189.1</v>
          </cell>
          <cell r="AF706" t="str">
            <v>표준</v>
          </cell>
          <cell r="AG706">
            <v>2</v>
          </cell>
          <cell r="AH706">
            <v>0</v>
          </cell>
        </row>
        <row r="707">
          <cell r="G707">
            <v>2407110201</v>
          </cell>
          <cell r="H707" t="str">
            <v>120동</v>
          </cell>
          <cell r="I707">
            <v>240711</v>
          </cell>
          <cell r="J707" t="str">
            <v>120동 기초 2차</v>
          </cell>
          <cell r="K707">
            <v>450</v>
          </cell>
          <cell r="L707">
            <v>456</v>
          </cell>
          <cell r="M707">
            <v>2415</v>
          </cell>
          <cell r="N707" t="str">
            <v>영진</v>
          </cell>
          <cell r="O707" t="str">
            <v>펌프카(1대)</v>
          </cell>
          <cell r="P707">
            <v>740</v>
          </cell>
          <cell r="Q707">
            <v>1329</v>
          </cell>
          <cell r="R707">
            <v>150</v>
          </cell>
          <cell r="S707">
            <v>40</v>
          </cell>
          <cell r="T707">
            <v>18</v>
          </cell>
          <cell r="U707">
            <v>236</v>
          </cell>
          <cell r="V707"/>
          <cell r="W707" t="str">
            <v>박순홍</v>
          </cell>
          <cell r="X707" t="str">
            <v>(인)</v>
          </cell>
          <cell r="Y707" t="str">
            <v>박순홍</v>
          </cell>
          <cell r="Z707" t="str">
            <v>(인)</v>
          </cell>
          <cell r="AA707" t="str">
            <v>박정환</v>
          </cell>
          <cell r="AB707" t="str">
            <v>(인)</v>
          </cell>
          <cell r="AC707" t="str">
            <v>박정환</v>
          </cell>
          <cell r="AD707" t="str">
            <v>(인)</v>
          </cell>
          <cell r="AE707">
            <v>170.2</v>
          </cell>
          <cell r="AF707" t="str">
            <v>표준</v>
          </cell>
          <cell r="AG707">
            <v>1</v>
          </cell>
          <cell r="AH707">
            <v>1</v>
          </cell>
          <cell r="AI707">
            <v>2342</v>
          </cell>
          <cell r="AJ707">
            <v>2363</v>
          </cell>
          <cell r="AK707">
            <v>182800</v>
          </cell>
          <cell r="AL707">
            <v>3034</v>
          </cell>
          <cell r="AM707">
            <v>2966</v>
          </cell>
          <cell r="AN707">
            <v>3065</v>
          </cell>
          <cell r="AO707">
            <v>3071</v>
          </cell>
          <cell r="AP707">
            <v>3104</v>
          </cell>
          <cell r="AQ707">
            <v>3084</v>
          </cell>
          <cell r="AR707">
            <v>3096</v>
          </cell>
          <cell r="AS707">
            <v>3088</v>
          </cell>
          <cell r="AT707">
            <v>238800</v>
          </cell>
        </row>
        <row r="708">
          <cell r="G708">
            <v>2407110202</v>
          </cell>
          <cell r="H708" t="str">
            <v>120동</v>
          </cell>
          <cell r="I708">
            <v>240711</v>
          </cell>
          <cell r="J708" t="str">
            <v>120동 기초 2차</v>
          </cell>
          <cell r="K708">
            <v>450</v>
          </cell>
          <cell r="L708">
            <v>456</v>
          </cell>
          <cell r="M708">
            <v>2415</v>
          </cell>
          <cell r="N708" t="str">
            <v>영진</v>
          </cell>
          <cell r="O708" t="str">
            <v>펌프카(1대)</v>
          </cell>
          <cell r="P708">
            <v>740</v>
          </cell>
          <cell r="Q708">
            <v>1329</v>
          </cell>
          <cell r="R708">
            <v>160</v>
          </cell>
          <cell r="S708">
            <v>45</v>
          </cell>
          <cell r="T708">
            <v>30</v>
          </cell>
          <cell r="U708">
            <v>261</v>
          </cell>
          <cell r="V708"/>
          <cell r="W708" t="str">
            <v>박순홍</v>
          </cell>
          <cell r="X708" t="str">
            <v>(인)</v>
          </cell>
          <cell r="Y708" t="str">
            <v>박순홍</v>
          </cell>
          <cell r="Z708" t="str">
            <v>(인)</v>
          </cell>
          <cell r="AA708" t="str">
            <v>박정환</v>
          </cell>
          <cell r="AB708" t="str">
            <v>(인)</v>
          </cell>
          <cell r="AC708" t="str">
            <v>박정환</v>
          </cell>
          <cell r="AD708" t="str">
            <v>(인)</v>
          </cell>
          <cell r="AE708">
            <v>171.9</v>
          </cell>
          <cell r="AF708" t="str">
            <v>표준</v>
          </cell>
          <cell r="AG708">
            <v>2</v>
          </cell>
          <cell r="AH708">
            <v>0</v>
          </cell>
        </row>
        <row r="709">
          <cell r="G709">
            <v>2407110203</v>
          </cell>
          <cell r="H709" t="str">
            <v>120동</v>
          </cell>
          <cell r="I709">
            <v>240711</v>
          </cell>
          <cell r="J709" t="str">
            <v>120동 기초 2차</v>
          </cell>
          <cell r="K709">
            <v>450</v>
          </cell>
          <cell r="L709">
            <v>456</v>
          </cell>
          <cell r="M709">
            <v>2415</v>
          </cell>
          <cell r="N709" t="str">
            <v>영진</v>
          </cell>
          <cell r="O709" t="str">
            <v>펌프카(1대)</v>
          </cell>
          <cell r="P709">
            <v>740</v>
          </cell>
          <cell r="Q709">
            <v>1329</v>
          </cell>
          <cell r="R709">
            <v>165</v>
          </cell>
          <cell r="S709">
            <v>50</v>
          </cell>
          <cell r="T709">
            <v>33</v>
          </cell>
          <cell r="U709">
            <v>259</v>
          </cell>
          <cell r="V709"/>
          <cell r="W709" t="str">
            <v>박순홍</v>
          </cell>
          <cell r="X709" t="str">
            <v>(인)</v>
          </cell>
          <cell r="Y709" t="str">
            <v>박순홍</v>
          </cell>
          <cell r="Z709" t="str">
            <v>(인)</v>
          </cell>
          <cell r="AA709" t="str">
            <v>박정환</v>
          </cell>
          <cell r="AB709" t="str">
            <v>(인)</v>
          </cell>
          <cell r="AC709" t="str">
            <v>박정환</v>
          </cell>
          <cell r="AD709" t="str">
            <v>(인)</v>
          </cell>
          <cell r="AE709">
            <v>179.8</v>
          </cell>
          <cell r="AF709" t="str">
            <v>표준</v>
          </cell>
          <cell r="AG709">
            <v>3</v>
          </cell>
          <cell r="AH709">
            <v>0</v>
          </cell>
        </row>
        <row r="710">
          <cell r="G710">
            <v>2407110204</v>
          </cell>
          <cell r="H710" t="str">
            <v>120동</v>
          </cell>
          <cell r="I710">
            <v>240711</v>
          </cell>
          <cell r="J710" t="str">
            <v>120동 기초 2차</v>
          </cell>
          <cell r="K710">
            <v>450</v>
          </cell>
          <cell r="L710">
            <v>456</v>
          </cell>
          <cell r="M710">
            <v>2415</v>
          </cell>
          <cell r="N710" t="str">
            <v>영진</v>
          </cell>
          <cell r="O710" t="str">
            <v>펌프카(1대)</v>
          </cell>
          <cell r="P710">
            <v>740</v>
          </cell>
          <cell r="Q710">
            <v>1329</v>
          </cell>
          <cell r="R710">
            <v>150</v>
          </cell>
          <cell r="S710">
            <v>41</v>
          </cell>
          <cell r="T710">
            <v>34</v>
          </cell>
          <cell r="U710">
            <v>270</v>
          </cell>
          <cell r="V710"/>
          <cell r="W710" t="str">
            <v>박순홍</v>
          </cell>
          <cell r="X710" t="str">
            <v>(인)</v>
          </cell>
          <cell r="Y710" t="str">
            <v>박순홍</v>
          </cell>
          <cell r="Z710" t="str">
            <v>(인)</v>
          </cell>
          <cell r="AA710" t="str">
            <v>박정환</v>
          </cell>
          <cell r="AB710" t="str">
            <v>(인)</v>
          </cell>
          <cell r="AC710" t="str">
            <v>박정환</v>
          </cell>
          <cell r="AD710" t="str">
            <v>(인)</v>
          </cell>
          <cell r="AE710">
            <v>167.5</v>
          </cell>
          <cell r="AF710" t="str">
            <v>표준</v>
          </cell>
          <cell r="AG710">
            <v>4</v>
          </cell>
          <cell r="AH710">
            <v>1</v>
          </cell>
          <cell r="AL710">
            <v>3103</v>
          </cell>
          <cell r="AM710">
            <v>3162</v>
          </cell>
          <cell r="AN710">
            <v>3204</v>
          </cell>
          <cell r="AO710">
            <v>3104</v>
          </cell>
          <cell r="AP710">
            <v>3096</v>
          </cell>
          <cell r="AQ710">
            <v>3088</v>
          </cell>
          <cell r="AR710">
            <v>3096</v>
          </cell>
          <cell r="AS710">
            <v>3104</v>
          </cell>
          <cell r="AT710">
            <v>250800</v>
          </cell>
        </row>
        <row r="711">
          <cell r="G711">
            <v>2407110301</v>
          </cell>
          <cell r="H711" t="str">
            <v>114동</v>
          </cell>
          <cell r="I711">
            <v>240711</v>
          </cell>
          <cell r="J711" t="str">
            <v>기계실, 발전기실 1차</v>
          </cell>
          <cell r="K711">
            <v>280</v>
          </cell>
          <cell r="L711">
            <v>281</v>
          </cell>
          <cell r="M711">
            <v>2715</v>
          </cell>
          <cell r="N711" t="str">
            <v>한진</v>
          </cell>
          <cell r="O711" t="str">
            <v>펌프카(1대)</v>
          </cell>
          <cell r="P711">
            <v>832</v>
          </cell>
          <cell r="Q711">
            <v>1440</v>
          </cell>
          <cell r="R711">
            <v>150</v>
          </cell>
          <cell r="S711">
            <v>45</v>
          </cell>
          <cell r="T711">
            <v>79</v>
          </cell>
          <cell r="U711">
            <v>231</v>
          </cell>
          <cell r="V711"/>
          <cell r="W711" t="str">
            <v>박순홍</v>
          </cell>
          <cell r="X711" t="str">
            <v>(인)</v>
          </cell>
          <cell r="Y711" t="str">
            <v>박순홍</v>
          </cell>
          <cell r="Z711" t="str">
            <v>(인)</v>
          </cell>
          <cell r="AA711" t="str">
            <v>김만고</v>
          </cell>
          <cell r="AB711" t="str">
            <v>(인)</v>
          </cell>
          <cell r="AC711" t="str">
            <v>김만고</v>
          </cell>
          <cell r="AD711" t="str">
            <v>(인)</v>
          </cell>
          <cell r="AE711">
            <v>180.5</v>
          </cell>
          <cell r="AF711" t="str">
            <v>표준</v>
          </cell>
          <cell r="AG711">
            <v>1</v>
          </cell>
          <cell r="AH711">
            <v>1</v>
          </cell>
          <cell r="AI711">
            <v>2655</v>
          </cell>
          <cell r="AJ711">
            <v>2913</v>
          </cell>
          <cell r="AK711">
            <v>212800</v>
          </cell>
          <cell r="AL711">
            <v>3919</v>
          </cell>
          <cell r="AM711">
            <v>3934</v>
          </cell>
          <cell r="AN711">
            <v>3865</v>
          </cell>
          <cell r="AO711">
            <v>3801</v>
          </cell>
          <cell r="AP711">
            <v>3717</v>
          </cell>
          <cell r="AQ711">
            <v>3829</v>
          </cell>
          <cell r="AR711">
            <v>4034</v>
          </cell>
          <cell r="AS711">
            <v>4016</v>
          </cell>
          <cell r="AT711">
            <v>306400</v>
          </cell>
        </row>
        <row r="712">
          <cell r="G712">
            <v>2407110302</v>
          </cell>
          <cell r="H712" t="str">
            <v>114동</v>
          </cell>
          <cell r="I712">
            <v>240711</v>
          </cell>
          <cell r="J712" t="str">
            <v>기계실, 발전기실 1차</v>
          </cell>
          <cell r="K712">
            <v>280</v>
          </cell>
          <cell r="L712">
            <v>281</v>
          </cell>
          <cell r="M712">
            <v>2715</v>
          </cell>
          <cell r="N712" t="str">
            <v>한진</v>
          </cell>
          <cell r="O712" t="str">
            <v>펌프카(1대)</v>
          </cell>
          <cell r="P712">
            <v>832</v>
          </cell>
          <cell r="Q712">
            <v>1440</v>
          </cell>
          <cell r="R712">
            <v>160</v>
          </cell>
          <cell r="S712">
            <v>47</v>
          </cell>
          <cell r="T712">
            <v>90</v>
          </cell>
          <cell r="U712">
            <v>221</v>
          </cell>
          <cell r="V712"/>
          <cell r="W712" t="str">
            <v>박순홍</v>
          </cell>
          <cell r="X712" t="str">
            <v>(인)</v>
          </cell>
          <cell r="Y712" t="str">
            <v>박순홍</v>
          </cell>
          <cell r="Z712" t="str">
            <v>(인)</v>
          </cell>
          <cell r="AA712" t="str">
            <v>김만고</v>
          </cell>
          <cell r="AB712" t="str">
            <v>(인)</v>
          </cell>
          <cell r="AC712" t="str">
            <v>김만고</v>
          </cell>
          <cell r="AD712" t="str">
            <v>(인)</v>
          </cell>
          <cell r="AE712">
            <v>187</v>
          </cell>
          <cell r="AF712" t="str">
            <v>표준</v>
          </cell>
          <cell r="AG712">
            <v>2</v>
          </cell>
          <cell r="AH712">
            <v>0</v>
          </cell>
        </row>
        <row r="713">
          <cell r="G713">
            <v>2407110303</v>
          </cell>
          <cell r="H713" t="str">
            <v>114동</v>
          </cell>
          <cell r="I713">
            <v>240711</v>
          </cell>
          <cell r="J713" t="str">
            <v>기계실, 발전기실 1차</v>
          </cell>
          <cell r="K713">
            <v>280</v>
          </cell>
          <cell r="L713">
            <v>281</v>
          </cell>
          <cell r="M713">
            <v>2715</v>
          </cell>
          <cell r="N713" t="str">
            <v>한진</v>
          </cell>
          <cell r="O713" t="str">
            <v>펌프카(1대)</v>
          </cell>
          <cell r="P713">
            <v>832</v>
          </cell>
          <cell r="Q713">
            <v>1440</v>
          </cell>
          <cell r="R713">
            <v>160</v>
          </cell>
          <cell r="S713">
            <v>50</v>
          </cell>
          <cell r="T713">
            <v>112</v>
          </cell>
          <cell r="U713">
            <v>239</v>
          </cell>
          <cell r="V713"/>
          <cell r="W713" t="str">
            <v>박순홍</v>
          </cell>
          <cell r="X713" t="str">
            <v>(인)</v>
          </cell>
          <cell r="Y713" t="str">
            <v>박순홍</v>
          </cell>
          <cell r="Z713" t="str">
            <v>(인)</v>
          </cell>
          <cell r="AA713" t="str">
            <v>김만고</v>
          </cell>
          <cell r="AB713" t="str">
            <v>(인)</v>
          </cell>
          <cell r="AC713" t="str">
            <v>김만고</v>
          </cell>
          <cell r="AD713" t="str">
            <v>(인)</v>
          </cell>
          <cell r="AE713">
            <v>188</v>
          </cell>
          <cell r="AF713" t="str">
            <v>표준</v>
          </cell>
          <cell r="AG713">
            <v>3</v>
          </cell>
          <cell r="AH713">
            <v>0</v>
          </cell>
        </row>
        <row r="714">
          <cell r="G714">
            <v>2407120101</v>
          </cell>
          <cell r="H714" t="str">
            <v>104동</v>
          </cell>
          <cell r="I714">
            <v>240712</v>
          </cell>
          <cell r="J714" t="str">
            <v>104동 10층 바닥</v>
          </cell>
          <cell r="K714">
            <v>280</v>
          </cell>
          <cell r="L714">
            <v>277</v>
          </cell>
          <cell r="M714">
            <v>3018</v>
          </cell>
          <cell r="N714" t="str">
            <v>용호</v>
          </cell>
          <cell r="O714" t="str">
            <v>펌프카(1대)</v>
          </cell>
          <cell r="P714">
            <v>741</v>
          </cell>
          <cell r="Q714">
            <v>1116</v>
          </cell>
          <cell r="R714">
            <v>185</v>
          </cell>
          <cell r="S714">
            <v>49</v>
          </cell>
          <cell r="T714">
            <v>35</v>
          </cell>
          <cell r="U714">
            <v>245</v>
          </cell>
          <cell r="V714"/>
          <cell r="W714" t="str">
            <v>박순홍</v>
          </cell>
          <cell r="X714" t="str">
            <v>(인)</v>
          </cell>
          <cell r="Y714" t="str">
            <v>박순홍</v>
          </cell>
          <cell r="Z714" t="str">
            <v>(인)</v>
          </cell>
          <cell r="AA714" t="str">
            <v>장덕만</v>
          </cell>
          <cell r="AB714" t="str">
            <v>(인)</v>
          </cell>
          <cell r="AC714" t="str">
            <v>장덕만</v>
          </cell>
          <cell r="AD714" t="str">
            <v>(인)</v>
          </cell>
          <cell r="AE714">
            <v>180.5</v>
          </cell>
          <cell r="AF714" t="str">
            <v>표준</v>
          </cell>
          <cell r="AG714">
            <v>1</v>
          </cell>
          <cell r="AH714">
            <v>1</v>
          </cell>
          <cell r="AI714">
            <v>2806</v>
          </cell>
          <cell r="AJ714">
            <v>2824</v>
          </cell>
          <cell r="AK714">
            <v>225200</v>
          </cell>
          <cell r="AL714">
            <v>3898</v>
          </cell>
          <cell r="AM714">
            <v>4031</v>
          </cell>
          <cell r="AN714">
            <v>4015</v>
          </cell>
          <cell r="AO714">
            <v>3694</v>
          </cell>
          <cell r="AP714">
            <v>3672</v>
          </cell>
          <cell r="AQ714">
            <v>3813</v>
          </cell>
          <cell r="AR714">
            <v>3904</v>
          </cell>
          <cell r="AS714">
            <v>3721</v>
          </cell>
          <cell r="AT714">
            <v>317800</v>
          </cell>
        </row>
        <row r="715">
          <cell r="G715">
            <v>2407120102</v>
          </cell>
          <cell r="H715" t="str">
            <v>104동</v>
          </cell>
          <cell r="I715">
            <v>240712</v>
          </cell>
          <cell r="J715" t="str">
            <v>104동 10층 바닥</v>
          </cell>
          <cell r="K715">
            <v>280</v>
          </cell>
          <cell r="L715">
            <v>277</v>
          </cell>
          <cell r="M715">
            <v>3018</v>
          </cell>
          <cell r="N715" t="str">
            <v>용호</v>
          </cell>
          <cell r="O715" t="str">
            <v>펌프카(1대)</v>
          </cell>
          <cell r="P715">
            <v>741</v>
          </cell>
          <cell r="Q715">
            <v>1116</v>
          </cell>
          <cell r="R715">
            <v>190</v>
          </cell>
          <cell r="S715">
            <v>51</v>
          </cell>
          <cell r="T715">
            <v>12</v>
          </cell>
          <cell r="U715">
            <v>257</v>
          </cell>
          <cell r="V715"/>
          <cell r="W715" t="str">
            <v>박순홍</v>
          </cell>
          <cell r="X715" t="str">
            <v>(인)</v>
          </cell>
          <cell r="Y715" t="str">
            <v>박순홍</v>
          </cell>
          <cell r="Z715" t="str">
            <v>(인)</v>
          </cell>
          <cell r="AA715" t="str">
            <v>장덕만</v>
          </cell>
          <cell r="AB715" t="str">
            <v>(인)</v>
          </cell>
          <cell r="AC715" t="str">
            <v>장덕만</v>
          </cell>
          <cell r="AD715" t="str">
            <v>(인)</v>
          </cell>
          <cell r="AE715">
            <v>185.5</v>
          </cell>
          <cell r="AF715" t="str">
            <v>표준</v>
          </cell>
          <cell r="AG715">
            <v>2</v>
          </cell>
          <cell r="AH715">
            <v>0</v>
          </cell>
        </row>
        <row r="716">
          <cell r="G716">
            <v>2407120103</v>
          </cell>
          <cell r="H716" t="str">
            <v>104동</v>
          </cell>
          <cell r="I716">
            <v>240712</v>
          </cell>
          <cell r="J716" t="str">
            <v>104동 10층 바닥</v>
          </cell>
          <cell r="K716">
            <v>280</v>
          </cell>
          <cell r="L716">
            <v>277</v>
          </cell>
          <cell r="M716">
            <v>3018</v>
          </cell>
          <cell r="N716" t="str">
            <v>용호</v>
          </cell>
          <cell r="O716" t="str">
            <v>펌프카(1대)</v>
          </cell>
          <cell r="P716">
            <v>741</v>
          </cell>
          <cell r="Q716">
            <v>1116</v>
          </cell>
          <cell r="R716">
            <v>195</v>
          </cell>
          <cell r="S716">
            <v>44</v>
          </cell>
          <cell r="T716">
            <v>51</v>
          </cell>
          <cell r="U716">
            <v>262</v>
          </cell>
          <cell r="V716"/>
          <cell r="W716" t="str">
            <v>박순홍</v>
          </cell>
          <cell r="X716" t="str">
            <v>(인)</v>
          </cell>
          <cell r="Y716" t="str">
            <v>박순홍</v>
          </cell>
          <cell r="Z716" t="str">
            <v>(인)</v>
          </cell>
          <cell r="AA716" t="str">
            <v>장덕만</v>
          </cell>
          <cell r="AB716" t="str">
            <v>(인)</v>
          </cell>
          <cell r="AC716" t="str">
            <v>장덕만</v>
          </cell>
          <cell r="AD716" t="str">
            <v>(인)</v>
          </cell>
          <cell r="AE716">
            <v>186.3</v>
          </cell>
          <cell r="AF716" t="str">
            <v>표준</v>
          </cell>
          <cell r="AG716">
            <v>3</v>
          </cell>
          <cell r="AH716">
            <v>0</v>
          </cell>
        </row>
        <row r="717">
          <cell r="G717">
            <v>2407120201</v>
          </cell>
          <cell r="H717" t="str">
            <v>104동</v>
          </cell>
          <cell r="I717">
            <v>240712</v>
          </cell>
          <cell r="J717" t="str">
            <v>104동 주변주차장(4구간) 기초</v>
          </cell>
          <cell r="K717">
            <v>220</v>
          </cell>
          <cell r="L717">
            <v>222</v>
          </cell>
          <cell r="M717">
            <v>2415</v>
          </cell>
          <cell r="N717" t="str">
            <v>용호</v>
          </cell>
          <cell r="O717" t="str">
            <v>펌프카(1대)</v>
          </cell>
          <cell r="P717">
            <v>1145</v>
          </cell>
          <cell r="Q717">
            <v>1425</v>
          </cell>
          <cell r="R717">
            <v>170</v>
          </cell>
          <cell r="S717">
            <v>36</v>
          </cell>
          <cell r="T717">
            <v>22</v>
          </cell>
          <cell r="U717">
            <v>265</v>
          </cell>
          <cell r="V717"/>
          <cell r="W717" t="str">
            <v>박순홍</v>
          </cell>
          <cell r="X717" t="str">
            <v>(인)</v>
          </cell>
          <cell r="Y717" t="str">
            <v>박순홍</v>
          </cell>
          <cell r="Z717" t="str">
            <v>(인)</v>
          </cell>
          <cell r="AA717" t="str">
            <v>장덕만</v>
          </cell>
          <cell r="AB717" t="str">
            <v>(인)</v>
          </cell>
          <cell r="AC717" t="str">
            <v>장덕만</v>
          </cell>
          <cell r="AD717" t="str">
            <v>(인)</v>
          </cell>
          <cell r="AE717">
            <v>178.7</v>
          </cell>
          <cell r="AF717" t="str">
            <v>표준</v>
          </cell>
          <cell r="AG717">
            <v>1</v>
          </cell>
          <cell r="AH717">
            <v>1</v>
          </cell>
          <cell r="AI717">
            <v>2318</v>
          </cell>
          <cell r="AJ717">
            <v>2301</v>
          </cell>
          <cell r="AK717">
            <v>188600</v>
          </cell>
          <cell r="AL717">
            <v>2887</v>
          </cell>
          <cell r="AM717">
            <v>3137</v>
          </cell>
          <cell r="AN717">
            <v>2931</v>
          </cell>
          <cell r="AO717">
            <v>2869</v>
          </cell>
          <cell r="AP717">
            <v>3024</v>
          </cell>
          <cell r="AQ717">
            <v>3016</v>
          </cell>
          <cell r="AR717">
            <v>2912</v>
          </cell>
          <cell r="AS717">
            <v>2894</v>
          </cell>
          <cell r="AT717">
            <v>239400</v>
          </cell>
        </row>
        <row r="718">
          <cell r="G718">
            <v>2407120202</v>
          </cell>
          <cell r="H718" t="str">
            <v>104동</v>
          </cell>
          <cell r="I718">
            <v>240712</v>
          </cell>
          <cell r="J718" t="str">
            <v>104동 주변주차장(4구간) 기초</v>
          </cell>
          <cell r="K718">
            <v>220</v>
          </cell>
          <cell r="L718">
            <v>222</v>
          </cell>
          <cell r="M718">
            <v>2415</v>
          </cell>
          <cell r="N718" t="str">
            <v>용호</v>
          </cell>
          <cell r="O718" t="str">
            <v>펌프카(1대)</v>
          </cell>
          <cell r="P718">
            <v>1145</v>
          </cell>
          <cell r="Q718">
            <v>1425</v>
          </cell>
          <cell r="R718">
            <v>165</v>
          </cell>
          <cell r="S718">
            <v>46</v>
          </cell>
          <cell r="T718">
            <v>33</v>
          </cell>
          <cell r="U718">
            <v>255</v>
          </cell>
          <cell r="V718"/>
          <cell r="W718" t="str">
            <v>박순홍</v>
          </cell>
          <cell r="X718" t="str">
            <v>(인)</v>
          </cell>
          <cell r="Y718" t="str">
            <v>박순홍</v>
          </cell>
          <cell r="Z718" t="str">
            <v>(인)</v>
          </cell>
          <cell r="AA718" t="str">
            <v>장덕만</v>
          </cell>
          <cell r="AB718" t="str">
            <v>(인)</v>
          </cell>
          <cell r="AC718" t="str">
            <v>장덕만</v>
          </cell>
          <cell r="AD718" t="str">
            <v>(인)</v>
          </cell>
          <cell r="AE718">
            <v>181.4</v>
          </cell>
          <cell r="AF718" t="str">
            <v>표준</v>
          </cell>
          <cell r="AG718">
            <v>2</v>
          </cell>
          <cell r="AH718">
            <v>0</v>
          </cell>
        </row>
        <row r="719">
          <cell r="G719">
            <v>2407150101</v>
          </cell>
          <cell r="H719" t="str">
            <v>119동</v>
          </cell>
          <cell r="I719">
            <v>240715</v>
          </cell>
          <cell r="J719" t="str">
            <v>119동 버림</v>
          </cell>
          <cell r="K719">
            <v>120</v>
          </cell>
          <cell r="L719">
            <v>125</v>
          </cell>
          <cell r="M719">
            <v>1812</v>
          </cell>
          <cell r="N719" t="str">
            <v>대원</v>
          </cell>
          <cell r="O719" t="str">
            <v>펌프카(1대)</v>
          </cell>
          <cell r="P719">
            <v>1030</v>
          </cell>
          <cell r="Q719">
            <v>1258</v>
          </cell>
          <cell r="R719">
            <v>120</v>
          </cell>
          <cell r="S719">
            <v>45</v>
          </cell>
          <cell r="T719">
            <v>54</v>
          </cell>
          <cell r="U719">
            <v>170</v>
          </cell>
          <cell r="V719"/>
          <cell r="W719" t="str">
            <v>박순홍</v>
          </cell>
          <cell r="X719" t="str">
            <v>(인)</v>
          </cell>
          <cell r="Y719" t="str">
            <v>박순홍</v>
          </cell>
          <cell r="Z719" t="str">
            <v>(인)</v>
          </cell>
          <cell r="AA719" t="str">
            <v>박정환</v>
          </cell>
          <cell r="AB719" t="str">
            <v>(인)</v>
          </cell>
          <cell r="AC719" t="str">
            <v>박기원</v>
          </cell>
          <cell r="AD719" t="str">
            <v>(인)</v>
          </cell>
          <cell r="AE719">
            <v>176.7</v>
          </cell>
          <cell r="AF719" t="str">
            <v>표준</v>
          </cell>
          <cell r="AG719">
            <v>1</v>
          </cell>
          <cell r="AH719">
            <v>1</v>
          </cell>
          <cell r="AI719">
            <v>1571</v>
          </cell>
          <cell r="AJ719">
            <v>1534</v>
          </cell>
          <cell r="AK719">
            <v>119400</v>
          </cell>
          <cell r="AL719">
            <v>2380</v>
          </cell>
          <cell r="AM719">
            <v>2375</v>
          </cell>
          <cell r="AN719">
            <v>2307</v>
          </cell>
          <cell r="AO719">
            <v>2206</v>
          </cell>
          <cell r="AP719">
            <v>2304</v>
          </cell>
          <cell r="AQ719">
            <v>2207</v>
          </cell>
          <cell r="AR719">
            <v>2316</v>
          </cell>
          <cell r="AS719">
            <v>2318</v>
          </cell>
          <cell r="AT719">
            <v>187200</v>
          </cell>
        </row>
        <row r="720">
          <cell r="G720">
            <v>2407150102</v>
          </cell>
          <cell r="H720" t="str">
            <v>119동</v>
          </cell>
          <cell r="I720">
            <v>240715</v>
          </cell>
          <cell r="J720" t="str">
            <v>119동 버림</v>
          </cell>
          <cell r="K720">
            <v>120</v>
          </cell>
          <cell r="L720">
            <v>125</v>
          </cell>
          <cell r="M720">
            <v>1812</v>
          </cell>
          <cell r="N720" t="str">
            <v>대원</v>
          </cell>
          <cell r="O720" t="str">
            <v>펌프카(1대)</v>
          </cell>
          <cell r="P720">
            <v>1030</v>
          </cell>
          <cell r="Q720">
            <v>1258</v>
          </cell>
          <cell r="R720">
            <v>125</v>
          </cell>
          <cell r="S720">
            <v>48</v>
          </cell>
          <cell r="T720">
            <v>86</v>
          </cell>
          <cell r="U720">
            <v>183</v>
          </cell>
          <cell r="V720"/>
          <cell r="W720" t="str">
            <v>박순홍</v>
          </cell>
          <cell r="X720" t="str">
            <v>(인)</v>
          </cell>
          <cell r="Y720" t="str">
            <v>박순홍</v>
          </cell>
          <cell r="Z720" t="str">
            <v>(인)</v>
          </cell>
          <cell r="AA720" t="str">
            <v>박정환</v>
          </cell>
          <cell r="AB720" t="str">
            <v>(인)</v>
          </cell>
          <cell r="AC720" t="str">
            <v>박기원</v>
          </cell>
          <cell r="AD720" t="str">
            <v>(인)</v>
          </cell>
          <cell r="AE720">
            <v>176.3</v>
          </cell>
          <cell r="AF720" t="str">
            <v>표준</v>
          </cell>
          <cell r="AG720">
            <v>2</v>
          </cell>
          <cell r="AH720">
            <v>0</v>
          </cell>
        </row>
        <row r="721">
          <cell r="G721">
            <v>2407170101</v>
          </cell>
          <cell r="H721" t="str">
            <v>116동</v>
          </cell>
          <cell r="I721">
            <v>240717</v>
          </cell>
          <cell r="J721" t="str">
            <v>116동 지하 2층 바닥</v>
          </cell>
          <cell r="K721">
            <v>800</v>
          </cell>
          <cell r="L721">
            <v>798</v>
          </cell>
          <cell r="M721">
            <v>3015</v>
          </cell>
          <cell r="N721" t="str">
            <v>영진</v>
          </cell>
          <cell r="O721" t="str">
            <v>펌프카(1대)</v>
          </cell>
          <cell r="P721">
            <v>730</v>
          </cell>
          <cell r="Q721">
            <v>1534</v>
          </cell>
          <cell r="R721">
            <v>160</v>
          </cell>
          <cell r="S721">
            <v>36</v>
          </cell>
          <cell r="T721">
            <v>33</v>
          </cell>
          <cell r="U721">
            <v>210</v>
          </cell>
          <cell r="V721"/>
          <cell r="W721" t="str">
            <v>박순홍</v>
          </cell>
          <cell r="X721" t="str">
            <v>(인)</v>
          </cell>
          <cell r="Y721" t="str">
            <v>박순홍</v>
          </cell>
          <cell r="Z721" t="str">
            <v>(인)</v>
          </cell>
          <cell r="AA721" t="str">
            <v>임영구</v>
          </cell>
          <cell r="AB721" t="str">
            <v>(인)</v>
          </cell>
          <cell r="AC721" t="str">
            <v>박기원</v>
          </cell>
          <cell r="AD721" t="str">
            <v>(인)</v>
          </cell>
          <cell r="AE721">
            <v>183.5</v>
          </cell>
          <cell r="AF721" t="str">
            <v>표준</v>
          </cell>
          <cell r="AG721">
            <v>1</v>
          </cell>
          <cell r="AH721">
            <v>1</v>
          </cell>
          <cell r="AI721">
            <v>2862</v>
          </cell>
          <cell r="AJ721">
            <v>2894</v>
          </cell>
          <cell r="AK721">
            <v>231200</v>
          </cell>
          <cell r="AL721">
            <v>4043</v>
          </cell>
          <cell r="AM721">
            <v>3832</v>
          </cell>
          <cell r="AN721">
            <v>3864</v>
          </cell>
          <cell r="AO721">
            <v>4012</v>
          </cell>
          <cell r="AP721">
            <v>4004</v>
          </cell>
          <cell r="AQ721">
            <v>3926</v>
          </cell>
          <cell r="AR721">
            <v>3874</v>
          </cell>
          <cell r="AS721">
            <v>3924</v>
          </cell>
          <cell r="AT721">
            <v>312400</v>
          </cell>
        </row>
        <row r="722">
          <cell r="G722">
            <v>2407170102</v>
          </cell>
          <cell r="H722" t="str">
            <v>116동</v>
          </cell>
          <cell r="I722">
            <v>240717</v>
          </cell>
          <cell r="J722" t="str">
            <v>116동 지하 2층 바닥</v>
          </cell>
          <cell r="K722">
            <v>800</v>
          </cell>
          <cell r="L722">
            <v>798</v>
          </cell>
          <cell r="M722">
            <v>3015</v>
          </cell>
          <cell r="N722" t="str">
            <v>영진</v>
          </cell>
          <cell r="O722" t="str">
            <v>펌프카(1대)</v>
          </cell>
          <cell r="P722">
            <v>730</v>
          </cell>
          <cell r="Q722">
            <v>1534</v>
          </cell>
          <cell r="R722">
            <v>150</v>
          </cell>
          <cell r="S722">
            <v>42</v>
          </cell>
          <cell r="T722">
            <v>18</v>
          </cell>
          <cell r="U722">
            <v>221</v>
          </cell>
          <cell r="V722"/>
          <cell r="W722" t="str">
            <v>박순홍</v>
          </cell>
          <cell r="X722" t="str">
            <v>(인)</v>
          </cell>
          <cell r="Y722" t="str">
            <v>박순홍</v>
          </cell>
          <cell r="Z722" t="str">
            <v>(인)</v>
          </cell>
          <cell r="AA722" t="str">
            <v>임영구</v>
          </cell>
          <cell r="AB722" t="str">
            <v>(인)</v>
          </cell>
          <cell r="AC722" t="str">
            <v>박기원</v>
          </cell>
          <cell r="AD722" t="str">
            <v>(인)</v>
          </cell>
          <cell r="AE722">
            <v>172.2</v>
          </cell>
          <cell r="AF722" t="str">
            <v>표준</v>
          </cell>
          <cell r="AG722">
            <v>2</v>
          </cell>
          <cell r="AH722">
            <v>0</v>
          </cell>
        </row>
        <row r="723">
          <cell r="G723">
            <v>2407170103</v>
          </cell>
          <cell r="H723" t="str">
            <v>116동</v>
          </cell>
          <cell r="I723">
            <v>240717</v>
          </cell>
          <cell r="J723" t="str">
            <v>116동 지하 2층 바닥</v>
          </cell>
          <cell r="K723">
            <v>800</v>
          </cell>
          <cell r="L723">
            <v>798</v>
          </cell>
          <cell r="M723">
            <v>3015</v>
          </cell>
          <cell r="N723" t="str">
            <v>영진</v>
          </cell>
          <cell r="O723" t="str">
            <v>펌프카(1대)</v>
          </cell>
          <cell r="P723">
            <v>730</v>
          </cell>
          <cell r="Q723">
            <v>1534</v>
          </cell>
          <cell r="R723">
            <v>170</v>
          </cell>
          <cell r="S723">
            <v>46</v>
          </cell>
          <cell r="T723">
            <v>46</v>
          </cell>
          <cell r="U723">
            <v>225</v>
          </cell>
          <cell r="V723"/>
          <cell r="W723" t="str">
            <v>박순홍</v>
          </cell>
          <cell r="X723" t="str">
            <v>(인)</v>
          </cell>
          <cell r="Y723" t="str">
            <v>박순홍</v>
          </cell>
          <cell r="Z723" t="str">
            <v>(인)</v>
          </cell>
          <cell r="AA723" t="str">
            <v>임영구</v>
          </cell>
          <cell r="AB723" t="str">
            <v>(인)</v>
          </cell>
          <cell r="AC723" t="str">
            <v>박기원</v>
          </cell>
          <cell r="AD723" t="str">
            <v>(인)</v>
          </cell>
          <cell r="AE723">
            <v>172.5</v>
          </cell>
          <cell r="AF723" t="str">
            <v>표준</v>
          </cell>
          <cell r="AG723">
            <v>3</v>
          </cell>
          <cell r="AH723">
            <v>0</v>
          </cell>
        </row>
        <row r="724">
          <cell r="G724">
            <v>2407170104</v>
          </cell>
          <cell r="H724" t="str">
            <v>116동</v>
          </cell>
          <cell r="I724">
            <v>240717</v>
          </cell>
          <cell r="J724" t="str">
            <v>116동 지하 2층 바닥</v>
          </cell>
          <cell r="K724">
            <v>800</v>
          </cell>
          <cell r="L724">
            <v>798</v>
          </cell>
          <cell r="M724">
            <v>3015</v>
          </cell>
          <cell r="N724" t="str">
            <v>영진</v>
          </cell>
          <cell r="O724" t="str">
            <v>펌프카(1대)</v>
          </cell>
          <cell r="P724">
            <v>730</v>
          </cell>
          <cell r="Q724">
            <v>1534</v>
          </cell>
          <cell r="R724">
            <v>165</v>
          </cell>
          <cell r="S724">
            <v>50</v>
          </cell>
          <cell r="T724">
            <v>80</v>
          </cell>
          <cell r="U724">
            <v>252</v>
          </cell>
          <cell r="V724"/>
          <cell r="W724" t="str">
            <v>박순홍</v>
          </cell>
          <cell r="X724" t="str">
            <v>(인)</v>
          </cell>
          <cell r="Y724" t="str">
            <v>박순홍</v>
          </cell>
          <cell r="Z724" t="str">
            <v>(인)</v>
          </cell>
          <cell r="AA724" t="str">
            <v>임영구</v>
          </cell>
          <cell r="AB724" t="str">
            <v>(인)</v>
          </cell>
          <cell r="AC724" t="str">
            <v>박기원</v>
          </cell>
          <cell r="AD724" t="str">
            <v>(인)</v>
          </cell>
          <cell r="AE724">
            <v>172.6</v>
          </cell>
          <cell r="AF724" t="str">
            <v>표준</v>
          </cell>
          <cell r="AG724">
            <v>4</v>
          </cell>
          <cell r="AH724">
            <v>1</v>
          </cell>
          <cell r="AL724">
            <v>3799</v>
          </cell>
          <cell r="AM724">
            <v>3891</v>
          </cell>
          <cell r="AN724">
            <v>3904</v>
          </cell>
          <cell r="AO724">
            <v>3726</v>
          </cell>
          <cell r="AP724">
            <v>3744</v>
          </cell>
          <cell r="AQ724">
            <v>3812</v>
          </cell>
          <cell r="AR724">
            <v>3794</v>
          </cell>
          <cell r="AS724">
            <v>3707</v>
          </cell>
          <cell r="AT724">
            <v>302800</v>
          </cell>
        </row>
        <row r="725">
          <cell r="G725">
            <v>2407170105</v>
          </cell>
          <cell r="H725" t="str">
            <v>116동</v>
          </cell>
          <cell r="I725">
            <v>240717</v>
          </cell>
          <cell r="J725" t="str">
            <v>116동 지하 2층 바닥</v>
          </cell>
          <cell r="K725">
            <v>800</v>
          </cell>
          <cell r="L725">
            <v>798</v>
          </cell>
          <cell r="M725">
            <v>3015</v>
          </cell>
          <cell r="N725" t="str">
            <v>영진</v>
          </cell>
          <cell r="O725" t="str">
            <v>펌프카(1대)</v>
          </cell>
          <cell r="P725">
            <v>730</v>
          </cell>
          <cell r="Q725">
            <v>1534</v>
          </cell>
          <cell r="R725">
            <v>150</v>
          </cell>
          <cell r="S725">
            <v>38</v>
          </cell>
          <cell r="T725">
            <v>24</v>
          </cell>
          <cell r="U725">
            <v>243</v>
          </cell>
          <cell r="V725"/>
          <cell r="W725" t="str">
            <v>박순홍</v>
          </cell>
          <cell r="X725" t="str">
            <v>(인)</v>
          </cell>
          <cell r="Y725" t="str">
            <v>박순홍</v>
          </cell>
          <cell r="Z725" t="str">
            <v>(인)</v>
          </cell>
          <cell r="AA725" t="str">
            <v>임영구</v>
          </cell>
          <cell r="AB725" t="str">
            <v>(인)</v>
          </cell>
          <cell r="AC725" t="str">
            <v>박기원</v>
          </cell>
          <cell r="AD725" t="str">
            <v>(인)</v>
          </cell>
          <cell r="AE725">
            <v>177.8</v>
          </cell>
          <cell r="AF725" t="str">
            <v>표준</v>
          </cell>
          <cell r="AG725">
            <v>5</v>
          </cell>
          <cell r="AH725">
            <v>0</v>
          </cell>
        </row>
        <row r="726">
          <cell r="G726">
            <v>2407170106</v>
          </cell>
          <cell r="H726" t="str">
            <v>116동</v>
          </cell>
          <cell r="I726">
            <v>240717</v>
          </cell>
          <cell r="J726" t="str">
            <v>116동 지하 2층 바닥</v>
          </cell>
          <cell r="K726">
            <v>800</v>
          </cell>
          <cell r="L726">
            <v>798</v>
          </cell>
          <cell r="M726">
            <v>3015</v>
          </cell>
          <cell r="N726" t="str">
            <v>영진</v>
          </cell>
          <cell r="O726" t="str">
            <v>펌프카(1대)</v>
          </cell>
          <cell r="P726">
            <v>730</v>
          </cell>
          <cell r="Q726">
            <v>1534</v>
          </cell>
          <cell r="R726">
            <v>155</v>
          </cell>
          <cell r="S726">
            <v>42</v>
          </cell>
          <cell r="T726">
            <v>85</v>
          </cell>
          <cell r="U726">
            <v>234</v>
          </cell>
          <cell r="V726"/>
          <cell r="W726" t="str">
            <v>박순홍</v>
          </cell>
          <cell r="X726" t="str">
            <v>(인)</v>
          </cell>
          <cell r="Y726" t="str">
            <v>박순홍</v>
          </cell>
          <cell r="Z726" t="str">
            <v>(인)</v>
          </cell>
          <cell r="AA726" t="str">
            <v>임영구</v>
          </cell>
          <cell r="AB726" t="str">
            <v>(인)</v>
          </cell>
          <cell r="AC726" t="str">
            <v>박기원</v>
          </cell>
          <cell r="AD726" t="str">
            <v>(인)</v>
          </cell>
          <cell r="AE726">
            <v>176.4</v>
          </cell>
          <cell r="AF726" t="str">
            <v>표준</v>
          </cell>
          <cell r="AG726">
            <v>6</v>
          </cell>
          <cell r="AH726">
            <v>0</v>
          </cell>
        </row>
        <row r="727">
          <cell r="G727">
            <v>2407170107</v>
          </cell>
          <cell r="H727" t="str">
            <v>116동</v>
          </cell>
          <cell r="I727">
            <v>240717</v>
          </cell>
          <cell r="J727" t="str">
            <v>116동 지하 2층 바닥</v>
          </cell>
          <cell r="K727">
            <v>800</v>
          </cell>
          <cell r="L727">
            <v>798</v>
          </cell>
          <cell r="M727">
            <v>3015</v>
          </cell>
          <cell r="N727" t="str">
            <v>영진</v>
          </cell>
          <cell r="O727" t="str">
            <v>펌프카(1대)</v>
          </cell>
          <cell r="P727">
            <v>730</v>
          </cell>
          <cell r="Q727">
            <v>1534</v>
          </cell>
          <cell r="R727">
            <v>160</v>
          </cell>
          <cell r="S727">
            <v>46</v>
          </cell>
          <cell r="T727">
            <v>19</v>
          </cell>
          <cell r="U727">
            <v>244</v>
          </cell>
          <cell r="V727"/>
          <cell r="W727" t="str">
            <v>박순홍</v>
          </cell>
          <cell r="X727" t="str">
            <v>(인)</v>
          </cell>
          <cell r="Y727" t="str">
            <v>박순홍</v>
          </cell>
          <cell r="Z727" t="str">
            <v>(인)</v>
          </cell>
          <cell r="AA727" t="str">
            <v>임영구</v>
          </cell>
          <cell r="AB727" t="str">
            <v>(인)</v>
          </cell>
          <cell r="AC727" t="str">
            <v>박기원</v>
          </cell>
          <cell r="AD727" t="str">
            <v>(인)</v>
          </cell>
          <cell r="AE727">
            <v>180.4</v>
          </cell>
          <cell r="AF727" t="str">
            <v>표준</v>
          </cell>
          <cell r="AG727">
            <v>7</v>
          </cell>
          <cell r="AH727">
            <v>1</v>
          </cell>
          <cell r="AL727">
            <v>3840</v>
          </cell>
          <cell r="AM727">
            <v>3870</v>
          </cell>
          <cell r="AN727">
            <v>3769</v>
          </cell>
          <cell r="AO727">
            <v>3902</v>
          </cell>
          <cell r="AP727">
            <v>3842</v>
          </cell>
          <cell r="AQ727">
            <v>3810</v>
          </cell>
          <cell r="AR727">
            <v>3796</v>
          </cell>
          <cell r="AS727">
            <v>3714</v>
          </cell>
          <cell r="AT727">
            <v>294800</v>
          </cell>
        </row>
        <row r="728">
          <cell r="G728">
            <v>2407170201</v>
          </cell>
          <cell r="H728" t="str">
            <v>120동</v>
          </cell>
          <cell r="I728">
            <v>240717</v>
          </cell>
          <cell r="J728" t="str">
            <v>M, K구간 기초</v>
          </cell>
          <cell r="K728">
            <v>630</v>
          </cell>
          <cell r="L728">
            <v>630</v>
          </cell>
          <cell r="M728">
            <v>2415</v>
          </cell>
          <cell r="N728" t="str">
            <v>용호</v>
          </cell>
          <cell r="O728" t="str">
            <v>펌프카(1대)</v>
          </cell>
          <cell r="P728">
            <v>805</v>
          </cell>
          <cell r="Q728">
            <v>1450</v>
          </cell>
          <cell r="R728">
            <v>160</v>
          </cell>
          <cell r="S728">
            <v>49</v>
          </cell>
          <cell r="T728">
            <v>17</v>
          </cell>
          <cell r="U728">
            <v>241</v>
          </cell>
          <cell r="V728"/>
          <cell r="W728" t="str">
            <v>박순홍</v>
          </cell>
          <cell r="X728" t="str">
            <v>(인)</v>
          </cell>
          <cell r="Y728" t="str">
            <v>박순홍</v>
          </cell>
          <cell r="Z728" t="str">
            <v>(인)</v>
          </cell>
          <cell r="AA728" t="str">
            <v>박정환</v>
          </cell>
          <cell r="AB728" t="str">
            <v>(인)</v>
          </cell>
          <cell r="AC728" t="str">
            <v>박기원</v>
          </cell>
          <cell r="AD728" t="str">
            <v>(인)</v>
          </cell>
          <cell r="AE728">
            <v>178.9</v>
          </cell>
          <cell r="AF728" t="str">
            <v>표준</v>
          </cell>
          <cell r="AG728">
            <v>1</v>
          </cell>
          <cell r="AH728">
            <v>1</v>
          </cell>
          <cell r="AI728">
            <v>2261</v>
          </cell>
          <cell r="AJ728">
            <v>2204</v>
          </cell>
          <cell r="AK728">
            <v>170600</v>
          </cell>
          <cell r="AL728">
            <v>3160</v>
          </cell>
          <cell r="AM728">
            <v>2994</v>
          </cell>
          <cell r="AN728">
            <v>2987</v>
          </cell>
          <cell r="AO728">
            <v>3094</v>
          </cell>
          <cell r="AP728">
            <v>3186</v>
          </cell>
          <cell r="AQ728">
            <v>3194</v>
          </cell>
          <cell r="AR728">
            <v>3202</v>
          </cell>
          <cell r="AS728">
            <v>3084</v>
          </cell>
          <cell r="AT728">
            <v>245800</v>
          </cell>
        </row>
        <row r="729">
          <cell r="G729">
            <v>2407170202</v>
          </cell>
          <cell r="H729" t="str">
            <v>120동</v>
          </cell>
          <cell r="I729">
            <v>240717</v>
          </cell>
          <cell r="J729" t="str">
            <v>M, K구간 기초</v>
          </cell>
          <cell r="K729">
            <v>630</v>
          </cell>
          <cell r="L729">
            <v>630</v>
          </cell>
          <cell r="M729">
            <v>2415</v>
          </cell>
          <cell r="N729" t="str">
            <v>용호</v>
          </cell>
          <cell r="O729" t="str">
            <v>펌프카(1대)</v>
          </cell>
          <cell r="P729">
            <v>805</v>
          </cell>
          <cell r="Q729">
            <v>1450</v>
          </cell>
          <cell r="R729">
            <v>165</v>
          </cell>
          <cell r="S729">
            <v>45</v>
          </cell>
          <cell r="T729">
            <v>33</v>
          </cell>
          <cell r="U729">
            <v>244</v>
          </cell>
          <cell r="V729"/>
          <cell r="W729" t="str">
            <v>박순홍</v>
          </cell>
          <cell r="X729" t="str">
            <v>(인)</v>
          </cell>
          <cell r="Y729" t="str">
            <v>박순홍</v>
          </cell>
          <cell r="Z729" t="str">
            <v>(인)</v>
          </cell>
          <cell r="AA729" t="str">
            <v>박정환</v>
          </cell>
          <cell r="AB729" t="str">
            <v>(인)</v>
          </cell>
          <cell r="AC729" t="str">
            <v>박기원</v>
          </cell>
          <cell r="AD729" t="str">
            <v>(인)</v>
          </cell>
          <cell r="AE729">
            <v>183.4</v>
          </cell>
          <cell r="AF729" t="str">
            <v>표준</v>
          </cell>
          <cell r="AG729">
            <v>2</v>
          </cell>
          <cell r="AH729">
            <v>0</v>
          </cell>
        </row>
        <row r="730">
          <cell r="G730">
            <v>2407170203</v>
          </cell>
          <cell r="H730" t="str">
            <v>120동</v>
          </cell>
          <cell r="I730">
            <v>240717</v>
          </cell>
          <cell r="J730" t="str">
            <v>M, K구간 기초</v>
          </cell>
          <cell r="K730">
            <v>630</v>
          </cell>
          <cell r="L730">
            <v>630</v>
          </cell>
          <cell r="M730">
            <v>2415</v>
          </cell>
          <cell r="N730" t="str">
            <v>용호</v>
          </cell>
          <cell r="O730" t="str">
            <v>펌프카(1대)</v>
          </cell>
          <cell r="P730">
            <v>805</v>
          </cell>
          <cell r="Q730">
            <v>1450</v>
          </cell>
          <cell r="R730">
            <v>170</v>
          </cell>
          <cell r="S730">
            <v>46</v>
          </cell>
          <cell r="T730">
            <v>53</v>
          </cell>
          <cell r="U730">
            <v>241</v>
          </cell>
          <cell r="V730"/>
          <cell r="W730" t="str">
            <v>박순홍</v>
          </cell>
          <cell r="X730" t="str">
            <v>(인)</v>
          </cell>
          <cell r="Y730" t="str">
            <v>박순홍</v>
          </cell>
          <cell r="Z730" t="str">
            <v>(인)</v>
          </cell>
          <cell r="AA730" t="str">
            <v>박정환</v>
          </cell>
          <cell r="AB730" t="str">
            <v>(인)</v>
          </cell>
          <cell r="AC730" t="str">
            <v>박기원</v>
          </cell>
          <cell r="AD730" t="str">
            <v>(인)</v>
          </cell>
          <cell r="AE730">
            <v>181.7</v>
          </cell>
          <cell r="AF730" t="str">
            <v>표준</v>
          </cell>
          <cell r="AG730">
            <v>3</v>
          </cell>
          <cell r="AH730">
            <v>0</v>
          </cell>
        </row>
        <row r="731">
          <cell r="G731">
            <v>2407170204</v>
          </cell>
          <cell r="H731" t="str">
            <v>120동</v>
          </cell>
          <cell r="I731">
            <v>240717</v>
          </cell>
          <cell r="J731" t="str">
            <v>M, K구간 기초</v>
          </cell>
          <cell r="K731">
            <v>630</v>
          </cell>
          <cell r="L731">
            <v>630</v>
          </cell>
          <cell r="M731">
            <v>2415</v>
          </cell>
          <cell r="N731" t="str">
            <v>용호</v>
          </cell>
          <cell r="O731" t="str">
            <v>펌프카(1대)</v>
          </cell>
          <cell r="P731">
            <v>805</v>
          </cell>
          <cell r="Q731">
            <v>1450</v>
          </cell>
          <cell r="R731">
            <v>165</v>
          </cell>
          <cell r="S731">
            <v>45</v>
          </cell>
          <cell r="T731">
            <v>38</v>
          </cell>
          <cell r="U731">
            <v>246</v>
          </cell>
          <cell r="V731"/>
          <cell r="W731" t="str">
            <v>박순홍</v>
          </cell>
          <cell r="X731" t="str">
            <v>(인)</v>
          </cell>
          <cell r="Y731" t="str">
            <v>박순홍</v>
          </cell>
          <cell r="Z731" t="str">
            <v>(인)</v>
          </cell>
          <cell r="AA731" t="str">
            <v>박정환</v>
          </cell>
          <cell r="AB731" t="str">
            <v>(인)</v>
          </cell>
          <cell r="AC731" t="str">
            <v>박기원</v>
          </cell>
          <cell r="AD731" t="str">
            <v>(인)</v>
          </cell>
          <cell r="AE731">
            <v>183.4</v>
          </cell>
          <cell r="AF731" t="str">
            <v>표준</v>
          </cell>
          <cell r="AG731">
            <v>4</v>
          </cell>
          <cell r="AH731">
            <v>1</v>
          </cell>
          <cell r="AL731">
            <v>3269</v>
          </cell>
          <cell r="AM731">
            <v>3198</v>
          </cell>
          <cell r="AN731">
            <v>3184</v>
          </cell>
          <cell r="AO731">
            <v>3302</v>
          </cell>
          <cell r="AP731">
            <v>3214</v>
          </cell>
          <cell r="AQ731">
            <v>3294</v>
          </cell>
          <cell r="AR731">
            <v>3306</v>
          </cell>
          <cell r="AS731">
            <v>3271</v>
          </cell>
          <cell r="AT731">
            <v>259000</v>
          </cell>
        </row>
        <row r="732">
          <cell r="G732">
            <v>2407170205</v>
          </cell>
          <cell r="H732" t="str">
            <v>120동</v>
          </cell>
          <cell r="I732">
            <v>240717</v>
          </cell>
          <cell r="J732" t="str">
            <v>M, K구간 기초</v>
          </cell>
          <cell r="K732">
            <v>630</v>
          </cell>
          <cell r="L732">
            <v>630</v>
          </cell>
          <cell r="M732">
            <v>2415</v>
          </cell>
          <cell r="N732" t="str">
            <v>용호</v>
          </cell>
          <cell r="O732" t="str">
            <v>펌프카(1대)</v>
          </cell>
          <cell r="P732">
            <v>805</v>
          </cell>
          <cell r="Q732">
            <v>1450</v>
          </cell>
          <cell r="R732">
            <v>170</v>
          </cell>
          <cell r="S732">
            <v>49</v>
          </cell>
          <cell r="T732">
            <v>18</v>
          </cell>
          <cell r="U732">
            <v>243</v>
          </cell>
          <cell r="V732"/>
          <cell r="W732" t="str">
            <v>박순홍</v>
          </cell>
          <cell r="X732" t="str">
            <v>(인)</v>
          </cell>
          <cell r="Y732" t="str">
            <v>박순홍</v>
          </cell>
          <cell r="Z732" t="str">
            <v>(인)</v>
          </cell>
          <cell r="AA732" t="str">
            <v>박정환</v>
          </cell>
          <cell r="AB732" t="str">
            <v>(인)</v>
          </cell>
          <cell r="AC732" t="str">
            <v>박기원</v>
          </cell>
          <cell r="AD732" t="str">
            <v>(인)</v>
          </cell>
          <cell r="AE732">
            <v>179.6</v>
          </cell>
          <cell r="AF732" t="str">
            <v>표준</v>
          </cell>
          <cell r="AG732">
            <v>5</v>
          </cell>
          <cell r="AH732">
            <v>0</v>
          </cell>
        </row>
        <row r="733">
          <cell r="G733">
            <v>2407170206</v>
          </cell>
          <cell r="H733" t="str">
            <v>120동</v>
          </cell>
          <cell r="I733">
            <v>240717</v>
          </cell>
          <cell r="J733" t="str">
            <v>M, K구간 기초</v>
          </cell>
          <cell r="K733">
            <v>630</v>
          </cell>
          <cell r="L733">
            <v>630</v>
          </cell>
          <cell r="M733">
            <v>2415</v>
          </cell>
          <cell r="N733" t="str">
            <v>용호</v>
          </cell>
          <cell r="O733" t="str">
            <v>펌프카(1대)</v>
          </cell>
          <cell r="P733">
            <v>805</v>
          </cell>
          <cell r="Q733">
            <v>1450</v>
          </cell>
          <cell r="R733">
            <v>165</v>
          </cell>
          <cell r="S733">
            <v>50</v>
          </cell>
          <cell r="T733">
            <v>30</v>
          </cell>
          <cell r="U733">
            <v>225</v>
          </cell>
          <cell r="V733"/>
          <cell r="W733" t="str">
            <v>박순홍</v>
          </cell>
          <cell r="X733" t="str">
            <v>(인)</v>
          </cell>
          <cell r="Y733" t="str">
            <v>박순홍</v>
          </cell>
          <cell r="Z733" t="str">
            <v>(인)</v>
          </cell>
          <cell r="AA733" t="str">
            <v>박정환</v>
          </cell>
          <cell r="AB733" t="str">
            <v>(인)</v>
          </cell>
          <cell r="AC733" t="str">
            <v>박기원</v>
          </cell>
          <cell r="AD733" t="str">
            <v>(인)</v>
          </cell>
          <cell r="AE733">
            <v>187.4</v>
          </cell>
          <cell r="AF733" t="str">
            <v>표준</v>
          </cell>
          <cell r="AG733">
            <v>6</v>
          </cell>
          <cell r="AH733">
            <v>0</v>
          </cell>
        </row>
        <row r="734">
          <cell r="G734">
            <v>2407170301</v>
          </cell>
          <cell r="H734" t="str">
            <v>105동</v>
          </cell>
          <cell r="I734">
            <v>240717</v>
          </cell>
          <cell r="J734" t="str">
            <v>105동 9층 바닥</v>
          </cell>
          <cell r="K734">
            <v>290</v>
          </cell>
          <cell r="L734">
            <v>285</v>
          </cell>
          <cell r="M734">
            <v>3018</v>
          </cell>
          <cell r="N734" t="str">
            <v>동양</v>
          </cell>
          <cell r="O734" t="str">
            <v>펌프카(1대)</v>
          </cell>
          <cell r="P734">
            <v>759</v>
          </cell>
          <cell r="Q734">
            <v>1305</v>
          </cell>
          <cell r="R734">
            <v>180</v>
          </cell>
          <cell r="S734">
            <v>38</v>
          </cell>
          <cell r="T734">
            <v>58</v>
          </cell>
          <cell r="U734">
            <v>232</v>
          </cell>
          <cell r="V734"/>
          <cell r="W734" t="str">
            <v>박순홍</v>
          </cell>
          <cell r="X734" t="str">
            <v>(인)</v>
          </cell>
          <cell r="Y734" t="str">
            <v>박순홍</v>
          </cell>
          <cell r="Z734" t="str">
            <v>(인)</v>
          </cell>
          <cell r="AA734" t="str">
            <v>장덕만</v>
          </cell>
          <cell r="AB734" t="str">
            <v>(인)</v>
          </cell>
          <cell r="AC734" t="str">
            <v>박기원</v>
          </cell>
          <cell r="AD734" t="str">
            <v>(인)</v>
          </cell>
          <cell r="AE734">
            <v>173.7</v>
          </cell>
          <cell r="AF734" t="str">
            <v>표준</v>
          </cell>
          <cell r="AG734">
            <v>1</v>
          </cell>
          <cell r="AH734">
            <v>1</v>
          </cell>
          <cell r="AI734">
            <v>2814</v>
          </cell>
          <cell r="AJ734">
            <v>2799</v>
          </cell>
          <cell r="AK734">
            <v>224000</v>
          </cell>
          <cell r="AL734">
            <v>3756</v>
          </cell>
          <cell r="AM734">
            <v>3791</v>
          </cell>
          <cell r="AN734">
            <v>3704</v>
          </cell>
          <cell r="AO734">
            <v>3906</v>
          </cell>
          <cell r="AP734">
            <v>3814</v>
          </cell>
          <cell r="AQ734">
            <v>3866</v>
          </cell>
          <cell r="AR734">
            <v>3814</v>
          </cell>
          <cell r="AS734">
            <v>3906</v>
          </cell>
          <cell r="AT734">
            <v>297800</v>
          </cell>
        </row>
        <row r="735">
          <cell r="G735">
            <v>2407170302</v>
          </cell>
          <cell r="H735" t="str">
            <v>105동</v>
          </cell>
          <cell r="I735">
            <v>240717</v>
          </cell>
          <cell r="J735" t="str">
            <v>105동 9층 바닥</v>
          </cell>
          <cell r="K735">
            <v>290</v>
          </cell>
          <cell r="L735">
            <v>285</v>
          </cell>
          <cell r="M735">
            <v>3018</v>
          </cell>
          <cell r="N735" t="str">
            <v>동양</v>
          </cell>
          <cell r="O735" t="str">
            <v>펌프카(1대)</v>
          </cell>
          <cell r="P735">
            <v>759</v>
          </cell>
          <cell r="Q735">
            <v>1305</v>
          </cell>
          <cell r="R735">
            <v>175</v>
          </cell>
          <cell r="S735">
            <v>40</v>
          </cell>
          <cell r="T735">
            <v>44</v>
          </cell>
          <cell r="U735">
            <v>256</v>
          </cell>
          <cell r="V735"/>
          <cell r="W735" t="str">
            <v>박순홍</v>
          </cell>
          <cell r="X735" t="str">
            <v>(인)</v>
          </cell>
          <cell r="Y735" t="str">
            <v>박순홍</v>
          </cell>
          <cell r="Z735" t="str">
            <v>(인)</v>
          </cell>
          <cell r="AA735" t="str">
            <v>장덕만</v>
          </cell>
          <cell r="AB735" t="str">
            <v>(인)</v>
          </cell>
          <cell r="AC735" t="str">
            <v>박기원</v>
          </cell>
          <cell r="AD735" t="str">
            <v>(인)</v>
          </cell>
          <cell r="AE735">
            <v>173.6</v>
          </cell>
          <cell r="AF735" t="str">
            <v>표준</v>
          </cell>
          <cell r="AG735">
            <v>2</v>
          </cell>
          <cell r="AH735">
            <v>0</v>
          </cell>
        </row>
        <row r="736">
          <cell r="G736">
            <v>2407170303</v>
          </cell>
          <cell r="H736" t="str">
            <v>105동</v>
          </cell>
          <cell r="I736">
            <v>240717</v>
          </cell>
          <cell r="J736" t="str">
            <v>105동 9층 바닥</v>
          </cell>
          <cell r="K736">
            <v>290</v>
          </cell>
          <cell r="L736">
            <v>285</v>
          </cell>
          <cell r="M736">
            <v>3018</v>
          </cell>
          <cell r="N736" t="str">
            <v>동양</v>
          </cell>
          <cell r="O736" t="str">
            <v>펌프카(1대)</v>
          </cell>
          <cell r="P736">
            <v>759</v>
          </cell>
          <cell r="Q736">
            <v>1305</v>
          </cell>
          <cell r="R736">
            <v>170</v>
          </cell>
          <cell r="S736">
            <v>48</v>
          </cell>
          <cell r="T736">
            <v>63</v>
          </cell>
          <cell r="U736">
            <v>247</v>
          </cell>
          <cell r="V736"/>
          <cell r="W736" t="str">
            <v>박순홍</v>
          </cell>
          <cell r="X736" t="str">
            <v>(인)</v>
          </cell>
          <cell r="Y736" t="str">
            <v>박순홍</v>
          </cell>
          <cell r="Z736" t="str">
            <v>(인)</v>
          </cell>
          <cell r="AA736" t="str">
            <v>장덕만</v>
          </cell>
          <cell r="AB736" t="str">
            <v>(인)</v>
          </cell>
          <cell r="AC736" t="str">
            <v>박기원</v>
          </cell>
          <cell r="AD736" t="str">
            <v>(인)</v>
          </cell>
          <cell r="AE736">
            <v>181.9</v>
          </cell>
          <cell r="AF736" t="str">
            <v>표준</v>
          </cell>
          <cell r="AG736">
            <v>3</v>
          </cell>
          <cell r="AH736">
            <v>0</v>
          </cell>
        </row>
        <row r="737">
          <cell r="G737">
            <v>2407170401</v>
          </cell>
          <cell r="H737" t="str">
            <v>116동</v>
          </cell>
          <cell r="I737">
            <v>240717</v>
          </cell>
          <cell r="J737" t="str">
            <v>116동 지하 2층 바닥</v>
          </cell>
          <cell r="K737">
            <v>70</v>
          </cell>
          <cell r="L737">
            <v>72</v>
          </cell>
          <cell r="M737">
            <v>2715</v>
          </cell>
          <cell r="N737" t="str">
            <v>영진</v>
          </cell>
          <cell r="O737" t="str">
            <v>펌프카(1대)</v>
          </cell>
          <cell r="P737">
            <v>1502</v>
          </cell>
          <cell r="Q737">
            <v>1555</v>
          </cell>
          <cell r="R737">
            <v>170</v>
          </cell>
          <cell r="S737">
            <v>50</v>
          </cell>
          <cell r="T737">
            <v>30</v>
          </cell>
          <cell r="U737">
            <v>237</v>
          </cell>
          <cell r="V737"/>
          <cell r="W737" t="str">
            <v>박순홍</v>
          </cell>
          <cell r="X737" t="str">
            <v>(인)</v>
          </cell>
          <cell r="Y737" t="str">
            <v>박순홍</v>
          </cell>
          <cell r="Z737" t="str">
            <v>(인)</v>
          </cell>
          <cell r="AA737" t="str">
            <v>임영구</v>
          </cell>
          <cell r="AB737" t="str">
            <v>(인)</v>
          </cell>
          <cell r="AC737" t="str">
            <v>박기원</v>
          </cell>
          <cell r="AD737" t="str">
            <v>(인)</v>
          </cell>
          <cell r="AE737">
            <v>181.5</v>
          </cell>
          <cell r="AF737" t="str">
            <v>표준</v>
          </cell>
          <cell r="AG737">
            <v>1</v>
          </cell>
          <cell r="AH737">
            <v>1</v>
          </cell>
          <cell r="AI737">
            <v>2554</v>
          </cell>
          <cell r="AJ737">
            <v>2536</v>
          </cell>
          <cell r="AK737">
            <v>202000</v>
          </cell>
          <cell r="AL737">
            <v>3435</v>
          </cell>
          <cell r="AM737">
            <v>3453</v>
          </cell>
          <cell r="AN737">
            <v>3392</v>
          </cell>
          <cell r="AO737">
            <v>3427</v>
          </cell>
          <cell r="AP737">
            <v>3396</v>
          </cell>
          <cell r="AQ737">
            <v>3420</v>
          </cell>
          <cell r="AR737">
            <v>3396</v>
          </cell>
          <cell r="AS737">
            <v>3496</v>
          </cell>
          <cell r="AT737">
            <v>271200</v>
          </cell>
        </row>
        <row r="738">
          <cell r="G738">
            <v>2407170501</v>
          </cell>
          <cell r="H738" t="str">
            <v>117동</v>
          </cell>
          <cell r="I738">
            <v>240717</v>
          </cell>
          <cell r="J738" t="str">
            <v>117동 외벽 일부</v>
          </cell>
          <cell r="K738">
            <v>40</v>
          </cell>
          <cell r="L738">
            <v>42</v>
          </cell>
          <cell r="M738">
            <v>3015</v>
          </cell>
          <cell r="N738" t="str">
            <v>용호</v>
          </cell>
          <cell r="O738" t="str">
            <v>펌프카(1대)</v>
          </cell>
          <cell r="P738">
            <v>1510</v>
          </cell>
          <cell r="Q738">
            <v>1612</v>
          </cell>
          <cell r="R738">
            <v>170</v>
          </cell>
          <cell r="S738">
            <v>37</v>
          </cell>
          <cell r="T738">
            <v>65</v>
          </cell>
          <cell r="U738">
            <v>249</v>
          </cell>
          <cell r="V738"/>
          <cell r="W738" t="str">
            <v>박순홍</v>
          </cell>
          <cell r="X738" t="str">
            <v>(인)</v>
          </cell>
          <cell r="Y738" t="str">
            <v>박순홍</v>
          </cell>
          <cell r="Z738" t="str">
            <v>(인)</v>
          </cell>
          <cell r="AA738" t="str">
            <v>임영구</v>
          </cell>
          <cell r="AB738" t="str">
            <v>(인)</v>
          </cell>
          <cell r="AC738" t="str">
            <v>박기원</v>
          </cell>
          <cell r="AD738" t="str">
            <v>(인)</v>
          </cell>
          <cell r="AE738">
            <v>173.8</v>
          </cell>
          <cell r="AF738" t="str">
            <v>표준</v>
          </cell>
          <cell r="AG738">
            <v>1</v>
          </cell>
          <cell r="AH738">
            <v>1</v>
          </cell>
          <cell r="AI738">
            <v>2734</v>
          </cell>
          <cell r="AJ738">
            <v>2706</v>
          </cell>
          <cell r="AK738">
            <v>214200</v>
          </cell>
          <cell r="AL738">
            <v>3796</v>
          </cell>
          <cell r="AM738">
            <v>3809</v>
          </cell>
          <cell r="AN738">
            <v>3816</v>
          </cell>
          <cell r="AO738">
            <v>3924</v>
          </cell>
          <cell r="AP738">
            <v>3762</v>
          </cell>
          <cell r="AQ738">
            <v>3734</v>
          </cell>
          <cell r="AR738">
            <v>3804</v>
          </cell>
          <cell r="AS738">
            <v>3816</v>
          </cell>
          <cell r="AT738">
            <v>298600</v>
          </cell>
        </row>
        <row r="739">
          <cell r="G739">
            <v>2407170601</v>
          </cell>
          <cell r="H739" t="str">
            <v>119동</v>
          </cell>
          <cell r="I739">
            <v>240717</v>
          </cell>
          <cell r="J739" t="str">
            <v>118동 E/V 버림</v>
          </cell>
          <cell r="K739">
            <v>10</v>
          </cell>
          <cell r="L739">
            <v>9</v>
          </cell>
          <cell r="M739">
            <v>1812</v>
          </cell>
          <cell r="N739" t="str">
            <v>영진</v>
          </cell>
          <cell r="O739" t="str">
            <v>펌프카(1대)</v>
          </cell>
          <cell r="P739">
            <v>1610</v>
          </cell>
          <cell r="Q739">
            <v>1620</v>
          </cell>
          <cell r="R739">
            <v>120</v>
          </cell>
          <cell r="S739">
            <v>46</v>
          </cell>
          <cell r="T739">
            <v>31</v>
          </cell>
          <cell r="U739">
            <v>244</v>
          </cell>
          <cell r="V739"/>
          <cell r="W739" t="str">
            <v>박순홍</v>
          </cell>
          <cell r="X739" t="str">
            <v>(인)</v>
          </cell>
          <cell r="Y739" t="str">
            <v>박순홍</v>
          </cell>
          <cell r="Z739" t="str">
            <v>(인)</v>
          </cell>
          <cell r="AA739" t="str">
            <v>이루비</v>
          </cell>
          <cell r="AB739" t="str">
            <v>(인)</v>
          </cell>
          <cell r="AC739" t="str">
            <v>박기원</v>
          </cell>
          <cell r="AD739" t="str">
            <v>(인)</v>
          </cell>
          <cell r="AE739">
            <v>172.4</v>
          </cell>
          <cell r="AF739" t="str">
            <v>표준</v>
          </cell>
          <cell r="AG739">
            <v>1</v>
          </cell>
          <cell r="AH739">
            <v>1</v>
          </cell>
          <cell r="AI739">
            <v>1604</v>
          </cell>
          <cell r="AJ739">
            <v>1592</v>
          </cell>
          <cell r="AK739">
            <v>127400</v>
          </cell>
          <cell r="AL739">
            <v>2398</v>
          </cell>
          <cell r="AM739">
            <v>2230</v>
          </cell>
          <cell r="AN739">
            <v>2296</v>
          </cell>
          <cell r="AO739">
            <v>2304</v>
          </cell>
          <cell r="AP739">
            <v>2296</v>
          </cell>
          <cell r="AQ739">
            <v>2304</v>
          </cell>
          <cell r="AR739">
            <v>2307</v>
          </cell>
          <cell r="AS739">
            <v>2302</v>
          </cell>
          <cell r="AT739">
            <v>186600</v>
          </cell>
        </row>
        <row r="740">
          <cell r="G740">
            <v>2407180101</v>
          </cell>
          <cell r="H740" t="str">
            <v>101동, 102동</v>
          </cell>
          <cell r="I740">
            <v>240718</v>
          </cell>
          <cell r="J740" t="str">
            <v>101동~102동 사이 지하주차장 슬래브</v>
          </cell>
          <cell r="K740">
            <v>510</v>
          </cell>
          <cell r="L740">
            <v>510</v>
          </cell>
          <cell r="M740">
            <v>2715</v>
          </cell>
          <cell r="N740" t="str">
            <v>용호</v>
          </cell>
          <cell r="O740" t="str">
            <v>펌프카(1대)</v>
          </cell>
          <cell r="P740">
            <v>758</v>
          </cell>
          <cell r="Q740">
            <v>1334</v>
          </cell>
          <cell r="R740">
            <v>170</v>
          </cell>
          <cell r="S740">
            <v>48</v>
          </cell>
          <cell r="T740">
            <v>78</v>
          </cell>
          <cell r="U740">
            <v>223</v>
          </cell>
          <cell r="V740"/>
          <cell r="W740" t="str">
            <v>박순홍</v>
          </cell>
          <cell r="X740" t="str">
            <v>(인)</v>
          </cell>
          <cell r="Y740" t="str">
            <v>박순홍</v>
          </cell>
          <cell r="Z740" t="str">
            <v>(인)</v>
          </cell>
          <cell r="AA740" t="str">
            <v>이루비</v>
          </cell>
          <cell r="AB740" t="str">
            <v>(인)</v>
          </cell>
          <cell r="AC740" t="str">
            <v>정창인</v>
          </cell>
          <cell r="AD740" t="str">
            <v>(인)</v>
          </cell>
          <cell r="AE740">
            <v>181.6</v>
          </cell>
          <cell r="AF740" t="str">
            <v>표준</v>
          </cell>
          <cell r="AG740">
            <v>1</v>
          </cell>
          <cell r="AH740">
            <v>1</v>
          </cell>
          <cell r="AI740">
            <v>2518</v>
          </cell>
          <cell r="AJ740">
            <v>2496</v>
          </cell>
          <cell r="AK740">
            <v>198800</v>
          </cell>
          <cell r="AL740">
            <v>3463</v>
          </cell>
          <cell r="AM740">
            <v>3429</v>
          </cell>
          <cell r="AN740">
            <v>3506</v>
          </cell>
          <cell r="AO740">
            <v>3602</v>
          </cell>
          <cell r="AP740">
            <v>3527</v>
          </cell>
          <cell r="AQ740">
            <v>3504</v>
          </cell>
          <cell r="AR740">
            <v>3502</v>
          </cell>
          <cell r="AS740">
            <v>3429</v>
          </cell>
          <cell r="AT740">
            <v>271600</v>
          </cell>
        </row>
        <row r="741">
          <cell r="G741">
            <v>2407180102</v>
          </cell>
          <cell r="H741" t="str">
            <v>101동, 102동</v>
          </cell>
          <cell r="I741">
            <v>240718</v>
          </cell>
          <cell r="J741" t="str">
            <v>101동~102동 사이 지하주차장 슬래브</v>
          </cell>
          <cell r="K741">
            <v>510</v>
          </cell>
          <cell r="L741">
            <v>510</v>
          </cell>
          <cell r="M741">
            <v>2715</v>
          </cell>
          <cell r="N741" t="str">
            <v>용호</v>
          </cell>
          <cell r="O741" t="str">
            <v>펌프카(1대)</v>
          </cell>
          <cell r="P741">
            <v>758</v>
          </cell>
          <cell r="Q741">
            <v>1334</v>
          </cell>
          <cell r="R741">
            <v>170</v>
          </cell>
          <cell r="S741">
            <v>50</v>
          </cell>
          <cell r="T741">
            <v>69</v>
          </cell>
          <cell r="U741">
            <v>232</v>
          </cell>
          <cell r="V741"/>
          <cell r="W741" t="str">
            <v>박순홍</v>
          </cell>
          <cell r="X741" t="str">
            <v>(인)</v>
          </cell>
          <cell r="Y741" t="str">
            <v>박순홍</v>
          </cell>
          <cell r="Z741" t="str">
            <v>(인)</v>
          </cell>
          <cell r="AA741" t="str">
            <v>이루비</v>
          </cell>
          <cell r="AB741" t="str">
            <v>(인)</v>
          </cell>
          <cell r="AC741" t="str">
            <v>정창인</v>
          </cell>
          <cell r="AD741" t="str">
            <v>(인)</v>
          </cell>
          <cell r="AE741">
            <v>178.9</v>
          </cell>
          <cell r="AF741" t="str">
            <v>표준</v>
          </cell>
          <cell r="AG741">
            <v>2</v>
          </cell>
          <cell r="AH741">
            <v>0</v>
          </cell>
        </row>
        <row r="742">
          <cell r="G742">
            <v>2407180103</v>
          </cell>
          <cell r="H742" t="str">
            <v>101동, 102동</v>
          </cell>
          <cell r="I742">
            <v>240718</v>
          </cell>
          <cell r="J742" t="str">
            <v>101동~102동 사이 지하주차장 슬래브</v>
          </cell>
          <cell r="K742">
            <v>510</v>
          </cell>
          <cell r="L742">
            <v>510</v>
          </cell>
          <cell r="M742">
            <v>2715</v>
          </cell>
          <cell r="N742" t="str">
            <v>용호</v>
          </cell>
          <cell r="O742" t="str">
            <v>펌프카(1대)</v>
          </cell>
          <cell r="P742">
            <v>758</v>
          </cell>
          <cell r="Q742">
            <v>1334</v>
          </cell>
          <cell r="R742">
            <v>170</v>
          </cell>
          <cell r="S742">
            <v>40</v>
          </cell>
          <cell r="T742">
            <v>42</v>
          </cell>
          <cell r="U742">
            <v>234</v>
          </cell>
          <cell r="V742"/>
          <cell r="W742" t="str">
            <v>박순홍</v>
          </cell>
          <cell r="X742" t="str">
            <v>(인)</v>
          </cell>
          <cell r="Y742" t="str">
            <v>박순홍</v>
          </cell>
          <cell r="Z742" t="str">
            <v>(인)</v>
          </cell>
          <cell r="AA742" t="str">
            <v>이루비</v>
          </cell>
          <cell r="AB742" t="str">
            <v>(인)</v>
          </cell>
          <cell r="AC742" t="str">
            <v>정창인</v>
          </cell>
          <cell r="AD742" t="str">
            <v>(인)</v>
          </cell>
          <cell r="AE742">
            <v>180.4</v>
          </cell>
          <cell r="AF742" t="str">
            <v>표준</v>
          </cell>
          <cell r="AG742">
            <v>3</v>
          </cell>
          <cell r="AH742">
            <v>0</v>
          </cell>
        </row>
        <row r="743">
          <cell r="G743">
            <v>2407180104</v>
          </cell>
          <cell r="H743" t="str">
            <v>101동, 102동</v>
          </cell>
          <cell r="I743">
            <v>240718</v>
          </cell>
          <cell r="J743" t="str">
            <v>101동~102동 사이 지하주차장 슬래브</v>
          </cell>
          <cell r="K743">
            <v>510</v>
          </cell>
          <cell r="L743">
            <v>510</v>
          </cell>
          <cell r="M743">
            <v>2715</v>
          </cell>
          <cell r="N743" t="str">
            <v>용호</v>
          </cell>
          <cell r="O743" t="str">
            <v>펌프카(1대)</v>
          </cell>
          <cell r="P743">
            <v>758</v>
          </cell>
          <cell r="Q743">
            <v>1334</v>
          </cell>
          <cell r="R743">
            <v>160</v>
          </cell>
          <cell r="S743">
            <v>52</v>
          </cell>
          <cell r="T743">
            <v>36</v>
          </cell>
          <cell r="U743">
            <v>249</v>
          </cell>
          <cell r="V743"/>
          <cell r="W743" t="str">
            <v>박순홍</v>
          </cell>
          <cell r="X743" t="str">
            <v>(인)</v>
          </cell>
          <cell r="Y743" t="str">
            <v>박순홍</v>
          </cell>
          <cell r="Z743" t="str">
            <v>(인)</v>
          </cell>
          <cell r="AA743" t="str">
            <v>이루비</v>
          </cell>
          <cell r="AB743" t="str">
            <v>(인)</v>
          </cell>
          <cell r="AC743" t="str">
            <v>정창인</v>
          </cell>
          <cell r="AD743" t="str">
            <v>(인)</v>
          </cell>
          <cell r="AE743">
            <v>178.8</v>
          </cell>
          <cell r="AF743" t="str">
            <v>표준</v>
          </cell>
          <cell r="AG743">
            <v>4</v>
          </cell>
          <cell r="AH743">
            <v>1</v>
          </cell>
          <cell r="AL743">
            <v>3346</v>
          </cell>
          <cell r="AM743">
            <v>3406</v>
          </cell>
          <cell r="AN743">
            <v>3506</v>
          </cell>
          <cell r="AO743">
            <v>3517</v>
          </cell>
          <cell r="AP743">
            <v>3562</v>
          </cell>
          <cell r="AQ743">
            <v>3494</v>
          </cell>
          <cell r="AR743">
            <v>3536</v>
          </cell>
          <cell r="AS743">
            <v>3507</v>
          </cell>
          <cell r="AT743">
            <v>277000</v>
          </cell>
        </row>
        <row r="744">
          <cell r="G744">
            <v>2407180105</v>
          </cell>
          <cell r="H744" t="str">
            <v>101동, 102동</v>
          </cell>
          <cell r="I744">
            <v>240718</v>
          </cell>
          <cell r="J744" t="str">
            <v>101동~102동 사이 지하주차장 슬래브</v>
          </cell>
          <cell r="K744">
            <v>510</v>
          </cell>
          <cell r="L744">
            <v>510</v>
          </cell>
          <cell r="M744">
            <v>2715</v>
          </cell>
          <cell r="N744" t="str">
            <v>용호</v>
          </cell>
          <cell r="O744" t="str">
            <v>펌프카(1대)</v>
          </cell>
          <cell r="P744">
            <v>758</v>
          </cell>
          <cell r="Q744">
            <v>1334</v>
          </cell>
          <cell r="R744">
            <v>165</v>
          </cell>
          <cell r="S744">
            <v>51</v>
          </cell>
          <cell r="T744">
            <v>68</v>
          </cell>
          <cell r="U744">
            <v>254</v>
          </cell>
          <cell r="V744"/>
          <cell r="W744" t="str">
            <v>박순홍</v>
          </cell>
          <cell r="X744" t="str">
            <v>(인)</v>
          </cell>
          <cell r="Y744" t="str">
            <v>박순홍</v>
          </cell>
          <cell r="Z744" t="str">
            <v>(인)</v>
          </cell>
          <cell r="AA744" t="str">
            <v>이루비</v>
          </cell>
          <cell r="AB744" t="str">
            <v>(인)</v>
          </cell>
          <cell r="AC744" t="str">
            <v>정창인</v>
          </cell>
          <cell r="AD744" t="str">
            <v>(인)</v>
          </cell>
          <cell r="AE744">
            <v>180.4</v>
          </cell>
          <cell r="AF744" t="str">
            <v>표준</v>
          </cell>
          <cell r="AG744">
            <v>5</v>
          </cell>
          <cell r="AH744">
            <v>0</v>
          </cell>
        </row>
        <row r="745">
          <cell r="G745">
            <v>2407180201</v>
          </cell>
          <cell r="H745" t="str">
            <v>101동, 102동</v>
          </cell>
          <cell r="I745">
            <v>240718</v>
          </cell>
          <cell r="J745" t="str">
            <v>101동~102동 사이 지하주차장 슬래브</v>
          </cell>
          <cell r="K745">
            <v>490</v>
          </cell>
          <cell r="L745">
            <v>489</v>
          </cell>
          <cell r="M745">
            <v>2715</v>
          </cell>
          <cell r="N745" t="str">
            <v>대공</v>
          </cell>
          <cell r="O745" t="str">
            <v>펌프카(1대)</v>
          </cell>
          <cell r="P745">
            <v>805</v>
          </cell>
          <cell r="Q745">
            <v>1544</v>
          </cell>
          <cell r="R745">
            <v>160</v>
          </cell>
          <cell r="S745">
            <v>51</v>
          </cell>
          <cell r="T745">
            <v>84</v>
          </cell>
          <cell r="U745">
            <v>253</v>
          </cell>
          <cell r="V745"/>
          <cell r="W745" t="str">
            <v>박순홍</v>
          </cell>
          <cell r="X745" t="str">
            <v>(인)</v>
          </cell>
          <cell r="Y745" t="str">
            <v>박순홍</v>
          </cell>
          <cell r="Z745" t="str">
            <v>(인)</v>
          </cell>
          <cell r="AA745" t="str">
            <v>이루비</v>
          </cell>
          <cell r="AB745" t="str">
            <v>(인)</v>
          </cell>
          <cell r="AC745" t="str">
            <v>정창인</v>
          </cell>
          <cell r="AD745" t="str">
            <v>(인)</v>
          </cell>
          <cell r="AE745">
            <v>176.4</v>
          </cell>
          <cell r="AF745" t="str">
            <v>표준</v>
          </cell>
          <cell r="AG745">
            <v>1</v>
          </cell>
          <cell r="AH745">
            <v>1</v>
          </cell>
          <cell r="AI745">
            <v>2442</v>
          </cell>
          <cell r="AJ745">
            <v>2594</v>
          </cell>
          <cell r="AK745">
            <v>206000</v>
          </cell>
          <cell r="AL745">
            <v>3440</v>
          </cell>
          <cell r="AM745">
            <v>3416</v>
          </cell>
          <cell r="AN745">
            <v>3462</v>
          </cell>
          <cell r="AO745">
            <v>3404</v>
          </cell>
          <cell r="AP745">
            <v>3407</v>
          </cell>
          <cell r="AQ745">
            <v>3418</v>
          </cell>
          <cell r="AR745">
            <v>3416</v>
          </cell>
          <cell r="AS745">
            <v>3392</v>
          </cell>
          <cell r="AT745">
            <v>269800</v>
          </cell>
        </row>
        <row r="746">
          <cell r="G746">
            <v>2407180202</v>
          </cell>
          <cell r="H746" t="str">
            <v>101동, 102동</v>
          </cell>
          <cell r="I746">
            <v>240718</v>
          </cell>
          <cell r="J746" t="str">
            <v>101동~102동 사이 지하주차장 슬래브</v>
          </cell>
          <cell r="K746">
            <v>490</v>
          </cell>
          <cell r="L746">
            <v>489</v>
          </cell>
          <cell r="M746">
            <v>2715</v>
          </cell>
          <cell r="N746" t="str">
            <v>대공</v>
          </cell>
          <cell r="O746" t="str">
            <v>펌프카(1대)</v>
          </cell>
          <cell r="P746">
            <v>805</v>
          </cell>
          <cell r="Q746">
            <v>1544</v>
          </cell>
          <cell r="R746">
            <v>170</v>
          </cell>
          <cell r="S746">
            <v>41</v>
          </cell>
          <cell r="T746">
            <v>56</v>
          </cell>
          <cell r="U746">
            <v>248</v>
          </cell>
          <cell r="V746"/>
          <cell r="W746" t="str">
            <v>박순홍</v>
          </cell>
          <cell r="X746" t="str">
            <v>(인)</v>
          </cell>
          <cell r="Y746" t="str">
            <v>박순홍</v>
          </cell>
          <cell r="Z746" t="str">
            <v>(인)</v>
          </cell>
          <cell r="AA746" t="str">
            <v>이루비</v>
          </cell>
          <cell r="AB746" t="str">
            <v>(인)</v>
          </cell>
          <cell r="AC746" t="str">
            <v>정창인</v>
          </cell>
          <cell r="AD746" t="str">
            <v>(인)</v>
          </cell>
          <cell r="AE746">
            <v>179.3</v>
          </cell>
          <cell r="AF746" t="str">
            <v>표준</v>
          </cell>
          <cell r="AG746">
            <v>2</v>
          </cell>
          <cell r="AH746">
            <v>0</v>
          </cell>
        </row>
        <row r="747">
          <cell r="G747">
            <v>2407180203</v>
          </cell>
          <cell r="H747" t="str">
            <v>101동, 102동</v>
          </cell>
          <cell r="I747">
            <v>240718</v>
          </cell>
          <cell r="J747" t="str">
            <v>101동~102동 사이 지하주차장 슬래브</v>
          </cell>
          <cell r="K747">
            <v>490</v>
          </cell>
          <cell r="L747">
            <v>489</v>
          </cell>
          <cell r="M747">
            <v>2715</v>
          </cell>
          <cell r="N747" t="str">
            <v>대공</v>
          </cell>
          <cell r="O747" t="str">
            <v>펌프카(1대)</v>
          </cell>
          <cell r="P747">
            <v>805</v>
          </cell>
          <cell r="Q747">
            <v>1544</v>
          </cell>
          <cell r="R747">
            <v>175</v>
          </cell>
          <cell r="S747">
            <v>44</v>
          </cell>
          <cell r="T747">
            <v>48</v>
          </cell>
          <cell r="U747">
            <v>262</v>
          </cell>
          <cell r="V747"/>
          <cell r="W747" t="str">
            <v>박순홍</v>
          </cell>
          <cell r="X747" t="str">
            <v>(인)</v>
          </cell>
          <cell r="Y747" t="str">
            <v>박순홍</v>
          </cell>
          <cell r="Z747" t="str">
            <v>(인)</v>
          </cell>
          <cell r="AA747" t="str">
            <v>이루비</v>
          </cell>
          <cell r="AB747" t="str">
            <v>(인)</v>
          </cell>
          <cell r="AC747" t="str">
            <v>정창인</v>
          </cell>
          <cell r="AD747" t="str">
            <v>(인)</v>
          </cell>
          <cell r="AE747">
            <v>175.4</v>
          </cell>
          <cell r="AF747" t="str">
            <v>표준</v>
          </cell>
          <cell r="AG747">
            <v>3</v>
          </cell>
          <cell r="AH747">
            <v>0</v>
          </cell>
        </row>
        <row r="748">
          <cell r="G748">
            <v>2407180204</v>
          </cell>
          <cell r="H748" t="str">
            <v>101동, 102동</v>
          </cell>
          <cell r="I748">
            <v>240718</v>
          </cell>
          <cell r="J748" t="str">
            <v>101동~102동 사이 지하주차장 슬래브</v>
          </cell>
          <cell r="K748">
            <v>490</v>
          </cell>
          <cell r="L748">
            <v>489</v>
          </cell>
          <cell r="M748">
            <v>2715</v>
          </cell>
          <cell r="N748" t="str">
            <v>대공</v>
          </cell>
          <cell r="O748" t="str">
            <v>펌프카(1대)</v>
          </cell>
          <cell r="P748">
            <v>805</v>
          </cell>
          <cell r="Q748">
            <v>1544</v>
          </cell>
          <cell r="R748">
            <v>170</v>
          </cell>
          <cell r="S748">
            <v>46</v>
          </cell>
          <cell r="T748">
            <v>30</v>
          </cell>
          <cell r="U748">
            <v>261</v>
          </cell>
          <cell r="V748"/>
          <cell r="W748" t="str">
            <v>박순홍</v>
          </cell>
          <cell r="X748" t="str">
            <v>(인)</v>
          </cell>
          <cell r="Y748" t="str">
            <v>박순홍</v>
          </cell>
          <cell r="Z748" t="str">
            <v>(인)</v>
          </cell>
          <cell r="AA748" t="str">
            <v>이루비</v>
          </cell>
          <cell r="AB748" t="str">
            <v>(인)</v>
          </cell>
          <cell r="AC748" t="str">
            <v>정창인</v>
          </cell>
          <cell r="AD748" t="str">
            <v>(인)</v>
          </cell>
          <cell r="AE748">
            <v>170.9</v>
          </cell>
          <cell r="AF748" t="str">
            <v>표준</v>
          </cell>
          <cell r="AG748">
            <v>4</v>
          </cell>
          <cell r="AH748">
            <v>1</v>
          </cell>
          <cell r="AL748">
            <v>3567</v>
          </cell>
          <cell r="AM748">
            <v>3504</v>
          </cell>
          <cell r="AN748">
            <v>3507</v>
          </cell>
          <cell r="AO748">
            <v>3602</v>
          </cell>
          <cell r="AP748">
            <v>3492</v>
          </cell>
          <cell r="AQ748">
            <v>3502</v>
          </cell>
          <cell r="AR748">
            <v>3508</v>
          </cell>
          <cell r="AS748">
            <v>3404</v>
          </cell>
          <cell r="AT748">
            <v>278800</v>
          </cell>
        </row>
        <row r="749">
          <cell r="G749">
            <v>2407180205</v>
          </cell>
          <cell r="H749" t="str">
            <v>101동, 102동</v>
          </cell>
          <cell r="I749">
            <v>240718</v>
          </cell>
          <cell r="J749" t="str">
            <v>101동~102동 사이 지하주차장 슬래브</v>
          </cell>
          <cell r="K749">
            <v>490</v>
          </cell>
          <cell r="L749">
            <v>489</v>
          </cell>
          <cell r="M749">
            <v>2715</v>
          </cell>
          <cell r="N749" t="str">
            <v>대공</v>
          </cell>
          <cell r="O749" t="str">
            <v>펌프카(1대)</v>
          </cell>
          <cell r="P749">
            <v>805</v>
          </cell>
          <cell r="Q749">
            <v>1544</v>
          </cell>
          <cell r="R749">
            <v>150</v>
          </cell>
          <cell r="S749">
            <v>43</v>
          </cell>
          <cell r="T749">
            <v>126</v>
          </cell>
          <cell r="U749">
            <v>264</v>
          </cell>
          <cell r="V749"/>
          <cell r="W749" t="str">
            <v>박순홍</v>
          </cell>
          <cell r="X749" t="str">
            <v>(인)</v>
          </cell>
          <cell r="Y749" t="str">
            <v>박순홍</v>
          </cell>
          <cell r="Z749" t="str">
            <v>(인)</v>
          </cell>
          <cell r="AA749" t="str">
            <v>이루비</v>
          </cell>
          <cell r="AB749" t="str">
            <v>(인)</v>
          </cell>
          <cell r="AC749" t="str">
            <v>정창인</v>
          </cell>
          <cell r="AD749" t="str">
            <v>(인)</v>
          </cell>
          <cell r="AE749">
            <v>176.8</v>
          </cell>
          <cell r="AF749" t="str">
            <v>표준</v>
          </cell>
          <cell r="AG749">
            <v>5</v>
          </cell>
          <cell r="AH749">
            <v>0</v>
          </cell>
        </row>
        <row r="750">
          <cell r="G750">
            <v>2407180301</v>
          </cell>
          <cell r="H750" t="str">
            <v>107동</v>
          </cell>
          <cell r="I750">
            <v>240718</v>
          </cell>
          <cell r="J750" t="str">
            <v>107동 3층 바닥</v>
          </cell>
          <cell r="K750">
            <v>310</v>
          </cell>
          <cell r="L750">
            <v>312</v>
          </cell>
          <cell r="M750">
            <v>3018</v>
          </cell>
          <cell r="N750" t="str">
            <v>동양</v>
          </cell>
          <cell r="O750" t="str">
            <v>펌프카(1대)</v>
          </cell>
          <cell r="P750">
            <v>758</v>
          </cell>
          <cell r="Q750">
            <v>1322</v>
          </cell>
          <cell r="R750">
            <v>170</v>
          </cell>
          <cell r="S750">
            <v>46</v>
          </cell>
          <cell r="T750">
            <v>93</v>
          </cell>
          <cell r="U750">
            <v>244</v>
          </cell>
          <cell r="V750"/>
          <cell r="W750" t="str">
            <v>박순홍</v>
          </cell>
          <cell r="X750" t="str">
            <v>(인)</v>
          </cell>
          <cell r="Y750" t="str">
            <v>박순홍</v>
          </cell>
          <cell r="Z750" t="str">
            <v>(인)</v>
          </cell>
          <cell r="AA750" t="str">
            <v>정창인</v>
          </cell>
          <cell r="AB750" t="str">
            <v>(인)</v>
          </cell>
          <cell r="AC750" t="str">
            <v>정창인</v>
          </cell>
          <cell r="AD750" t="str">
            <v>(인)</v>
          </cell>
          <cell r="AE750">
            <v>183.2</v>
          </cell>
          <cell r="AF750" t="str">
            <v>표준</v>
          </cell>
          <cell r="AG750">
            <v>1</v>
          </cell>
          <cell r="AH750">
            <v>1</v>
          </cell>
          <cell r="AI750">
            <v>2857</v>
          </cell>
          <cell r="AJ750">
            <v>2810</v>
          </cell>
          <cell r="AK750">
            <v>219400</v>
          </cell>
          <cell r="AL750">
            <v>3880</v>
          </cell>
          <cell r="AM750">
            <v>3792</v>
          </cell>
          <cell r="AN750">
            <v>3827</v>
          </cell>
          <cell r="AO750">
            <v>3826</v>
          </cell>
          <cell r="AP750">
            <v>3902</v>
          </cell>
          <cell r="AQ750">
            <v>3806</v>
          </cell>
          <cell r="AR750">
            <v>3862</v>
          </cell>
          <cell r="AS750">
            <v>3962</v>
          </cell>
          <cell r="AT750">
            <v>298800</v>
          </cell>
        </row>
        <row r="751">
          <cell r="G751">
            <v>2407180302</v>
          </cell>
          <cell r="H751" t="str">
            <v>107동</v>
          </cell>
          <cell r="I751">
            <v>240718</v>
          </cell>
          <cell r="J751" t="str">
            <v>107동 3층 바닥</v>
          </cell>
          <cell r="K751">
            <v>310</v>
          </cell>
          <cell r="L751">
            <v>312</v>
          </cell>
          <cell r="M751">
            <v>3018</v>
          </cell>
          <cell r="N751" t="str">
            <v>동양</v>
          </cell>
          <cell r="O751" t="str">
            <v>펌프카(1대)</v>
          </cell>
          <cell r="P751">
            <v>758</v>
          </cell>
          <cell r="Q751">
            <v>1322</v>
          </cell>
          <cell r="R751">
            <v>175</v>
          </cell>
          <cell r="S751">
            <v>41</v>
          </cell>
          <cell r="T751">
            <v>50</v>
          </cell>
          <cell r="U751">
            <v>231</v>
          </cell>
          <cell r="V751"/>
          <cell r="W751" t="str">
            <v>박순홍</v>
          </cell>
          <cell r="X751" t="str">
            <v>(인)</v>
          </cell>
          <cell r="Y751" t="str">
            <v>박순홍</v>
          </cell>
          <cell r="Z751" t="str">
            <v>(인)</v>
          </cell>
          <cell r="AA751" t="str">
            <v>정창인</v>
          </cell>
          <cell r="AB751" t="str">
            <v>(인)</v>
          </cell>
          <cell r="AC751" t="str">
            <v>정창인</v>
          </cell>
          <cell r="AD751" t="str">
            <v>(인)</v>
          </cell>
          <cell r="AE751">
            <v>190.6</v>
          </cell>
          <cell r="AF751" t="str">
            <v>표준</v>
          </cell>
          <cell r="AG751">
            <v>2</v>
          </cell>
          <cell r="AH751">
            <v>0</v>
          </cell>
        </row>
        <row r="752">
          <cell r="G752">
            <v>2407180303</v>
          </cell>
          <cell r="H752" t="str">
            <v>107동</v>
          </cell>
          <cell r="I752">
            <v>240718</v>
          </cell>
          <cell r="J752" t="str">
            <v>107동 3층 바닥</v>
          </cell>
          <cell r="K752">
            <v>310</v>
          </cell>
          <cell r="L752">
            <v>312</v>
          </cell>
          <cell r="M752">
            <v>3018</v>
          </cell>
          <cell r="N752" t="str">
            <v>동양</v>
          </cell>
          <cell r="O752" t="str">
            <v>펌프카(1대)</v>
          </cell>
          <cell r="P752">
            <v>758</v>
          </cell>
          <cell r="Q752">
            <v>1322</v>
          </cell>
          <cell r="R752">
            <v>170</v>
          </cell>
          <cell r="S752">
            <v>46</v>
          </cell>
          <cell r="T752">
            <v>93</v>
          </cell>
          <cell r="U752">
            <v>244</v>
          </cell>
          <cell r="V752"/>
          <cell r="W752" t="str">
            <v>박순홍</v>
          </cell>
          <cell r="X752" t="str">
            <v>(인)</v>
          </cell>
          <cell r="Y752" t="str">
            <v>박순홍</v>
          </cell>
          <cell r="Z752" t="str">
            <v>(인)</v>
          </cell>
          <cell r="AA752" t="str">
            <v>정창인</v>
          </cell>
          <cell r="AB752" t="str">
            <v>(인)</v>
          </cell>
          <cell r="AC752" t="str">
            <v>정창인</v>
          </cell>
          <cell r="AD752" t="str">
            <v>(인)</v>
          </cell>
          <cell r="AE752">
            <v>183.2</v>
          </cell>
          <cell r="AF752" t="str">
            <v>표준</v>
          </cell>
          <cell r="AG752">
            <v>3</v>
          </cell>
          <cell r="AH752">
            <v>0</v>
          </cell>
        </row>
        <row r="753">
          <cell r="G753">
            <v>2407220101</v>
          </cell>
          <cell r="H753" t="str">
            <v>102동</v>
          </cell>
          <cell r="I753">
            <v>240722</v>
          </cell>
          <cell r="J753" t="str">
            <v>102동 4층 바닥</v>
          </cell>
          <cell r="K753">
            <v>300</v>
          </cell>
          <cell r="L753">
            <v>299</v>
          </cell>
          <cell r="M753">
            <v>3018</v>
          </cell>
          <cell r="N753" t="str">
            <v>영진</v>
          </cell>
          <cell r="O753" t="str">
            <v>펌프카(1대)</v>
          </cell>
          <cell r="P753">
            <v>811</v>
          </cell>
          <cell r="Q753">
            <v>1210</v>
          </cell>
          <cell r="R753">
            <v>195</v>
          </cell>
          <cell r="S753">
            <v>39</v>
          </cell>
          <cell r="T753">
            <v>75</v>
          </cell>
          <cell r="U753">
            <v>246</v>
          </cell>
          <cell r="V753"/>
          <cell r="W753" t="str">
            <v>박순홍</v>
          </cell>
          <cell r="X753" t="str">
            <v>(인)</v>
          </cell>
          <cell r="Y753" t="str">
            <v>박순홍</v>
          </cell>
          <cell r="Z753" t="str">
            <v>(인)</v>
          </cell>
          <cell r="AA753" t="str">
            <v>이홍걸</v>
          </cell>
          <cell r="AB753" t="str">
            <v>(인)</v>
          </cell>
          <cell r="AC753" t="str">
            <v>박기원</v>
          </cell>
          <cell r="AD753" t="str">
            <v>(인)</v>
          </cell>
          <cell r="AE753">
            <v>170.2</v>
          </cell>
          <cell r="AF753" t="str">
            <v>표준</v>
          </cell>
          <cell r="AG753">
            <v>1</v>
          </cell>
          <cell r="AH753">
            <v>1</v>
          </cell>
          <cell r="AI753">
            <v>2729</v>
          </cell>
          <cell r="AJ753">
            <v>2681</v>
          </cell>
          <cell r="AK753">
            <v>210000</v>
          </cell>
          <cell r="AL753">
            <v>3700</v>
          </cell>
          <cell r="AM753">
            <v>3791</v>
          </cell>
          <cell r="AN753">
            <v>3763</v>
          </cell>
          <cell r="AO753">
            <v>3802</v>
          </cell>
          <cell r="AP753">
            <v>3794</v>
          </cell>
          <cell r="AQ753">
            <v>3729</v>
          </cell>
          <cell r="AR753">
            <v>3804</v>
          </cell>
          <cell r="AS753">
            <v>3943</v>
          </cell>
          <cell r="AT753">
            <v>295800</v>
          </cell>
        </row>
        <row r="754">
          <cell r="G754">
            <v>2407220102</v>
          </cell>
          <cell r="H754" t="str">
            <v>102동</v>
          </cell>
          <cell r="I754">
            <v>240722</v>
          </cell>
          <cell r="J754" t="str">
            <v>102동 4층 바닥</v>
          </cell>
          <cell r="K754">
            <v>300</v>
          </cell>
          <cell r="L754">
            <v>299</v>
          </cell>
          <cell r="M754">
            <v>3018</v>
          </cell>
          <cell r="N754" t="str">
            <v>영진</v>
          </cell>
          <cell r="O754" t="str">
            <v>펌프카(1대)</v>
          </cell>
          <cell r="P754">
            <v>811</v>
          </cell>
          <cell r="Q754">
            <v>1210</v>
          </cell>
          <cell r="R754">
            <v>200</v>
          </cell>
          <cell r="S754">
            <v>43</v>
          </cell>
          <cell r="T754">
            <v>77</v>
          </cell>
          <cell r="U754">
            <v>233</v>
          </cell>
          <cell r="V754"/>
          <cell r="W754" t="str">
            <v>박순홍</v>
          </cell>
          <cell r="X754" t="str">
            <v>(인)</v>
          </cell>
          <cell r="Y754" t="str">
            <v>박순홍</v>
          </cell>
          <cell r="Z754" t="str">
            <v>(인)</v>
          </cell>
          <cell r="AA754" t="str">
            <v>이홍걸</v>
          </cell>
          <cell r="AB754" t="str">
            <v>(인)</v>
          </cell>
          <cell r="AC754" t="str">
            <v>박기원</v>
          </cell>
          <cell r="AD754" t="str">
            <v>(인)</v>
          </cell>
          <cell r="AE754">
            <v>178.6</v>
          </cell>
          <cell r="AF754" t="str">
            <v>표준</v>
          </cell>
          <cell r="AG754">
            <v>2</v>
          </cell>
          <cell r="AH754">
            <v>0</v>
          </cell>
        </row>
        <row r="755">
          <cell r="G755">
            <v>2407220103</v>
          </cell>
          <cell r="H755" t="str">
            <v>102동</v>
          </cell>
          <cell r="I755">
            <v>240722</v>
          </cell>
          <cell r="J755" t="str">
            <v>102동 4층 바닥</v>
          </cell>
          <cell r="K755">
            <v>300</v>
          </cell>
          <cell r="L755">
            <v>299</v>
          </cell>
          <cell r="M755">
            <v>3018</v>
          </cell>
          <cell r="N755" t="str">
            <v>영진</v>
          </cell>
          <cell r="O755" t="str">
            <v>펌프카(1대)</v>
          </cell>
          <cell r="P755">
            <v>811</v>
          </cell>
          <cell r="Q755">
            <v>1210</v>
          </cell>
          <cell r="R755">
            <v>200</v>
          </cell>
          <cell r="S755">
            <v>50</v>
          </cell>
          <cell r="T755">
            <v>89</v>
          </cell>
          <cell r="U755">
            <v>229</v>
          </cell>
          <cell r="V755"/>
          <cell r="W755" t="str">
            <v>박순홍</v>
          </cell>
          <cell r="X755" t="str">
            <v>(인)</v>
          </cell>
          <cell r="Y755" t="str">
            <v>박순홍</v>
          </cell>
          <cell r="Z755" t="str">
            <v>(인)</v>
          </cell>
          <cell r="AA755" t="str">
            <v>이홍걸</v>
          </cell>
          <cell r="AB755" t="str">
            <v>(인)</v>
          </cell>
          <cell r="AC755" t="str">
            <v>박기원</v>
          </cell>
          <cell r="AD755" t="str">
            <v>(인)</v>
          </cell>
          <cell r="AE755">
            <v>179.1</v>
          </cell>
          <cell r="AF755" t="str">
            <v>표준</v>
          </cell>
          <cell r="AG755">
            <v>3</v>
          </cell>
          <cell r="AH755">
            <v>0</v>
          </cell>
        </row>
        <row r="756">
          <cell r="G756">
            <v>2407220201</v>
          </cell>
          <cell r="H756" t="str">
            <v>106동</v>
          </cell>
          <cell r="I756">
            <v>240722</v>
          </cell>
          <cell r="J756" t="str">
            <v>106동 8층 바닥</v>
          </cell>
          <cell r="K756">
            <v>280</v>
          </cell>
          <cell r="L756">
            <v>283</v>
          </cell>
          <cell r="M756">
            <v>3018</v>
          </cell>
          <cell r="N756" t="str">
            <v>대원</v>
          </cell>
          <cell r="O756" t="str">
            <v>펌프카(1대)</v>
          </cell>
          <cell r="P756">
            <v>1450</v>
          </cell>
          <cell r="Q756">
            <v>1718</v>
          </cell>
          <cell r="R756">
            <v>180</v>
          </cell>
          <cell r="S756">
            <v>45</v>
          </cell>
          <cell r="T756">
            <v>45</v>
          </cell>
          <cell r="U756">
            <v>266</v>
          </cell>
          <cell r="V756"/>
          <cell r="W756" t="str">
            <v>박순홍</v>
          </cell>
          <cell r="X756" t="str">
            <v>(인)</v>
          </cell>
          <cell r="Y756" t="str">
            <v>박순홍</v>
          </cell>
          <cell r="Z756" t="str">
            <v>(인)</v>
          </cell>
          <cell r="AA756" t="str">
            <v>이루비</v>
          </cell>
          <cell r="AB756" t="str">
            <v>(인)</v>
          </cell>
          <cell r="AC756" t="str">
            <v>박기원</v>
          </cell>
          <cell r="AD756" t="str">
            <v>(인)</v>
          </cell>
          <cell r="AE756">
            <v>184.7</v>
          </cell>
          <cell r="AF756" t="str">
            <v>표준</v>
          </cell>
          <cell r="AG756">
            <v>1</v>
          </cell>
          <cell r="AH756">
            <v>1</v>
          </cell>
          <cell r="AI756">
            <v>2760</v>
          </cell>
          <cell r="AJ756">
            <v>2834</v>
          </cell>
          <cell r="AK756">
            <v>220800</v>
          </cell>
          <cell r="AL756">
            <v>3949</v>
          </cell>
          <cell r="AM756">
            <v>3947</v>
          </cell>
          <cell r="AN756">
            <v>3962</v>
          </cell>
          <cell r="AO756">
            <v>3864</v>
          </cell>
          <cell r="AP756">
            <v>3929</v>
          </cell>
          <cell r="AQ756">
            <v>4013</v>
          </cell>
          <cell r="AR756">
            <v>4062</v>
          </cell>
          <cell r="AS756">
            <v>3927</v>
          </cell>
          <cell r="AT756">
            <v>310600</v>
          </cell>
        </row>
        <row r="757">
          <cell r="G757">
            <v>2407220202</v>
          </cell>
          <cell r="H757" t="str">
            <v>106동</v>
          </cell>
          <cell r="I757">
            <v>240722</v>
          </cell>
          <cell r="J757" t="str">
            <v>106동 8층 바닥</v>
          </cell>
          <cell r="K757">
            <v>280</v>
          </cell>
          <cell r="L757">
            <v>283</v>
          </cell>
          <cell r="M757">
            <v>3018</v>
          </cell>
          <cell r="N757" t="str">
            <v>대원</v>
          </cell>
          <cell r="O757" t="str">
            <v>펌프카(1대)</v>
          </cell>
          <cell r="P757">
            <v>1450</v>
          </cell>
          <cell r="Q757">
            <v>1718</v>
          </cell>
          <cell r="R757">
            <v>190</v>
          </cell>
          <cell r="S757">
            <v>49</v>
          </cell>
          <cell r="T757">
            <v>73</v>
          </cell>
          <cell r="U757">
            <v>263</v>
          </cell>
          <cell r="V757"/>
          <cell r="W757" t="str">
            <v>박순홍</v>
          </cell>
          <cell r="X757" t="str">
            <v>(인)</v>
          </cell>
          <cell r="Y757" t="str">
            <v>박순홍</v>
          </cell>
          <cell r="Z757" t="str">
            <v>(인)</v>
          </cell>
          <cell r="AA757" t="str">
            <v>이루비</v>
          </cell>
          <cell r="AB757" t="str">
            <v>(인)</v>
          </cell>
          <cell r="AC757" t="str">
            <v>박기원</v>
          </cell>
          <cell r="AD757" t="str">
            <v>(인)</v>
          </cell>
          <cell r="AE757">
            <v>187.4</v>
          </cell>
          <cell r="AF757" t="str">
            <v>표준</v>
          </cell>
          <cell r="AG757">
            <v>2</v>
          </cell>
          <cell r="AH757">
            <v>0</v>
          </cell>
        </row>
        <row r="758">
          <cell r="G758">
            <v>2407220203</v>
          </cell>
          <cell r="H758" t="str">
            <v>106동</v>
          </cell>
          <cell r="I758">
            <v>240722</v>
          </cell>
          <cell r="J758" t="str">
            <v>106동 8층 바닥</v>
          </cell>
          <cell r="K758">
            <v>280</v>
          </cell>
          <cell r="L758">
            <v>283</v>
          </cell>
          <cell r="M758">
            <v>3018</v>
          </cell>
          <cell r="N758" t="str">
            <v>대원</v>
          </cell>
          <cell r="O758" t="str">
            <v>펌프카(1대)</v>
          </cell>
          <cell r="P758">
            <v>1450</v>
          </cell>
          <cell r="Q758">
            <v>1718</v>
          </cell>
          <cell r="R758">
            <v>190</v>
          </cell>
          <cell r="S758">
            <v>48</v>
          </cell>
          <cell r="T758">
            <v>52</v>
          </cell>
          <cell r="U758">
            <v>260</v>
          </cell>
          <cell r="V758"/>
          <cell r="W758" t="str">
            <v>박순홍</v>
          </cell>
          <cell r="X758" t="str">
            <v>(인)</v>
          </cell>
          <cell r="Y758" t="str">
            <v>박순홍</v>
          </cell>
          <cell r="Z758" t="str">
            <v>(인)</v>
          </cell>
          <cell r="AA758" t="str">
            <v>이루비</v>
          </cell>
          <cell r="AB758" t="str">
            <v>(인)</v>
          </cell>
          <cell r="AC758" t="str">
            <v>박기원</v>
          </cell>
          <cell r="AD758" t="str">
            <v>(인)</v>
          </cell>
          <cell r="AE758">
            <v>184</v>
          </cell>
          <cell r="AF758" t="str">
            <v>표준</v>
          </cell>
          <cell r="AG758">
            <v>3</v>
          </cell>
          <cell r="AH758">
            <v>0</v>
          </cell>
        </row>
        <row r="759">
          <cell r="G759">
            <v>2407220301</v>
          </cell>
          <cell r="H759" t="str">
            <v>119동</v>
          </cell>
          <cell r="I759">
            <v>240722</v>
          </cell>
          <cell r="J759" t="str">
            <v>119동 E/V 기초</v>
          </cell>
          <cell r="K759">
            <v>70</v>
          </cell>
          <cell r="L759">
            <v>65</v>
          </cell>
          <cell r="M759">
            <v>2415</v>
          </cell>
          <cell r="N759" t="str">
            <v>대원</v>
          </cell>
          <cell r="O759" t="str">
            <v>펌프카(1대)</v>
          </cell>
          <cell r="P759">
            <v>1450</v>
          </cell>
          <cell r="Q759">
            <v>1728</v>
          </cell>
          <cell r="R759">
            <v>160</v>
          </cell>
          <cell r="S759">
            <v>46</v>
          </cell>
          <cell r="T759">
            <v>32</v>
          </cell>
          <cell r="U759">
            <v>278</v>
          </cell>
          <cell r="V759"/>
          <cell r="W759" t="str">
            <v>박순홍</v>
          </cell>
          <cell r="X759" t="str">
            <v>(인)</v>
          </cell>
          <cell r="Y759" t="str">
            <v>박순홍</v>
          </cell>
          <cell r="Z759" t="str">
            <v>(인)</v>
          </cell>
          <cell r="AA759" t="str">
            <v>박정환</v>
          </cell>
          <cell r="AB759" t="str">
            <v>(인)</v>
          </cell>
          <cell r="AC759" t="str">
            <v>박기원</v>
          </cell>
          <cell r="AD759" t="str">
            <v>(인)</v>
          </cell>
          <cell r="AE759">
            <v>176.2</v>
          </cell>
          <cell r="AF759" t="str">
            <v>표준</v>
          </cell>
          <cell r="AG759">
            <v>1</v>
          </cell>
          <cell r="AH759">
            <v>1</v>
          </cell>
          <cell r="AI759">
            <v>2188</v>
          </cell>
          <cell r="AJ759">
            <v>2149</v>
          </cell>
          <cell r="AK759">
            <v>173600</v>
          </cell>
          <cell r="AL759">
            <v>2997</v>
          </cell>
          <cell r="AM759">
            <v>3104</v>
          </cell>
          <cell r="AN759">
            <v>3094</v>
          </cell>
          <cell r="AO759">
            <v>3162</v>
          </cell>
          <cell r="AP759">
            <v>3064</v>
          </cell>
          <cell r="AQ759">
            <v>3062</v>
          </cell>
          <cell r="AR759">
            <v>3112</v>
          </cell>
          <cell r="AS759">
            <v>3104</v>
          </cell>
          <cell r="AT759">
            <v>244000</v>
          </cell>
        </row>
        <row r="760">
          <cell r="G760">
            <v>2407230101</v>
          </cell>
          <cell r="H760" t="str">
            <v>103동</v>
          </cell>
          <cell r="I760">
            <v>240723</v>
          </cell>
          <cell r="J760" t="str">
            <v>103동 11층 바닥</v>
          </cell>
          <cell r="K760">
            <v>280</v>
          </cell>
          <cell r="L760">
            <v>282</v>
          </cell>
          <cell r="M760">
            <v>3018</v>
          </cell>
          <cell r="N760" t="str">
            <v>대공</v>
          </cell>
          <cell r="O760" t="str">
            <v>펌프카(1대)</v>
          </cell>
          <cell r="P760">
            <v>812</v>
          </cell>
          <cell r="Q760">
            <v>1247</v>
          </cell>
          <cell r="R760">
            <v>195</v>
          </cell>
          <cell r="S760">
            <v>43</v>
          </cell>
          <cell r="T760">
            <v>33</v>
          </cell>
          <cell r="U760">
            <v>271</v>
          </cell>
          <cell r="V760"/>
          <cell r="W760" t="str">
            <v>박순홍</v>
          </cell>
          <cell r="X760" t="str">
            <v>(인)</v>
          </cell>
          <cell r="Y760" t="str">
            <v>박순홍</v>
          </cell>
          <cell r="Z760" t="str">
            <v>(인)</v>
          </cell>
          <cell r="AA760" t="str">
            <v>최상옥</v>
          </cell>
          <cell r="AB760" t="str">
            <v>(인)</v>
          </cell>
          <cell r="AC760" t="str">
            <v>박기원</v>
          </cell>
          <cell r="AD760" t="str">
            <v>(인)</v>
          </cell>
          <cell r="AE760">
            <v>190.3</v>
          </cell>
          <cell r="AF760" t="str">
            <v>표준</v>
          </cell>
          <cell r="AG760">
            <v>1</v>
          </cell>
          <cell r="AH760">
            <v>1</v>
          </cell>
          <cell r="AI760">
            <v>2813</v>
          </cell>
          <cell r="AJ760">
            <v>2758</v>
          </cell>
          <cell r="AK760">
            <v>213400</v>
          </cell>
          <cell r="AL760">
            <v>4038</v>
          </cell>
          <cell r="AM760">
            <v>4023</v>
          </cell>
          <cell r="AN760">
            <v>3984</v>
          </cell>
          <cell r="AO760">
            <v>3992</v>
          </cell>
          <cell r="AP760">
            <v>4014</v>
          </cell>
          <cell r="AQ760">
            <v>4062</v>
          </cell>
          <cell r="AR760">
            <v>3987</v>
          </cell>
          <cell r="AS760">
            <v>3894</v>
          </cell>
          <cell r="AT760">
            <v>317200</v>
          </cell>
        </row>
        <row r="761">
          <cell r="G761">
            <v>2407230102</v>
          </cell>
          <cell r="H761" t="str">
            <v>103동</v>
          </cell>
          <cell r="I761">
            <v>240723</v>
          </cell>
          <cell r="J761" t="str">
            <v>103동 11층 바닥</v>
          </cell>
          <cell r="K761">
            <v>280</v>
          </cell>
          <cell r="L761">
            <v>282</v>
          </cell>
          <cell r="M761">
            <v>3018</v>
          </cell>
          <cell r="N761" t="str">
            <v>대공</v>
          </cell>
          <cell r="O761" t="str">
            <v>펌프카(1대)</v>
          </cell>
          <cell r="P761">
            <v>812</v>
          </cell>
          <cell r="Q761">
            <v>1247</v>
          </cell>
          <cell r="R761">
            <v>200</v>
          </cell>
          <cell r="S761">
            <v>48</v>
          </cell>
          <cell r="T761">
            <v>28</v>
          </cell>
          <cell r="U761">
            <v>240</v>
          </cell>
          <cell r="V761"/>
          <cell r="W761" t="str">
            <v>박순홍</v>
          </cell>
          <cell r="X761" t="str">
            <v>(인)</v>
          </cell>
          <cell r="Y761" t="str">
            <v>박순홍</v>
          </cell>
          <cell r="Z761" t="str">
            <v>(인)</v>
          </cell>
          <cell r="AA761" t="str">
            <v>최상옥</v>
          </cell>
          <cell r="AB761" t="str">
            <v>(인)</v>
          </cell>
          <cell r="AC761" t="str">
            <v>박기원</v>
          </cell>
          <cell r="AD761" t="str">
            <v>(인)</v>
          </cell>
          <cell r="AE761">
            <v>184.6</v>
          </cell>
          <cell r="AF761" t="str">
            <v>표준</v>
          </cell>
          <cell r="AG761">
            <v>2</v>
          </cell>
          <cell r="AH761">
            <v>0</v>
          </cell>
        </row>
        <row r="762">
          <cell r="G762">
            <v>2407230103</v>
          </cell>
          <cell r="H762" t="str">
            <v>103동</v>
          </cell>
          <cell r="I762">
            <v>240723</v>
          </cell>
          <cell r="J762" t="str">
            <v>103동 11층 바닥</v>
          </cell>
          <cell r="K762">
            <v>280</v>
          </cell>
          <cell r="L762">
            <v>282</v>
          </cell>
          <cell r="M762">
            <v>3018</v>
          </cell>
          <cell r="N762" t="str">
            <v>대공</v>
          </cell>
          <cell r="O762" t="str">
            <v>펌프카(1대)</v>
          </cell>
          <cell r="P762">
            <v>812</v>
          </cell>
          <cell r="Q762">
            <v>1247</v>
          </cell>
          <cell r="R762">
            <v>180</v>
          </cell>
          <cell r="S762">
            <v>42</v>
          </cell>
          <cell r="T762">
            <v>23</v>
          </cell>
          <cell r="U762">
            <v>259</v>
          </cell>
          <cell r="V762"/>
          <cell r="W762" t="str">
            <v>박순홍</v>
          </cell>
          <cell r="X762" t="str">
            <v>(인)</v>
          </cell>
          <cell r="Y762" t="str">
            <v>박순홍</v>
          </cell>
          <cell r="Z762" t="str">
            <v>(인)</v>
          </cell>
          <cell r="AA762" t="str">
            <v>최상옥</v>
          </cell>
          <cell r="AB762" t="str">
            <v>(인)</v>
          </cell>
          <cell r="AC762" t="str">
            <v>박기원</v>
          </cell>
          <cell r="AD762" t="str">
            <v>(인)</v>
          </cell>
          <cell r="AE762">
            <v>180.6</v>
          </cell>
          <cell r="AF762" t="str">
            <v>표준</v>
          </cell>
          <cell r="AG762">
            <v>3</v>
          </cell>
          <cell r="AH762">
            <v>0</v>
          </cell>
        </row>
        <row r="763">
          <cell r="G763">
            <v>2407230201</v>
          </cell>
          <cell r="H763" t="str">
            <v>101동, 104동</v>
          </cell>
          <cell r="I763">
            <v>240723</v>
          </cell>
          <cell r="J763" t="str">
            <v>1동~4동 사이 가도구간 주차장 지붕층</v>
          </cell>
          <cell r="K763">
            <v>300</v>
          </cell>
          <cell r="L763">
            <v>304</v>
          </cell>
          <cell r="M763">
            <v>2715</v>
          </cell>
          <cell r="N763" t="str">
            <v>영진</v>
          </cell>
          <cell r="O763" t="str">
            <v>펌프카(1대)</v>
          </cell>
          <cell r="P763">
            <v>902</v>
          </cell>
          <cell r="Q763">
            <v>1540</v>
          </cell>
          <cell r="R763">
            <v>150</v>
          </cell>
          <cell r="S763">
            <v>40</v>
          </cell>
          <cell r="T763">
            <v>46</v>
          </cell>
          <cell r="U763">
            <v>263</v>
          </cell>
          <cell r="V763"/>
          <cell r="W763" t="str">
            <v>박순홍</v>
          </cell>
          <cell r="X763" t="str">
            <v>(인)</v>
          </cell>
          <cell r="Y763" t="str">
            <v>박순홍</v>
          </cell>
          <cell r="Z763" t="str">
            <v>(인)</v>
          </cell>
          <cell r="AA763" t="str">
            <v>이홍걸</v>
          </cell>
          <cell r="AB763" t="str">
            <v>(인)</v>
          </cell>
          <cell r="AC763" t="str">
            <v>박기원</v>
          </cell>
          <cell r="AD763" t="str">
            <v>(인)</v>
          </cell>
          <cell r="AE763">
            <v>179.8</v>
          </cell>
          <cell r="AF763" t="str">
            <v>표준</v>
          </cell>
          <cell r="AG763">
            <v>1</v>
          </cell>
          <cell r="AH763">
            <v>1</v>
          </cell>
          <cell r="AI763">
            <v>2503</v>
          </cell>
          <cell r="AJ763">
            <v>2426</v>
          </cell>
          <cell r="AK763">
            <v>198800</v>
          </cell>
          <cell r="AL763">
            <v>3396</v>
          </cell>
          <cell r="AM763">
            <v>3353</v>
          </cell>
          <cell r="AN763">
            <v>3402</v>
          </cell>
          <cell r="AO763">
            <v>3392</v>
          </cell>
          <cell r="AP763">
            <v>3413</v>
          </cell>
          <cell r="AQ763">
            <v>3306</v>
          </cell>
          <cell r="AR763">
            <v>3464</v>
          </cell>
          <cell r="AS763">
            <v>3394</v>
          </cell>
          <cell r="AT763">
            <v>271400</v>
          </cell>
        </row>
        <row r="764">
          <cell r="G764">
            <v>2407230202</v>
          </cell>
          <cell r="H764" t="str">
            <v>101동, 104동</v>
          </cell>
          <cell r="I764">
            <v>240723</v>
          </cell>
          <cell r="J764" t="str">
            <v>1동~4동 사이 가도구간 주차장 지붕층</v>
          </cell>
          <cell r="K764">
            <v>300</v>
          </cell>
          <cell r="L764">
            <v>304</v>
          </cell>
          <cell r="M764">
            <v>2715</v>
          </cell>
          <cell r="N764" t="str">
            <v>영진</v>
          </cell>
          <cell r="O764" t="str">
            <v>펌프카(1대)</v>
          </cell>
          <cell r="P764">
            <v>902</v>
          </cell>
          <cell r="Q764">
            <v>1540</v>
          </cell>
          <cell r="R764">
            <v>155</v>
          </cell>
          <cell r="S764">
            <v>47</v>
          </cell>
          <cell r="T764">
            <v>28</v>
          </cell>
          <cell r="U764">
            <v>226</v>
          </cell>
          <cell r="V764"/>
          <cell r="W764" t="str">
            <v>박순홍</v>
          </cell>
          <cell r="X764" t="str">
            <v>(인)</v>
          </cell>
          <cell r="Y764" t="str">
            <v>박순홍</v>
          </cell>
          <cell r="Z764" t="str">
            <v>(인)</v>
          </cell>
          <cell r="AA764" t="str">
            <v>이홍걸</v>
          </cell>
          <cell r="AB764" t="str">
            <v>(인)</v>
          </cell>
          <cell r="AC764" t="str">
            <v>박기원</v>
          </cell>
          <cell r="AD764" t="str">
            <v>(인)</v>
          </cell>
          <cell r="AE764">
            <v>183.4</v>
          </cell>
          <cell r="AF764" t="str">
            <v>표준</v>
          </cell>
          <cell r="AG764">
            <v>2</v>
          </cell>
          <cell r="AH764">
            <v>0</v>
          </cell>
        </row>
        <row r="765">
          <cell r="G765">
            <v>2407230203</v>
          </cell>
          <cell r="H765" t="str">
            <v>101동, 104동</v>
          </cell>
          <cell r="I765">
            <v>240723</v>
          </cell>
          <cell r="J765" t="str">
            <v>1동~4동 사이 가도구간 주차장 지붕층</v>
          </cell>
          <cell r="K765">
            <v>300</v>
          </cell>
          <cell r="L765">
            <v>304</v>
          </cell>
          <cell r="M765">
            <v>2715</v>
          </cell>
          <cell r="N765" t="str">
            <v>영진</v>
          </cell>
          <cell r="O765" t="str">
            <v>펌프카(1대)</v>
          </cell>
          <cell r="P765">
            <v>902</v>
          </cell>
          <cell r="Q765">
            <v>1540</v>
          </cell>
          <cell r="R765">
            <v>175</v>
          </cell>
          <cell r="S765">
            <v>51</v>
          </cell>
          <cell r="T765">
            <v>22</v>
          </cell>
          <cell r="U765">
            <v>231</v>
          </cell>
          <cell r="V765"/>
          <cell r="W765" t="str">
            <v>박순홍</v>
          </cell>
          <cell r="X765" t="str">
            <v>(인)</v>
          </cell>
          <cell r="Y765" t="str">
            <v>박순홍</v>
          </cell>
          <cell r="Z765" t="str">
            <v>(인)</v>
          </cell>
          <cell r="AA765" t="str">
            <v>이홍걸</v>
          </cell>
          <cell r="AB765" t="str">
            <v>(인)</v>
          </cell>
          <cell r="AC765" t="str">
            <v>박기원</v>
          </cell>
          <cell r="AD765" t="str">
            <v>(인)</v>
          </cell>
          <cell r="AE765">
            <v>181.9</v>
          </cell>
          <cell r="AF765" t="str">
            <v>표준</v>
          </cell>
          <cell r="AG765">
            <v>3</v>
          </cell>
          <cell r="AH765">
            <v>0</v>
          </cell>
        </row>
        <row r="766">
          <cell r="G766">
            <v>2407230301</v>
          </cell>
          <cell r="H766" t="str">
            <v>116동, 117동</v>
          </cell>
          <cell r="I766">
            <v>240723</v>
          </cell>
          <cell r="J766" t="str">
            <v>116동, 117동 뒷채움 구간 및 5구간 버림</v>
          </cell>
          <cell r="K766">
            <v>90</v>
          </cell>
          <cell r="L766">
            <v>84</v>
          </cell>
          <cell r="M766">
            <v>1812</v>
          </cell>
          <cell r="N766" t="str">
            <v>용호</v>
          </cell>
          <cell r="O766" t="str">
            <v>펌프카(1대)</v>
          </cell>
          <cell r="P766">
            <v>1330</v>
          </cell>
          <cell r="Q766">
            <v>1612</v>
          </cell>
          <cell r="R766">
            <v>130</v>
          </cell>
          <cell r="S766">
            <v>46</v>
          </cell>
          <cell r="T766">
            <v>20</v>
          </cell>
          <cell r="U766">
            <v>235</v>
          </cell>
          <cell r="V766"/>
          <cell r="W766" t="str">
            <v>박순홍</v>
          </cell>
          <cell r="X766" t="str">
            <v>(인)</v>
          </cell>
          <cell r="Y766" t="str">
            <v>박순홍</v>
          </cell>
          <cell r="Z766" t="str">
            <v>(인)</v>
          </cell>
          <cell r="AA766" t="str">
            <v>박정환</v>
          </cell>
          <cell r="AB766" t="str">
            <v>(인)</v>
          </cell>
          <cell r="AC766" t="str">
            <v>박기원</v>
          </cell>
          <cell r="AD766" t="str">
            <v>(인)</v>
          </cell>
          <cell r="AE766">
            <v>170.2</v>
          </cell>
          <cell r="AF766" t="str">
            <v>표준</v>
          </cell>
          <cell r="AG766">
            <v>1</v>
          </cell>
          <cell r="AH766">
            <v>1</v>
          </cell>
          <cell r="AI766">
            <v>1631</v>
          </cell>
          <cell r="AJ766">
            <v>1702</v>
          </cell>
          <cell r="AK766">
            <v>138200</v>
          </cell>
          <cell r="AL766">
            <v>2370</v>
          </cell>
          <cell r="AM766">
            <v>2317</v>
          </cell>
          <cell r="AN766">
            <v>2306</v>
          </cell>
          <cell r="AO766">
            <v>2374</v>
          </cell>
          <cell r="AP766">
            <v>2402</v>
          </cell>
          <cell r="AQ766">
            <v>2362</v>
          </cell>
          <cell r="AR766">
            <v>2305</v>
          </cell>
          <cell r="AS766">
            <v>2394</v>
          </cell>
          <cell r="AT766">
            <v>184200</v>
          </cell>
        </row>
        <row r="767">
          <cell r="G767">
            <v>2407240101</v>
          </cell>
          <cell r="H767" t="str">
            <v>119동</v>
          </cell>
          <cell r="I767">
            <v>240724</v>
          </cell>
          <cell r="J767" t="str">
            <v>119동 및 주변주차장 기초</v>
          </cell>
          <cell r="K767">
            <v>1030</v>
          </cell>
          <cell r="L767">
            <v>1026</v>
          </cell>
          <cell r="M767">
            <v>2415</v>
          </cell>
          <cell r="N767" t="str">
            <v>용호</v>
          </cell>
          <cell r="O767" t="str">
            <v>펌프카(1대)</v>
          </cell>
          <cell r="P767">
            <v>732</v>
          </cell>
          <cell r="Q767">
            <v>1717</v>
          </cell>
          <cell r="R767">
            <v>150</v>
          </cell>
          <cell r="S767">
            <v>41</v>
          </cell>
          <cell r="T767">
            <v>58</v>
          </cell>
          <cell r="U767">
            <v>257</v>
          </cell>
          <cell r="V767"/>
          <cell r="W767" t="str">
            <v>박순홍</v>
          </cell>
          <cell r="X767" t="str">
            <v>(인)</v>
          </cell>
          <cell r="Y767" t="str">
            <v>박순홍</v>
          </cell>
          <cell r="Z767" t="str">
            <v>(인)</v>
          </cell>
          <cell r="AA767" t="str">
            <v>박정환</v>
          </cell>
          <cell r="AB767" t="str">
            <v>(인)</v>
          </cell>
          <cell r="AC767" t="str">
            <v>박기원</v>
          </cell>
          <cell r="AD767" t="str">
            <v>(인)</v>
          </cell>
          <cell r="AE767">
            <v>186.9</v>
          </cell>
          <cell r="AF767" t="str">
            <v>표준</v>
          </cell>
          <cell r="AG767">
            <v>1</v>
          </cell>
          <cell r="AH767">
            <v>1</v>
          </cell>
          <cell r="AI767">
            <v>2171</v>
          </cell>
          <cell r="AJ767">
            <v>2236</v>
          </cell>
          <cell r="AK767">
            <v>173200</v>
          </cell>
          <cell r="AL767">
            <v>3072</v>
          </cell>
          <cell r="AM767">
            <v>3186</v>
          </cell>
          <cell r="AN767">
            <v>3127</v>
          </cell>
          <cell r="AO767">
            <v>3218</v>
          </cell>
          <cell r="AP767">
            <v>2949</v>
          </cell>
          <cell r="AQ767">
            <v>3069</v>
          </cell>
          <cell r="AR767">
            <v>3045</v>
          </cell>
          <cell r="AS767">
            <v>2915</v>
          </cell>
          <cell r="AT767">
            <v>242000</v>
          </cell>
        </row>
        <row r="768">
          <cell r="G768">
            <v>2407240102</v>
          </cell>
          <cell r="H768" t="str">
            <v>119동</v>
          </cell>
          <cell r="I768">
            <v>240724</v>
          </cell>
          <cell r="J768" t="str">
            <v>119동 및 주변주차장 기초</v>
          </cell>
          <cell r="K768">
            <v>1030</v>
          </cell>
          <cell r="L768">
            <v>1026</v>
          </cell>
          <cell r="M768">
            <v>2415</v>
          </cell>
          <cell r="N768" t="str">
            <v>용호</v>
          </cell>
          <cell r="O768" t="str">
            <v>펌프카(1대)</v>
          </cell>
          <cell r="P768">
            <v>732</v>
          </cell>
          <cell r="Q768">
            <v>1717</v>
          </cell>
          <cell r="R768">
            <v>155</v>
          </cell>
          <cell r="S768">
            <v>45</v>
          </cell>
          <cell r="T768">
            <v>36</v>
          </cell>
          <cell r="U768">
            <v>223</v>
          </cell>
          <cell r="V768"/>
          <cell r="W768" t="str">
            <v>박순홍</v>
          </cell>
          <cell r="X768" t="str">
            <v>(인)</v>
          </cell>
          <cell r="Y768" t="str">
            <v>박순홍</v>
          </cell>
          <cell r="Z768" t="str">
            <v>(인)</v>
          </cell>
          <cell r="AA768" t="str">
            <v>박정환</v>
          </cell>
          <cell r="AB768" t="str">
            <v>(인)</v>
          </cell>
          <cell r="AC768" t="str">
            <v>박기원</v>
          </cell>
          <cell r="AD768" t="str">
            <v>(인)</v>
          </cell>
          <cell r="AE768">
            <v>185.1</v>
          </cell>
          <cell r="AF768" t="str">
            <v>표준</v>
          </cell>
          <cell r="AG768">
            <v>2</v>
          </cell>
          <cell r="AH768">
            <v>0</v>
          </cell>
        </row>
        <row r="769">
          <cell r="G769">
            <v>2407240103</v>
          </cell>
          <cell r="H769" t="str">
            <v>119동</v>
          </cell>
          <cell r="I769">
            <v>240724</v>
          </cell>
          <cell r="J769" t="str">
            <v>119동 및 주변주차장 기초</v>
          </cell>
          <cell r="K769">
            <v>1030</v>
          </cell>
          <cell r="L769">
            <v>1026</v>
          </cell>
          <cell r="M769">
            <v>2415</v>
          </cell>
          <cell r="N769" t="str">
            <v>용호</v>
          </cell>
          <cell r="O769" t="str">
            <v>펌프카(1대)</v>
          </cell>
          <cell r="P769">
            <v>732</v>
          </cell>
          <cell r="Q769">
            <v>1717</v>
          </cell>
          <cell r="R769">
            <v>160</v>
          </cell>
          <cell r="S769">
            <v>50</v>
          </cell>
          <cell r="T769">
            <v>44</v>
          </cell>
          <cell r="U769">
            <v>235</v>
          </cell>
          <cell r="V769"/>
          <cell r="W769" t="str">
            <v>박순홍</v>
          </cell>
          <cell r="X769" t="str">
            <v>(인)</v>
          </cell>
          <cell r="Y769" t="str">
            <v>박순홍</v>
          </cell>
          <cell r="Z769" t="str">
            <v>(인)</v>
          </cell>
          <cell r="AA769" t="str">
            <v>박정환</v>
          </cell>
          <cell r="AB769" t="str">
            <v>(인)</v>
          </cell>
          <cell r="AC769" t="str">
            <v>박기원</v>
          </cell>
          <cell r="AD769" t="str">
            <v>(인)</v>
          </cell>
          <cell r="AE769">
            <v>185.8</v>
          </cell>
          <cell r="AF769" t="str">
            <v>표준</v>
          </cell>
          <cell r="AG769">
            <v>3</v>
          </cell>
          <cell r="AH769">
            <v>0</v>
          </cell>
        </row>
        <row r="770">
          <cell r="G770">
            <v>2407240104</v>
          </cell>
          <cell r="H770" t="str">
            <v>119동</v>
          </cell>
          <cell r="I770">
            <v>240724</v>
          </cell>
          <cell r="J770" t="str">
            <v>119동 및 주변주차장 기초</v>
          </cell>
          <cell r="K770">
            <v>1030</v>
          </cell>
          <cell r="L770">
            <v>1026</v>
          </cell>
          <cell r="M770">
            <v>2415</v>
          </cell>
          <cell r="N770" t="str">
            <v>용호</v>
          </cell>
          <cell r="O770" t="str">
            <v>펌프카(1대)</v>
          </cell>
          <cell r="P770">
            <v>732</v>
          </cell>
          <cell r="Q770">
            <v>1717</v>
          </cell>
          <cell r="R770">
            <v>170</v>
          </cell>
          <cell r="S770">
            <v>38</v>
          </cell>
          <cell r="T770">
            <v>82</v>
          </cell>
          <cell r="U770">
            <v>208</v>
          </cell>
          <cell r="V770"/>
          <cell r="W770" t="str">
            <v>박순홍</v>
          </cell>
          <cell r="X770" t="str">
            <v>(인)</v>
          </cell>
          <cell r="Y770" t="str">
            <v>박순홍</v>
          </cell>
          <cell r="Z770" t="str">
            <v>(인)</v>
          </cell>
          <cell r="AA770" t="str">
            <v>박정환</v>
          </cell>
          <cell r="AB770" t="str">
            <v>(인)</v>
          </cell>
          <cell r="AC770" t="str">
            <v>박기원</v>
          </cell>
          <cell r="AD770" t="str">
            <v>(인)</v>
          </cell>
          <cell r="AE770">
            <v>179.8</v>
          </cell>
          <cell r="AF770" t="str">
            <v>표준</v>
          </cell>
          <cell r="AG770">
            <v>4</v>
          </cell>
          <cell r="AH770">
            <v>1</v>
          </cell>
          <cell r="AL770">
            <v>3061</v>
          </cell>
          <cell r="AM770">
            <v>3177</v>
          </cell>
          <cell r="AN770">
            <v>3244</v>
          </cell>
          <cell r="AO770">
            <v>2982</v>
          </cell>
          <cell r="AP770">
            <v>3128</v>
          </cell>
          <cell r="AQ770">
            <v>3239</v>
          </cell>
          <cell r="AR770">
            <v>3361</v>
          </cell>
          <cell r="AS770">
            <v>3256</v>
          </cell>
          <cell r="AT770">
            <v>260200</v>
          </cell>
        </row>
        <row r="771">
          <cell r="G771">
            <v>2407240105</v>
          </cell>
          <cell r="H771" t="str">
            <v>119동</v>
          </cell>
          <cell r="I771">
            <v>240724</v>
          </cell>
          <cell r="J771" t="str">
            <v>119동 및 주변주차장 기초</v>
          </cell>
          <cell r="K771">
            <v>1030</v>
          </cell>
          <cell r="L771">
            <v>1026</v>
          </cell>
          <cell r="M771">
            <v>2415</v>
          </cell>
          <cell r="N771" t="str">
            <v>용호</v>
          </cell>
          <cell r="O771" t="str">
            <v>펌프카(1대)</v>
          </cell>
          <cell r="P771">
            <v>732</v>
          </cell>
          <cell r="Q771">
            <v>1717</v>
          </cell>
          <cell r="R771">
            <v>170</v>
          </cell>
          <cell r="S771">
            <v>40</v>
          </cell>
          <cell r="T771">
            <v>54</v>
          </cell>
          <cell r="U771">
            <v>246</v>
          </cell>
          <cell r="V771"/>
          <cell r="W771" t="str">
            <v>박순홍</v>
          </cell>
          <cell r="X771" t="str">
            <v>(인)</v>
          </cell>
          <cell r="Y771" t="str">
            <v>박순홍</v>
          </cell>
          <cell r="Z771" t="str">
            <v>(인)</v>
          </cell>
          <cell r="AA771" t="str">
            <v>박정환</v>
          </cell>
          <cell r="AB771" t="str">
            <v>(인)</v>
          </cell>
          <cell r="AC771" t="str">
            <v>박기원</v>
          </cell>
          <cell r="AD771" t="str">
            <v>(인)</v>
          </cell>
          <cell r="AE771">
            <v>186</v>
          </cell>
          <cell r="AF771" t="str">
            <v>표준</v>
          </cell>
          <cell r="AG771">
            <v>5</v>
          </cell>
          <cell r="AH771">
            <v>0</v>
          </cell>
        </row>
        <row r="772">
          <cell r="G772">
            <v>2407240106</v>
          </cell>
          <cell r="H772" t="str">
            <v>119동</v>
          </cell>
          <cell r="I772">
            <v>240724</v>
          </cell>
          <cell r="J772" t="str">
            <v>119동 및 주변주차장 기초</v>
          </cell>
          <cell r="K772">
            <v>1030</v>
          </cell>
          <cell r="L772">
            <v>1026</v>
          </cell>
          <cell r="M772">
            <v>2415</v>
          </cell>
          <cell r="N772" t="str">
            <v>용호</v>
          </cell>
          <cell r="O772" t="str">
            <v>펌프카(1대)</v>
          </cell>
          <cell r="P772">
            <v>732</v>
          </cell>
          <cell r="Q772">
            <v>1717</v>
          </cell>
          <cell r="R772">
            <v>150</v>
          </cell>
          <cell r="S772">
            <v>39</v>
          </cell>
          <cell r="T772">
            <v>28</v>
          </cell>
          <cell r="U772">
            <v>273</v>
          </cell>
          <cell r="V772"/>
          <cell r="W772" t="str">
            <v>박순홍</v>
          </cell>
          <cell r="X772" t="str">
            <v>(인)</v>
          </cell>
          <cell r="Y772" t="str">
            <v>박순홍</v>
          </cell>
          <cell r="Z772" t="str">
            <v>(인)</v>
          </cell>
          <cell r="AA772" t="str">
            <v>박정환</v>
          </cell>
          <cell r="AB772" t="str">
            <v>(인)</v>
          </cell>
          <cell r="AC772" t="str">
            <v>박기원</v>
          </cell>
          <cell r="AD772" t="str">
            <v>(인)</v>
          </cell>
          <cell r="AE772">
            <v>169.2</v>
          </cell>
          <cell r="AF772" t="str">
            <v>표준</v>
          </cell>
          <cell r="AG772">
            <v>6</v>
          </cell>
          <cell r="AH772">
            <v>0</v>
          </cell>
        </row>
        <row r="773">
          <cell r="G773">
            <v>2407240107</v>
          </cell>
          <cell r="H773" t="str">
            <v>119동</v>
          </cell>
          <cell r="I773">
            <v>240724</v>
          </cell>
          <cell r="J773" t="str">
            <v>119동 및 주변주차장 기초</v>
          </cell>
          <cell r="K773">
            <v>1030</v>
          </cell>
          <cell r="L773">
            <v>1026</v>
          </cell>
          <cell r="M773">
            <v>2415</v>
          </cell>
          <cell r="N773" t="str">
            <v>용호</v>
          </cell>
          <cell r="O773" t="str">
            <v>펌프카(1대)</v>
          </cell>
          <cell r="P773">
            <v>732</v>
          </cell>
          <cell r="Q773">
            <v>1717</v>
          </cell>
          <cell r="R773">
            <v>150</v>
          </cell>
          <cell r="S773">
            <v>41</v>
          </cell>
          <cell r="T773">
            <v>34</v>
          </cell>
          <cell r="U773">
            <v>267</v>
          </cell>
          <cell r="V773"/>
          <cell r="W773" t="str">
            <v>박순홍</v>
          </cell>
          <cell r="X773" t="str">
            <v>(인)</v>
          </cell>
          <cell r="Y773" t="str">
            <v>박순홍</v>
          </cell>
          <cell r="Z773" t="str">
            <v>(인)</v>
          </cell>
          <cell r="AA773" t="str">
            <v>박정환</v>
          </cell>
          <cell r="AB773" t="str">
            <v>(인)</v>
          </cell>
          <cell r="AC773" t="str">
            <v>박기원</v>
          </cell>
          <cell r="AD773" t="str">
            <v>(인)</v>
          </cell>
          <cell r="AE773">
            <v>170</v>
          </cell>
          <cell r="AF773" t="str">
            <v>표준</v>
          </cell>
          <cell r="AG773">
            <v>7</v>
          </cell>
          <cell r="AH773">
            <v>1</v>
          </cell>
          <cell r="AL773">
            <v>3278</v>
          </cell>
          <cell r="AM773">
            <v>3020</v>
          </cell>
          <cell r="AN773">
            <v>3233</v>
          </cell>
          <cell r="AO773">
            <v>3146</v>
          </cell>
          <cell r="AP773">
            <v>3217</v>
          </cell>
          <cell r="AQ773">
            <v>3138</v>
          </cell>
          <cell r="AR773">
            <v>3162</v>
          </cell>
          <cell r="AS773">
            <v>3015</v>
          </cell>
          <cell r="AT773">
            <v>249000</v>
          </cell>
        </row>
        <row r="774">
          <cell r="G774">
            <v>2407240108</v>
          </cell>
          <cell r="H774" t="str">
            <v>119동</v>
          </cell>
          <cell r="I774">
            <v>240724</v>
          </cell>
          <cell r="J774" t="str">
            <v>119동 및 주변주차장 기초</v>
          </cell>
          <cell r="K774">
            <v>1030</v>
          </cell>
          <cell r="L774">
            <v>1026</v>
          </cell>
          <cell r="M774">
            <v>2415</v>
          </cell>
          <cell r="N774" t="str">
            <v>용호</v>
          </cell>
          <cell r="O774" t="str">
            <v>펌프카(1대)</v>
          </cell>
          <cell r="P774">
            <v>732</v>
          </cell>
          <cell r="Q774">
            <v>1717</v>
          </cell>
          <cell r="R774">
            <v>155</v>
          </cell>
          <cell r="S774">
            <v>44</v>
          </cell>
          <cell r="T774">
            <v>40</v>
          </cell>
          <cell r="U774">
            <v>275</v>
          </cell>
          <cell r="V774"/>
          <cell r="W774" t="str">
            <v>박순홍</v>
          </cell>
          <cell r="X774" t="str">
            <v>(인)</v>
          </cell>
          <cell r="Y774" t="str">
            <v>박순홍</v>
          </cell>
          <cell r="Z774" t="str">
            <v>(인)</v>
          </cell>
          <cell r="AA774" t="str">
            <v>박정환</v>
          </cell>
          <cell r="AB774" t="str">
            <v>(인)</v>
          </cell>
          <cell r="AC774" t="str">
            <v>박기원</v>
          </cell>
          <cell r="AD774" t="str">
            <v>(인)</v>
          </cell>
          <cell r="AE774">
            <v>171.4</v>
          </cell>
          <cell r="AF774" t="str">
            <v>표준</v>
          </cell>
          <cell r="AG774">
            <v>8</v>
          </cell>
          <cell r="AH774">
            <v>0</v>
          </cell>
        </row>
        <row r="775">
          <cell r="G775">
            <v>2407240109</v>
          </cell>
          <cell r="H775" t="str">
            <v>119동</v>
          </cell>
          <cell r="I775">
            <v>240724</v>
          </cell>
          <cell r="J775" t="str">
            <v>119동 및 주변주차장 기초</v>
          </cell>
          <cell r="K775">
            <v>1030</v>
          </cell>
          <cell r="L775">
            <v>1026</v>
          </cell>
          <cell r="M775">
            <v>2415</v>
          </cell>
          <cell r="N775" t="str">
            <v>용호</v>
          </cell>
          <cell r="O775" t="str">
            <v>펌프카(1대)</v>
          </cell>
          <cell r="P775">
            <v>732</v>
          </cell>
          <cell r="Q775">
            <v>1717</v>
          </cell>
          <cell r="R775">
            <v>165</v>
          </cell>
          <cell r="S775">
            <v>49</v>
          </cell>
          <cell r="T775">
            <v>54</v>
          </cell>
          <cell r="U775">
            <v>263</v>
          </cell>
          <cell r="V775"/>
          <cell r="W775" t="str">
            <v>박순홍</v>
          </cell>
          <cell r="X775" t="str">
            <v>(인)</v>
          </cell>
          <cell r="Y775" t="str">
            <v>박순홍</v>
          </cell>
          <cell r="Z775" t="str">
            <v>(인)</v>
          </cell>
          <cell r="AA775" t="str">
            <v>박정환</v>
          </cell>
          <cell r="AB775" t="str">
            <v>(인)</v>
          </cell>
          <cell r="AC775" t="str">
            <v>박기원</v>
          </cell>
          <cell r="AD775" t="str">
            <v>(인)</v>
          </cell>
          <cell r="AE775">
            <v>171.4</v>
          </cell>
          <cell r="AF775" t="str">
            <v>표준</v>
          </cell>
          <cell r="AG775">
            <v>9</v>
          </cell>
          <cell r="AH775">
            <v>0</v>
          </cell>
        </row>
        <row r="776">
          <cell r="G776">
            <v>2407240201</v>
          </cell>
          <cell r="H776" t="str">
            <v>119동</v>
          </cell>
          <cell r="I776">
            <v>240724</v>
          </cell>
          <cell r="J776" t="str">
            <v>119동 및 주변주차장 기초</v>
          </cell>
          <cell r="K776">
            <v>810</v>
          </cell>
          <cell r="L776">
            <v>810</v>
          </cell>
          <cell r="M776">
            <v>2415</v>
          </cell>
          <cell r="N776" t="str">
            <v>대공</v>
          </cell>
          <cell r="O776" t="str">
            <v>펌프카(1대)</v>
          </cell>
          <cell r="P776">
            <v>730</v>
          </cell>
          <cell r="Q776">
            <v>1618</v>
          </cell>
          <cell r="R776">
            <v>170</v>
          </cell>
          <cell r="S776">
            <v>44</v>
          </cell>
          <cell r="T776">
            <v>36</v>
          </cell>
          <cell r="U776">
            <v>224</v>
          </cell>
          <cell r="V776"/>
          <cell r="W776" t="str">
            <v>박순홍</v>
          </cell>
          <cell r="X776" t="str">
            <v>(인)</v>
          </cell>
          <cell r="Y776" t="str">
            <v>박순홍</v>
          </cell>
          <cell r="Z776" t="str">
            <v>(인)</v>
          </cell>
          <cell r="AA776" t="str">
            <v>박정환</v>
          </cell>
          <cell r="AB776" t="str">
            <v>(인)</v>
          </cell>
          <cell r="AC776" t="str">
            <v>박기원</v>
          </cell>
          <cell r="AD776" t="str">
            <v>(인)</v>
          </cell>
          <cell r="AE776">
            <v>170.2</v>
          </cell>
          <cell r="AF776" t="str">
            <v>표준</v>
          </cell>
          <cell r="AG776">
            <v>1</v>
          </cell>
          <cell r="AH776">
            <v>1</v>
          </cell>
          <cell r="AI776">
            <v>2155</v>
          </cell>
          <cell r="AJ776">
            <v>2234</v>
          </cell>
          <cell r="AK776">
            <v>166800</v>
          </cell>
          <cell r="AL776">
            <v>3084</v>
          </cell>
          <cell r="AM776">
            <v>3179</v>
          </cell>
          <cell r="AN776">
            <v>3086</v>
          </cell>
          <cell r="AO776">
            <v>3261</v>
          </cell>
          <cell r="AP776">
            <v>3231</v>
          </cell>
          <cell r="AQ776">
            <v>3033</v>
          </cell>
          <cell r="AR776">
            <v>3132</v>
          </cell>
          <cell r="AS776">
            <v>3190</v>
          </cell>
          <cell r="AT776">
            <v>248600</v>
          </cell>
        </row>
        <row r="777">
          <cell r="G777">
            <v>2407240202</v>
          </cell>
          <cell r="H777" t="str">
            <v>119동</v>
          </cell>
          <cell r="I777">
            <v>240724</v>
          </cell>
          <cell r="J777" t="str">
            <v>119동 및 주변주차장 기초</v>
          </cell>
          <cell r="K777">
            <v>810</v>
          </cell>
          <cell r="L777">
            <v>810</v>
          </cell>
          <cell r="M777">
            <v>2415</v>
          </cell>
          <cell r="N777" t="str">
            <v>대공</v>
          </cell>
          <cell r="O777" t="str">
            <v>펌프카(1대)</v>
          </cell>
          <cell r="P777">
            <v>730</v>
          </cell>
          <cell r="Q777">
            <v>1618</v>
          </cell>
          <cell r="R777">
            <v>155</v>
          </cell>
          <cell r="S777">
            <v>46</v>
          </cell>
          <cell r="T777">
            <v>60</v>
          </cell>
          <cell r="U777">
            <v>238</v>
          </cell>
          <cell r="V777"/>
          <cell r="W777" t="str">
            <v>박순홍</v>
          </cell>
          <cell r="X777" t="str">
            <v>(인)</v>
          </cell>
          <cell r="Y777" t="str">
            <v>박순홍</v>
          </cell>
          <cell r="Z777" t="str">
            <v>(인)</v>
          </cell>
          <cell r="AA777" t="str">
            <v>박정환</v>
          </cell>
          <cell r="AB777" t="str">
            <v>(인)</v>
          </cell>
          <cell r="AC777" t="str">
            <v>박기원</v>
          </cell>
          <cell r="AD777" t="str">
            <v>(인)</v>
          </cell>
          <cell r="AE777">
            <v>179.1</v>
          </cell>
          <cell r="AF777" t="str">
            <v>표준</v>
          </cell>
          <cell r="AG777">
            <v>2</v>
          </cell>
          <cell r="AH777">
            <v>0</v>
          </cell>
        </row>
        <row r="778">
          <cell r="G778">
            <v>2407240203</v>
          </cell>
          <cell r="H778" t="str">
            <v>119동</v>
          </cell>
          <cell r="I778">
            <v>240724</v>
          </cell>
          <cell r="J778" t="str">
            <v>119동 및 주변주차장 기초</v>
          </cell>
          <cell r="K778">
            <v>810</v>
          </cell>
          <cell r="L778">
            <v>810</v>
          </cell>
          <cell r="M778">
            <v>2415</v>
          </cell>
          <cell r="N778" t="str">
            <v>대공</v>
          </cell>
          <cell r="O778" t="str">
            <v>펌프카(1대)</v>
          </cell>
          <cell r="P778">
            <v>730</v>
          </cell>
          <cell r="Q778">
            <v>1618</v>
          </cell>
          <cell r="R778">
            <v>160</v>
          </cell>
          <cell r="S778">
            <v>49</v>
          </cell>
          <cell r="T778">
            <v>130</v>
          </cell>
          <cell r="U778">
            <v>244</v>
          </cell>
          <cell r="V778"/>
          <cell r="W778" t="str">
            <v>박순홍</v>
          </cell>
          <cell r="X778" t="str">
            <v>(인)</v>
          </cell>
          <cell r="Y778" t="str">
            <v>박순홍</v>
          </cell>
          <cell r="Z778" t="str">
            <v>(인)</v>
          </cell>
          <cell r="AA778" t="str">
            <v>박정환</v>
          </cell>
          <cell r="AB778" t="str">
            <v>(인)</v>
          </cell>
          <cell r="AC778" t="str">
            <v>박기원</v>
          </cell>
          <cell r="AD778" t="str">
            <v>(인)</v>
          </cell>
          <cell r="AE778">
            <v>179.2</v>
          </cell>
          <cell r="AF778" t="str">
            <v>표준</v>
          </cell>
          <cell r="AG778">
            <v>3</v>
          </cell>
          <cell r="AH778">
            <v>0</v>
          </cell>
        </row>
        <row r="779">
          <cell r="G779">
            <v>2407240204</v>
          </cell>
          <cell r="H779" t="str">
            <v>119동</v>
          </cell>
          <cell r="I779">
            <v>240724</v>
          </cell>
          <cell r="J779" t="str">
            <v>119동 및 주변주차장 기초</v>
          </cell>
          <cell r="K779">
            <v>810</v>
          </cell>
          <cell r="L779">
            <v>810</v>
          </cell>
          <cell r="M779">
            <v>2415</v>
          </cell>
          <cell r="N779" t="str">
            <v>대공</v>
          </cell>
          <cell r="O779" t="str">
            <v>펌프카(1대)</v>
          </cell>
          <cell r="P779">
            <v>730</v>
          </cell>
          <cell r="Q779">
            <v>1618</v>
          </cell>
          <cell r="R779">
            <v>170</v>
          </cell>
          <cell r="S779">
            <v>40</v>
          </cell>
          <cell r="T779">
            <v>29</v>
          </cell>
          <cell r="U779">
            <v>247</v>
          </cell>
          <cell r="V779"/>
          <cell r="W779" t="str">
            <v>박순홍</v>
          </cell>
          <cell r="X779" t="str">
            <v>(인)</v>
          </cell>
          <cell r="Y779" t="str">
            <v>박순홍</v>
          </cell>
          <cell r="Z779" t="str">
            <v>(인)</v>
          </cell>
          <cell r="AA779" t="str">
            <v>박정환</v>
          </cell>
          <cell r="AB779" t="str">
            <v>(인)</v>
          </cell>
          <cell r="AC779" t="str">
            <v>박기원</v>
          </cell>
          <cell r="AD779" t="str">
            <v>(인)</v>
          </cell>
          <cell r="AE779">
            <v>179.5</v>
          </cell>
          <cell r="AF779" t="str">
            <v>표준</v>
          </cell>
          <cell r="AG779">
            <v>4</v>
          </cell>
          <cell r="AH779">
            <v>1</v>
          </cell>
          <cell r="AL779">
            <v>3330</v>
          </cell>
          <cell r="AM779">
            <v>3213</v>
          </cell>
          <cell r="AN779">
            <v>3181</v>
          </cell>
          <cell r="AO779">
            <v>3186</v>
          </cell>
          <cell r="AP779">
            <v>3274</v>
          </cell>
          <cell r="AQ779">
            <v>3163</v>
          </cell>
          <cell r="AR779">
            <v>3234</v>
          </cell>
          <cell r="AS779">
            <v>3347</v>
          </cell>
          <cell r="AT779">
            <v>257400</v>
          </cell>
        </row>
        <row r="780">
          <cell r="G780">
            <v>2407240205</v>
          </cell>
          <cell r="H780" t="str">
            <v>119동</v>
          </cell>
          <cell r="I780">
            <v>240724</v>
          </cell>
          <cell r="J780" t="str">
            <v>119동 및 주변주차장 기초</v>
          </cell>
          <cell r="K780">
            <v>810</v>
          </cell>
          <cell r="L780">
            <v>810</v>
          </cell>
          <cell r="M780">
            <v>2415</v>
          </cell>
          <cell r="N780" t="str">
            <v>대공</v>
          </cell>
          <cell r="O780" t="str">
            <v>펌프카(1대)</v>
          </cell>
          <cell r="P780">
            <v>730</v>
          </cell>
          <cell r="Q780">
            <v>1618</v>
          </cell>
          <cell r="R780">
            <v>150</v>
          </cell>
          <cell r="S780">
            <v>47</v>
          </cell>
          <cell r="T780">
            <v>36</v>
          </cell>
          <cell r="U780">
            <v>275</v>
          </cell>
          <cell r="V780"/>
          <cell r="W780" t="str">
            <v>박순홍</v>
          </cell>
          <cell r="X780" t="str">
            <v>(인)</v>
          </cell>
          <cell r="Y780" t="str">
            <v>박순홍</v>
          </cell>
          <cell r="Z780" t="str">
            <v>(인)</v>
          </cell>
          <cell r="AA780" t="str">
            <v>박정환</v>
          </cell>
          <cell r="AB780" t="str">
            <v>(인)</v>
          </cell>
          <cell r="AC780" t="str">
            <v>박기원</v>
          </cell>
          <cell r="AD780" t="str">
            <v>(인)</v>
          </cell>
          <cell r="AE780">
            <v>178.3</v>
          </cell>
          <cell r="AF780" t="str">
            <v>표준</v>
          </cell>
          <cell r="AG780">
            <v>5</v>
          </cell>
          <cell r="AH780">
            <v>0</v>
          </cell>
        </row>
        <row r="781">
          <cell r="G781">
            <v>2407240206</v>
          </cell>
          <cell r="H781" t="str">
            <v>119동</v>
          </cell>
          <cell r="I781">
            <v>240724</v>
          </cell>
          <cell r="J781" t="str">
            <v>119동 및 주변주차장 기초</v>
          </cell>
          <cell r="K781">
            <v>810</v>
          </cell>
          <cell r="L781">
            <v>810</v>
          </cell>
          <cell r="M781">
            <v>2415</v>
          </cell>
          <cell r="N781" t="str">
            <v>대공</v>
          </cell>
          <cell r="O781" t="str">
            <v>펌프카(1대)</v>
          </cell>
          <cell r="P781">
            <v>730</v>
          </cell>
          <cell r="Q781">
            <v>1618</v>
          </cell>
          <cell r="R781">
            <v>160</v>
          </cell>
          <cell r="S781">
            <v>49</v>
          </cell>
          <cell r="T781">
            <v>60</v>
          </cell>
          <cell r="U781">
            <v>253</v>
          </cell>
          <cell r="V781"/>
          <cell r="W781" t="str">
            <v>박순홍</v>
          </cell>
          <cell r="X781" t="str">
            <v>(인)</v>
          </cell>
          <cell r="Y781" t="str">
            <v>박순홍</v>
          </cell>
          <cell r="Z781" t="str">
            <v>(인)</v>
          </cell>
          <cell r="AA781" t="str">
            <v>박정환</v>
          </cell>
          <cell r="AB781" t="str">
            <v>(인)</v>
          </cell>
          <cell r="AC781" t="str">
            <v>박기원</v>
          </cell>
          <cell r="AD781" t="str">
            <v>(인)</v>
          </cell>
          <cell r="AE781">
            <v>161.19999999999999</v>
          </cell>
          <cell r="AF781" t="str">
            <v>표준</v>
          </cell>
          <cell r="AG781">
            <v>6</v>
          </cell>
          <cell r="AH781">
            <v>0</v>
          </cell>
        </row>
        <row r="782">
          <cell r="G782">
            <v>2407240207</v>
          </cell>
          <cell r="H782" t="str">
            <v>119동</v>
          </cell>
          <cell r="I782">
            <v>240724</v>
          </cell>
          <cell r="J782" t="str">
            <v>119동 및 주변주차장 기초</v>
          </cell>
          <cell r="K782">
            <v>810</v>
          </cell>
          <cell r="L782">
            <v>810</v>
          </cell>
          <cell r="M782">
            <v>2415</v>
          </cell>
          <cell r="N782" t="str">
            <v>대공</v>
          </cell>
          <cell r="O782" t="str">
            <v>펌프카(1대)</v>
          </cell>
          <cell r="P782">
            <v>730</v>
          </cell>
          <cell r="Q782">
            <v>1618</v>
          </cell>
          <cell r="R782">
            <v>170</v>
          </cell>
          <cell r="S782">
            <v>44</v>
          </cell>
          <cell r="T782">
            <v>60</v>
          </cell>
          <cell r="U782">
            <v>248</v>
          </cell>
          <cell r="V782"/>
          <cell r="W782" t="str">
            <v>박순홍</v>
          </cell>
          <cell r="X782" t="str">
            <v>(인)</v>
          </cell>
          <cell r="Y782" t="str">
            <v>박순홍</v>
          </cell>
          <cell r="Z782" t="str">
            <v>(인)</v>
          </cell>
          <cell r="AA782" t="str">
            <v>박정환</v>
          </cell>
          <cell r="AB782" t="str">
            <v>(인)</v>
          </cell>
          <cell r="AC782" t="str">
            <v>박기원</v>
          </cell>
          <cell r="AD782" t="str">
            <v>(인)</v>
          </cell>
          <cell r="AE782">
            <v>164.1</v>
          </cell>
          <cell r="AF782" t="str">
            <v>표준</v>
          </cell>
          <cell r="AG782">
            <v>7</v>
          </cell>
          <cell r="AH782">
            <v>1</v>
          </cell>
          <cell r="AL782">
            <v>3224</v>
          </cell>
          <cell r="AM782">
            <v>3229</v>
          </cell>
          <cell r="AN782">
            <v>3363</v>
          </cell>
          <cell r="AO782">
            <v>3186</v>
          </cell>
          <cell r="AP782">
            <v>3147</v>
          </cell>
          <cell r="AQ782">
            <v>3097</v>
          </cell>
          <cell r="AR782">
            <v>3208</v>
          </cell>
          <cell r="AS782">
            <v>3226</v>
          </cell>
          <cell r="AT782">
            <v>247400</v>
          </cell>
        </row>
        <row r="783">
          <cell r="G783">
            <v>2407240301</v>
          </cell>
          <cell r="H783" t="str">
            <v>104동</v>
          </cell>
          <cell r="I783">
            <v>240724</v>
          </cell>
          <cell r="J783" t="str">
            <v>104동 11층 바닥</v>
          </cell>
          <cell r="K783">
            <v>280</v>
          </cell>
          <cell r="L783">
            <v>284</v>
          </cell>
          <cell r="M783">
            <v>3018</v>
          </cell>
          <cell r="N783" t="str">
            <v>대원</v>
          </cell>
          <cell r="O783" t="str">
            <v>펌프카(1대)</v>
          </cell>
          <cell r="P783">
            <v>825</v>
          </cell>
          <cell r="Q783">
            <v>1233</v>
          </cell>
          <cell r="R783">
            <v>185</v>
          </cell>
          <cell r="S783">
            <v>45</v>
          </cell>
          <cell r="T783">
            <v>93</v>
          </cell>
          <cell r="U783">
            <v>268</v>
          </cell>
          <cell r="V783"/>
          <cell r="W783" t="str">
            <v>박순홍</v>
          </cell>
          <cell r="X783" t="str">
            <v>(인)</v>
          </cell>
          <cell r="Y783" t="str">
            <v>박순홍</v>
          </cell>
          <cell r="Z783" t="str">
            <v>(인)</v>
          </cell>
          <cell r="AA783" t="str">
            <v>박정환</v>
          </cell>
          <cell r="AB783" t="str">
            <v>(인)</v>
          </cell>
          <cell r="AC783" t="str">
            <v>박기원</v>
          </cell>
          <cell r="AD783" t="str">
            <v>(인)</v>
          </cell>
          <cell r="AE783">
            <v>179.3</v>
          </cell>
          <cell r="AF783" t="str">
            <v>표준</v>
          </cell>
          <cell r="AG783">
            <v>1</v>
          </cell>
          <cell r="AH783">
            <v>1</v>
          </cell>
          <cell r="AI783">
            <v>2837</v>
          </cell>
          <cell r="AJ783">
            <v>2765</v>
          </cell>
          <cell r="AK783">
            <v>213000</v>
          </cell>
          <cell r="AL783">
            <v>3922</v>
          </cell>
          <cell r="AM783">
            <v>3871</v>
          </cell>
          <cell r="AN783">
            <v>4028</v>
          </cell>
          <cell r="AO783">
            <v>3869</v>
          </cell>
          <cell r="AP783">
            <v>4038</v>
          </cell>
          <cell r="AQ783">
            <v>3964</v>
          </cell>
          <cell r="AR783">
            <v>3908</v>
          </cell>
          <cell r="AS783">
            <v>3875</v>
          </cell>
          <cell r="AT783">
            <v>305000</v>
          </cell>
        </row>
        <row r="784">
          <cell r="G784">
            <v>2407240302</v>
          </cell>
          <cell r="H784" t="str">
            <v>104동</v>
          </cell>
          <cell r="I784">
            <v>240724</v>
          </cell>
          <cell r="J784" t="str">
            <v>104동 11층 바닥</v>
          </cell>
          <cell r="K784">
            <v>280</v>
          </cell>
          <cell r="L784">
            <v>284</v>
          </cell>
          <cell r="M784">
            <v>3018</v>
          </cell>
          <cell r="N784" t="str">
            <v>대원</v>
          </cell>
          <cell r="O784" t="str">
            <v>펌프카(1대)</v>
          </cell>
          <cell r="P784">
            <v>825</v>
          </cell>
          <cell r="Q784">
            <v>1233</v>
          </cell>
          <cell r="R784">
            <v>170</v>
          </cell>
          <cell r="S784">
            <v>49</v>
          </cell>
          <cell r="T784">
            <v>52</v>
          </cell>
          <cell r="U784">
            <v>255</v>
          </cell>
          <cell r="V784"/>
          <cell r="W784" t="str">
            <v>박순홍</v>
          </cell>
          <cell r="X784" t="str">
            <v>(인)</v>
          </cell>
          <cell r="Y784" t="str">
            <v>박순홍</v>
          </cell>
          <cell r="Z784" t="str">
            <v>(인)</v>
          </cell>
          <cell r="AA784" t="str">
            <v>박정환</v>
          </cell>
          <cell r="AB784" t="str">
            <v>(인)</v>
          </cell>
          <cell r="AC784" t="str">
            <v>박기원</v>
          </cell>
          <cell r="AD784" t="str">
            <v>(인)</v>
          </cell>
          <cell r="AE784">
            <v>184</v>
          </cell>
          <cell r="AF784" t="str">
            <v>표준</v>
          </cell>
          <cell r="AG784">
            <v>2</v>
          </cell>
          <cell r="AH784">
            <v>0</v>
          </cell>
        </row>
        <row r="785">
          <cell r="G785">
            <v>2407240303</v>
          </cell>
          <cell r="H785" t="str">
            <v>104동</v>
          </cell>
          <cell r="I785">
            <v>240724</v>
          </cell>
          <cell r="J785" t="str">
            <v>104동 11층 바닥</v>
          </cell>
          <cell r="K785">
            <v>280</v>
          </cell>
          <cell r="L785">
            <v>284</v>
          </cell>
          <cell r="M785">
            <v>3018</v>
          </cell>
          <cell r="N785" t="str">
            <v>대원</v>
          </cell>
          <cell r="O785" t="str">
            <v>펌프카(1대)</v>
          </cell>
          <cell r="P785">
            <v>825</v>
          </cell>
          <cell r="Q785">
            <v>1233</v>
          </cell>
          <cell r="R785">
            <v>180</v>
          </cell>
          <cell r="S785">
            <v>51</v>
          </cell>
          <cell r="T785">
            <v>58</v>
          </cell>
          <cell r="U785">
            <v>275</v>
          </cell>
          <cell r="V785"/>
          <cell r="W785" t="str">
            <v>박순홍</v>
          </cell>
          <cell r="X785" t="str">
            <v>(인)</v>
          </cell>
          <cell r="Y785" t="str">
            <v>박순홍</v>
          </cell>
          <cell r="Z785" t="str">
            <v>(인)</v>
          </cell>
          <cell r="AA785" t="str">
            <v>박정환</v>
          </cell>
          <cell r="AB785" t="str">
            <v>(인)</v>
          </cell>
          <cell r="AC785" t="str">
            <v>박기원</v>
          </cell>
          <cell r="AD785" t="str">
            <v>(인)</v>
          </cell>
          <cell r="AE785">
            <v>180.5</v>
          </cell>
          <cell r="AF785" t="str">
            <v>표준</v>
          </cell>
          <cell r="AG785">
            <v>3</v>
          </cell>
          <cell r="AH785">
            <v>0</v>
          </cell>
        </row>
        <row r="786">
          <cell r="G786">
            <v>2407250101</v>
          </cell>
          <cell r="H786" t="str">
            <v>105동</v>
          </cell>
          <cell r="I786">
            <v>240725</v>
          </cell>
          <cell r="J786" t="str">
            <v>105동 10층 바닥</v>
          </cell>
          <cell r="K786">
            <v>280</v>
          </cell>
          <cell r="L786">
            <v>286</v>
          </cell>
          <cell r="M786">
            <v>3018</v>
          </cell>
          <cell r="N786" t="str">
            <v>신우</v>
          </cell>
          <cell r="O786" t="str">
            <v>펌프카(1대)</v>
          </cell>
          <cell r="P786">
            <v>755</v>
          </cell>
          <cell r="Q786">
            <v>1347</v>
          </cell>
          <cell r="R786">
            <v>190</v>
          </cell>
          <cell r="S786">
            <v>46</v>
          </cell>
          <cell r="T786">
            <v>81</v>
          </cell>
          <cell r="U786">
            <v>263</v>
          </cell>
          <cell r="V786"/>
          <cell r="W786" t="str">
            <v>박순홍</v>
          </cell>
          <cell r="X786" t="str">
            <v>(인)</v>
          </cell>
          <cell r="Y786" t="str">
            <v>박순홍</v>
          </cell>
          <cell r="Z786" t="str">
            <v>(인)</v>
          </cell>
          <cell r="AA786" t="str">
            <v>박정환</v>
          </cell>
          <cell r="AB786" t="str">
            <v>(인)</v>
          </cell>
          <cell r="AC786" t="str">
            <v>박기원</v>
          </cell>
          <cell r="AD786" t="str">
            <v>(인)</v>
          </cell>
          <cell r="AE786">
            <v>181.8</v>
          </cell>
          <cell r="AF786" t="str">
            <v>표준</v>
          </cell>
          <cell r="AG786">
            <v>1</v>
          </cell>
          <cell r="AH786">
            <v>1</v>
          </cell>
          <cell r="AI786">
            <v>2632</v>
          </cell>
          <cell r="AJ786">
            <v>2518</v>
          </cell>
          <cell r="AK786">
            <v>207600</v>
          </cell>
          <cell r="AL786">
            <v>3710</v>
          </cell>
          <cell r="AM786">
            <v>3628</v>
          </cell>
          <cell r="AN786">
            <v>3626</v>
          </cell>
          <cell r="AO786">
            <v>3803</v>
          </cell>
          <cell r="AP786">
            <v>3794</v>
          </cell>
          <cell r="AQ786">
            <v>3629</v>
          </cell>
          <cell r="AR786">
            <v>3744</v>
          </cell>
          <cell r="AS786">
            <v>3762</v>
          </cell>
          <cell r="AT786">
            <v>294400</v>
          </cell>
        </row>
        <row r="787">
          <cell r="G787">
            <v>2407250102</v>
          </cell>
          <cell r="H787" t="str">
            <v>105동</v>
          </cell>
          <cell r="I787">
            <v>240725</v>
          </cell>
          <cell r="J787" t="str">
            <v>105동 10층 바닥</v>
          </cell>
          <cell r="K787">
            <v>280</v>
          </cell>
          <cell r="L787">
            <v>286</v>
          </cell>
          <cell r="M787">
            <v>3018</v>
          </cell>
          <cell r="N787" t="str">
            <v>신우</v>
          </cell>
          <cell r="O787" t="str">
            <v>펌프카(1대)</v>
          </cell>
          <cell r="P787">
            <v>755</v>
          </cell>
          <cell r="Q787">
            <v>1347</v>
          </cell>
          <cell r="R787">
            <v>190</v>
          </cell>
          <cell r="S787">
            <v>44</v>
          </cell>
          <cell r="T787">
            <v>48</v>
          </cell>
          <cell r="U787">
            <v>273</v>
          </cell>
          <cell r="V787"/>
          <cell r="W787" t="str">
            <v>박순홍</v>
          </cell>
          <cell r="X787" t="str">
            <v>(인)</v>
          </cell>
          <cell r="Y787" t="str">
            <v>박순홍</v>
          </cell>
          <cell r="Z787" t="str">
            <v>(인)</v>
          </cell>
          <cell r="AA787" t="str">
            <v>박정환</v>
          </cell>
          <cell r="AB787" t="str">
            <v>(인)</v>
          </cell>
          <cell r="AC787" t="str">
            <v>박기원</v>
          </cell>
          <cell r="AD787" t="str">
            <v>(인)</v>
          </cell>
          <cell r="AE787">
            <v>182.9</v>
          </cell>
          <cell r="AF787" t="str">
            <v>표준</v>
          </cell>
          <cell r="AG787">
            <v>2</v>
          </cell>
          <cell r="AH787">
            <v>0</v>
          </cell>
        </row>
        <row r="788">
          <cell r="G788">
            <v>2407250103</v>
          </cell>
          <cell r="H788" t="str">
            <v>105동</v>
          </cell>
          <cell r="I788">
            <v>240725</v>
          </cell>
          <cell r="J788" t="str">
            <v>105동 10층 바닥</v>
          </cell>
          <cell r="K788">
            <v>280</v>
          </cell>
          <cell r="L788">
            <v>286</v>
          </cell>
          <cell r="M788">
            <v>3018</v>
          </cell>
          <cell r="N788" t="str">
            <v>신우</v>
          </cell>
          <cell r="O788" t="str">
            <v>펌프카(1대)</v>
          </cell>
          <cell r="P788">
            <v>755</v>
          </cell>
          <cell r="Q788">
            <v>1347</v>
          </cell>
          <cell r="R788">
            <v>195</v>
          </cell>
          <cell r="S788">
            <v>48</v>
          </cell>
          <cell r="T788">
            <v>66</v>
          </cell>
          <cell r="U788">
            <v>260</v>
          </cell>
          <cell r="V788"/>
          <cell r="W788" t="str">
            <v>박순홍</v>
          </cell>
          <cell r="X788" t="str">
            <v>(인)</v>
          </cell>
          <cell r="Y788" t="str">
            <v>박순홍</v>
          </cell>
          <cell r="Z788" t="str">
            <v>(인)</v>
          </cell>
          <cell r="AA788" t="str">
            <v>박정환</v>
          </cell>
          <cell r="AB788" t="str">
            <v>(인)</v>
          </cell>
          <cell r="AC788" t="str">
            <v>박기원</v>
          </cell>
          <cell r="AD788" t="str">
            <v>(인)</v>
          </cell>
          <cell r="AE788">
            <v>183.2</v>
          </cell>
          <cell r="AF788" t="str">
            <v>표준</v>
          </cell>
          <cell r="AG788">
            <v>3</v>
          </cell>
          <cell r="AH788">
            <v>0</v>
          </cell>
        </row>
        <row r="789">
          <cell r="G789">
            <v>2407250201</v>
          </cell>
          <cell r="H789" t="str">
            <v>105동, 106동</v>
          </cell>
          <cell r="I789">
            <v>240725</v>
          </cell>
          <cell r="J789" t="str">
            <v>105, 106동 호이스트 누름</v>
          </cell>
          <cell r="K789">
            <v>50</v>
          </cell>
          <cell r="L789">
            <v>48</v>
          </cell>
          <cell r="M789">
            <v>1815</v>
          </cell>
          <cell r="N789" t="str">
            <v>대공</v>
          </cell>
          <cell r="O789" t="str">
            <v>펌프카(1대)</v>
          </cell>
          <cell r="P789">
            <v>1330</v>
          </cell>
          <cell r="Q789">
            <v>1550</v>
          </cell>
          <cell r="R789">
            <v>160</v>
          </cell>
          <cell r="S789">
            <v>43</v>
          </cell>
          <cell r="T789">
            <v>26</v>
          </cell>
          <cell r="U789">
            <v>267</v>
          </cell>
          <cell r="V789"/>
          <cell r="W789" t="str">
            <v>박순홍</v>
          </cell>
          <cell r="X789" t="str">
            <v>(인)</v>
          </cell>
          <cell r="Y789" t="str">
            <v>박순홍</v>
          </cell>
          <cell r="Z789" t="str">
            <v>(인)</v>
          </cell>
          <cell r="AA789" t="str">
            <v>이루비</v>
          </cell>
          <cell r="AB789" t="str">
            <v>(인)</v>
          </cell>
          <cell r="AC789" t="str">
            <v>박기원</v>
          </cell>
          <cell r="AD789" t="str">
            <v>(인)</v>
          </cell>
          <cell r="AE789">
            <v>178.6</v>
          </cell>
          <cell r="AF789" t="str">
            <v>표준</v>
          </cell>
          <cell r="AG789">
            <v>1</v>
          </cell>
          <cell r="AH789">
            <v>1</v>
          </cell>
          <cell r="AI789">
            <v>1583</v>
          </cell>
          <cell r="AJ789">
            <v>1632</v>
          </cell>
          <cell r="AK789">
            <v>129600</v>
          </cell>
          <cell r="AL789">
            <v>2551</v>
          </cell>
          <cell r="AM789">
            <v>2551</v>
          </cell>
          <cell r="AN789">
            <v>2602</v>
          </cell>
          <cell r="AO789">
            <v>2507</v>
          </cell>
          <cell r="AP789">
            <v>2627</v>
          </cell>
          <cell r="AQ789">
            <v>2604</v>
          </cell>
          <cell r="AR789">
            <v>2507</v>
          </cell>
          <cell r="AS789">
            <v>2602</v>
          </cell>
          <cell r="AT789">
            <v>205400</v>
          </cell>
        </row>
        <row r="790">
          <cell r="G790">
            <v>2407250301</v>
          </cell>
          <cell r="H790" t="str">
            <v>104동, 105동</v>
          </cell>
          <cell r="I790">
            <v>240725</v>
          </cell>
          <cell r="J790" t="str">
            <v>104동~105동 사이(5구간) 기초</v>
          </cell>
          <cell r="K790">
            <v>50</v>
          </cell>
          <cell r="L790">
            <v>48</v>
          </cell>
          <cell r="M790">
            <v>2415</v>
          </cell>
          <cell r="N790" t="str">
            <v>신우</v>
          </cell>
          <cell r="O790" t="str">
            <v>펌프카(1대)</v>
          </cell>
          <cell r="P790">
            <v>1541</v>
          </cell>
          <cell r="Q790">
            <v>1640</v>
          </cell>
          <cell r="R790">
            <v>160</v>
          </cell>
          <cell r="S790">
            <v>48</v>
          </cell>
          <cell r="T790">
            <v>31</v>
          </cell>
          <cell r="U790">
            <v>274</v>
          </cell>
          <cell r="V790"/>
          <cell r="W790" t="str">
            <v>박순홍</v>
          </cell>
          <cell r="X790" t="str">
            <v>(인)</v>
          </cell>
          <cell r="Y790" t="str">
            <v>박순홍</v>
          </cell>
          <cell r="Z790" t="str">
            <v>(인)</v>
          </cell>
          <cell r="AA790" t="str">
            <v>이루비</v>
          </cell>
          <cell r="AB790" t="str">
            <v>(인)</v>
          </cell>
          <cell r="AC790" t="str">
            <v>박기원</v>
          </cell>
          <cell r="AD790" t="str">
            <v>(인)</v>
          </cell>
          <cell r="AE790">
            <v>184.6</v>
          </cell>
          <cell r="AF790" t="str">
            <v>표준</v>
          </cell>
          <cell r="AG790">
            <v>1</v>
          </cell>
          <cell r="AH790">
            <v>1</v>
          </cell>
          <cell r="AI790">
            <v>2255</v>
          </cell>
          <cell r="AJ790">
            <v>2181</v>
          </cell>
          <cell r="AK790">
            <v>175600</v>
          </cell>
          <cell r="AL790">
            <v>3139</v>
          </cell>
          <cell r="AM790">
            <v>3045</v>
          </cell>
          <cell r="AN790">
            <v>3129</v>
          </cell>
          <cell r="AO790">
            <v>2984</v>
          </cell>
          <cell r="AP790">
            <v>2967</v>
          </cell>
          <cell r="AQ790">
            <v>3006</v>
          </cell>
          <cell r="AR790">
            <v>3024</v>
          </cell>
          <cell r="AS790">
            <v>2988</v>
          </cell>
          <cell r="AT790">
            <v>240800</v>
          </cell>
        </row>
        <row r="791">
          <cell r="G791">
            <v>2407250401</v>
          </cell>
          <cell r="H791" t="str">
            <v>118동</v>
          </cell>
          <cell r="I791">
            <v>240725</v>
          </cell>
          <cell r="J791" t="str">
            <v>118동 주변주차장 버림</v>
          </cell>
          <cell r="K791">
            <v>196</v>
          </cell>
          <cell r="L791">
            <v>195</v>
          </cell>
          <cell r="M791">
            <v>1812</v>
          </cell>
          <cell r="N791" t="str">
            <v>용호</v>
          </cell>
          <cell r="O791" t="str">
            <v>펌프카(1대)</v>
          </cell>
          <cell r="P791">
            <v>1240</v>
          </cell>
          <cell r="Q791">
            <v>1711</v>
          </cell>
          <cell r="R791">
            <v>120</v>
          </cell>
          <cell r="S791">
            <v>40</v>
          </cell>
          <cell r="T791">
            <v>15</v>
          </cell>
          <cell r="U791">
            <v>264</v>
          </cell>
          <cell r="V791"/>
          <cell r="W791" t="str">
            <v>박순홍</v>
          </cell>
          <cell r="X791" t="str">
            <v>(인)</v>
          </cell>
          <cell r="Y791" t="str">
            <v>박순홍</v>
          </cell>
          <cell r="Z791" t="str">
            <v>(인)</v>
          </cell>
          <cell r="AA791" t="str">
            <v>박정환</v>
          </cell>
          <cell r="AB791" t="str">
            <v>(인)</v>
          </cell>
          <cell r="AC791" t="str">
            <v>박기원</v>
          </cell>
          <cell r="AD791" t="str">
            <v>(인)</v>
          </cell>
          <cell r="AE791">
            <v>178.4</v>
          </cell>
          <cell r="AF791" t="str">
            <v>표준</v>
          </cell>
          <cell r="AG791">
            <v>1</v>
          </cell>
          <cell r="AH791">
            <v>1</v>
          </cell>
          <cell r="AI791">
            <v>1519</v>
          </cell>
          <cell r="AJ791">
            <v>1469</v>
          </cell>
          <cell r="AK791">
            <v>111600</v>
          </cell>
          <cell r="AL791">
            <v>2261</v>
          </cell>
          <cell r="AM791">
            <v>2355</v>
          </cell>
          <cell r="AN791">
            <v>2293</v>
          </cell>
          <cell r="AO791">
            <v>2304</v>
          </cell>
          <cell r="AP791">
            <v>2207</v>
          </cell>
          <cell r="AQ791">
            <v>2304</v>
          </cell>
          <cell r="AR791">
            <v>2282</v>
          </cell>
          <cell r="AS791">
            <v>2302</v>
          </cell>
          <cell r="AT791">
            <v>179200</v>
          </cell>
        </row>
        <row r="792">
          <cell r="G792">
            <v>2407250402</v>
          </cell>
          <cell r="H792" t="str">
            <v>118동</v>
          </cell>
          <cell r="I792">
            <v>240725</v>
          </cell>
          <cell r="J792" t="str">
            <v>118동 주변주차장 버림</v>
          </cell>
          <cell r="K792">
            <v>196</v>
          </cell>
          <cell r="L792">
            <v>195</v>
          </cell>
          <cell r="M792">
            <v>1812</v>
          </cell>
          <cell r="N792" t="str">
            <v>용호</v>
          </cell>
          <cell r="O792" t="str">
            <v>펌프카(1대)</v>
          </cell>
          <cell r="P792">
            <v>1240</v>
          </cell>
          <cell r="Q792">
            <v>1711</v>
          </cell>
          <cell r="R792">
            <v>120</v>
          </cell>
          <cell r="S792">
            <v>41</v>
          </cell>
          <cell r="T792">
            <v>39</v>
          </cell>
          <cell r="U792">
            <v>268</v>
          </cell>
          <cell r="V792"/>
          <cell r="W792" t="str">
            <v>박순홍</v>
          </cell>
          <cell r="X792" t="str">
            <v>(인)</v>
          </cell>
          <cell r="Y792" t="str">
            <v>박순홍</v>
          </cell>
          <cell r="Z792" t="str">
            <v>(인)</v>
          </cell>
          <cell r="AA792" t="str">
            <v>박정환</v>
          </cell>
          <cell r="AB792" t="str">
            <v>(인)</v>
          </cell>
          <cell r="AC792" t="str">
            <v>박기원</v>
          </cell>
          <cell r="AD792" t="str">
            <v>(인)</v>
          </cell>
          <cell r="AE792">
            <v>179.6</v>
          </cell>
          <cell r="AF792" t="str">
            <v>표준</v>
          </cell>
          <cell r="AG792">
            <v>2</v>
          </cell>
          <cell r="AH792">
            <v>0</v>
          </cell>
        </row>
        <row r="793">
          <cell r="G793">
            <v>2407250501</v>
          </cell>
          <cell r="H793" t="str">
            <v>118동</v>
          </cell>
          <cell r="I793">
            <v>240725</v>
          </cell>
          <cell r="J793" t="str">
            <v>118동 E/V 기초</v>
          </cell>
          <cell r="K793">
            <v>102</v>
          </cell>
          <cell r="L793">
            <v>102</v>
          </cell>
          <cell r="M793">
            <v>2415</v>
          </cell>
          <cell r="N793" t="str">
            <v>용호</v>
          </cell>
          <cell r="O793" t="str">
            <v>펌프카(1대)</v>
          </cell>
          <cell r="P793">
            <v>1050</v>
          </cell>
          <cell r="Q793">
            <v>1510</v>
          </cell>
          <cell r="R793">
            <v>155</v>
          </cell>
          <cell r="S793">
            <v>42</v>
          </cell>
          <cell r="T793">
            <v>59</v>
          </cell>
          <cell r="U793">
            <v>264</v>
          </cell>
          <cell r="V793"/>
          <cell r="W793" t="str">
            <v>박순홍</v>
          </cell>
          <cell r="X793" t="str">
            <v>(인)</v>
          </cell>
          <cell r="Y793" t="str">
            <v>박순홍</v>
          </cell>
          <cell r="Z793" t="str">
            <v>(인)</v>
          </cell>
          <cell r="AA793" t="str">
            <v>박정환</v>
          </cell>
          <cell r="AB793" t="str">
            <v>(인)</v>
          </cell>
          <cell r="AC793" t="str">
            <v>박기원</v>
          </cell>
          <cell r="AD793" t="str">
            <v>(인)</v>
          </cell>
          <cell r="AE793">
            <v>183.4</v>
          </cell>
          <cell r="AF793" t="str">
            <v>표준</v>
          </cell>
          <cell r="AG793">
            <v>1</v>
          </cell>
          <cell r="AH793">
            <v>1</v>
          </cell>
          <cell r="AI793">
            <v>2131</v>
          </cell>
          <cell r="AJ793">
            <v>2136</v>
          </cell>
          <cell r="AK793">
            <v>175000</v>
          </cell>
          <cell r="AL793">
            <v>3053</v>
          </cell>
          <cell r="AM793">
            <v>3185</v>
          </cell>
          <cell r="AN793">
            <v>3012</v>
          </cell>
          <cell r="AO793">
            <v>2962</v>
          </cell>
          <cell r="AP793">
            <v>2984</v>
          </cell>
          <cell r="AQ793">
            <v>2962</v>
          </cell>
          <cell r="AR793">
            <v>2942</v>
          </cell>
          <cell r="AS793">
            <v>2982</v>
          </cell>
          <cell r="AT793">
            <v>242800</v>
          </cell>
        </row>
        <row r="794">
          <cell r="G794">
            <v>2407260101</v>
          </cell>
          <cell r="H794" t="str">
            <v>107동</v>
          </cell>
          <cell r="I794">
            <v>240726</v>
          </cell>
          <cell r="J794" t="str">
            <v>107동 4층 바닥</v>
          </cell>
          <cell r="K794">
            <v>306</v>
          </cell>
          <cell r="L794">
            <v>306</v>
          </cell>
          <cell r="M794">
            <v>3018</v>
          </cell>
          <cell r="N794" t="str">
            <v>대원</v>
          </cell>
          <cell r="O794" t="str">
            <v>펌프카(1대)</v>
          </cell>
          <cell r="P794">
            <v>730</v>
          </cell>
          <cell r="Q794">
            <v>1100</v>
          </cell>
          <cell r="R794">
            <v>180</v>
          </cell>
          <cell r="S794">
            <v>45</v>
          </cell>
          <cell r="T794">
            <v>10</v>
          </cell>
          <cell r="U794">
            <v>266</v>
          </cell>
          <cell r="V794"/>
          <cell r="W794" t="str">
            <v>박순홍</v>
          </cell>
          <cell r="X794" t="str">
            <v>(인)</v>
          </cell>
          <cell r="Y794" t="str">
            <v>박순홍</v>
          </cell>
          <cell r="Z794" t="str">
            <v>(인)</v>
          </cell>
          <cell r="AA794" t="str">
            <v>최인철</v>
          </cell>
          <cell r="AB794" t="str">
            <v>(인)</v>
          </cell>
          <cell r="AC794" t="str">
            <v>박기원</v>
          </cell>
          <cell r="AD794" t="str">
            <v>(인)</v>
          </cell>
          <cell r="AE794">
            <v>179.1</v>
          </cell>
          <cell r="AF794" t="str">
            <v>표준</v>
          </cell>
          <cell r="AG794">
            <v>1</v>
          </cell>
          <cell r="AH794">
            <v>1</v>
          </cell>
          <cell r="AI794">
            <v>2653</v>
          </cell>
          <cell r="AJ794">
            <v>2731</v>
          </cell>
          <cell r="AK794">
            <v>212600</v>
          </cell>
          <cell r="AL794">
            <v>3952</v>
          </cell>
          <cell r="AM794">
            <v>3862</v>
          </cell>
          <cell r="AN794">
            <v>3862</v>
          </cell>
          <cell r="AO794">
            <v>3894</v>
          </cell>
          <cell r="AP794">
            <v>3925</v>
          </cell>
          <cell r="AQ794">
            <v>4031</v>
          </cell>
          <cell r="AR794">
            <v>3927</v>
          </cell>
          <cell r="AS794">
            <v>3864</v>
          </cell>
          <cell r="AT794">
            <v>309600</v>
          </cell>
        </row>
        <row r="795">
          <cell r="G795">
            <v>2407260102</v>
          </cell>
          <cell r="H795" t="str">
            <v>107동</v>
          </cell>
          <cell r="I795">
            <v>240726</v>
          </cell>
          <cell r="J795" t="str">
            <v>107동 4층 바닥</v>
          </cell>
          <cell r="K795">
            <v>306</v>
          </cell>
          <cell r="L795">
            <v>306</v>
          </cell>
          <cell r="M795">
            <v>3018</v>
          </cell>
          <cell r="N795" t="str">
            <v>대원</v>
          </cell>
          <cell r="O795" t="str">
            <v>펌프카(1대)</v>
          </cell>
          <cell r="P795">
            <v>730</v>
          </cell>
          <cell r="Q795">
            <v>1100</v>
          </cell>
          <cell r="R795">
            <v>180</v>
          </cell>
          <cell r="S795">
            <v>49</v>
          </cell>
          <cell r="T795">
            <v>36</v>
          </cell>
          <cell r="U795">
            <v>254</v>
          </cell>
          <cell r="V795"/>
          <cell r="W795" t="str">
            <v>박순홍</v>
          </cell>
          <cell r="X795" t="str">
            <v>(인)</v>
          </cell>
          <cell r="Y795" t="str">
            <v>박순홍</v>
          </cell>
          <cell r="Z795" t="str">
            <v>(인)</v>
          </cell>
          <cell r="AA795" t="str">
            <v>최인철</v>
          </cell>
          <cell r="AB795" t="str">
            <v>(인)</v>
          </cell>
          <cell r="AC795" t="str">
            <v>박기원</v>
          </cell>
          <cell r="AD795" t="str">
            <v>(인)</v>
          </cell>
          <cell r="AE795">
            <v>184.4</v>
          </cell>
          <cell r="AF795" t="str">
            <v>표준</v>
          </cell>
          <cell r="AG795">
            <v>2</v>
          </cell>
          <cell r="AH795">
            <v>0</v>
          </cell>
        </row>
        <row r="796">
          <cell r="G796">
            <v>2407260103</v>
          </cell>
          <cell r="H796" t="str">
            <v>107동</v>
          </cell>
          <cell r="I796">
            <v>240726</v>
          </cell>
          <cell r="J796" t="str">
            <v>107동 4층 바닥</v>
          </cell>
          <cell r="K796">
            <v>306</v>
          </cell>
          <cell r="L796">
            <v>306</v>
          </cell>
          <cell r="M796">
            <v>3018</v>
          </cell>
          <cell r="N796" t="str">
            <v>대원</v>
          </cell>
          <cell r="O796" t="str">
            <v>펌프카(1대)</v>
          </cell>
          <cell r="P796">
            <v>730</v>
          </cell>
          <cell r="Q796">
            <v>1100</v>
          </cell>
          <cell r="R796">
            <v>185</v>
          </cell>
          <cell r="S796">
            <v>51</v>
          </cell>
          <cell r="T796">
            <v>15</v>
          </cell>
          <cell r="U796">
            <v>263</v>
          </cell>
          <cell r="V796"/>
          <cell r="W796" t="str">
            <v>박순홍</v>
          </cell>
          <cell r="X796" t="str">
            <v>(인)</v>
          </cell>
          <cell r="Y796" t="str">
            <v>박순홍</v>
          </cell>
          <cell r="Z796" t="str">
            <v>(인)</v>
          </cell>
          <cell r="AA796" t="str">
            <v>최인철</v>
          </cell>
          <cell r="AB796" t="str">
            <v>(인)</v>
          </cell>
          <cell r="AC796" t="str">
            <v>박기원</v>
          </cell>
          <cell r="AD796" t="str">
            <v>(인)</v>
          </cell>
          <cell r="AE796">
            <v>178.6</v>
          </cell>
          <cell r="AF796" t="str">
            <v>표준</v>
          </cell>
          <cell r="AG796">
            <v>3</v>
          </cell>
          <cell r="AH796">
            <v>0</v>
          </cell>
        </row>
        <row r="797">
          <cell r="G797">
            <v>2407260201</v>
          </cell>
          <cell r="H797" t="str">
            <v>109동</v>
          </cell>
          <cell r="I797">
            <v>240726</v>
          </cell>
          <cell r="J797" t="str">
            <v>6-3구간 주차장</v>
          </cell>
          <cell r="K797">
            <v>48</v>
          </cell>
          <cell r="L797">
            <v>48</v>
          </cell>
          <cell r="M797">
            <v>2715</v>
          </cell>
          <cell r="N797" t="str">
            <v>대원</v>
          </cell>
          <cell r="O797" t="str">
            <v>펌프카(1대)</v>
          </cell>
          <cell r="P797">
            <v>1200</v>
          </cell>
          <cell r="Q797">
            <v>1320</v>
          </cell>
          <cell r="R797">
            <v>150</v>
          </cell>
          <cell r="S797">
            <v>40</v>
          </cell>
          <cell r="T797">
            <v>4</v>
          </cell>
          <cell r="U797">
            <v>234</v>
          </cell>
          <cell r="V797"/>
          <cell r="W797" t="str">
            <v>박순홍</v>
          </cell>
          <cell r="X797" t="str">
            <v>(인)</v>
          </cell>
          <cell r="Y797" t="str">
            <v>박순홍</v>
          </cell>
          <cell r="Z797" t="str">
            <v>(인)</v>
          </cell>
          <cell r="AA797" t="str">
            <v>최인철</v>
          </cell>
          <cell r="AB797" t="str">
            <v>(인)</v>
          </cell>
          <cell r="AC797" t="str">
            <v>박기원</v>
          </cell>
          <cell r="AD797" t="str">
            <v>(인)</v>
          </cell>
          <cell r="AE797">
            <v>179.1</v>
          </cell>
          <cell r="AF797" t="str">
            <v>표준</v>
          </cell>
          <cell r="AG797">
            <v>1</v>
          </cell>
          <cell r="AH797">
            <v>1</v>
          </cell>
          <cell r="AI797">
            <v>2438</v>
          </cell>
          <cell r="AJ797">
            <v>2452</v>
          </cell>
          <cell r="AK797">
            <v>189800</v>
          </cell>
          <cell r="AL797">
            <v>3478</v>
          </cell>
          <cell r="AM797">
            <v>3440</v>
          </cell>
          <cell r="AN797">
            <v>3410</v>
          </cell>
          <cell r="AO797">
            <v>3394</v>
          </cell>
          <cell r="AP797">
            <v>3512</v>
          </cell>
          <cell r="AQ797">
            <v>3327</v>
          </cell>
          <cell r="AR797">
            <v>3410</v>
          </cell>
          <cell r="AS797">
            <v>3510</v>
          </cell>
          <cell r="AT797">
            <v>272000</v>
          </cell>
        </row>
        <row r="798">
          <cell r="G798">
            <v>2407290101</v>
          </cell>
          <cell r="H798" t="str">
            <v>111동</v>
          </cell>
          <cell r="I798">
            <v>240729</v>
          </cell>
          <cell r="J798" t="str">
            <v>111동 및 주변주차장 1차</v>
          </cell>
          <cell r="K798">
            <v>246</v>
          </cell>
          <cell r="L798">
            <v>246</v>
          </cell>
          <cell r="M798">
            <v>3015</v>
          </cell>
          <cell r="N798" t="str">
            <v>용호</v>
          </cell>
          <cell r="O798" t="str">
            <v>펌프카(1대)</v>
          </cell>
          <cell r="P798">
            <v>829</v>
          </cell>
          <cell r="Q798">
            <v>1412</v>
          </cell>
          <cell r="R798">
            <v>160</v>
          </cell>
          <cell r="S798">
            <v>49</v>
          </cell>
          <cell r="T798">
            <v>17</v>
          </cell>
          <cell r="U798">
            <v>222</v>
          </cell>
          <cell r="V798"/>
          <cell r="W798" t="str">
            <v>김광록</v>
          </cell>
          <cell r="X798" t="str">
            <v>(인)</v>
          </cell>
          <cell r="Y798" t="str">
            <v>박순홍</v>
          </cell>
          <cell r="Z798" t="str">
            <v>(인)</v>
          </cell>
          <cell r="AA798" t="str">
            <v>최인철</v>
          </cell>
          <cell r="AB798" t="str">
            <v>(인)</v>
          </cell>
          <cell r="AC798" t="str">
            <v>박상갑</v>
          </cell>
          <cell r="AD798" t="str">
            <v>(인)</v>
          </cell>
          <cell r="AE798">
            <v>173.6</v>
          </cell>
          <cell r="AF798" t="str">
            <v>표준</v>
          </cell>
          <cell r="AG798">
            <v>1</v>
          </cell>
          <cell r="AH798">
            <v>1</v>
          </cell>
          <cell r="AI798">
            <v>2704</v>
          </cell>
          <cell r="AJ798">
            <v>2707</v>
          </cell>
          <cell r="AK798">
            <v>219000</v>
          </cell>
          <cell r="AL798">
            <v>4025</v>
          </cell>
          <cell r="AM798">
            <v>3921</v>
          </cell>
          <cell r="AN798">
            <v>3988</v>
          </cell>
          <cell r="AO798">
            <v>3724</v>
          </cell>
          <cell r="AP798">
            <v>3902</v>
          </cell>
          <cell r="AQ798">
            <v>4013</v>
          </cell>
          <cell r="AR798">
            <v>3902</v>
          </cell>
          <cell r="AS798">
            <v>3864</v>
          </cell>
          <cell r="AT798">
            <v>318600</v>
          </cell>
        </row>
        <row r="799">
          <cell r="G799">
            <v>2407290102</v>
          </cell>
          <cell r="H799" t="str">
            <v>111동</v>
          </cell>
          <cell r="I799">
            <v>240729</v>
          </cell>
          <cell r="J799" t="str">
            <v>111동 및 주변주차장 1차</v>
          </cell>
          <cell r="K799">
            <v>246</v>
          </cell>
          <cell r="L799">
            <v>246</v>
          </cell>
          <cell r="M799">
            <v>3015</v>
          </cell>
          <cell r="N799" t="str">
            <v>용호</v>
          </cell>
          <cell r="O799" t="str">
            <v>펌프카(1대)</v>
          </cell>
          <cell r="P799">
            <v>829</v>
          </cell>
          <cell r="Q799">
            <v>1412</v>
          </cell>
          <cell r="R799">
            <v>170</v>
          </cell>
          <cell r="S799">
            <v>46</v>
          </cell>
          <cell r="T799">
            <v>30</v>
          </cell>
          <cell r="U799">
            <v>248</v>
          </cell>
          <cell r="V799"/>
          <cell r="W799" t="str">
            <v>김광록</v>
          </cell>
          <cell r="X799" t="str">
            <v>(인)</v>
          </cell>
          <cell r="Y799" t="str">
            <v>박순홍</v>
          </cell>
          <cell r="Z799" t="str">
            <v>(인)</v>
          </cell>
          <cell r="AA799" t="str">
            <v>최인철</v>
          </cell>
          <cell r="AB799" t="str">
            <v>(인)</v>
          </cell>
          <cell r="AC799" t="str">
            <v>박상갑</v>
          </cell>
          <cell r="AD799" t="str">
            <v>(인)</v>
          </cell>
          <cell r="AE799">
            <v>172.2</v>
          </cell>
          <cell r="AF799" t="str">
            <v>표준</v>
          </cell>
          <cell r="AG799">
            <v>2</v>
          </cell>
          <cell r="AH799">
            <v>0</v>
          </cell>
        </row>
        <row r="800">
          <cell r="G800">
            <v>2407290103</v>
          </cell>
          <cell r="H800" t="str">
            <v>111동</v>
          </cell>
          <cell r="I800">
            <v>240729</v>
          </cell>
          <cell r="J800" t="str">
            <v>111동 및 주변주차장 1차</v>
          </cell>
          <cell r="K800">
            <v>246</v>
          </cell>
          <cell r="L800">
            <v>246</v>
          </cell>
          <cell r="M800">
            <v>3015</v>
          </cell>
          <cell r="N800" t="str">
            <v>용호</v>
          </cell>
          <cell r="O800" t="str">
            <v>펌프카(1대)</v>
          </cell>
          <cell r="P800">
            <v>829</v>
          </cell>
          <cell r="Q800">
            <v>1412</v>
          </cell>
          <cell r="R800">
            <v>160</v>
          </cell>
          <cell r="S800">
            <v>43</v>
          </cell>
          <cell r="T800">
            <v>48</v>
          </cell>
          <cell r="U800">
            <v>229</v>
          </cell>
          <cell r="V800"/>
          <cell r="W800" t="str">
            <v>김광록</v>
          </cell>
          <cell r="X800" t="str">
            <v>(인)</v>
          </cell>
          <cell r="Y800" t="str">
            <v>박순홍</v>
          </cell>
          <cell r="Z800" t="str">
            <v>(인)</v>
          </cell>
          <cell r="AA800" t="str">
            <v>최인철</v>
          </cell>
          <cell r="AB800" t="str">
            <v>(인)</v>
          </cell>
          <cell r="AC800" t="str">
            <v>박상갑</v>
          </cell>
          <cell r="AD800" t="str">
            <v>(인)</v>
          </cell>
          <cell r="AE800">
            <v>171.4</v>
          </cell>
          <cell r="AF800" t="str">
            <v>표준</v>
          </cell>
          <cell r="AG800">
            <v>3</v>
          </cell>
          <cell r="AH800">
            <v>0</v>
          </cell>
        </row>
        <row r="801">
          <cell r="G801">
            <v>2407290201</v>
          </cell>
          <cell r="H801" t="str">
            <v>111동</v>
          </cell>
          <cell r="I801">
            <v>240729</v>
          </cell>
          <cell r="J801" t="str">
            <v>111동 및 주변주차장 1차</v>
          </cell>
          <cell r="K801">
            <v>180</v>
          </cell>
          <cell r="L801">
            <v>180</v>
          </cell>
          <cell r="M801">
            <v>2715</v>
          </cell>
          <cell r="N801" t="str">
            <v>용호</v>
          </cell>
          <cell r="O801" t="str">
            <v>펌프카(1대)</v>
          </cell>
          <cell r="P801">
            <v>1412</v>
          </cell>
          <cell r="Q801">
            <v>1622</v>
          </cell>
          <cell r="R801">
            <v>170</v>
          </cell>
          <cell r="S801">
            <v>48</v>
          </cell>
          <cell r="T801">
            <v>38</v>
          </cell>
          <cell r="U801">
            <v>232</v>
          </cell>
          <cell r="V801"/>
          <cell r="W801" t="str">
            <v>김광록</v>
          </cell>
          <cell r="X801" t="str">
            <v>(인)</v>
          </cell>
          <cell r="Y801" t="str">
            <v>박순홍</v>
          </cell>
          <cell r="Z801" t="str">
            <v>(인)</v>
          </cell>
          <cell r="AA801" t="str">
            <v>최인철</v>
          </cell>
          <cell r="AB801" t="str">
            <v>(인)</v>
          </cell>
          <cell r="AC801" t="str">
            <v>박상갑</v>
          </cell>
          <cell r="AD801" t="str">
            <v>(인)</v>
          </cell>
          <cell r="AE801">
            <v>171.6</v>
          </cell>
          <cell r="AF801" t="str">
            <v>표준</v>
          </cell>
          <cell r="AG801">
            <v>1</v>
          </cell>
          <cell r="AH801">
            <v>1</v>
          </cell>
          <cell r="AI801">
            <v>2419</v>
          </cell>
          <cell r="AJ801">
            <v>2407</v>
          </cell>
          <cell r="AK801">
            <v>192600</v>
          </cell>
          <cell r="AL801">
            <v>3427</v>
          </cell>
          <cell r="AM801">
            <v>3427</v>
          </cell>
          <cell r="AN801">
            <v>3307</v>
          </cell>
          <cell r="AO801">
            <v>3313</v>
          </cell>
          <cell r="AP801">
            <v>3309</v>
          </cell>
          <cell r="AQ801">
            <v>3302</v>
          </cell>
          <cell r="AR801">
            <v>3404</v>
          </cell>
          <cell r="AS801">
            <v>3396</v>
          </cell>
          <cell r="AT801">
            <v>268000</v>
          </cell>
        </row>
        <row r="802">
          <cell r="G802">
            <v>2407290202</v>
          </cell>
          <cell r="H802" t="str">
            <v>111동</v>
          </cell>
          <cell r="I802">
            <v>240729</v>
          </cell>
          <cell r="J802" t="str">
            <v>111동 및 주변주차장 1차</v>
          </cell>
          <cell r="K802">
            <v>180</v>
          </cell>
          <cell r="L802">
            <v>180</v>
          </cell>
          <cell r="M802">
            <v>2715</v>
          </cell>
          <cell r="N802" t="str">
            <v>용호</v>
          </cell>
          <cell r="O802" t="str">
            <v>펌프카(1대)</v>
          </cell>
          <cell r="P802">
            <v>1412</v>
          </cell>
          <cell r="Q802">
            <v>1622</v>
          </cell>
          <cell r="R802">
            <v>170</v>
          </cell>
          <cell r="S802">
            <v>35</v>
          </cell>
          <cell r="T802">
            <v>92</v>
          </cell>
          <cell r="U802">
            <v>241</v>
          </cell>
          <cell r="V802"/>
          <cell r="W802" t="str">
            <v>김광록</v>
          </cell>
          <cell r="X802" t="str">
            <v>(인)</v>
          </cell>
          <cell r="Y802" t="str">
            <v>박순홍</v>
          </cell>
          <cell r="Z802" t="str">
            <v>(인)</v>
          </cell>
          <cell r="AA802" t="str">
            <v>최인철</v>
          </cell>
          <cell r="AB802" t="str">
            <v>(인)</v>
          </cell>
          <cell r="AC802" t="str">
            <v>박상갑</v>
          </cell>
          <cell r="AD802" t="str">
            <v>(인)</v>
          </cell>
          <cell r="AE802">
            <v>171.7</v>
          </cell>
          <cell r="AF802" t="str">
            <v>표준</v>
          </cell>
          <cell r="AG802">
            <v>2</v>
          </cell>
          <cell r="AH802">
            <v>0</v>
          </cell>
        </row>
        <row r="803">
          <cell r="G803">
            <v>2407290301</v>
          </cell>
          <cell r="H803" t="str">
            <v>111동</v>
          </cell>
          <cell r="I803">
            <v>240729</v>
          </cell>
          <cell r="J803" t="str">
            <v>111동 및 주변주차장 1차</v>
          </cell>
          <cell r="K803">
            <v>210</v>
          </cell>
          <cell r="L803">
            <v>210</v>
          </cell>
          <cell r="M803">
            <v>3015</v>
          </cell>
          <cell r="N803" t="str">
            <v>영진</v>
          </cell>
          <cell r="O803" t="str">
            <v>펌프카(1대)</v>
          </cell>
          <cell r="P803">
            <v>830</v>
          </cell>
          <cell r="Q803">
            <v>1235</v>
          </cell>
          <cell r="R803">
            <v>155</v>
          </cell>
          <cell r="S803">
            <v>51</v>
          </cell>
          <cell r="T803">
            <v>76</v>
          </cell>
          <cell r="U803">
            <v>241</v>
          </cell>
          <cell r="V803"/>
          <cell r="W803" t="str">
            <v>김광록</v>
          </cell>
          <cell r="X803" t="str">
            <v>(인)</v>
          </cell>
          <cell r="Y803" t="str">
            <v>박순홍</v>
          </cell>
          <cell r="Z803" t="str">
            <v>(인)</v>
          </cell>
          <cell r="AA803" t="str">
            <v>최인철</v>
          </cell>
          <cell r="AB803" t="str">
            <v>(인)</v>
          </cell>
          <cell r="AC803" t="str">
            <v>박상갑</v>
          </cell>
          <cell r="AD803" t="str">
            <v>(인)</v>
          </cell>
          <cell r="AE803">
            <v>181.8</v>
          </cell>
          <cell r="AF803" t="str">
            <v>표준</v>
          </cell>
          <cell r="AG803">
            <v>1</v>
          </cell>
          <cell r="AH803">
            <v>1</v>
          </cell>
          <cell r="AI803">
            <v>2844</v>
          </cell>
          <cell r="AJ803">
            <v>2717</v>
          </cell>
          <cell r="AK803">
            <v>217600</v>
          </cell>
          <cell r="AL803">
            <v>3827</v>
          </cell>
          <cell r="AM803">
            <v>3832</v>
          </cell>
          <cell r="AN803">
            <v>3807</v>
          </cell>
          <cell r="AO803">
            <v>3704</v>
          </cell>
          <cell r="AP803">
            <v>3792</v>
          </cell>
          <cell r="AQ803">
            <v>3902</v>
          </cell>
          <cell r="AR803">
            <v>3864</v>
          </cell>
          <cell r="AS803">
            <v>3906</v>
          </cell>
          <cell r="AT803">
            <v>299600</v>
          </cell>
        </row>
        <row r="804">
          <cell r="G804">
            <v>2407290302</v>
          </cell>
          <cell r="H804" t="str">
            <v>111동</v>
          </cell>
          <cell r="I804">
            <v>240729</v>
          </cell>
          <cell r="J804" t="str">
            <v>111동 및 주변주차장 1차</v>
          </cell>
          <cell r="K804">
            <v>210</v>
          </cell>
          <cell r="L804">
            <v>210</v>
          </cell>
          <cell r="M804">
            <v>3015</v>
          </cell>
          <cell r="N804" t="str">
            <v>영진</v>
          </cell>
          <cell r="O804" t="str">
            <v>펌프카(1대)</v>
          </cell>
          <cell r="P804">
            <v>830</v>
          </cell>
          <cell r="Q804">
            <v>1235</v>
          </cell>
          <cell r="R804">
            <v>155</v>
          </cell>
          <cell r="S804">
            <v>51</v>
          </cell>
          <cell r="T804">
            <v>73</v>
          </cell>
          <cell r="U804">
            <v>237</v>
          </cell>
          <cell r="V804"/>
          <cell r="W804" t="str">
            <v>김광록</v>
          </cell>
          <cell r="X804" t="str">
            <v>(인)</v>
          </cell>
          <cell r="Y804" t="str">
            <v>박순홍</v>
          </cell>
          <cell r="Z804" t="str">
            <v>(인)</v>
          </cell>
          <cell r="AA804" t="str">
            <v>최인철</v>
          </cell>
          <cell r="AB804" t="str">
            <v>(인)</v>
          </cell>
          <cell r="AC804" t="str">
            <v>박상갑</v>
          </cell>
          <cell r="AD804" t="str">
            <v>(인)</v>
          </cell>
          <cell r="AE804">
            <v>175.4</v>
          </cell>
          <cell r="AF804" t="str">
            <v>표준</v>
          </cell>
          <cell r="AG804">
            <v>2</v>
          </cell>
          <cell r="AH804">
            <v>0</v>
          </cell>
        </row>
        <row r="805">
          <cell r="G805">
            <v>2407290401</v>
          </cell>
          <cell r="H805" t="str">
            <v>111동</v>
          </cell>
          <cell r="I805">
            <v>240729</v>
          </cell>
          <cell r="J805" t="str">
            <v>111동 및 주변주차장 1차</v>
          </cell>
          <cell r="K805">
            <v>210</v>
          </cell>
          <cell r="L805">
            <v>210</v>
          </cell>
          <cell r="M805">
            <v>2715</v>
          </cell>
          <cell r="N805" t="str">
            <v>영진</v>
          </cell>
          <cell r="O805" t="str">
            <v>펌프카(1대)</v>
          </cell>
          <cell r="P805">
            <v>1011</v>
          </cell>
          <cell r="Q805">
            <v>1420</v>
          </cell>
          <cell r="R805">
            <v>160</v>
          </cell>
          <cell r="S805">
            <v>38</v>
          </cell>
          <cell r="T805">
            <v>83</v>
          </cell>
          <cell r="U805">
            <v>238</v>
          </cell>
          <cell r="V805"/>
          <cell r="W805" t="str">
            <v>김광록</v>
          </cell>
          <cell r="X805" t="str">
            <v>(인)</v>
          </cell>
          <cell r="Y805" t="str">
            <v>박순홍</v>
          </cell>
          <cell r="Z805" t="str">
            <v>(인)</v>
          </cell>
          <cell r="AA805" t="str">
            <v>최인철</v>
          </cell>
          <cell r="AB805" t="str">
            <v>(인)</v>
          </cell>
          <cell r="AC805" t="str">
            <v>박상갑</v>
          </cell>
          <cell r="AD805" t="str">
            <v>(인)</v>
          </cell>
          <cell r="AE805">
            <v>172.5</v>
          </cell>
          <cell r="AF805" t="str">
            <v>표준</v>
          </cell>
          <cell r="AG805">
            <v>1</v>
          </cell>
          <cell r="AH805">
            <v>1</v>
          </cell>
          <cell r="AI805">
            <v>2485</v>
          </cell>
          <cell r="AJ805">
            <v>2407</v>
          </cell>
          <cell r="AK805">
            <v>191200</v>
          </cell>
          <cell r="AL805">
            <v>3442</v>
          </cell>
          <cell r="AM805">
            <v>3320</v>
          </cell>
          <cell r="AN805">
            <v>3406</v>
          </cell>
          <cell r="AO805">
            <v>3412</v>
          </cell>
          <cell r="AP805">
            <v>3392</v>
          </cell>
          <cell r="AQ805">
            <v>3302</v>
          </cell>
          <cell r="AR805">
            <v>3402</v>
          </cell>
          <cell r="AS805">
            <v>3372</v>
          </cell>
          <cell r="AT805">
            <v>268800</v>
          </cell>
        </row>
        <row r="806">
          <cell r="G806">
            <v>2407290402</v>
          </cell>
          <cell r="H806" t="str">
            <v>111동</v>
          </cell>
          <cell r="I806">
            <v>240729</v>
          </cell>
          <cell r="J806" t="str">
            <v>111동 및 주변주차장 1차</v>
          </cell>
          <cell r="K806">
            <v>210</v>
          </cell>
          <cell r="L806">
            <v>210</v>
          </cell>
          <cell r="M806">
            <v>2715</v>
          </cell>
          <cell r="N806" t="str">
            <v>영진</v>
          </cell>
          <cell r="O806" t="str">
            <v>펌프카(1대)</v>
          </cell>
          <cell r="P806">
            <v>1011</v>
          </cell>
          <cell r="Q806">
            <v>1420</v>
          </cell>
          <cell r="R806">
            <v>175</v>
          </cell>
          <cell r="S806">
            <v>43</v>
          </cell>
          <cell r="T806">
            <v>89</v>
          </cell>
          <cell r="U806">
            <v>241</v>
          </cell>
          <cell r="V806"/>
          <cell r="W806" t="str">
            <v>김광록</v>
          </cell>
          <cell r="X806" t="str">
            <v>(인)</v>
          </cell>
          <cell r="Y806" t="str">
            <v>박순홍</v>
          </cell>
          <cell r="Z806" t="str">
            <v>(인)</v>
          </cell>
          <cell r="AA806" t="str">
            <v>최인철</v>
          </cell>
          <cell r="AB806" t="str">
            <v>(인)</v>
          </cell>
          <cell r="AC806" t="str">
            <v>박상갑</v>
          </cell>
          <cell r="AD806" t="str">
            <v>(인)</v>
          </cell>
          <cell r="AE806">
            <v>171.4</v>
          </cell>
          <cell r="AF806" t="str">
            <v>표준</v>
          </cell>
          <cell r="AG806">
            <v>2</v>
          </cell>
          <cell r="AH806">
            <v>0</v>
          </cell>
        </row>
        <row r="807">
          <cell r="G807">
            <v>2407290501</v>
          </cell>
          <cell r="H807" t="str">
            <v>106동</v>
          </cell>
          <cell r="I807">
            <v>240729</v>
          </cell>
          <cell r="J807" t="str">
            <v>106동 9층 바닥</v>
          </cell>
          <cell r="K807">
            <v>282</v>
          </cell>
          <cell r="L807">
            <v>282</v>
          </cell>
          <cell r="M807">
            <v>3018</v>
          </cell>
          <cell r="N807" t="str">
            <v>대성</v>
          </cell>
          <cell r="O807" t="str">
            <v>펌프카(1대)</v>
          </cell>
          <cell r="P807">
            <v>835</v>
          </cell>
          <cell r="Q807">
            <v>1425</v>
          </cell>
          <cell r="R807">
            <v>200</v>
          </cell>
          <cell r="S807">
            <v>46</v>
          </cell>
          <cell r="T807">
            <v>49</v>
          </cell>
          <cell r="U807">
            <v>236</v>
          </cell>
          <cell r="V807"/>
          <cell r="W807" t="str">
            <v>김광록</v>
          </cell>
          <cell r="X807" t="str">
            <v>(인)</v>
          </cell>
          <cell r="Y807" t="str">
            <v>박순홍</v>
          </cell>
          <cell r="Z807" t="str">
            <v>(인)</v>
          </cell>
          <cell r="AA807" t="str">
            <v>정창인</v>
          </cell>
          <cell r="AB807" t="str">
            <v>(인)</v>
          </cell>
          <cell r="AC807" t="str">
            <v>박상갑</v>
          </cell>
          <cell r="AD807" t="str">
            <v>(인)</v>
          </cell>
          <cell r="AE807">
            <v>183.7</v>
          </cell>
          <cell r="AF807" t="str">
            <v>표준</v>
          </cell>
          <cell r="AG807">
            <v>1</v>
          </cell>
          <cell r="AH807">
            <v>1</v>
          </cell>
          <cell r="AI807">
            <v>2902</v>
          </cell>
          <cell r="AJ807">
            <v>2804</v>
          </cell>
          <cell r="AK807">
            <v>221000</v>
          </cell>
          <cell r="AL807">
            <v>3823</v>
          </cell>
          <cell r="AM807">
            <v>3969</v>
          </cell>
          <cell r="AN807">
            <v>3806</v>
          </cell>
          <cell r="AO807">
            <v>3926</v>
          </cell>
          <cell r="AP807">
            <v>3936</v>
          </cell>
          <cell r="AQ807">
            <v>3984</v>
          </cell>
          <cell r="AR807">
            <v>3962</v>
          </cell>
          <cell r="AS807">
            <v>4012</v>
          </cell>
          <cell r="AT807">
            <v>312200</v>
          </cell>
        </row>
        <row r="808">
          <cell r="G808">
            <v>2407290502</v>
          </cell>
          <cell r="H808" t="str">
            <v>106동</v>
          </cell>
          <cell r="I808">
            <v>240729</v>
          </cell>
          <cell r="J808" t="str">
            <v>106동 9층 바닥</v>
          </cell>
          <cell r="K808">
            <v>282</v>
          </cell>
          <cell r="L808">
            <v>282</v>
          </cell>
          <cell r="M808">
            <v>3018</v>
          </cell>
          <cell r="N808" t="str">
            <v>대성</v>
          </cell>
          <cell r="O808" t="str">
            <v>펌프카(1대)</v>
          </cell>
          <cell r="P808">
            <v>835</v>
          </cell>
          <cell r="Q808">
            <v>1425</v>
          </cell>
          <cell r="R808">
            <v>180</v>
          </cell>
          <cell r="S808">
            <v>47</v>
          </cell>
          <cell r="T808">
            <v>58</v>
          </cell>
          <cell r="U808">
            <v>207</v>
          </cell>
          <cell r="V808"/>
          <cell r="W808" t="str">
            <v>김광록</v>
          </cell>
          <cell r="X808" t="str">
            <v>(인)</v>
          </cell>
          <cell r="Y808" t="str">
            <v>박순홍</v>
          </cell>
          <cell r="Z808" t="str">
            <v>(인)</v>
          </cell>
          <cell r="AA808" t="str">
            <v>정창인</v>
          </cell>
          <cell r="AB808" t="str">
            <v>(인)</v>
          </cell>
          <cell r="AC808" t="str">
            <v>박상갑</v>
          </cell>
          <cell r="AD808" t="str">
            <v>(인)</v>
          </cell>
          <cell r="AE808">
            <v>184.4</v>
          </cell>
          <cell r="AF808" t="str">
            <v>표준</v>
          </cell>
          <cell r="AG808">
            <v>2</v>
          </cell>
          <cell r="AH808">
            <v>0</v>
          </cell>
        </row>
        <row r="809">
          <cell r="G809">
            <v>2407290503</v>
          </cell>
          <cell r="H809" t="str">
            <v>106동</v>
          </cell>
          <cell r="I809">
            <v>240729</v>
          </cell>
          <cell r="J809" t="str">
            <v>106동 9층 바닥</v>
          </cell>
          <cell r="K809">
            <v>282</v>
          </cell>
          <cell r="L809">
            <v>282</v>
          </cell>
          <cell r="M809">
            <v>3018</v>
          </cell>
          <cell r="N809" t="str">
            <v>대성</v>
          </cell>
          <cell r="O809" t="str">
            <v>펌프카(1대)</v>
          </cell>
          <cell r="P809">
            <v>835</v>
          </cell>
          <cell r="Q809">
            <v>1425</v>
          </cell>
          <cell r="R809">
            <v>180</v>
          </cell>
          <cell r="S809">
            <v>41</v>
          </cell>
          <cell r="T809">
            <v>132</v>
          </cell>
          <cell r="U809">
            <v>257</v>
          </cell>
          <cell r="V809"/>
          <cell r="W809" t="str">
            <v>김광록</v>
          </cell>
          <cell r="X809" t="str">
            <v>(인)</v>
          </cell>
          <cell r="Y809" t="str">
            <v>박순홍</v>
          </cell>
          <cell r="Z809" t="str">
            <v>(인)</v>
          </cell>
          <cell r="AA809" t="str">
            <v>정창인</v>
          </cell>
          <cell r="AB809" t="str">
            <v>(인)</v>
          </cell>
          <cell r="AC809" t="str">
            <v>박상갑</v>
          </cell>
          <cell r="AD809" t="str">
            <v>(인)</v>
          </cell>
          <cell r="AE809">
            <v>183.6</v>
          </cell>
          <cell r="AF809" t="str">
            <v>표준</v>
          </cell>
          <cell r="AG809">
            <v>3</v>
          </cell>
          <cell r="AH809">
            <v>0</v>
          </cell>
        </row>
        <row r="810">
          <cell r="G810">
            <v>2407300101</v>
          </cell>
          <cell r="H810" t="str">
            <v>103동</v>
          </cell>
          <cell r="I810">
            <v>240730</v>
          </cell>
          <cell r="J810" t="str">
            <v>103동 12층 바닥</v>
          </cell>
          <cell r="K810">
            <v>280</v>
          </cell>
          <cell r="L810">
            <v>324</v>
          </cell>
          <cell r="M810">
            <v>3018</v>
          </cell>
          <cell r="N810" t="str">
            <v>영진</v>
          </cell>
          <cell r="O810" t="str">
            <v>펌프카(1대)</v>
          </cell>
          <cell r="P810">
            <v>907</v>
          </cell>
          <cell r="Q810">
            <v>1715</v>
          </cell>
          <cell r="R810">
            <v>160</v>
          </cell>
          <cell r="S810">
            <v>43</v>
          </cell>
          <cell r="T810">
            <v>28</v>
          </cell>
          <cell r="U810">
            <v>231</v>
          </cell>
          <cell r="V810"/>
          <cell r="W810" t="str">
            <v>김광록</v>
          </cell>
          <cell r="X810" t="str">
            <v>(인)</v>
          </cell>
          <cell r="Y810" t="str">
            <v>김광록</v>
          </cell>
          <cell r="Z810" t="str">
            <v>(인)</v>
          </cell>
          <cell r="AA810" t="str">
            <v>최상옥</v>
          </cell>
          <cell r="AB810" t="str">
            <v>(인)</v>
          </cell>
          <cell r="AC810" t="str">
            <v>박상갑</v>
          </cell>
          <cell r="AD810" t="str">
            <v>(인)</v>
          </cell>
          <cell r="AE810">
            <v>171.9</v>
          </cell>
          <cell r="AF810" t="str">
            <v>표준</v>
          </cell>
          <cell r="AG810">
            <v>1</v>
          </cell>
          <cell r="AH810">
            <v>1</v>
          </cell>
          <cell r="AI810">
            <v>2911</v>
          </cell>
          <cell r="AJ810">
            <v>2942</v>
          </cell>
          <cell r="AK810">
            <v>226600</v>
          </cell>
          <cell r="AL810">
            <v>3837</v>
          </cell>
          <cell r="AM810">
            <v>3902</v>
          </cell>
          <cell r="AN810">
            <v>3866</v>
          </cell>
          <cell r="AO810">
            <v>3758</v>
          </cell>
          <cell r="AP810">
            <v>3832</v>
          </cell>
          <cell r="AQ810">
            <v>3611</v>
          </cell>
          <cell r="AR810">
            <v>3818</v>
          </cell>
          <cell r="AS810">
            <v>3787</v>
          </cell>
          <cell r="AT810">
            <v>286600</v>
          </cell>
        </row>
        <row r="811">
          <cell r="G811">
            <v>2407300102</v>
          </cell>
          <cell r="H811" t="str">
            <v>103동</v>
          </cell>
          <cell r="I811">
            <v>240730</v>
          </cell>
          <cell r="J811" t="str">
            <v>103동 12층 바닥</v>
          </cell>
          <cell r="K811">
            <v>280</v>
          </cell>
          <cell r="L811">
            <v>324</v>
          </cell>
          <cell r="M811">
            <v>3018</v>
          </cell>
          <cell r="N811" t="str">
            <v>영진</v>
          </cell>
          <cell r="O811" t="str">
            <v>펌프카(1대)</v>
          </cell>
          <cell r="P811">
            <v>907</v>
          </cell>
          <cell r="Q811">
            <v>1715</v>
          </cell>
          <cell r="R811">
            <v>175</v>
          </cell>
          <cell r="S811">
            <v>5</v>
          </cell>
          <cell r="T811">
            <v>18</v>
          </cell>
          <cell r="U811">
            <v>265</v>
          </cell>
          <cell r="V811"/>
          <cell r="W811" t="str">
            <v>김광록</v>
          </cell>
          <cell r="X811" t="str">
            <v>(인)</v>
          </cell>
          <cell r="Y811" t="str">
            <v>김광록</v>
          </cell>
          <cell r="Z811" t="str">
            <v>(인)</v>
          </cell>
          <cell r="AA811" t="str">
            <v>최상옥</v>
          </cell>
          <cell r="AB811" t="str">
            <v>(인)</v>
          </cell>
          <cell r="AC811" t="str">
            <v>박상갑</v>
          </cell>
          <cell r="AD811" t="str">
            <v>(인)</v>
          </cell>
          <cell r="AE811">
            <v>172.2</v>
          </cell>
          <cell r="AF811" t="str">
            <v>표준</v>
          </cell>
          <cell r="AG811">
            <v>2</v>
          </cell>
          <cell r="AH811">
            <v>0</v>
          </cell>
        </row>
        <row r="812">
          <cell r="G812">
            <v>2407300103</v>
          </cell>
          <cell r="H812" t="str">
            <v>103동</v>
          </cell>
          <cell r="I812">
            <v>240730</v>
          </cell>
          <cell r="J812" t="str">
            <v>103동 12층 바닥</v>
          </cell>
          <cell r="K812">
            <v>280</v>
          </cell>
          <cell r="L812">
            <v>324</v>
          </cell>
          <cell r="M812">
            <v>3018</v>
          </cell>
          <cell r="N812" t="str">
            <v>영진</v>
          </cell>
          <cell r="O812" t="str">
            <v>펌프카(1대)</v>
          </cell>
          <cell r="P812">
            <v>907</v>
          </cell>
          <cell r="Q812">
            <v>1715</v>
          </cell>
          <cell r="R812">
            <v>170</v>
          </cell>
          <cell r="S812">
            <v>42</v>
          </cell>
          <cell r="T812">
            <v>105</v>
          </cell>
          <cell r="U812">
            <v>25.6</v>
          </cell>
          <cell r="V812"/>
          <cell r="W812" t="str">
            <v>김광록</v>
          </cell>
          <cell r="X812" t="str">
            <v>(인)</v>
          </cell>
          <cell r="Y812" t="str">
            <v>김광록</v>
          </cell>
          <cell r="Z812" t="str">
            <v>(인)</v>
          </cell>
          <cell r="AA812" t="str">
            <v>최상옥</v>
          </cell>
          <cell r="AB812" t="str">
            <v>(인)</v>
          </cell>
          <cell r="AC812" t="str">
            <v>박상갑</v>
          </cell>
          <cell r="AD812" t="str">
            <v>(인)</v>
          </cell>
          <cell r="AE812">
            <v>172.5</v>
          </cell>
          <cell r="AF812" t="str">
            <v>표준</v>
          </cell>
          <cell r="AG812">
            <v>3</v>
          </cell>
          <cell r="AH812">
            <v>0</v>
          </cell>
        </row>
        <row r="813">
          <cell r="G813">
            <v>2407300201</v>
          </cell>
          <cell r="H813" t="str">
            <v>117동</v>
          </cell>
          <cell r="I813">
            <v>240730</v>
          </cell>
          <cell r="J813" t="str">
            <v>117동 및 주변주차장 지하2층</v>
          </cell>
          <cell r="K813">
            <v>330</v>
          </cell>
          <cell r="L813">
            <v>330</v>
          </cell>
          <cell r="M813">
            <v>3015</v>
          </cell>
          <cell r="N813" t="str">
            <v>한진</v>
          </cell>
          <cell r="O813" t="str">
            <v>펌프카(1대)</v>
          </cell>
          <cell r="P813">
            <v>807</v>
          </cell>
          <cell r="Q813">
            <v>1639</v>
          </cell>
          <cell r="R813">
            <v>145</v>
          </cell>
          <cell r="S813">
            <v>45</v>
          </cell>
          <cell r="T813">
            <v>91</v>
          </cell>
          <cell r="U813">
            <v>240</v>
          </cell>
          <cell r="V813"/>
          <cell r="W813" t="str">
            <v>김광록</v>
          </cell>
          <cell r="X813" t="str">
            <v>(인)</v>
          </cell>
          <cell r="Y813" t="str">
            <v>김광록</v>
          </cell>
          <cell r="Z813" t="str">
            <v>(인)</v>
          </cell>
          <cell r="AA813" t="str">
            <v>임영구</v>
          </cell>
          <cell r="AB813" t="str">
            <v>(인)</v>
          </cell>
          <cell r="AC813" t="str">
            <v>박상갑</v>
          </cell>
          <cell r="AD813" t="str">
            <v>(인)</v>
          </cell>
          <cell r="AE813">
            <v>181.9</v>
          </cell>
          <cell r="AF813" t="str">
            <v>표준</v>
          </cell>
          <cell r="AG813">
            <v>1</v>
          </cell>
          <cell r="AH813">
            <v>1</v>
          </cell>
          <cell r="AI813">
            <v>2839</v>
          </cell>
          <cell r="AJ813">
            <v>2892</v>
          </cell>
          <cell r="AK813">
            <v>219800</v>
          </cell>
          <cell r="AL813">
            <v>3810</v>
          </cell>
          <cell r="AM813">
            <v>3749</v>
          </cell>
          <cell r="AN813">
            <v>3866</v>
          </cell>
          <cell r="AO813">
            <v>3781</v>
          </cell>
          <cell r="AP813">
            <v>3638</v>
          </cell>
          <cell r="AQ813">
            <v>3711</v>
          </cell>
          <cell r="AR813">
            <v>3781</v>
          </cell>
          <cell r="AS813">
            <v>3468</v>
          </cell>
          <cell r="AT813">
            <v>300200</v>
          </cell>
        </row>
        <row r="814">
          <cell r="G814">
            <v>2407300202</v>
          </cell>
          <cell r="H814" t="str">
            <v>117동</v>
          </cell>
          <cell r="I814">
            <v>240730</v>
          </cell>
          <cell r="J814" t="str">
            <v>117동 및 주변주차장 지하2층</v>
          </cell>
          <cell r="K814">
            <v>330</v>
          </cell>
          <cell r="L814">
            <v>330</v>
          </cell>
          <cell r="M814">
            <v>3015</v>
          </cell>
          <cell r="N814" t="str">
            <v>한진</v>
          </cell>
          <cell r="O814" t="str">
            <v>펌프카(1대)</v>
          </cell>
          <cell r="P814">
            <v>807</v>
          </cell>
          <cell r="Q814">
            <v>1639</v>
          </cell>
          <cell r="R814">
            <v>160</v>
          </cell>
          <cell r="S814">
            <v>48</v>
          </cell>
          <cell r="T814">
            <v>32</v>
          </cell>
          <cell r="U814">
            <v>225</v>
          </cell>
          <cell r="V814"/>
          <cell r="W814" t="str">
            <v>김광록</v>
          </cell>
          <cell r="X814" t="str">
            <v>(인)</v>
          </cell>
          <cell r="Y814" t="str">
            <v>김광록</v>
          </cell>
          <cell r="Z814" t="str">
            <v>(인)</v>
          </cell>
          <cell r="AA814" t="str">
            <v>임영구</v>
          </cell>
          <cell r="AB814" t="str">
            <v>(인)</v>
          </cell>
          <cell r="AC814" t="str">
            <v>박상갑</v>
          </cell>
          <cell r="AD814" t="str">
            <v>(인)</v>
          </cell>
          <cell r="AE814">
            <v>181.8</v>
          </cell>
          <cell r="AF814" t="str">
            <v>표준</v>
          </cell>
          <cell r="AG814">
            <v>2</v>
          </cell>
          <cell r="AH814">
            <v>0</v>
          </cell>
        </row>
        <row r="815">
          <cell r="G815">
            <v>2407300203</v>
          </cell>
          <cell r="H815" t="str">
            <v>117동</v>
          </cell>
          <cell r="I815">
            <v>240730</v>
          </cell>
          <cell r="J815" t="str">
            <v>117동 및 주변주차장 지하2층</v>
          </cell>
          <cell r="K815">
            <v>330</v>
          </cell>
          <cell r="L815">
            <v>330</v>
          </cell>
          <cell r="M815">
            <v>3015</v>
          </cell>
          <cell r="N815" t="str">
            <v>한진</v>
          </cell>
          <cell r="O815" t="str">
            <v>펌프카(1대)</v>
          </cell>
          <cell r="P815">
            <v>807</v>
          </cell>
          <cell r="Q815">
            <v>1639</v>
          </cell>
          <cell r="R815">
            <v>165</v>
          </cell>
          <cell r="S815">
            <v>50</v>
          </cell>
          <cell r="T815">
            <v>24</v>
          </cell>
          <cell r="U815">
            <v>258</v>
          </cell>
          <cell r="V815"/>
          <cell r="W815" t="str">
            <v>김광록</v>
          </cell>
          <cell r="X815" t="str">
            <v>(인)</v>
          </cell>
          <cell r="Y815" t="str">
            <v>김광록</v>
          </cell>
          <cell r="Z815" t="str">
            <v>(인)</v>
          </cell>
          <cell r="AA815" t="str">
            <v>임영구</v>
          </cell>
          <cell r="AB815" t="str">
            <v>(인)</v>
          </cell>
          <cell r="AC815" t="str">
            <v>박상갑</v>
          </cell>
          <cell r="AD815" t="str">
            <v>(인)</v>
          </cell>
          <cell r="AE815">
            <v>183.7</v>
          </cell>
          <cell r="AF815" t="str">
            <v>표준</v>
          </cell>
          <cell r="AG815">
            <v>3</v>
          </cell>
          <cell r="AH815">
            <v>0</v>
          </cell>
        </row>
        <row r="816">
          <cell r="G816">
            <v>2407300301</v>
          </cell>
          <cell r="H816" t="str">
            <v>117동</v>
          </cell>
          <cell r="I816">
            <v>240730</v>
          </cell>
          <cell r="J816" t="str">
            <v>117동 및 주변주차장 지하2층</v>
          </cell>
          <cell r="K816">
            <v>534</v>
          </cell>
          <cell r="L816">
            <v>534</v>
          </cell>
          <cell r="M816">
            <v>3015</v>
          </cell>
          <cell r="N816" t="str">
            <v>대공</v>
          </cell>
          <cell r="O816" t="str">
            <v>펌프카(1대)</v>
          </cell>
          <cell r="P816">
            <v>905</v>
          </cell>
          <cell r="Q816">
            <v>1602</v>
          </cell>
          <cell r="R816">
            <v>145</v>
          </cell>
          <cell r="S816">
            <v>47</v>
          </cell>
          <cell r="T816">
            <v>43</v>
          </cell>
          <cell r="U816">
            <v>246</v>
          </cell>
          <cell r="V816"/>
          <cell r="W816" t="str">
            <v>김광록</v>
          </cell>
          <cell r="X816" t="str">
            <v>(인)</v>
          </cell>
          <cell r="Y816" t="str">
            <v>김광록</v>
          </cell>
          <cell r="Z816" t="str">
            <v>(인)</v>
          </cell>
          <cell r="AA816" t="str">
            <v>임영구</v>
          </cell>
          <cell r="AB816" t="str">
            <v>(인)</v>
          </cell>
          <cell r="AC816" t="str">
            <v>박상갑</v>
          </cell>
          <cell r="AD816" t="str">
            <v>(인)</v>
          </cell>
          <cell r="AE816">
            <v>179.5</v>
          </cell>
          <cell r="AF816" t="str">
            <v>표준</v>
          </cell>
          <cell r="AG816">
            <v>1</v>
          </cell>
          <cell r="AH816">
            <v>1</v>
          </cell>
          <cell r="AI816">
            <v>2910</v>
          </cell>
          <cell r="AJ816">
            <v>2792</v>
          </cell>
          <cell r="AK816">
            <v>224200</v>
          </cell>
          <cell r="AL816">
            <v>3724</v>
          </cell>
          <cell r="AM816">
            <v>3911</v>
          </cell>
          <cell r="AN816">
            <v>3848</v>
          </cell>
          <cell r="AO816">
            <v>3784</v>
          </cell>
          <cell r="AP816">
            <v>3866</v>
          </cell>
          <cell r="AQ816">
            <v>3902</v>
          </cell>
          <cell r="AR816">
            <v>3985</v>
          </cell>
          <cell r="AS816">
            <v>3862</v>
          </cell>
          <cell r="AT816">
            <v>297800</v>
          </cell>
        </row>
        <row r="817">
          <cell r="G817">
            <v>2407300302</v>
          </cell>
          <cell r="H817" t="str">
            <v>117동</v>
          </cell>
          <cell r="I817">
            <v>240730</v>
          </cell>
          <cell r="J817" t="str">
            <v>117동 및 주변주차장 지하2층</v>
          </cell>
          <cell r="K817">
            <v>534</v>
          </cell>
          <cell r="L817">
            <v>534</v>
          </cell>
          <cell r="M817">
            <v>3015</v>
          </cell>
          <cell r="N817" t="str">
            <v>대공</v>
          </cell>
          <cell r="O817" t="str">
            <v>펌프카(1대)</v>
          </cell>
          <cell r="P817">
            <v>905</v>
          </cell>
          <cell r="Q817">
            <v>1602</v>
          </cell>
          <cell r="R817">
            <v>150</v>
          </cell>
          <cell r="S817">
            <v>50</v>
          </cell>
          <cell r="T817">
            <v>33</v>
          </cell>
          <cell r="U817">
            <v>202</v>
          </cell>
          <cell r="V817"/>
          <cell r="W817" t="str">
            <v>김광록</v>
          </cell>
          <cell r="X817" t="str">
            <v>(인)</v>
          </cell>
          <cell r="Y817" t="str">
            <v>김광록</v>
          </cell>
          <cell r="Z817" t="str">
            <v>(인)</v>
          </cell>
          <cell r="AA817" t="str">
            <v>임영구</v>
          </cell>
          <cell r="AB817" t="str">
            <v>(인)</v>
          </cell>
          <cell r="AC817" t="str">
            <v>박상갑</v>
          </cell>
          <cell r="AD817" t="str">
            <v>(인)</v>
          </cell>
          <cell r="AE817">
            <v>183.5</v>
          </cell>
          <cell r="AF817" t="str">
            <v>표준</v>
          </cell>
          <cell r="AG817">
            <v>2</v>
          </cell>
          <cell r="AH817">
            <v>0</v>
          </cell>
        </row>
        <row r="818">
          <cell r="G818">
            <v>2407300303</v>
          </cell>
          <cell r="H818" t="str">
            <v>117동</v>
          </cell>
          <cell r="I818">
            <v>240730</v>
          </cell>
          <cell r="J818" t="str">
            <v>117동 및 주변주차장 지하2층</v>
          </cell>
          <cell r="K818">
            <v>534</v>
          </cell>
          <cell r="L818">
            <v>534</v>
          </cell>
          <cell r="M818">
            <v>3015</v>
          </cell>
          <cell r="N818" t="str">
            <v>대공</v>
          </cell>
          <cell r="O818" t="str">
            <v>펌프카(1대)</v>
          </cell>
          <cell r="P818">
            <v>905</v>
          </cell>
          <cell r="Q818">
            <v>1602</v>
          </cell>
          <cell r="R818">
            <v>170</v>
          </cell>
          <cell r="S818">
            <v>43</v>
          </cell>
          <cell r="T818">
            <v>102</v>
          </cell>
          <cell r="U818">
            <v>246</v>
          </cell>
          <cell r="V818"/>
          <cell r="W818" t="str">
            <v>김광록</v>
          </cell>
          <cell r="X818" t="str">
            <v>(인)</v>
          </cell>
          <cell r="Y818" t="str">
            <v>김광록</v>
          </cell>
          <cell r="Z818" t="str">
            <v>(인)</v>
          </cell>
          <cell r="AA818" t="str">
            <v>임영구</v>
          </cell>
          <cell r="AB818" t="str">
            <v>(인)</v>
          </cell>
          <cell r="AC818" t="str">
            <v>박상갑</v>
          </cell>
          <cell r="AD818" t="str">
            <v>(인)</v>
          </cell>
          <cell r="AE818">
            <v>184.2</v>
          </cell>
          <cell r="AF818" t="str">
            <v>표준</v>
          </cell>
          <cell r="AG818">
            <v>3</v>
          </cell>
          <cell r="AH818">
            <v>0</v>
          </cell>
        </row>
        <row r="819">
          <cell r="G819">
            <v>2407300304</v>
          </cell>
          <cell r="H819" t="str">
            <v>117동</v>
          </cell>
          <cell r="I819">
            <v>240730</v>
          </cell>
          <cell r="J819" t="str">
            <v>117동 및 주변주차장 지하2층</v>
          </cell>
          <cell r="K819">
            <v>534</v>
          </cell>
          <cell r="L819">
            <v>534</v>
          </cell>
          <cell r="M819">
            <v>3015</v>
          </cell>
          <cell r="N819" t="str">
            <v>대공</v>
          </cell>
          <cell r="O819" t="str">
            <v>펌프카(1대)</v>
          </cell>
          <cell r="P819">
            <v>905</v>
          </cell>
          <cell r="Q819">
            <v>1602</v>
          </cell>
          <cell r="R819">
            <v>160</v>
          </cell>
          <cell r="S819">
            <v>50</v>
          </cell>
          <cell r="T819">
            <v>36</v>
          </cell>
          <cell r="U819">
            <v>253</v>
          </cell>
          <cell r="V819"/>
          <cell r="W819" t="str">
            <v>김광록</v>
          </cell>
          <cell r="X819" t="str">
            <v>(인)</v>
          </cell>
          <cell r="Y819" t="str">
            <v>김광록</v>
          </cell>
          <cell r="Z819" t="str">
            <v>(인)</v>
          </cell>
          <cell r="AA819" t="str">
            <v>임영구</v>
          </cell>
          <cell r="AB819" t="str">
            <v>(인)</v>
          </cell>
          <cell r="AC819" t="str">
            <v>박상갑</v>
          </cell>
          <cell r="AD819" t="str">
            <v>(인)</v>
          </cell>
          <cell r="AE819">
            <v>179.3</v>
          </cell>
          <cell r="AF819" t="str">
            <v>표준</v>
          </cell>
          <cell r="AG819">
            <v>4</v>
          </cell>
          <cell r="AH819">
            <v>1</v>
          </cell>
          <cell r="AL819">
            <v>3942</v>
          </cell>
          <cell r="AM819">
            <v>3836</v>
          </cell>
          <cell r="AN819">
            <v>3821</v>
          </cell>
          <cell r="AO819">
            <v>3766</v>
          </cell>
          <cell r="AP819">
            <v>3836</v>
          </cell>
          <cell r="AQ819">
            <v>3824</v>
          </cell>
          <cell r="AR819">
            <v>3967</v>
          </cell>
          <cell r="AS819">
            <v>3789</v>
          </cell>
          <cell r="AT819">
            <v>295600</v>
          </cell>
        </row>
        <row r="820">
          <cell r="G820">
            <v>2407300305</v>
          </cell>
          <cell r="H820" t="str">
            <v>117동</v>
          </cell>
          <cell r="I820">
            <v>240730</v>
          </cell>
          <cell r="J820" t="str">
            <v>117동 및 주변주차장 지하2층</v>
          </cell>
          <cell r="K820">
            <v>534</v>
          </cell>
          <cell r="L820">
            <v>534</v>
          </cell>
          <cell r="M820">
            <v>3015</v>
          </cell>
          <cell r="N820" t="str">
            <v>대공</v>
          </cell>
          <cell r="O820" t="str">
            <v>펌프카(1대)</v>
          </cell>
          <cell r="P820">
            <v>905</v>
          </cell>
          <cell r="Q820">
            <v>1602</v>
          </cell>
          <cell r="R820">
            <v>165</v>
          </cell>
          <cell r="S820">
            <v>52</v>
          </cell>
          <cell r="T820">
            <v>65</v>
          </cell>
          <cell r="U820">
            <v>258</v>
          </cell>
          <cell r="V820"/>
          <cell r="W820" t="str">
            <v>김광록</v>
          </cell>
          <cell r="X820" t="str">
            <v>(인)</v>
          </cell>
          <cell r="Y820" t="str">
            <v>김광록</v>
          </cell>
          <cell r="Z820" t="str">
            <v>(인)</v>
          </cell>
          <cell r="AA820" t="str">
            <v>임영구</v>
          </cell>
          <cell r="AB820" t="str">
            <v>(인)</v>
          </cell>
          <cell r="AC820" t="str">
            <v>박상갑</v>
          </cell>
          <cell r="AD820" t="str">
            <v>(인)</v>
          </cell>
          <cell r="AE820">
            <v>179.5</v>
          </cell>
          <cell r="AF820" t="str">
            <v>표준</v>
          </cell>
          <cell r="AG820">
            <v>5</v>
          </cell>
          <cell r="AH820">
            <v>0</v>
          </cell>
        </row>
        <row r="821">
          <cell r="G821">
            <v>2407300401</v>
          </cell>
          <cell r="H821" t="str">
            <v>117동</v>
          </cell>
          <cell r="I821">
            <v>240730</v>
          </cell>
          <cell r="J821" t="str">
            <v>117동 및 주변주차장 지하2층</v>
          </cell>
          <cell r="K821">
            <v>36</v>
          </cell>
          <cell r="L821">
            <v>36</v>
          </cell>
          <cell r="M821">
            <v>2715</v>
          </cell>
          <cell r="N821" t="str">
            <v>대공</v>
          </cell>
          <cell r="O821" t="str">
            <v>펌프카(1대)</v>
          </cell>
          <cell r="P821">
            <v>1702</v>
          </cell>
          <cell r="Q821">
            <v>1736</v>
          </cell>
          <cell r="R821">
            <v>150</v>
          </cell>
          <cell r="S821">
            <v>45</v>
          </cell>
          <cell r="T821">
            <v>39</v>
          </cell>
          <cell r="U821">
            <v>257</v>
          </cell>
          <cell r="V821"/>
          <cell r="W821" t="str">
            <v>김광록</v>
          </cell>
          <cell r="X821" t="str">
            <v>(인)</v>
          </cell>
          <cell r="Y821" t="str">
            <v>김광록</v>
          </cell>
          <cell r="Z821" t="str">
            <v>(인)</v>
          </cell>
          <cell r="AA821" t="str">
            <v>임영구</v>
          </cell>
          <cell r="AB821" t="str">
            <v>(인)</v>
          </cell>
          <cell r="AC821" t="str">
            <v>박상갑</v>
          </cell>
          <cell r="AD821" t="str">
            <v>(인)</v>
          </cell>
          <cell r="AE821">
            <v>179.5</v>
          </cell>
          <cell r="AF821" t="str">
            <v>표준</v>
          </cell>
          <cell r="AG821">
            <v>1</v>
          </cell>
          <cell r="AH821">
            <v>1</v>
          </cell>
          <cell r="AI821">
            <v>2502</v>
          </cell>
          <cell r="AJ821">
            <v>2494</v>
          </cell>
          <cell r="AK821">
            <v>196600</v>
          </cell>
          <cell r="AL821">
            <v>3360</v>
          </cell>
          <cell r="AM821">
            <v>3471</v>
          </cell>
          <cell r="AN821">
            <v>3288</v>
          </cell>
          <cell r="AO821">
            <v>3328</v>
          </cell>
          <cell r="AP821">
            <v>3316</v>
          </cell>
          <cell r="AQ821">
            <v>3435</v>
          </cell>
          <cell r="AR821">
            <v>3458</v>
          </cell>
          <cell r="AS821">
            <v>3382</v>
          </cell>
          <cell r="AT821">
            <v>263000</v>
          </cell>
        </row>
        <row r="822">
          <cell r="G822">
            <v>2407310101</v>
          </cell>
          <cell r="H822" t="str">
            <v>104동</v>
          </cell>
          <cell r="I822">
            <v>240731</v>
          </cell>
          <cell r="J822" t="str">
            <v>104동 12층 바닥</v>
          </cell>
          <cell r="K822">
            <v>280</v>
          </cell>
          <cell r="L822">
            <v>279</v>
          </cell>
          <cell r="M822">
            <v>3018</v>
          </cell>
          <cell r="N822" t="str">
            <v>쌍용</v>
          </cell>
          <cell r="O822" t="str">
            <v>펌프카(1대)</v>
          </cell>
          <cell r="P822">
            <v>820</v>
          </cell>
          <cell r="Q822">
            <v>1241</v>
          </cell>
          <cell r="R822">
            <v>180</v>
          </cell>
          <cell r="S822">
            <v>41</v>
          </cell>
          <cell r="T822">
            <v>12</v>
          </cell>
          <cell r="U822">
            <v>275</v>
          </cell>
          <cell r="V822"/>
          <cell r="W822" t="str">
            <v>김광록</v>
          </cell>
          <cell r="X822" t="str">
            <v>(인)</v>
          </cell>
          <cell r="Y822" t="str">
            <v>김광록</v>
          </cell>
          <cell r="Z822" t="str">
            <v>(인)</v>
          </cell>
          <cell r="AA822" t="str">
            <v>장덕만</v>
          </cell>
          <cell r="AB822" t="str">
            <v>(인)</v>
          </cell>
          <cell r="AC822" t="str">
            <v>박상갑</v>
          </cell>
          <cell r="AD822" t="str">
            <v>(인)</v>
          </cell>
          <cell r="AE822">
            <v>179.5</v>
          </cell>
          <cell r="AF822" t="str">
            <v>표준</v>
          </cell>
          <cell r="AG822">
            <v>1</v>
          </cell>
          <cell r="AH822">
            <v>1</v>
          </cell>
          <cell r="AI822">
            <v>2794</v>
          </cell>
          <cell r="AJ822">
            <v>2806</v>
          </cell>
          <cell r="AK822">
            <v>224000</v>
          </cell>
          <cell r="AL822">
            <v>3716</v>
          </cell>
          <cell r="AM822">
            <v>3824</v>
          </cell>
          <cell r="AN822">
            <v>3860</v>
          </cell>
          <cell r="AO822">
            <v>3707</v>
          </cell>
          <cell r="AP822">
            <v>3742</v>
          </cell>
          <cell r="AQ822">
            <v>3812</v>
          </cell>
          <cell r="AR822">
            <v>3760</v>
          </cell>
          <cell r="AS822">
            <v>3794</v>
          </cell>
          <cell r="AT822">
            <v>294600</v>
          </cell>
        </row>
        <row r="823">
          <cell r="G823">
            <v>2407310102</v>
          </cell>
          <cell r="H823" t="str">
            <v>104동</v>
          </cell>
          <cell r="I823">
            <v>240731</v>
          </cell>
          <cell r="J823" t="str">
            <v>104동 12층 바닥</v>
          </cell>
          <cell r="K823">
            <v>280</v>
          </cell>
          <cell r="L823">
            <v>279</v>
          </cell>
          <cell r="M823">
            <v>3015</v>
          </cell>
          <cell r="N823" t="str">
            <v>쌍용</v>
          </cell>
          <cell r="O823" t="str">
            <v>펌프카(1대)</v>
          </cell>
          <cell r="P823">
            <v>820</v>
          </cell>
          <cell r="Q823">
            <v>1241</v>
          </cell>
          <cell r="R823">
            <v>185</v>
          </cell>
          <cell r="S823">
            <v>43</v>
          </cell>
          <cell r="T823">
            <v>31</v>
          </cell>
          <cell r="U823">
            <v>272</v>
          </cell>
          <cell r="V823"/>
          <cell r="W823" t="str">
            <v>김광록</v>
          </cell>
          <cell r="X823" t="str">
            <v>(인)</v>
          </cell>
          <cell r="Y823" t="str">
            <v>김광록</v>
          </cell>
          <cell r="Z823" t="str">
            <v>(인)</v>
          </cell>
          <cell r="AA823" t="str">
            <v>장덕만</v>
          </cell>
          <cell r="AB823" t="str">
            <v>(인)</v>
          </cell>
          <cell r="AC823" t="str">
            <v>박상갑</v>
          </cell>
          <cell r="AD823" t="str">
            <v>(인)</v>
          </cell>
          <cell r="AE823">
            <v>179.3</v>
          </cell>
          <cell r="AF823" t="str">
            <v>표준</v>
          </cell>
          <cell r="AG823">
            <v>2</v>
          </cell>
          <cell r="AH823">
            <v>0</v>
          </cell>
        </row>
        <row r="824">
          <cell r="G824">
            <v>2407310103</v>
          </cell>
          <cell r="H824" t="str">
            <v>104동</v>
          </cell>
          <cell r="I824">
            <v>240731</v>
          </cell>
          <cell r="J824" t="str">
            <v>104동 12층 바닥</v>
          </cell>
          <cell r="K824">
            <v>280</v>
          </cell>
          <cell r="L824">
            <v>279</v>
          </cell>
          <cell r="M824">
            <v>3015</v>
          </cell>
          <cell r="N824" t="str">
            <v>쌍용</v>
          </cell>
          <cell r="O824" t="str">
            <v>펌프카(1대)</v>
          </cell>
          <cell r="P824">
            <v>820</v>
          </cell>
          <cell r="Q824">
            <v>1241</v>
          </cell>
          <cell r="R824">
            <v>185</v>
          </cell>
          <cell r="S824">
            <v>44</v>
          </cell>
          <cell r="T824">
            <v>52</v>
          </cell>
          <cell r="U824">
            <v>253</v>
          </cell>
          <cell r="V824"/>
          <cell r="W824" t="str">
            <v>김광록</v>
          </cell>
          <cell r="X824" t="str">
            <v>(인)</v>
          </cell>
          <cell r="Y824" t="str">
            <v>김광록</v>
          </cell>
          <cell r="Z824" t="str">
            <v>(인)</v>
          </cell>
          <cell r="AA824" t="str">
            <v>장덕만</v>
          </cell>
          <cell r="AB824" t="str">
            <v>(인)</v>
          </cell>
          <cell r="AC824" t="str">
            <v>박상갑</v>
          </cell>
          <cell r="AD824" t="str">
            <v>(인)</v>
          </cell>
          <cell r="AE824">
            <v>184</v>
          </cell>
          <cell r="AF824" t="str">
            <v>표준</v>
          </cell>
          <cell r="AG824">
            <v>3</v>
          </cell>
          <cell r="AH824">
            <v>0</v>
          </cell>
        </row>
        <row r="825">
          <cell r="G825">
            <v>2407310201</v>
          </cell>
          <cell r="H825" t="str">
            <v>102동</v>
          </cell>
          <cell r="I825">
            <v>240731</v>
          </cell>
          <cell r="J825" t="str">
            <v>102~111동 사이 주차장 지붕, 102동 램프 잔여구간</v>
          </cell>
          <cell r="K825">
            <v>96</v>
          </cell>
          <cell r="L825">
            <v>96</v>
          </cell>
          <cell r="M825">
            <v>2715</v>
          </cell>
          <cell r="N825" t="str">
            <v>대공</v>
          </cell>
          <cell r="O825" t="str">
            <v>펌프카(1대)</v>
          </cell>
          <cell r="P825">
            <v>1332</v>
          </cell>
          <cell r="Q825">
            <v>1545</v>
          </cell>
          <cell r="R825">
            <v>150</v>
          </cell>
          <cell r="S825">
            <v>44</v>
          </cell>
          <cell r="T825">
            <v>17</v>
          </cell>
          <cell r="U825">
            <v>264</v>
          </cell>
          <cell r="V825"/>
          <cell r="W825" t="str">
            <v>김광록</v>
          </cell>
          <cell r="X825" t="str">
            <v>(인)</v>
          </cell>
          <cell r="Y825" t="str">
            <v>김광록</v>
          </cell>
          <cell r="Z825" t="str">
            <v>(인)</v>
          </cell>
          <cell r="AA825" t="str">
            <v>이홍걸</v>
          </cell>
          <cell r="AB825" t="str">
            <v>(인)</v>
          </cell>
          <cell r="AC825" t="str">
            <v>박상갑</v>
          </cell>
          <cell r="AD825" t="str">
            <v>(인)</v>
          </cell>
          <cell r="AE825">
            <v>1792</v>
          </cell>
          <cell r="AF825" t="str">
            <v>표준</v>
          </cell>
          <cell r="AG825">
            <v>1</v>
          </cell>
          <cell r="AH825">
            <v>1</v>
          </cell>
          <cell r="AI825">
            <v>2442</v>
          </cell>
          <cell r="AJ825">
            <v>2406</v>
          </cell>
          <cell r="AK825">
            <v>191000</v>
          </cell>
          <cell r="AL825">
            <v>3430</v>
          </cell>
          <cell r="AM825">
            <v>3396</v>
          </cell>
          <cell r="AN825">
            <v>3417</v>
          </cell>
          <cell r="AO825">
            <v>3406</v>
          </cell>
          <cell r="AP825">
            <v>3429</v>
          </cell>
          <cell r="AQ825">
            <v>3317</v>
          </cell>
          <cell r="AR825">
            <v>3316</v>
          </cell>
          <cell r="AS825">
            <v>3402</v>
          </cell>
          <cell r="AT825">
            <v>269000</v>
          </cell>
        </row>
        <row r="826">
          <cell r="G826">
            <v>2408010101</v>
          </cell>
          <cell r="H826" t="str">
            <v>105동</v>
          </cell>
          <cell r="I826">
            <v>240801</v>
          </cell>
          <cell r="J826" t="str">
            <v>105동 11층 바닥</v>
          </cell>
          <cell r="K826">
            <v>282</v>
          </cell>
          <cell r="L826">
            <v>282</v>
          </cell>
          <cell r="M826">
            <v>3018</v>
          </cell>
          <cell r="N826" t="str">
            <v>영진</v>
          </cell>
          <cell r="O826" t="str">
            <v>펌프카(1대)</v>
          </cell>
          <cell r="P826">
            <v>805</v>
          </cell>
          <cell r="Q826">
            <v>1229</v>
          </cell>
          <cell r="R826">
            <v>190</v>
          </cell>
          <cell r="S826">
            <v>40</v>
          </cell>
          <cell r="T826">
            <v>30</v>
          </cell>
          <cell r="U826">
            <v>251</v>
          </cell>
          <cell r="V826"/>
          <cell r="W826" t="str">
            <v>김광록</v>
          </cell>
          <cell r="X826" t="str">
            <v>(인)</v>
          </cell>
          <cell r="Y826" t="str">
            <v>김광록</v>
          </cell>
          <cell r="Z826" t="str">
            <v>(인)</v>
          </cell>
          <cell r="AA826" t="str">
            <v>장덕만</v>
          </cell>
          <cell r="AB826" t="str">
            <v>(인)</v>
          </cell>
          <cell r="AC826" t="str">
            <v>박상갑</v>
          </cell>
          <cell r="AD826" t="str">
            <v>(인)</v>
          </cell>
          <cell r="AE826">
            <v>184.2</v>
          </cell>
          <cell r="AF826" t="str">
            <v>표준</v>
          </cell>
          <cell r="AG826">
            <v>1</v>
          </cell>
          <cell r="AH826">
            <v>1</v>
          </cell>
          <cell r="AI826">
            <v>2904</v>
          </cell>
          <cell r="AJ826">
            <v>2816</v>
          </cell>
          <cell r="AK826">
            <v>222600</v>
          </cell>
          <cell r="AL826">
            <v>3878</v>
          </cell>
          <cell r="AM826">
            <v>3777</v>
          </cell>
          <cell r="AN826">
            <v>3766</v>
          </cell>
          <cell r="AO826">
            <v>3783</v>
          </cell>
          <cell r="AP826">
            <v>3831</v>
          </cell>
          <cell r="AQ826">
            <v>3822</v>
          </cell>
          <cell r="AR826">
            <v>3925</v>
          </cell>
          <cell r="AS826">
            <v>3766</v>
          </cell>
          <cell r="AT826">
            <v>304000</v>
          </cell>
        </row>
        <row r="827">
          <cell r="G827">
            <v>2408010102</v>
          </cell>
          <cell r="H827" t="str">
            <v>105동</v>
          </cell>
          <cell r="I827">
            <v>240801</v>
          </cell>
          <cell r="J827" t="str">
            <v>105동 11층 바닥</v>
          </cell>
          <cell r="K827">
            <v>282</v>
          </cell>
          <cell r="L827">
            <v>282</v>
          </cell>
          <cell r="M827">
            <v>3018</v>
          </cell>
          <cell r="N827" t="str">
            <v>영진</v>
          </cell>
          <cell r="O827" t="str">
            <v>펌프카(1대)</v>
          </cell>
          <cell r="P827">
            <v>805</v>
          </cell>
          <cell r="Q827">
            <v>1229</v>
          </cell>
          <cell r="R827">
            <v>195</v>
          </cell>
          <cell r="S827">
            <v>44</v>
          </cell>
          <cell r="T827">
            <v>35</v>
          </cell>
          <cell r="U827">
            <v>264</v>
          </cell>
          <cell r="V827"/>
          <cell r="W827" t="str">
            <v>김광록</v>
          </cell>
          <cell r="X827" t="str">
            <v>(인)</v>
          </cell>
          <cell r="Y827" t="str">
            <v>김광록</v>
          </cell>
          <cell r="Z827" t="str">
            <v>(인)</v>
          </cell>
          <cell r="AA827" t="str">
            <v>장덕만</v>
          </cell>
          <cell r="AB827" t="str">
            <v>(인)</v>
          </cell>
          <cell r="AC827" t="str">
            <v>박상갑</v>
          </cell>
          <cell r="AD827" t="str">
            <v>(인)</v>
          </cell>
          <cell r="AE827">
            <v>180.5</v>
          </cell>
          <cell r="AF827" t="str">
            <v>표준</v>
          </cell>
          <cell r="AG827">
            <v>2</v>
          </cell>
          <cell r="AH827">
            <v>0</v>
          </cell>
        </row>
        <row r="828">
          <cell r="G828">
            <v>2408010103</v>
          </cell>
          <cell r="H828" t="str">
            <v>105동</v>
          </cell>
          <cell r="I828">
            <v>240801</v>
          </cell>
          <cell r="J828" t="str">
            <v>105동 11층 바닥</v>
          </cell>
          <cell r="K828">
            <v>282</v>
          </cell>
          <cell r="L828">
            <v>282</v>
          </cell>
          <cell r="M828">
            <v>3018</v>
          </cell>
          <cell r="N828" t="str">
            <v>영진</v>
          </cell>
          <cell r="O828" t="str">
            <v>펌프카(1대)</v>
          </cell>
          <cell r="P828">
            <v>805</v>
          </cell>
          <cell r="Q828">
            <v>1229</v>
          </cell>
          <cell r="R828">
            <v>200</v>
          </cell>
          <cell r="S828">
            <v>46</v>
          </cell>
          <cell r="T828">
            <v>37</v>
          </cell>
          <cell r="U828">
            <v>250</v>
          </cell>
          <cell r="V828"/>
          <cell r="W828" t="str">
            <v>김광록</v>
          </cell>
          <cell r="X828" t="str">
            <v>(인)</v>
          </cell>
          <cell r="Y828" t="str">
            <v>김광록</v>
          </cell>
          <cell r="Z828" t="str">
            <v>(인)</v>
          </cell>
          <cell r="AA828" t="str">
            <v>장덕만</v>
          </cell>
          <cell r="AB828" t="str">
            <v>(인)</v>
          </cell>
          <cell r="AC828" t="str">
            <v>박상갑</v>
          </cell>
          <cell r="AD828" t="str">
            <v>(인)</v>
          </cell>
          <cell r="AE828">
            <v>185.9</v>
          </cell>
          <cell r="AF828" t="str">
            <v>표준</v>
          </cell>
          <cell r="AG828">
            <v>3</v>
          </cell>
          <cell r="AH828">
            <v>0</v>
          </cell>
        </row>
        <row r="829">
          <cell r="G829">
            <v>2408010201</v>
          </cell>
          <cell r="H829" t="str">
            <v>102동</v>
          </cell>
          <cell r="I829">
            <v>240801</v>
          </cell>
          <cell r="J829" t="str">
            <v>101~102동 사이 누름</v>
          </cell>
          <cell r="K829">
            <v>96</v>
          </cell>
          <cell r="L829">
            <v>96</v>
          </cell>
          <cell r="M829">
            <v>1815</v>
          </cell>
          <cell r="N829" t="str">
            <v>대공</v>
          </cell>
          <cell r="O829" t="str">
            <v>펌프카(1대)</v>
          </cell>
          <cell r="P829">
            <v>1336</v>
          </cell>
          <cell r="Q829">
            <v>1603</v>
          </cell>
          <cell r="R829">
            <v>160</v>
          </cell>
          <cell r="S829">
            <v>44</v>
          </cell>
          <cell r="T829">
            <v>11</v>
          </cell>
          <cell r="U829">
            <v>270</v>
          </cell>
          <cell r="V829"/>
          <cell r="W829" t="str">
            <v>김광록</v>
          </cell>
          <cell r="X829" t="str">
            <v>(인)</v>
          </cell>
          <cell r="Y829" t="str">
            <v>김광록</v>
          </cell>
          <cell r="Z829" t="str">
            <v>(인)</v>
          </cell>
          <cell r="AA829" t="str">
            <v>이홍걸</v>
          </cell>
          <cell r="AB829" t="str">
            <v>(인)</v>
          </cell>
          <cell r="AC829" t="str">
            <v>박상갑</v>
          </cell>
          <cell r="AD829" t="str">
            <v>(인)</v>
          </cell>
          <cell r="AE829">
            <v>178.6</v>
          </cell>
          <cell r="AF829" t="str">
            <v>표준</v>
          </cell>
          <cell r="AG829">
            <v>1</v>
          </cell>
          <cell r="AH829">
            <v>1</v>
          </cell>
          <cell r="AI829">
            <v>1894</v>
          </cell>
          <cell r="AJ829">
            <v>1902</v>
          </cell>
          <cell r="AK829">
            <v>146800</v>
          </cell>
          <cell r="AL829">
            <v>2381</v>
          </cell>
          <cell r="AM829">
            <v>2422</v>
          </cell>
          <cell r="AN829">
            <v>2417</v>
          </cell>
          <cell r="AO829">
            <v>2466</v>
          </cell>
          <cell r="AP829">
            <v>2319</v>
          </cell>
          <cell r="AQ829">
            <v>2432</v>
          </cell>
          <cell r="AR829">
            <v>2477</v>
          </cell>
          <cell r="AS829">
            <v>2424</v>
          </cell>
          <cell r="AT829">
            <v>186800</v>
          </cell>
        </row>
        <row r="830">
          <cell r="G830">
            <v>2408020101</v>
          </cell>
          <cell r="H830" t="str">
            <v>120동</v>
          </cell>
          <cell r="I830">
            <v>240802</v>
          </cell>
          <cell r="J830" t="str">
            <v>120동 합벽 1차</v>
          </cell>
          <cell r="K830">
            <v>168</v>
          </cell>
          <cell r="L830">
            <v>168</v>
          </cell>
          <cell r="M830">
            <v>3015</v>
          </cell>
          <cell r="N830" t="str">
            <v>용호</v>
          </cell>
          <cell r="O830" t="str">
            <v>펌프카(1대)</v>
          </cell>
          <cell r="P830">
            <v>815</v>
          </cell>
          <cell r="Q830">
            <v>1204</v>
          </cell>
          <cell r="R830">
            <v>160</v>
          </cell>
          <cell r="S830">
            <v>42</v>
          </cell>
          <cell r="T830">
            <v>33</v>
          </cell>
          <cell r="U830">
            <v>230</v>
          </cell>
          <cell r="V830"/>
          <cell r="W830" t="str">
            <v>김광록</v>
          </cell>
          <cell r="X830" t="str">
            <v>(인)</v>
          </cell>
          <cell r="Y830" t="str">
            <v>김광록</v>
          </cell>
          <cell r="Z830" t="str">
            <v>(인)</v>
          </cell>
          <cell r="AA830" t="str">
            <v>이홍걸</v>
          </cell>
          <cell r="AB830" t="str">
            <v>(인)</v>
          </cell>
          <cell r="AC830" t="str">
            <v>박기원</v>
          </cell>
          <cell r="AD830" t="str">
            <v>(인)</v>
          </cell>
          <cell r="AE830">
            <v>179.8</v>
          </cell>
          <cell r="AF830" t="str">
            <v>표준</v>
          </cell>
          <cell r="AG830">
            <v>1</v>
          </cell>
          <cell r="AH830">
            <v>1</v>
          </cell>
          <cell r="AI830">
            <v>2737</v>
          </cell>
          <cell r="AJ830">
            <v>2770</v>
          </cell>
          <cell r="AK830">
            <v>218800</v>
          </cell>
          <cell r="AL830">
            <v>3799</v>
          </cell>
          <cell r="AM830">
            <v>3822</v>
          </cell>
          <cell r="AN830">
            <v>3914</v>
          </cell>
          <cell r="AO830">
            <v>3834</v>
          </cell>
          <cell r="AP830">
            <v>3931</v>
          </cell>
          <cell r="AQ830">
            <v>3724</v>
          </cell>
          <cell r="AR830">
            <v>3860</v>
          </cell>
          <cell r="AS830">
            <v>3857</v>
          </cell>
          <cell r="AT830">
            <v>296200</v>
          </cell>
        </row>
        <row r="831">
          <cell r="G831">
            <v>2408020102</v>
          </cell>
          <cell r="H831" t="str">
            <v>120동</v>
          </cell>
          <cell r="I831">
            <v>240802</v>
          </cell>
          <cell r="J831" t="str">
            <v>120동 합벽 1차</v>
          </cell>
          <cell r="K831">
            <v>168</v>
          </cell>
          <cell r="L831">
            <v>168</v>
          </cell>
          <cell r="M831">
            <v>3015</v>
          </cell>
          <cell r="N831" t="str">
            <v>용호</v>
          </cell>
          <cell r="O831" t="str">
            <v>펌프카(1대)</v>
          </cell>
          <cell r="P831">
            <v>815</v>
          </cell>
          <cell r="Q831">
            <v>1204</v>
          </cell>
          <cell r="R831">
            <v>165</v>
          </cell>
          <cell r="S831">
            <v>38</v>
          </cell>
          <cell r="T831">
            <v>25</v>
          </cell>
          <cell r="U831">
            <v>261</v>
          </cell>
          <cell r="V831"/>
          <cell r="W831" t="str">
            <v>김광록</v>
          </cell>
          <cell r="X831" t="str">
            <v>(인)</v>
          </cell>
          <cell r="Y831" t="str">
            <v>김광록</v>
          </cell>
          <cell r="Z831" t="str">
            <v>(인)</v>
          </cell>
          <cell r="AA831" t="str">
            <v>이홍걸</v>
          </cell>
          <cell r="AB831" t="str">
            <v>(인)</v>
          </cell>
          <cell r="AC831" t="str">
            <v>박기원</v>
          </cell>
          <cell r="AD831" t="str">
            <v>(인)</v>
          </cell>
          <cell r="AE831">
            <v>180.5</v>
          </cell>
          <cell r="AF831" t="str">
            <v>표준</v>
          </cell>
          <cell r="AG831">
            <v>2</v>
          </cell>
          <cell r="AH831">
            <v>0</v>
          </cell>
        </row>
        <row r="832">
          <cell r="G832">
            <v>2408080101</v>
          </cell>
          <cell r="H832" t="str">
            <v>107동</v>
          </cell>
          <cell r="I832">
            <v>240808</v>
          </cell>
          <cell r="J832" t="str">
            <v>107동 5층 바닥</v>
          </cell>
          <cell r="K832">
            <v>290</v>
          </cell>
          <cell r="L832">
            <v>287</v>
          </cell>
          <cell r="M832">
            <v>3018</v>
          </cell>
          <cell r="N832" t="str">
            <v>영진</v>
          </cell>
          <cell r="O832" t="str">
            <v>펌프카(1대)</v>
          </cell>
          <cell r="P832">
            <v>825</v>
          </cell>
          <cell r="Q832">
            <v>1240</v>
          </cell>
          <cell r="R832">
            <v>180</v>
          </cell>
          <cell r="S832">
            <v>39</v>
          </cell>
          <cell r="T832">
            <v>70</v>
          </cell>
          <cell r="U832">
            <v>289</v>
          </cell>
          <cell r="V832"/>
          <cell r="W832" t="str">
            <v>박순홍</v>
          </cell>
          <cell r="X832" t="str">
            <v>(인)</v>
          </cell>
          <cell r="Y832" t="str">
            <v>김광록</v>
          </cell>
          <cell r="Z832" t="str">
            <v>(인)</v>
          </cell>
          <cell r="AA832" t="str">
            <v>정창인</v>
          </cell>
          <cell r="AB832" t="str">
            <v>(인)</v>
          </cell>
          <cell r="AC832" t="str">
            <v>박기원</v>
          </cell>
          <cell r="AD832" t="str">
            <v>(인)</v>
          </cell>
          <cell r="AE832">
            <v>171.9</v>
          </cell>
          <cell r="AF832" t="str">
            <v>표준</v>
          </cell>
          <cell r="AG832">
            <v>1</v>
          </cell>
          <cell r="AH832">
            <v>1</v>
          </cell>
          <cell r="AI832">
            <v>2790</v>
          </cell>
          <cell r="AJ832">
            <v>2767</v>
          </cell>
          <cell r="AK832">
            <v>218000</v>
          </cell>
          <cell r="AL832">
            <v>3725</v>
          </cell>
          <cell r="AM832">
            <v>3774</v>
          </cell>
          <cell r="AN832">
            <v>3810</v>
          </cell>
          <cell r="AO832">
            <v>3688</v>
          </cell>
          <cell r="AP832">
            <v>3624</v>
          </cell>
          <cell r="AQ832">
            <v>3832</v>
          </cell>
          <cell r="AR832">
            <v>3860</v>
          </cell>
          <cell r="AS832">
            <v>3850</v>
          </cell>
          <cell r="AT832">
            <v>294200</v>
          </cell>
        </row>
        <row r="833">
          <cell r="G833">
            <v>2408080102</v>
          </cell>
          <cell r="H833" t="str">
            <v>107동</v>
          </cell>
          <cell r="I833">
            <v>240808</v>
          </cell>
          <cell r="J833" t="str">
            <v>107동 5층 바닥</v>
          </cell>
          <cell r="K833">
            <v>290</v>
          </cell>
          <cell r="L833">
            <v>287</v>
          </cell>
          <cell r="M833">
            <v>3018</v>
          </cell>
          <cell r="N833" t="str">
            <v>영진</v>
          </cell>
          <cell r="O833" t="str">
            <v>펌프카(1대)</v>
          </cell>
          <cell r="P833">
            <v>825</v>
          </cell>
          <cell r="Q833">
            <v>1240</v>
          </cell>
          <cell r="R833">
            <v>180</v>
          </cell>
          <cell r="S833">
            <v>43</v>
          </cell>
          <cell r="T833">
            <v>88</v>
          </cell>
          <cell r="U833">
            <v>261</v>
          </cell>
          <cell r="V833"/>
          <cell r="W833" t="str">
            <v>박순홍</v>
          </cell>
          <cell r="X833" t="str">
            <v>(인)</v>
          </cell>
          <cell r="Y833" t="str">
            <v>김광록</v>
          </cell>
          <cell r="Z833" t="str">
            <v>(인)</v>
          </cell>
          <cell r="AA833" t="str">
            <v>정창인</v>
          </cell>
          <cell r="AB833" t="str">
            <v>(인)</v>
          </cell>
          <cell r="AC833" t="str">
            <v>박기원</v>
          </cell>
          <cell r="AD833" t="str">
            <v>(인)</v>
          </cell>
          <cell r="AE833">
            <v>179.8</v>
          </cell>
          <cell r="AF833" t="str">
            <v>표준</v>
          </cell>
          <cell r="AG833">
            <v>2</v>
          </cell>
          <cell r="AH833">
            <v>0</v>
          </cell>
        </row>
        <row r="834">
          <cell r="G834">
            <v>2408080103</v>
          </cell>
          <cell r="H834" t="str">
            <v>107동</v>
          </cell>
          <cell r="I834">
            <v>240808</v>
          </cell>
          <cell r="J834" t="str">
            <v>107동 5층 바닥</v>
          </cell>
          <cell r="K834">
            <v>290</v>
          </cell>
          <cell r="L834">
            <v>287</v>
          </cell>
          <cell r="M834">
            <v>3018</v>
          </cell>
          <cell r="N834" t="str">
            <v>영진</v>
          </cell>
          <cell r="O834" t="str">
            <v>펌프카(1대)</v>
          </cell>
          <cell r="P834">
            <v>825</v>
          </cell>
          <cell r="Q834">
            <v>1240</v>
          </cell>
          <cell r="R834">
            <v>180</v>
          </cell>
          <cell r="S834">
            <v>44</v>
          </cell>
          <cell r="T834">
            <v>71</v>
          </cell>
          <cell r="U834">
            <v>276</v>
          </cell>
          <cell r="V834"/>
          <cell r="W834" t="str">
            <v>박순홍</v>
          </cell>
          <cell r="X834" t="str">
            <v>(인)</v>
          </cell>
          <cell r="Y834" t="str">
            <v>김광록</v>
          </cell>
          <cell r="Z834" t="str">
            <v>(인)</v>
          </cell>
          <cell r="AA834" t="str">
            <v>정창인</v>
          </cell>
          <cell r="AB834" t="str">
            <v>(인)</v>
          </cell>
          <cell r="AC834" t="str">
            <v>박기원</v>
          </cell>
          <cell r="AD834" t="str">
            <v>(인)</v>
          </cell>
          <cell r="AE834">
            <v>183.9</v>
          </cell>
          <cell r="AF834" t="str">
            <v>표준</v>
          </cell>
          <cell r="AG834">
            <v>3</v>
          </cell>
          <cell r="AH834">
            <v>0</v>
          </cell>
        </row>
        <row r="835">
          <cell r="G835">
            <v>2408080201</v>
          </cell>
          <cell r="H835" t="str">
            <v>113동</v>
          </cell>
          <cell r="I835">
            <v>240808</v>
          </cell>
          <cell r="J835" t="str">
            <v>113동 2층 바닥</v>
          </cell>
          <cell r="K835">
            <v>360</v>
          </cell>
          <cell r="L835">
            <v>366</v>
          </cell>
          <cell r="M835">
            <v>3018</v>
          </cell>
          <cell r="N835" t="str">
            <v>대원</v>
          </cell>
          <cell r="O835" t="str">
            <v>펌프카(1대)</v>
          </cell>
          <cell r="P835">
            <v>920</v>
          </cell>
          <cell r="Q835">
            <v>1428</v>
          </cell>
          <cell r="R835">
            <v>180</v>
          </cell>
          <cell r="S835">
            <v>38</v>
          </cell>
          <cell r="T835">
            <v>33</v>
          </cell>
          <cell r="U835">
            <v>274</v>
          </cell>
          <cell r="V835"/>
          <cell r="W835" t="str">
            <v>박순홍</v>
          </cell>
          <cell r="X835" t="str">
            <v>(인)</v>
          </cell>
          <cell r="Y835" t="str">
            <v>김광록</v>
          </cell>
          <cell r="Z835" t="str">
            <v>(인)</v>
          </cell>
          <cell r="AA835" t="str">
            <v>김만고</v>
          </cell>
          <cell r="AB835" t="str">
            <v>(인)</v>
          </cell>
          <cell r="AC835" t="str">
            <v>박기원</v>
          </cell>
          <cell r="AD835" t="str">
            <v>(인)</v>
          </cell>
          <cell r="AE835">
            <v>187</v>
          </cell>
          <cell r="AF835" t="str">
            <v>표준</v>
          </cell>
          <cell r="AG835">
            <v>1</v>
          </cell>
          <cell r="AH835">
            <v>1</v>
          </cell>
          <cell r="AI835">
            <v>2915</v>
          </cell>
          <cell r="AJ835">
            <v>2826</v>
          </cell>
          <cell r="AK835">
            <v>225800</v>
          </cell>
          <cell r="AL835">
            <v>3739</v>
          </cell>
          <cell r="AM835">
            <v>3681</v>
          </cell>
          <cell r="AN835">
            <v>3759</v>
          </cell>
          <cell r="AO835">
            <v>3624</v>
          </cell>
          <cell r="AP835">
            <v>3817</v>
          </cell>
          <cell r="AQ835">
            <v>3737</v>
          </cell>
          <cell r="AR835">
            <v>3725</v>
          </cell>
          <cell r="AS835">
            <v>3796</v>
          </cell>
          <cell r="AT835">
            <v>302800</v>
          </cell>
        </row>
        <row r="836">
          <cell r="G836">
            <v>2408080202</v>
          </cell>
          <cell r="H836" t="str">
            <v>113동</v>
          </cell>
          <cell r="I836">
            <v>240808</v>
          </cell>
          <cell r="J836" t="str">
            <v>113동 2층 바닥</v>
          </cell>
          <cell r="K836">
            <v>360</v>
          </cell>
          <cell r="L836">
            <v>366</v>
          </cell>
          <cell r="M836">
            <v>3018</v>
          </cell>
          <cell r="N836" t="str">
            <v>대원</v>
          </cell>
          <cell r="O836" t="str">
            <v>펌프카(1대)</v>
          </cell>
          <cell r="P836">
            <v>920</v>
          </cell>
          <cell r="Q836">
            <v>1428</v>
          </cell>
          <cell r="R836">
            <v>190</v>
          </cell>
          <cell r="S836">
            <v>43</v>
          </cell>
          <cell r="T836">
            <v>45</v>
          </cell>
          <cell r="U836">
            <v>280</v>
          </cell>
          <cell r="V836"/>
          <cell r="W836" t="str">
            <v>박순홍</v>
          </cell>
          <cell r="X836" t="str">
            <v>(인)</v>
          </cell>
          <cell r="Y836" t="str">
            <v>김광록</v>
          </cell>
          <cell r="Z836" t="str">
            <v>(인)</v>
          </cell>
          <cell r="AA836" t="str">
            <v>김만고</v>
          </cell>
          <cell r="AB836" t="str">
            <v>(인)</v>
          </cell>
          <cell r="AC836" t="str">
            <v>박기원</v>
          </cell>
          <cell r="AD836" t="str">
            <v>(인)</v>
          </cell>
          <cell r="AE836">
            <v>180.5</v>
          </cell>
          <cell r="AF836" t="str">
            <v>표준</v>
          </cell>
          <cell r="AG836">
            <v>2</v>
          </cell>
          <cell r="AH836">
            <v>0</v>
          </cell>
        </row>
        <row r="837">
          <cell r="G837">
            <v>2408080203</v>
          </cell>
          <cell r="H837" t="str">
            <v>113동</v>
          </cell>
          <cell r="I837">
            <v>240808</v>
          </cell>
          <cell r="J837" t="str">
            <v>113동 2층 바닥</v>
          </cell>
          <cell r="K837">
            <v>360</v>
          </cell>
          <cell r="L837">
            <v>366</v>
          </cell>
          <cell r="M837">
            <v>3018</v>
          </cell>
          <cell r="N837" t="str">
            <v>대원</v>
          </cell>
          <cell r="O837" t="str">
            <v>펌프카(1대)</v>
          </cell>
          <cell r="P837">
            <v>920</v>
          </cell>
          <cell r="Q837">
            <v>1428</v>
          </cell>
          <cell r="R837">
            <v>195</v>
          </cell>
          <cell r="S837">
            <v>51</v>
          </cell>
          <cell r="T837">
            <v>77</v>
          </cell>
          <cell r="U837">
            <v>268</v>
          </cell>
          <cell r="V837"/>
          <cell r="W837" t="str">
            <v>박순홍</v>
          </cell>
          <cell r="X837" t="str">
            <v>(인)</v>
          </cell>
          <cell r="Y837" t="str">
            <v>김광록</v>
          </cell>
          <cell r="Z837" t="str">
            <v>(인)</v>
          </cell>
          <cell r="AA837" t="str">
            <v>김만고</v>
          </cell>
          <cell r="AB837" t="str">
            <v>(인)</v>
          </cell>
          <cell r="AC837" t="str">
            <v>박기원</v>
          </cell>
          <cell r="AD837" t="str">
            <v>(인)</v>
          </cell>
          <cell r="AE837">
            <v>187</v>
          </cell>
          <cell r="AF837" t="str">
            <v>표준</v>
          </cell>
          <cell r="AG837">
            <v>3</v>
          </cell>
          <cell r="AH837">
            <v>0</v>
          </cell>
        </row>
        <row r="838">
          <cell r="G838">
            <v>2408080204</v>
          </cell>
          <cell r="H838" t="str">
            <v>113동</v>
          </cell>
          <cell r="I838">
            <v>240808</v>
          </cell>
          <cell r="J838" t="str">
            <v>113동 2층 바닥</v>
          </cell>
          <cell r="K838">
            <v>360</v>
          </cell>
          <cell r="L838">
            <v>366</v>
          </cell>
          <cell r="M838">
            <v>3018</v>
          </cell>
          <cell r="N838" t="str">
            <v>대원</v>
          </cell>
          <cell r="O838" t="str">
            <v>펌프카(1대)</v>
          </cell>
          <cell r="P838">
            <v>920</v>
          </cell>
          <cell r="Q838">
            <v>1428</v>
          </cell>
          <cell r="R838">
            <v>180</v>
          </cell>
          <cell r="S838">
            <v>46</v>
          </cell>
          <cell r="T838">
            <v>52</v>
          </cell>
          <cell r="U838">
            <v>282</v>
          </cell>
          <cell r="V838"/>
          <cell r="W838" t="str">
            <v>박순홍</v>
          </cell>
          <cell r="X838" t="str">
            <v>(인)</v>
          </cell>
          <cell r="Y838" t="str">
            <v>김광록</v>
          </cell>
          <cell r="Z838" t="str">
            <v>(인)</v>
          </cell>
          <cell r="AA838" t="str">
            <v>김만고</v>
          </cell>
          <cell r="AB838" t="str">
            <v>(인)</v>
          </cell>
          <cell r="AC838" t="str">
            <v>박기원</v>
          </cell>
          <cell r="AD838" t="str">
            <v>(인)</v>
          </cell>
          <cell r="AE838">
            <v>183.6</v>
          </cell>
          <cell r="AF838" t="str">
            <v>표준</v>
          </cell>
          <cell r="AG838">
            <v>4</v>
          </cell>
          <cell r="AH838">
            <v>1</v>
          </cell>
          <cell r="AL838">
            <v>3825</v>
          </cell>
          <cell r="AM838">
            <v>3771</v>
          </cell>
          <cell r="AN838">
            <v>3728</v>
          </cell>
          <cell r="AO838">
            <v>3831</v>
          </cell>
          <cell r="AP838">
            <v>3729</v>
          </cell>
          <cell r="AQ838">
            <v>3639</v>
          </cell>
          <cell r="AR838">
            <v>3715</v>
          </cell>
          <cell r="AS838">
            <v>3666</v>
          </cell>
          <cell r="AT838">
            <v>295000</v>
          </cell>
        </row>
        <row r="839">
          <cell r="G839">
            <v>2408090101</v>
          </cell>
          <cell r="H839" t="str">
            <v>118동</v>
          </cell>
          <cell r="I839">
            <v>240809</v>
          </cell>
          <cell r="J839" t="str">
            <v>118동 주변주차장 기초</v>
          </cell>
          <cell r="K839">
            <v>810</v>
          </cell>
          <cell r="L839">
            <v>810</v>
          </cell>
          <cell r="M839">
            <v>2415</v>
          </cell>
          <cell r="N839" t="str">
            <v>용호</v>
          </cell>
          <cell r="O839" t="str">
            <v>펌프카(1대)</v>
          </cell>
          <cell r="P839">
            <v>807</v>
          </cell>
          <cell r="Q839">
            <v>1535</v>
          </cell>
          <cell r="R839">
            <v>155</v>
          </cell>
          <cell r="S839">
            <v>44</v>
          </cell>
          <cell r="T839">
            <v>29</v>
          </cell>
          <cell r="U839">
            <v>277</v>
          </cell>
          <cell r="V839"/>
          <cell r="W839" t="str">
            <v>박순홍</v>
          </cell>
          <cell r="X839" t="str">
            <v>(인)</v>
          </cell>
          <cell r="Y839" t="str">
            <v>김광록</v>
          </cell>
          <cell r="Z839" t="str">
            <v>(인)</v>
          </cell>
          <cell r="AA839" t="str">
            <v>박정환</v>
          </cell>
          <cell r="AB839" t="str">
            <v>(인)</v>
          </cell>
          <cell r="AC839" t="str">
            <v>박기원</v>
          </cell>
          <cell r="AD839" t="str">
            <v>(인)</v>
          </cell>
          <cell r="AE839">
            <v>167.9</v>
          </cell>
          <cell r="AF839" t="str">
            <v>표준</v>
          </cell>
          <cell r="AG839">
            <v>1</v>
          </cell>
          <cell r="AH839">
            <v>1</v>
          </cell>
          <cell r="AI839">
            <v>2391</v>
          </cell>
          <cell r="AJ839">
            <v>2402</v>
          </cell>
          <cell r="AK839">
            <v>187400</v>
          </cell>
          <cell r="AL839">
            <v>2992</v>
          </cell>
          <cell r="AM839">
            <v>3014</v>
          </cell>
          <cell r="AN839">
            <v>3019</v>
          </cell>
          <cell r="AO839">
            <v>3112</v>
          </cell>
          <cell r="AP839">
            <v>2984</v>
          </cell>
          <cell r="AQ839">
            <v>2946</v>
          </cell>
          <cell r="AR839">
            <v>3067</v>
          </cell>
          <cell r="AS839">
            <v>2988</v>
          </cell>
          <cell r="AT839">
            <v>240400</v>
          </cell>
        </row>
        <row r="840">
          <cell r="G840">
            <v>2408090102</v>
          </cell>
          <cell r="H840" t="str">
            <v>118동</v>
          </cell>
          <cell r="I840">
            <v>240809</v>
          </cell>
          <cell r="J840" t="str">
            <v>118동 주변주차장 기초</v>
          </cell>
          <cell r="K840">
            <v>810</v>
          </cell>
          <cell r="L840">
            <v>810</v>
          </cell>
          <cell r="M840">
            <v>2415</v>
          </cell>
          <cell r="N840" t="str">
            <v>용호</v>
          </cell>
          <cell r="O840" t="str">
            <v>펌프카(1대)</v>
          </cell>
          <cell r="P840">
            <v>807</v>
          </cell>
          <cell r="Q840">
            <v>1535</v>
          </cell>
          <cell r="R840">
            <v>170</v>
          </cell>
          <cell r="S840">
            <v>48</v>
          </cell>
          <cell r="T840">
            <v>19</v>
          </cell>
          <cell r="U840">
            <v>257</v>
          </cell>
          <cell r="V840"/>
          <cell r="W840" t="str">
            <v>박순홍</v>
          </cell>
          <cell r="X840" t="str">
            <v>(인)</v>
          </cell>
          <cell r="Y840" t="str">
            <v>김광록</v>
          </cell>
          <cell r="Z840" t="str">
            <v>(인)</v>
          </cell>
          <cell r="AA840" t="str">
            <v>박정환</v>
          </cell>
          <cell r="AB840" t="str">
            <v>(인)</v>
          </cell>
          <cell r="AC840" t="str">
            <v>박기원</v>
          </cell>
          <cell r="AD840" t="str">
            <v>(인)</v>
          </cell>
          <cell r="AE840">
            <v>180</v>
          </cell>
          <cell r="AF840" t="str">
            <v>표준</v>
          </cell>
          <cell r="AG840">
            <v>2</v>
          </cell>
          <cell r="AH840">
            <v>0</v>
          </cell>
        </row>
        <row r="841">
          <cell r="G841">
            <v>2408090103</v>
          </cell>
          <cell r="H841" t="str">
            <v>118동</v>
          </cell>
          <cell r="I841">
            <v>240809</v>
          </cell>
          <cell r="J841" t="str">
            <v>118동 주변주차장 기초</v>
          </cell>
          <cell r="K841">
            <v>810</v>
          </cell>
          <cell r="L841">
            <v>810</v>
          </cell>
          <cell r="M841">
            <v>2415</v>
          </cell>
          <cell r="N841" t="str">
            <v>용호</v>
          </cell>
          <cell r="O841" t="str">
            <v>펌프카(1대)</v>
          </cell>
          <cell r="P841">
            <v>807</v>
          </cell>
          <cell r="Q841">
            <v>1535</v>
          </cell>
          <cell r="R841">
            <v>165</v>
          </cell>
          <cell r="S841">
            <v>50</v>
          </cell>
          <cell r="T841">
            <v>44</v>
          </cell>
          <cell r="U841">
            <v>253</v>
          </cell>
          <cell r="V841"/>
          <cell r="W841" t="str">
            <v>박순홍</v>
          </cell>
          <cell r="X841" t="str">
            <v>(인)</v>
          </cell>
          <cell r="Y841" t="str">
            <v>김광록</v>
          </cell>
          <cell r="Z841" t="str">
            <v>(인)</v>
          </cell>
          <cell r="AA841" t="str">
            <v>박정환</v>
          </cell>
          <cell r="AB841" t="str">
            <v>(인)</v>
          </cell>
          <cell r="AC841" t="str">
            <v>박기원</v>
          </cell>
          <cell r="AD841" t="str">
            <v>(인)</v>
          </cell>
          <cell r="AE841">
            <v>183.9</v>
          </cell>
          <cell r="AF841" t="str">
            <v>표준</v>
          </cell>
          <cell r="AG841">
            <v>3</v>
          </cell>
          <cell r="AH841">
            <v>0</v>
          </cell>
        </row>
        <row r="842">
          <cell r="G842">
            <v>2408090104</v>
          </cell>
          <cell r="H842" t="str">
            <v>118동</v>
          </cell>
          <cell r="I842">
            <v>240809</v>
          </cell>
          <cell r="J842" t="str">
            <v>118동 주변주차장 기초</v>
          </cell>
          <cell r="K842">
            <v>810</v>
          </cell>
          <cell r="L842">
            <v>810</v>
          </cell>
          <cell r="M842">
            <v>2415</v>
          </cell>
          <cell r="N842" t="str">
            <v>용호</v>
          </cell>
          <cell r="O842" t="str">
            <v>펌프카(1대)</v>
          </cell>
          <cell r="P842">
            <v>807</v>
          </cell>
          <cell r="Q842">
            <v>1535</v>
          </cell>
          <cell r="R842">
            <v>155</v>
          </cell>
          <cell r="S842">
            <v>42</v>
          </cell>
          <cell r="T842">
            <v>58</v>
          </cell>
          <cell r="U842">
            <v>262</v>
          </cell>
          <cell r="V842"/>
          <cell r="W842" t="str">
            <v>박순홍</v>
          </cell>
          <cell r="X842" t="str">
            <v>(인)</v>
          </cell>
          <cell r="Y842" t="str">
            <v>김광록</v>
          </cell>
          <cell r="Z842" t="str">
            <v>(인)</v>
          </cell>
          <cell r="AA842" t="str">
            <v>박정환</v>
          </cell>
          <cell r="AB842" t="str">
            <v>(인)</v>
          </cell>
          <cell r="AC842" t="str">
            <v>박기원</v>
          </cell>
          <cell r="AD842" t="str">
            <v>(인)</v>
          </cell>
          <cell r="AE842">
            <v>184.2</v>
          </cell>
          <cell r="AF842" t="str">
            <v>표준</v>
          </cell>
          <cell r="AG842">
            <v>4</v>
          </cell>
          <cell r="AH842">
            <v>1</v>
          </cell>
          <cell r="AL842">
            <v>2862</v>
          </cell>
          <cell r="AM842">
            <v>2859</v>
          </cell>
          <cell r="AN842">
            <v>3019</v>
          </cell>
          <cell r="AO842">
            <v>3177</v>
          </cell>
          <cell r="AP842">
            <v>3194</v>
          </cell>
          <cell r="AQ842">
            <v>3202</v>
          </cell>
          <cell r="AR842">
            <v>2907</v>
          </cell>
          <cell r="AS842">
            <v>3014</v>
          </cell>
          <cell r="AT842">
            <v>237600</v>
          </cell>
        </row>
        <row r="843">
          <cell r="G843">
            <v>2408090105</v>
          </cell>
          <cell r="H843" t="str">
            <v>118동</v>
          </cell>
          <cell r="I843">
            <v>240809</v>
          </cell>
          <cell r="J843" t="str">
            <v>118동 주변주차장 기초</v>
          </cell>
          <cell r="K843">
            <v>810</v>
          </cell>
          <cell r="L843">
            <v>810</v>
          </cell>
          <cell r="M843">
            <v>2415</v>
          </cell>
          <cell r="N843" t="str">
            <v>용호</v>
          </cell>
          <cell r="O843" t="str">
            <v>펌프카(1대)</v>
          </cell>
          <cell r="P843">
            <v>807</v>
          </cell>
          <cell r="Q843">
            <v>1535</v>
          </cell>
          <cell r="R843">
            <v>160</v>
          </cell>
          <cell r="S843">
            <v>44</v>
          </cell>
          <cell r="T843">
            <v>43</v>
          </cell>
          <cell r="U843">
            <v>253</v>
          </cell>
          <cell r="V843"/>
          <cell r="W843" t="str">
            <v>박순홍</v>
          </cell>
          <cell r="X843" t="str">
            <v>(인)</v>
          </cell>
          <cell r="Y843" t="str">
            <v>김광록</v>
          </cell>
          <cell r="Z843" t="str">
            <v>(인)</v>
          </cell>
          <cell r="AA843" t="str">
            <v>박정환</v>
          </cell>
          <cell r="AB843" t="str">
            <v>(인)</v>
          </cell>
          <cell r="AC843" t="str">
            <v>박기원</v>
          </cell>
          <cell r="AD843" t="str">
            <v>(인)</v>
          </cell>
          <cell r="AE843">
            <v>179.3</v>
          </cell>
          <cell r="AF843" t="str">
            <v>표준</v>
          </cell>
          <cell r="AG843">
            <v>5</v>
          </cell>
          <cell r="AH843">
            <v>0</v>
          </cell>
        </row>
        <row r="844">
          <cell r="G844">
            <v>2408090106</v>
          </cell>
          <cell r="H844" t="str">
            <v>118동</v>
          </cell>
          <cell r="I844">
            <v>240809</v>
          </cell>
          <cell r="J844" t="str">
            <v>118동 주변주차장 기초</v>
          </cell>
          <cell r="K844">
            <v>810</v>
          </cell>
          <cell r="L844">
            <v>810</v>
          </cell>
          <cell r="M844">
            <v>2415</v>
          </cell>
          <cell r="N844" t="str">
            <v>용호</v>
          </cell>
          <cell r="O844" t="str">
            <v>펌프카(1대)</v>
          </cell>
          <cell r="P844">
            <v>807</v>
          </cell>
          <cell r="Q844">
            <v>1535</v>
          </cell>
          <cell r="R844">
            <v>170</v>
          </cell>
          <cell r="S844">
            <v>50</v>
          </cell>
          <cell r="T844">
            <v>43</v>
          </cell>
          <cell r="U844">
            <v>242</v>
          </cell>
          <cell r="V844"/>
          <cell r="W844" t="str">
            <v>박순홍</v>
          </cell>
          <cell r="X844" t="str">
            <v>(인)</v>
          </cell>
          <cell r="Y844" t="str">
            <v>김광록</v>
          </cell>
          <cell r="Z844" t="str">
            <v>(인)</v>
          </cell>
          <cell r="AA844" t="str">
            <v>박정환</v>
          </cell>
          <cell r="AB844" t="str">
            <v>(인)</v>
          </cell>
          <cell r="AC844" t="str">
            <v>박기원</v>
          </cell>
          <cell r="AD844" t="str">
            <v>(인)</v>
          </cell>
          <cell r="AE844">
            <v>178.6</v>
          </cell>
          <cell r="AF844" t="str">
            <v>표준</v>
          </cell>
          <cell r="AG844">
            <v>6</v>
          </cell>
          <cell r="AH844">
            <v>0</v>
          </cell>
        </row>
        <row r="845">
          <cell r="G845">
            <v>2408090107</v>
          </cell>
          <cell r="H845" t="str">
            <v>118동</v>
          </cell>
          <cell r="I845">
            <v>240809</v>
          </cell>
          <cell r="J845" t="str">
            <v>118동 주변주차장 기초</v>
          </cell>
          <cell r="K845">
            <v>810</v>
          </cell>
          <cell r="L845">
            <v>810</v>
          </cell>
          <cell r="M845">
            <v>2415</v>
          </cell>
          <cell r="N845" t="str">
            <v>용호</v>
          </cell>
          <cell r="O845" t="str">
            <v>펌프카(1대)</v>
          </cell>
          <cell r="P845">
            <v>807</v>
          </cell>
          <cell r="Q845">
            <v>1535</v>
          </cell>
          <cell r="R845">
            <v>165</v>
          </cell>
          <cell r="S845">
            <v>41</v>
          </cell>
          <cell r="T845">
            <v>19</v>
          </cell>
          <cell r="U845">
            <v>277</v>
          </cell>
          <cell r="V845"/>
          <cell r="W845" t="str">
            <v>박순홍</v>
          </cell>
          <cell r="X845" t="str">
            <v>(인)</v>
          </cell>
          <cell r="Y845" t="str">
            <v>김광록</v>
          </cell>
          <cell r="Z845" t="str">
            <v>(인)</v>
          </cell>
          <cell r="AA845" t="str">
            <v>박정환</v>
          </cell>
          <cell r="AB845" t="str">
            <v>(인)</v>
          </cell>
          <cell r="AC845" t="str">
            <v>박기원</v>
          </cell>
          <cell r="AD845" t="str">
            <v>(인)</v>
          </cell>
          <cell r="AE845">
            <v>184.2</v>
          </cell>
          <cell r="AF845" t="str">
            <v>표준</v>
          </cell>
          <cell r="AG845">
            <v>7</v>
          </cell>
          <cell r="AH845">
            <v>1</v>
          </cell>
          <cell r="AL845">
            <v>2938</v>
          </cell>
          <cell r="AM845">
            <v>2916</v>
          </cell>
          <cell r="AN845">
            <v>2967</v>
          </cell>
          <cell r="AO845">
            <v>3062</v>
          </cell>
          <cell r="AP845">
            <v>2979</v>
          </cell>
          <cell r="AQ845">
            <v>3024</v>
          </cell>
          <cell r="AR845">
            <v>2977</v>
          </cell>
          <cell r="AS845">
            <v>2915</v>
          </cell>
          <cell r="AT845">
            <v>225600</v>
          </cell>
        </row>
        <row r="846">
          <cell r="G846">
            <v>2408090201</v>
          </cell>
          <cell r="H846" t="str">
            <v>118동</v>
          </cell>
          <cell r="I846">
            <v>240809</v>
          </cell>
          <cell r="J846" t="str">
            <v>118동 주변주차장 기초</v>
          </cell>
          <cell r="K846">
            <v>780</v>
          </cell>
          <cell r="L846">
            <v>780</v>
          </cell>
          <cell r="M846">
            <v>2415</v>
          </cell>
          <cell r="N846" t="str">
            <v>영진</v>
          </cell>
          <cell r="O846" t="str">
            <v>펌프카(1대)</v>
          </cell>
          <cell r="P846">
            <v>805</v>
          </cell>
          <cell r="Q846">
            <v>1656</v>
          </cell>
          <cell r="R846">
            <v>155</v>
          </cell>
          <cell r="S846">
            <v>40</v>
          </cell>
          <cell r="T846">
            <v>27</v>
          </cell>
          <cell r="U846">
            <v>243</v>
          </cell>
          <cell r="V846"/>
          <cell r="W846" t="str">
            <v>박순홍</v>
          </cell>
          <cell r="X846" t="str">
            <v>(인)</v>
          </cell>
          <cell r="Y846" t="str">
            <v>김광록</v>
          </cell>
          <cell r="Z846" t="str">
            <v>(인)</v>
          </cell>
          <cell r="AA846" t="str">
            <v>박정환</v>
          </cell>
          <cell r="AB846" t="str">
            <v>(인)</v>
          </cell>
          <cell r="AC846" t="str">
            <v>박기원</v>
          </cell>
          <cell r="AD846" t="str">
            <v>(인)</v>
          </cell>
          <cell r="AE846">
            <v>173.1</v>
          </cell>
          <cell r="AF846" t="str">
            <v>표준</v>
          </cell>
          <cell r="AG846">
            <v>1</v>
          </cell>
          <cell r="AH846">
            <v>1</v>
          </cell>
          <cell r="AI846">
            <v>2340</v>
          </cell>
          <cell r="AJ846">
            <v>2302</v>
          </cell>
          <cell r="AK846">
            <v>178200</v>
          </cell>
          <cell r="AL846">
            <v>3002</v>
          </cell>
          <cell r="AM846">
            <v>2956</v>
          </cell>
          <cell r="AN846">
            <v>3072</v>
          </cell>
          <cell r="AO846">
            <v>3064</v>
          </cell>
          <cell r="AP846">
            <v>2972</v>
          </cell>
          <cell r="AQ846">
            <v>3062</v>
          </cell>
          <cell r="AR846">
            <v>3064</v>
          </cell>
          <cell r="AS846">
            <v>3146</v>
          </cell>
          <cell r="AT846">
            <v>227200</v>
          </cell>
        </row>
        <row r="847">
          <cell r="G847">
            <v>2408090202</v>
          </cell>
          <cell r="H847" t="str">
            <v>118동</v>
          </cell>
          <cell r="I847">
            <v>240809</v>
          </cell>
          <cell r="J847" t="str">
            <v>118동 주변주차장 기초</v>
          </cell>
          <cell r="K847">
            <v>780</v>
          </cell>
          <cell r="L847">
            <v>780</v>
          </cell>
          <cell r="M847">
            <v>2415</v>
          </cell>
          <cell r="N847" t="str">
            <v>영진</v>
          </cell>
          <cell r="O847" t="str">
            <v>펌프카(1대)</v>
          </cell>
          <cell r="P847">
            <v>805</v>
          </cell>
          <cell r="Q847">
            <v>1656</v>
          </cell>
          <cell r="R847">
            <v>160</v>
          </cell>
          <cell r="S847">
            <v>44</v>
          </cell>
          <cell r="T847">
            <v>23</v>
          </cell>
          <cell r="U847">
            <v>249</v>
          </cell>
          <cell r="V847"/>
          <cell r="W847" t="str">
            <v>박순홍</v>
          </cell>
          <cell r="X847" t="str">
            <v>(인)</v>
          </cell>
          <cell r="Y847" t="str">
            <v>김광록</v>
          </cell>
          <cell r="Z847" t="str">
            <v>(인)</v>
          </cell>
          <cell r="AA847" t="str">
            <v>박정환</v>
          </cell>
          <cell r="AB847" t="str">
            <v>(인)</v>
          </cell>
          <cell r="AC847" t="str">
            <v>박기원</v>
          </cell>
          <cell r="AD847" t="str">
            <v>(인)</v>
          </cell>
          <cell r="AE847">
            <v>172.6</v>
          </cell>
          <cell r="AF847" t="str">
            <v>표준</v>
          </cell>
          <cell r="AG847">
            <v>2</v>
          </cell>
          <cell r="AH847">
            <v>0</v>
          </cell>
        </row>
        <row r="848">
          <cell r="G848">
            <v>2408090203</v>
          </cell>
          <cell r="H848" t="str">
            <v>118동</v>
          </cell>
          <cell r="I848">
            <v>240809</v>
          </cell>
          <cell r="J848" t="str">
            <v>118동 주변주차장 기초</v>
          </cell>
          <cell r="K848">
            <v>780</v>
          </cell>
          <cell r="L848">
            <v>780</v>
          </cell>
          <cell r="M848">
            <v>2415</v>
          </cell>
          <cell r="N848" t="str">
            <v>영진</v>
          </cell>
          <cell r="O848" t="str">
            <v>펌프카(1대)</v>
          </cell>
          <cell r="P848">
            <v>805</v>
          </cell>
          <cell r="Q848">
            <v>1656</v>
          </cell>
          <cell r="R848">
            <v>165</v>
          </cell>
          <cell r="S848">
            <v>46</v>
          </cell>
          <cell r="T848">
            <v>41</v>
          </cell>
          <cell r="U848">
            <v>254</v>
          </cell>
          <cell r="V848"/>
          <cell r="W848" t="str">
            <v>박순홍</v>
          </cell>
          <cell r="X848" t="str">
            <v>(인)</v>
          </cell>
          <cell r="Y848" t="str">
            <v>김광록</v>
          </cell>
          <cell r="Z848" t="str">
            <v>(인)</v>
          </cell>
          <cell r="AA848" t="str">
            <v>박정환</v>
          </cell>
          <cell r="AB848" t="str">
            <v>(인)</v>
          </cell>
          <cell r="AC848" t="str">
            <v>박기원</v>
          </cell>
          <cell r="AD848" t="str">
            <v>(인)</v>
          </cell>
          <cell r="AE848">
            <v>178.1</v>
          </cell>
          <cell r="AF848" t="str">
            <v>표준</v>
          </cell>
          <cell r="AG848">
            <v>3</v>
          </cell>
          <cell r="AH848">
            <v>0</v>
          </cell>
        </row>
        <row r="849">
          <cell r="G849">
            <v>2408090204</v>
          </cell>
          <cell r="H849" t="str">
            <v>118동</v>
          </cell>
          <cell r="I849">
            <v>240809</v>
          </cell>
          <cell r="J849" t="str">
            <v>118동 주변주차장 기초</v>
          </cell>
          <cell r="K849">
            <v>780</v>
          </cell>
          <cell r="L849">
            <v>780</v>
          </cell>
          <cell r="M849">
            <v>2415</v>
          </cell>
          <cell r="N849" t="str">
            <v>영진</v>
          </cell>
          <cell r="O849" t="str">
            <v>펌프카(1대)</v>
          </cell>
          <cell r="P849">
            <v>805</v>
          </cell>
          <cell r="Q849">
            <v>1656</v>
          </cell>
          <cell r="R849">
            <v>155</v>
          </cell>
          <cell r="S849">
            <v>49</v>
          </cell>
          <cell r="T849">
            <v>59</v>
          </cell>
          <cell r="U849">
            <v>285</v>
          </cell>
          <cell r="V849"/>
          <cell r="W849" t="str">
            <v>박순홍</v>
          </cell>
          <cell r="X849" t="str">
            <v>(인)</v>
          </cell>
          <cell r="Y849" t="str">
            <v>김광록</v>
          </cell>
          <cell r="Z849" t="str">
            <v>(인)</v>
          </cell>
          <cell r="AA849" t="str">
            <v>박정환</v>
          </cell>
          <cell r="AB849" t="str">
            <v>(인)</v>
          </cell>
          <cell r="AC849" t="str">
            <v>박기원</v>
          </cell>
          <cell r="AD849" t="str">
            <v>(인)</v>
          </cell>
          <cell r="AE849">
            <v>173.6</v>
          </cell>
          <cell r="AF849" t="str">
            <v>표준</v>
          </cell>
          <cell r="AG849">
            <v>4</v>
          </cell>
          <cell r="AH849">
            <v>1</v>
          </cell>
          <cell r="AL849">
            <v>3048</v>
          </cell>
          <cell r="AM849">
            <v>3062</v>
          </cell>
          <cell r="AN849">
            <v>3177</v>
          </cell>
          <cell r="AO849">
            <v>3024</v>
          </cell>
          <cell r="AP849">
            <v>2962</v>
          </cell>
          <cell r="AQ849">
            <v>3078</v>
          </cell>
          <cell r="AR849">
            <v>3062</v>
          </cell>
          <cell r="AS849">
            <v>2913</v>
          </cell>
          <cell r="AT849">
            <v>223800</v>
          </cell>
        </row>
        <row r="850">
          <cell r="G850">
            <v>2408090205</v>
          </cell>
          <cell r="H850" t="str">
            <v>118동</v>
          </cell>
          <cell r="I850">
            <v>240809</v>
          </cell>
          <cell r="J850" t="str">
            <v>118동 주변주차장 기초</v>
          </cell>
          <cell r="K850">
            <v>780</v>
          </cell>
          <cell r="L850">
            <v>780</v>
          </cell>
          <cell r="M850">
            <v>2415</v>
          </cell>
          <cell r="N850" t="str">
            <v>영진</v>
          </cell>
          <cell r="O850" t="str">
            <v>펌프카(1대)</v>
          </cell>
          <cell r="P850">
            <v>805</v>
          </cell>
          <cell r="Q850">
            <v>1656</v>
          </cell>
          <cell r="R850">
            <v>160</v>
          </cell>
          <cell r="S850">
            <v>43</v>
          </cell>
          <cell r="T850">
            <v>64</v>
          </cell>
          <cell r="U850">
            <v>272</v>
          </cell>
          <cell r="V850"/>
          <cell r="W850" t="str">
            <v>박순홍</v>
          </cell>
          <cell r="X850" t="str">
            <v>(인)</v>
          </cell>
          <cell r="Y850" t="str">
            <v>김광록</v>
          </cell>
          <cell r="Z850" t="str">
            <v>(인)</v>
          </cell>
          <cell r="AA850" t="str">
            <v>박정환</v>
          </cell>
          <cell r="AB850" t="str">
            <v>(인)</v>
          </cell>
          <cell r="AC850" t="str">
            <v>박기원</v>
          </cell>
          <cell r="AD850" t="str">
            <v>(인)</v>
          </cell>
          <cell r="AE850">
            <v>173</v>
          </cell>
          <cell r="AF850" t="str">
            <v>표준</v>
          </cell>
          <cell r="AG850">
            <v>5</v>
          </cell>
          <cell r="AH850">
            <v>0</v>
          </cell>
        </row>
        <row r="851">
          <cell r="G851">
            <v>2408090206</v>
          </cell>
          <cell r="H851" t="str">
            <v>118동</v>
          </cell>
          <cell r="I851">
            <v>240809</v>
          </cell>
          <cell r="J851" t="str">
            <v>118동 주변주차장 기초</v>
          </cell>
          <cell r="K851">
            <v>780</v>
          </cell>
          <cell r="L851">
            <v>780</v>
          </cell>
          <cell r="M851">
            <v>2415</v>
          </cell>
          <cell r="N851" t="str">
            <v>영진</v>
          </cell>
          <cell r="O851" t="str">
            <v>펌프카(1대)</v>
          </cell>
          <cell r="P851">
            <v>805</v>
          </cell>
          <cell r="Q851">
            <v>1656</v>
          </cell>
          <cell r="R851">
            <v>155</v>
          </cell>
          <cell r="S851">
            <v>48</v>
          </cell>
          <cell r="T851">
            <v>46</v>
          </cell>
          <cell r="U851">
            <v>269</v>
          </cell>
          <cell r="V851"/>
          <cell r="W851" t="str">
            <v>박순홍</v>
          </cell>
          <cell r="X851" t="str">
            <v>(인)</v>
          </cell>
          <cell r="Y851" t="str">
            <v>김광록</v>
          </cell>
          <cell r="Z851" t="str">
            <v>(인)</v>
          </cell>
          <cell r="AA851" t="str">
            <v>박정환</v>
          </cell>
          <cell r="AB851" t="str">
            <v>(인)</v>
          </cell>
          <cell r="AC851" t="str">
            <v>박기원</v>
          </cell>
          <cell r="AD851" t="str">
            <v>(인)</v>
          </cell>
          <cell r="AE851">
            <v>172.6</v>
          </cell>
          <cell r="AF851" t="str">
            <v>표준</v>
          </cell>
          <cell r="AG851">
            <v>6</v>
          </cell>
          <cell r="AH851">
            <v>0</v>
          </cell>
        </row>
        <row r="852">
          <cell r="G852">
            <v>2408090207</v>
          </cell>
          <cell r="H852" t="str">
            <v>118동</v>
          </cell>
          <cell r="I852">
            <v>240809</v>
          </cell>
          <cell r="J852" t="str">
            <v>118동 주변주차장 기초</v>
          </cell>
          <cell r="K852">
            <v>780</v>
          </cell>
          <cell r="L852">
            <v>780</v>
          </cell>
          <cell r="M852">
            <v>2415</v>
          </cell>
          <cell r="N852" t="str">
            <v>영진</v>
          </cell>
          <cell r="O852" t="str">
            <v>펌프카(1대)</v>
          </cell>
          <cell r="P852">
            <v>805</v>
          </cell>
          <cell r="Q852">
            <v>1656</v>
          </cell>
          <cell r="R852">
            <v>150</v>
          </cell>
          <cell r="S852">
            <v>46</v>
          </cell>
          <cell r="T852">
            <v>54</v>
          </cell>
          <cell r="U852">
            <v>279</v>
          </cell>
          <cell r="V852"/>
          <cell r="W852" t="str">
            <v>박순홍</v>
          </cell>
          <cell r="X852" t="str">
            <v>(인)</v>
          </cell>
          <cell r="Y852" t="str">
            <v>김광록</v>
          </cell>
          <cell r="Z852" t="str">
            <v>(인)</v>
          </cell>
          <cell r="AA852" t="str">
            <v>박정환</v>
          </cell>
          <cell r="AB852" t="str">
            <v>(인)</v>
          </cell>
          <cell r="AC852" t="str">
            <v>박기원</v>
          </cell>
          <cell r="AD852" t="str">
            <v>(인)</v>
          </cell>
          <cell r="AE852">
            <v>179.8</v>
          </cell>
          <cell r="AF852" t="str">
            <v>표준</v>
          </cell>
          <cell r="AG852">
            <v>7</v>
          </cell>
          <cell r="AH852">
            <v>1</v>
          </cell>
          <cell r="AL852">
            <v>2943</v>
          </cell>
          <cell r="AM852">
            <v>3066</v>
          </cell>
          <cell r="AN852">
            <v>3042</v>
          </cell>
          <cell r="AO852">
            <v>2912</v>
          </cell>
          <cell r="AP852">
            <v>2907</v>
          </cell>
          <cell r="AQ852">
            <v>3062</v>
          </cell>
          <cell r="AR852">
            <v>3120</v>
          </cell>
          <cell r="AS852">
            <v>3062</v>
          </cell>
          <cell r="AT852">
            <v>244200</v>
          </cell>
        </row>
        <row r="853">
          <cell r="G853">
            <v>2408090301</v>
          </cell>
          <cell r="H853" t="str">
            <v>118동</v>
          </cell>
          <cell r="I853">
            <v>240809</v>
          </cell>
          <cell r="J853" t="str">
            <v>118동 주변주차장 기초</v>
          </cell>
          <cell r="K853">
            <v>980</v>
          </cell>
          <cell r="L853">
            <v>982</v>
          </cell>
          <cell r="M853">
            <v>2415</v>
          </cell>
          <cell r="N853" t="str">
            <v>대원</v>
          </cell>
          <cell r="O853" t="str">
            <v>펌프카(1대)</v>
          </cell>
          <cell r="P853">
            <v>812</v>
          </cell>
          <cell r="Q853">
            <v>1725</v>
          </cell>
          <cell r="R853">
            <v>150</v>
          </cell>
          <cell r="S853">
            <v>46</v>
          </cell>
          <cell r="T853">
            <v>44</v>
          </cell>
          <cell r="U853">
            <v>244</v>
          </cell>
          <cell r="V853"/>
          <cell r="W853" t="str">
            <v>박순홍</v>
          </cell>
          <cell r="X853" t="str">
            <v>(인)</v>
          </cell>
          <cell r="Y853" t="str">
            <v>김광록</v>
          </cell>
          <cell r="Z853" t="str">
            <v>(인)</v>
          </cell>
          <cell r="AA853" t="str">
            <v>박정환</v>
          </cell>
          <cell r="AB853" t="str">
            <v>(인)</v>
          </cell>
          <cell r="AC853" t="str">
            <v>박기원</v>
          </cell>
          <cell r="AD853" t="str">
            <v>(인)</v>
          </cell>
          <cell r="AE853">
            <v>171.5</v>
          </cell>
          <cell r="AF853" t="str">
            <v>표준</v>
          </cell>
          <cell r="AG853">
            <v>1</v>
          </cell>
          <cell r="AH853">
            <v>1</v>
          </cell>
          <cell r="AI853">
            <v>2345</v>
          </cell>
          <cell r="AJ853">
            <v>2396</v>
          </cell>
          <cell r="AK853">
            <v>187400</v>
          </cell>
          <cell r="AL853">
            <v>3117</v>
          </cell>
          <cell r="AM853">
            <v>2928</v>
          </cell>
          <cell r="AN853">
            <v>3019</v>
          </cell>
          <cell r="AO853">
            <v>2977</v>
          </cell>
          <cell r="AP853">
            <v>3034</v>
          </cell>
          <cell r="AQ853">
            <v>3128</v>
          </cell>
          <cell r="AR853">
            <v>2961</v>
          </cell>
          <cell r="AS853">
            <v>3114</v>
          </cell>
          <cell r="AT853">
            <v>243000</v>
          </cell>
        </row>
        <row r="854">
          <cell r="G854">
            <v>2408090302</v>
          </cell>
          <cell r="H854" t="str">
            <v>118동</v>
          </cell>
          <cell r="I854">
            <v>240809</v>
          </cell>
          <cell r="J854" t="str">
            <v>118동 주변주차장 기초</v>
          </cell>
          <cell r="K854">
            <v>980</v>
          </cell>
          <cell r="L854">
            <v>982</v>
          </cell>
          <cell r="M854">
            <v>2415</v>
          </cell>
          <cell r="N854" t="str">
            <v>대원</v>
          </cell>
          <cell r="O854" t="str">
            <v>펌프카(1대)</v>
          </cell>
          <cell r="P854">
            <v>812</v>
          </cell>
          <cell r="Q854">
            <v>1725</v>
          </cell>
          <cell r="R854">
            <v>165</v>
          </cell>
          <cell r="S854">
            <v>40</v>
          </cell>
          <cell r="T854">
            <v>47</v>
          </cell>
          <cell r="U854">
            <v>233</v>
          </cell>
          <cell r="V854"/>
          <cell r="W854" t="str">
            <v>박순홍</v>
          </cell>
          <cell r="X854" t="str">
            <v>(인)</v>
          </cell>
          <cell r="Y854" t="str">
            <v>김광록</v>
          </cell>
          <cell r="Z854" t="str">
            <v>(인)</v>
          </cell>
          <cell r="AA854" t="str">
            <v>박정환</v>
          </cell>
          <cell r="AB854" t="str">
            <v>(인)</v>
          </cell>
          <cell r="AC854" t="str">
            <v>박기원</v>
          </cell>
          <cell r="AD854" t="str">
            <v>(인)</v>
          </cell>
          <cell r="AE854">
            <v>185.9</v>
          </cell>
          <cell r="AF854" t="str">
            <v>표준</v>
          </cell>
          <cell r="AG854">
            <v>2</v>
          </cell>
          <cell r="AH854">
            <v>0</v>
          </cell>
        </row>
        <row r="855">
          <cell r="G855">
            <v>2408090303</v>
          </cell>
          <cell r="H855" t="str">
            <v>118동</v>
          </cell>
          <cell r="I855">
            <v>240809</v>
          </cell>
          <cell r="J855" t="str">
            <v>118동 주변주차장 기초</v>
          </cell>
          <cell r="K855">
            <v>980</v>
          </cell>
          <cell r="L855">
            <v>982</v>
          </cell>
          <cell r="M855">
            <v>2415</v>
          </cell>
          <cell r="N855" t="str">
            <v>대원</v>
          </cell>
          <cell r="O855" t="str">
            <v>펌프카(1대)</v>
          </cell>
          <cell r="P855">
            <v>812</v>
          </cell>
          <cell r="Q855">
            <v>1725</v>
          </cell>
          <cell r="R855">
            <v>155</v>
          </cell>
          <cell r="S855">
            <v>45</v>
          </cell>
          <cell r="T855">
            <v>33</v>
          </cell>
          <cell r="U855">
            <v>231</v>
          </cell>
          <cell r="V855"/>
          <cell r="W855" t="str">
            <v>박순홍</v>
          </cell>
          <cell r="X855" t="str">
            <v>(인)</v>
          </cell>
          <cell r="Y855" t="str">
            <v>김광록</v>
          </cell>
          <cell r="Z855" t="str">
            <v>(인)</v>
          </cell>
          <cell r="AA855" t="str">
            <v>박정환</v>
          </cell>
          <cell r="AB855" t="str">
            <v>(인)</v>
          </cell>
          <cell r="AC855" t="str">
            <v>박기원</v>
          </cell>
          <cell r="AD855" t="str">
            <v>(인)</v>
          </cell>
          <cell r="AE855">
            <v>171.5</v>
          </cell>
          <cell r="AF855" t="str">
            <v>표준</v>
          </cell>
          <cell r="AG855">
            <v>3</v>
          </cell>
          <cell r="AH855">
            <v>0</v>
          </cell>
        </row>
        <row r="856">
          <cell r="G856">
            <v>2408090304</v>
          </cell>
          <cell r="H856" t="str">
            <v>118동</v>
          </cell>
          <cell r="I856">
            <v>240809</v>
          </cell>
          <cell r="J856" t="str">
            <v>118동 주변주차장 기초</v>
          </cell>
          <cell r="K856">
            <v>980</v>
          </cell>
          <cell r="L856">
            <v>982</v>
          </cell>
          <cell r="M856">
            <v>2415</v>
          </cell>
          <cell r="N856" t="str">
            <v>대원</v>
          </cell>
          <cell r="O856" t="str">
            <v>펌프카(1대)</v>
          </cell>
          <cell r="P856">
            <v>812</v>
          </cell>
          <cell r="Q856">
            <v>1725</v>
          </cell>
          <cell r="R856">
            <v>150</v>
          </cell>
          <cell r="S856">
            <v>41</v>
          </cell>
          <cell r="T856">
            <v>27</v>
          </cell>
          <cell r="U856">
            <v>281</v>
          </cell>
          <cell r="V856"/>
          <cell r="W856" t="str">
            <v>박순홍</v>
          </cell>
          <cell r="X856" t="str">
            <v>(인)</v>
          </cell>
          <cell r="Y856" t="str">
            <v>김광록</v>
          </cell>
          <cell r="Z856" t="str">
            <v>(인)</v>
          </cell>
          <cell r="AA856" t="str">
            <v>박정환</v>
          </cell>
          <cell r="AB856" t="str">
            <v>(인)</v>
          </cell>
          <cell r="AC856" t="str">
            <v>박기원</v>
          </cell>
          <cell r="AD856" t="str">
            <v>(인)</v>
          </cell>
          <cell r="AE856">
            <v>170.2</v>
          </cell>
          <cell r="AF856" t="str">
            <v>표준</v>
          </cell>
          <cell r="AG856">
            <v>4</v>
          </cell>
          <cell r="AH856">
            <v>1</v>
          </cell>
          <cell r="AL856">
            <v>3144</v>
          </cell>
          <cell r="AM856">
            <v>3062</v>
          </cell>
          <cell r="AN856">
            <v>3112</v>
          </cell>
          <cell r="AO856">
            <v>3062</v>
          </cell>
          <cell r="AP856">
            <v>3172</v>
          </cell>
          <cell r="AQ856">
            <v>3062</v>
          </cell>
          <cell r="AR856">
            <v>3174</v>
          </cell>
          <cell r="AS856">
            <v>3046</v>
          </cell>
          <cell r="AT856">
            <v>229600</v>
          </cell>
        </row>
        <row r="857">
          <cell r="G857">
            <v>2408090305</v>
          </cell>
          <cell r="H857" t="str">
            <v>118동</v>
          </cell>
          <cell r="I857">
            <v>240809</v>
          </cell>
          <cell r="J857" t="str">
            <v>118동 주변주차장 기초</v>
          </cell>
          <cell r="K857">
            <v>980</v>
          </cell>
          <cell r="L857">
            <v>982</v>
          </cell>
          <cell r="M857">
            <v>2415</v>
          </cell>
          <cell r="N857" t="str">
            <v>대원</v>
          </cell>
          <cell r="O857" t="str">
            <v>펌프카(1대)</v>
          </cell>
          <cell r="P857">
            <v>812</v>
          </cell>
          <cell r="Q857">
            <v>1725</v>
          </cell>
          <cell r="R857">
            <v>155</v>
          </cell>
          <cell r="S857">
            <v>45</v>
          </cell>
          <cell r="T857">
            <v>35</v>
          </cell>
          <cell r="U857">
            <v>270</v>
          </cell>
          <cell r="V857"/>
          <cell r="W857" t="str">
            <v>박순홍</v>
          </cell>
          <cell r="X857" t="str">
            <v>(인)</v>
          </cell>
          <cell r="Y857" t="str">
            <v>김광록</v>
          </cell>
          <cell r="Z857" t="str">
            <v>(인)</v>
          </cell>
          <cell r="AA857" t="str">
            <v>박정환</v>
          </cell>
          <cell r="AB857" t="str">
            <v>(인)</v>
          </cell>
          <cell r="AC857" t="str">
            <v>박기원</v>
          </cell>
          <cell r="AD857" t="str">
            <v>(인)</v>
          </cell>
          <cell r="AE857">
            <v>182.9</v>
          </cell>
          <cell r="AF857" t="str">
            <v>표준</v>
          </cell>
          <cell r="AG857">
            <v>5</v>
          </cell>
          <cell r="AH857">
            <v>0</v>
          </cell>
        </row>
        <row r="858">
          <cell r="G858">
            <v>2408090306</v>
          </cell>
          <cell r="H858" t="str">
            <v>118동</v>
          </cell>
          <cell r="I858">
            <v>240809</v>
          </cell>
          <cell r="J858" t="str">
            <v>118동 주변주차장 기초</v>
          </cell>
          <cell r="K858">
            <v>980</v>
          </cell>
          <cell r="L858">
            <v>982</v>
          </cell>
          <cell r="M858">
            <v>2415</v>
          </cell>
          <cell r="N858" t="str">
            <v>대원</v>
          </cell>
          <cell r="O858" t="str">
            <v>펌프카(1대)</v>
          </cell>
          <cell r="P858">
            <v>812</v>
          </cell>
          <cell r="Q858">
            <v>1725</v>
          </cell>
          <cell r="R858">
            <v>155</v>
          </cell>
          <cell r="S858">
            <v>50</v>
          </cell>
          <cell r="T858">
            <v>46</v>
          </cell>
          <cell r="U858">
            <v>267</v>
          </cell>
          <cell r="V858"/>
          <cell r="W858" t="str">
            <v>박순홍</v>
          </cell>
          <cell r="X858" t="str">
            <v>(인)</v>
          </cell>
          <cell r="Y858" t="str">
            <v>김광록</v>
          </cell>
          <cell r="Z858" t="str">
            <v>(인)</v>
          </cell>
          <cell r="AA858" t="str">
            <v>박정환</v>
          </cell>
          <cell r="AB858" t="str">
            <v>(인)</v>
          </cell>
          <cell r="AC858" t="str">
            <v>박기원</v>
          </cell>
          <cell r="AD858" t="str">
            <v>(인)</v>
          </cell>
          <cell r="AE858">
            <v>181.8</v>
          </cell>
          <cell r="AF858" t="str">
            <v>표준</v>
          </cell>
          <cell r="AG858">
            <v>6</v>
          </cell>
          <cell r="AH858">
            <v>0</v>
          </cell>
        </row>
        <row r="859">
          <cell r="G859">
            <v>2408090307</v>
          </cell>
          <cell r="H859" t="str">
            <v>118동</v>
          </cell>
          <cell r="I859">
            <v>240809</v>
          </cell>
          <cell r="J859" t="str">
            <v>118동 주변주차장 기초</v>
          </cell>
          <cell r="K859">
            <v>980</v>
          </cell>
          <cell r="L859">
            <v>982</v>
          </cell>
          <cell r="M859">
            <v>2415</v>
          </cell>
          <cell r="N859" t="str">
            <v>대원</v>
          </cell>
          <cell r="O859" t="str">
            <v>펌프카(1대)</v>
          </cell>
          <cell r="P859">
            <v>812</v>
          </cell>
          <cell r="Q859">
            <v>1725</v>
          </cell>
          <cell r="R859">
            <v>145</v>
          </cell>
          <cell r="S859">
            <v>50</v>
          </cell>
          <cell r="T859">
            <v>61</v>
          </cell>
          <cell r="U859">
            <v>273</v>
          </cell>
          <cell r="V859"/>
          <cell r="W859" t="str">
            <v>박순홍</v>
          </cell>
          <cell r="X859" t="str">
            <v>(인)</v>
          </cell>
          <cell r="Y859" t="str">
            <v>김광록</v>
          </cell>
          <cell r="Z859" t="str">
            <v>(인)</v>
          </cell>
          <cell r="AA859" t="str">
            <v>박정환</v>
          </cell>
          <cell r="AB859" t="str">
            <v>(인)</v>
          </cell>
          <cell r="AC859" t="str">
            <v>박기원</v>
          </cell>
          <cell r="AD859" t="str">
            <v>(인)</v>
          </cell>
          <cell r="AE859">
            <v>181.2</v>
          </cell>
          <cell r="AF859" t="str">
            <v>표준</v>
          </cell>
          <cell r="AG859">
            <v>7</v>
          </cell>
          <cell r="AH859">
            <v>1</v>
          </cell>
          <cell r="AL859">
            <v>3030</v>
          </cell>
          <cell r="AM859">
            <v>3126</v>
          </cell>
          <cell r="AN859">
            <v>3072</v>
          </cell>
          <cell r="AO859">
            <v>3156</v>
          </cell>
          <cell r="AP859">
            <v>3064</v>
          </cell>
          <cell r="AQ859">
            <v>3026</v>
          </cell>
          <cell r="AR859">
            <v>2984</v>
          </cell>
          <cell r="AS859">
            <v>3127</v>
          </cell>
          <cell r="AT859">
            <v>240200</v>
          </cell>
        </row>
        <row r="860">
          <cell r="G860">
            <v>2408090308</v>
          </cell>
          <cell r="H860" t="str">
            <v>118동</v>
          </cell>
          <cell r="I860">
            <v>240809</v>
          </cell>
          <cell r="J860" t="str">
            <v>118동 주변주차장 기초</v>
          </cell>
          <cell r="K860">
            <v>980</v>
          </cell>
          <cell r="L860">
            <v>982</v>
          </cell>
          <cell r="M860">
            <v>2415</v>
          </cell>
          <cell r="N860" t="str">
            <v>대원</v>
          </cell>
          <cell r="O860" t="str">
            <v>펌프카(1대)</v>
          </cell>
          <cell r="P860">
            <v>812</v>
          </cell>
          <cell r="Q860">
            <v>1725</v>
          </cell>
          <cell r="R860">
            <v>160</v>
          </cell>
          <cell r="S860">
            <v>51</v>
          </cell>
          <cell r="T860">
            <v>81</v>
          </cell>
          <cell r="U860">
            <v>277</v>
          </cell>
          <cell r="V860"/>
          <cell r="W860" t="str">
            <v>박순홍</v>
          </cell>
          <cell r="X860" t="str">
            <v>(인)</v>
          </cell>
          <cell r="Y860" t="str">
            <v>김광록</v>
          </cell>
          <cell r="Z860" t="str">
            <v>(인)</v>
          </cell>
          <cell r="AA860" t="str">
            <v>박정환</v>
          </cell>
          <cell r="AB860" t="str">
            <v>(인)</v>
          </cell>
          <cell r="AC860" t="str">
            <v>박기원</v>
          </cell>
          <cell r="AD860" t="str">
            <v>(인)</v>
          </cell>
          <cell r="AE860">
            <v>179.6</v>
          </cell>
          <cell r="AF860" t="str">
            <v>표준</v>
          </cell>
          <cell r="AG860">
            <v>8</v>
          </cell>
          <cell r="AH860">
            <v>0</v>
          </cell>
        </row>
        <row r="861">
          <cell r="G861">
            <v>2408090309</v>
          </cell>
          <cell r="H861" t="str">
            <v>118동</v>
          </cell>
          <cell r="I861">
            <v>240809</v>
          </cell>
          <cell r="J861" t="str">
            <v>118동 주변주차장 기초</v>
          </cell>
          <cell r="K861">
            <v>980</v>
          </cell>
          <cell r="L861">
            <v>982</v>
          </cell>
          <cell r="M861">
            <v>2415</v>
          </cell>
          <cell r="N861" t="str">
            <v>대원</v>
          </cell>
          <cell r="O861" t="str">
            <v>펌프카(1대)</v>
          </cell>
          <cell r="P861">
            <v>812</v>
          </cell>
          <cell r="Q861">
            <v>1725</v>
          </cell>
          <cell r="R861">
            <v>175</v>
          </cell>
          <cell r="S861">
            <v>46</v>
          </cell>
          <cell r="T861">
            <v>95</v>
          </cell>
          <cell r="U861">
            <v>279</v>
          </cell>
          <cell r="V861"/>
          <cell r="W861" t="str">
            <v>박순홍</v>
          </cell>
          <cell r="X861" t="str">
            <v>(인)</v>
          </cell>
          <cell r="Y861" t="str">
            <v>김광록</v>
          </cell>
          <cell r="Z861" t="str">
            <v>(인)</v>
          </cell>
          <cell r="AA861" t="str">
            <v>박정환</v>
          </cell>
          <cell r="AB861" t="str">
            <v>(인)</v>
          </cell>
          <cell r="AC861" t="str">
            <v>박기원</v>
          </cell>
          <cell r="AD861" t="str">
            <v>(인)</v>
          </cell>
          <cell r="AE861">
            <v>184.6</v>
          </cell>
          <cell r="AF861" t="str">
            <v>표준</v>
          </cell>
          <cell r="AG861">
            <v>9</v>
          </cell>
          <cell r="AH861">
            <v>0</v>
          </cell>
        </row>
        <row r="862">
          <cell r="G862">
            <v>2408090401</v>
          </cell>
          <cell r="H862" t="str">
            <v>103동, 104동</v>
          </cell>
          <cell r="I862">
            <v>240809</v>
          </cell>
          <cell r="J862" t="str">
            <v>103~104동 주변주차장 누름</v>
          </cell>
          <cell r="K862">
            <v>200</v>
          </cell>
          <cell r="L862">
            <v>204</v>
          </cell>
          <cell r="M862">
            <v>1815</v>
          </cell>
          <cell r="N862" t="str">
            <v>대공</v>
          </cell>
          <cell r="O862" t="str">
            <v>펌프카(1대)</v>
          </cell>
          <cell r="P862">
            <v>822</v>
          </cell>
          <cell r="Q862">
            <v>1421</v>
          </cell>
          <cell r="R862">
            <v>150</v>
          </cell>
          <cell r="S862">
            <v>45</v>
          </cell>
          <cell r="T862">
            <v>31</v>
          </cell>
          <cell r="U862">
            <v>280</v>
          </cell>
          <cell r="V862"/>
          <cell r="W862" t="str">
            <v>박순홍</v>
          </cell>
          <cell r="X862" t="str">
            <v>(인)</v>
          </cell>
          <cell r="Y862" t="str">
            <v>김광록</v>
          </cell>
          <cell r="Z862" t="str">
            <v>(인)</v>
          </cell>
          <cell r="AA862" t="str">
            <v>박정환</v>
          </cell>
          <cell r="AB862" t="str">
            <v>(인)</v>
          </cell>
          <cell r="AC862" t="str">
            <v>박기원</v>
          </cell>
          <cell r="AD862" t="str">
            <v>(인)</v>
          </cell>
          <cell r="AE862">
            <v>179.5</v>
          </cell>
          <cell r="AF862" t="str">
            <v>표준</v>
          </cell>
          <cell r="AG862">
            <v>1</v>
          </cell>
          <cell r="AH862">
            <v>1</v>
          </cell>
          <cell r="AI862">
            <v>1866</v>
          </cell>
          <cell r="AJ862">
            <v>1902</v>
          </cell>
          <cell r="AK862">
            <v>150000</v>
          </cell>
          <cell r="AL862">
            <v>2408</v>
          </cell>
          <cell r="AM862">
            <v>2324</v>
          </cell>
          <cell r="AN862">
            <v>2367</v>
          </cell>
          <cell r="AO862">
            <v>2384</v>
          </cell>
          <cell r="AP862">
            <v>2277</v>
          </cell>
          <cell r="AQ862">
            <v>2404</v>
          </cell>
          <cell r="AR862">
            <v>2362</v>
          </cell>
          <cell r="AS862">
            <v>2319</v>
          </cell>
          <cell r="AT862">
            <v>189600</v>
          </cell>
        </row>
        <row r="863">
          <cell r="G863">
            <v>2408090402</v>
          </cell>
          <cell r="H863" t="str">
            <v>103동, 104동</v>
          </cell>
          <cell r="I863">
            <v>240809</v>
          </cell>
          <cell r="J863" t="str">
            <v>103~104동 주변주차장 누름</v>
          </cell>
          <cell r="K863">
            <v>200</v>
          </cell>
          <cell r="L863">
            <v>204</v>
          </cell>
          <cell r="M863">
            <v>1815</v>
          </cell>
          <cell r="N863" t="str">
            <v>대공</v>
          </cell>
          <cell r="O863" t="str">
            <v>펌프카(1대)</v>
          </cell>
          <cell r="P863">
            <v>822</v>
          </cell>
          <cell r="Q863">
            <v>1421</v>
          </cell>
          <cell r="R863">
            <v>150</v>
          </cell>
          <cell r="S863">
            <v>49</v>
          </cell>
          <cell r="T863">
            <v>72</v>
          </cell>
          <cell r="U863">
            <v>241</v>
          </cell>
          <cell r="V863"/>
          <cell r="W863" t="str">
            <v>박순홍</v>
          </cell>
          <cell r="X863" t="str">
            <v>(인)</v>
          </cell>
          <cell r="Y863" t="str">
            <v>김광록</v>
          </cell>
          <cell r="Z863" t="str">
            <v>(인)</v>
          </cell>
          <cell r="AA863" t="str">
            <v>박정환</v>
          </cell>
          <cell r="AB863" t="str">
            <v>(인)</v>
          </cell>
          <cell r="AC863" t="str">
            <v>박기원</v>
          </cell>
          <cell r="AD863" t="str">
            <v>(인)</v>
          </cell>
          <cell r="AE863">
            <v>178.6</v>
          </cell>
          <cell r="AF863" t="str">
            <v>표준</v>
          </cell>
          <cell r="AG863">
            <v>2</v>
          </cell>
          <cell r="AH863">
            <v>0</v>
          </cell>
        </row>
        <row r="864">
          <cell r="G864">
            <v>2408130101</v>
          </cell>
          <cell r="H864" t="str">
            <v>111동</v>
          </cell>
          <cell r="I864">
            <v>240813</v>
          </cell>
          <cell r="J864" t="str">
            <v>111동 2차</v>
          </cell>
          <cell r="K864">
            <v>300</v>
          </cell>
          <cell r="L864">
            <v>300</v>
          </cell>
          <cell r="M864">
            <v>3015</v>
          </cell>
          <cell r="N864" t="str">
            <v>용호</v>
          </cell>
          <cell r="O864" t="str">
            <v>펌프카(1대)</v>
          </cell>
          <cell r="P864">
            <v>758</v>
          </cell>
          <cell r="Q864">
            <v>1220</v>
          </cell>
          <cell r="R864">
            <v>160</v>
          </cell>
          <cell r="S864">
            <v>46</v>
          </cell>
          <cell r="T864">
            <v>43</v>
          </cell>
          <cell r="U864">
            <v>247</v>
          </cell>
          <cell r="V864"/>
          <cell r="W864" t="str">
            <v>박순홍</v>
          </cell>
          <cell r="X864" t="str">
            <v>(인)</v>
          </cell>
          <cell r="Y864" t="str">
            <v>김광록</v>
          </cell>
          <cell r="Z864" t="str">
            <v>(인)</v>
          </cell>
          <cell r="AA864" t="str">
            <v>박기원</v>
          </cell>
          <cell r="AB864" t="str">
            <v>(인)</v>
          </cell>
          <cell r="AC864" t="str">
            <v>박상갑</v>
          </cell>
          <cell r="AD864" t="str">
            <v>(인)</v>
          </cell>
          <cell r="AE864">
            <v>170.2</v>
          </cell>
          <cell r="AF864" t="str">
            <v>표준</v>
          </cell>
          <cell r="AG864">
            <v>1</v>
          </cell>
          <cell r="AH864">
            <v>1</v>
          </cell>
          <cell r="AI864">
            <v>2831</v>
          </cell>
          <cell r="AJ864">
            <v>2827</v>
          </cell>
          <cell r="AK864">
            <v>223400</v>
          </cell>
          <cell r="AL864">
            <v>3740</v>
          </cell>
          <cell r="AM864">
            <v>3769</v>
          </cell>
          <cell r="AN864">
            <v>3814</v>
          </cell>
          <cell r="AO864">
            <v>3819</v>
          </cell>
          <cell r="AP864">
            <v>3904</v>
          </cell>
          <cell r="AQ864">
            <v>3762</v>
          </cell>
          <cell r="AR864">
            <v>3712</v>
          </cell>
          <cell r="AS864">
            <v>3767</v>
          </cell>
          <cell r="AT864">
            <v>301000</v>
          </cell>
        </row>
        <row r="865">
          <cell r="G865">
            <v>2408130102</v>
          </cell>
          <cell r="H865" t="str">
            <v>111동</v>
          </cell>
          <cell r="I865">
            <v>240813</v>
          </cell>
          <cell r="J865" t="str">
            <v>111동 2차</v>
          </cell>
          <cell r="K865">
            <v>300</v>
          </cell>
          <cell r="L865">
            <v>300</v>
          </cell>
          <cell r="M865">
            <v>3015</v>
          </cell>
          <cell r="N865" t="str">
            <v>용호</v>
          </cell>
          <cell r="O865" t="str">
            <v>펌프카(1대)</v>
          </cell>
          <cell r="P865">
            <v>758</v>
          </cell>
          <cell r="Q865">
            <v>1220</v>
          </cell>
          <cell r="R865">
            <v>165</v>
          </cell>
          <cell r="S865">
            <v>49</v>
          </cell>
          <cell r="T865">
            <v>19</v>
          </cell>
          <cell r="U865">
            <v>257</v>
          </cell>
          <cell r="V865"/>
          <cell r="W865" t="str">
            <v>박순홍</v>
          </cell>
          <cell r="X865" t="str">
            <v>(인)</v>
          </cell>
          <cell r="Y865" t="str">
            <v>김광록</v>
          </cell>
          <cell r="Z865" t="str">
            <v>(인)</v>
          </cell>
          <cell r="AA865" t="str">
            <v>박기원</v>
          </cell>
          <cell r="AB865" t="str">
            <v>(인)</v>
          </cell>
          <cell r="AC865" t="str">
            <v>박상갑</v>
          </cell>
          <cell r="AD865" t="str">
            <v>(인)</v>
          </cell>
          <cell r="AE865">
            <v>178.6</v>
          </cell>
          <cell r="AF865" t="str">
            <v>표준</v>
          </cell>
          <cell r="AG865">
            <v>2</v>
          </cell>
          <cell r="AH865">
            <v>0</v>
          </cell>
        </row>
        <row r="866">
          <cell r="G866">
            <v>2408130103</v>
          </cell>
          <cell r="H866" t="str">
            <v>111동</v>
          </cell>
          <cell r="I866">
            <v>240813</v>
          </cell>
          <cell r="J866" t="str">
            <v>111동 2차</v>
          </cell>
          <cell r="K866">
            <v>300</v>
          </cell>
          <cell r="L866">
            <v>300</v>
          </cell>
          <cell r="M866">
            <v>3015</v>
          </cell>
          <cell r="N866" t="str">
            <v>용호</v>
          </cell>
          <cell r="O866" t="str">
            <v>펌프카(1대)</v>
          </cell>
          <cell r="P866">
            <v>758</v>
          </cell>
          <cell r="Q866">
            <v>1220</v>
          </cell>
          <cell r="R866">
            <v>170</v>
          </cell>
          <cell r="S866">
            <v>51</v>
          </cell>
          <cell r="T866">
            <v>55</v>
          </cell>
          <cell r="U866">
            <v>262</v>
          </cell>
          <cell r="V866"/>
          <cell r="W866" t="str">
            <v>박순홍</v>
          </cell>
          <cell r="X866" t="str">
            <v>(인)</v>
          </cell>
          <cell r="Y866" t="str">
            <v>김광록</v>
          </cell>
          <cell r="Z866" t="str">
            <v>(인)</v>
          </cell>
          <cell r="AA866" t="str">
            <v>박기원</v>
          </cell>
          <cell r="AB866" t="str">
            <v>(인)</v>
          </cell>
          <cell r="AC866" t="str">
            <v>박상갑</v>
          </cell>
          <cell r="AD866" t="str">
            <v>(인)</v>
          </cell>
          <cell r="AE866">
            <v>179.1</v>
          </cell>
          <cell r="AF866" t="str">
            <v>표준</v>
          </cell>
          <cell r="AG866">
            <v>3</v>
          </cell>
          <cell r="AH866">
            <v>0</v>
          </cell>
        </row>
        <row r="867">
          <cell r="G867">
            <v>2408130201</v>
          </cell>
          <cell r="H867" t="str">
            <v>101동</v>
          </cell>
          <cell r="I867">
            <v>240813</v>
          </cell>
          <cell r="J867" t="str">
            <v>101동 1층 바닥</v>
          </cell>
          <cell r="K867">
            <v>600</v>
          </cell>
          <cell r="L867">
            <v>600</v>
          </cell>
          <cell r="M867">
            <v>3015</v>
          </cell>
          <cell r="N867" t="str">
            <v>영진</v>
          </cell>
          <cell r="O867" t="str">
            <v>펌프카(1대)</v>
          </cell>
          <cell r="P867">
            <v>820</v>
          </cell>
          <cell r="Q867">
            <v>1635</v>
          </cell>
          <cell r="R867">
            <v>155</v>
          </cell>
          <cell r="S867">
            <v>35</v>
          </cell>
          <cell r="T867">
            <v>15</v>
          </cell>
          <cell r="U867">
            <v>245</v>
          </cell>
          <cell r="V867"/>
          <cell r="W867" t="str">
            <v>박순홍</v>
          </cell>
          <cell r="X867" t="str">
            <v>(인)</v>
          </cell>
          <cell r="Y867" t="str">
            <v>김광록</v>
          </cell>
          <cell r="Z867" t="str">
            <v>(인)</v>
          </cell>
          <cell r="AA867" t="str">
            <v>박기원</v>
          </cell>
          <cell r="AB867" t="str">
            <v>(인)</v>
          </cell>
          <cell r="AC867" t="str">
            <v>박상갑</v>
          </cell>
          <cell r="AD867" t="str">
            <v>(인)</v>
          </cell>
          <cell r="AE867">
            <v>179.4</v>
          </cell>
          <cell r="AF867" t="str">
            <v>표준</v>
          </cell>
          <cell r="AG867">
            <v>1</v>
          </cell>
          <cell r="AH867">
            <v>1</v>
          </cell>
          <cell r="AI867">
            <v>2869</v>
          </cell>
          <cell r="AJ867">
            <v>2902</v>
          </cell>
          <cell r="AK867">
            <v>223800</v>
          </cell>
          <cell r="AL867">
            <v>3868</v>
          </cell>
          <cell r="AM867">
            <v>3877</v>
          </cell>
          <cell r="AN867">
            <v>3906</v>
          </cell>
          <cell r="AO867">
            <v>3762</v>
          </cell>
          <cell r="AP867">
            <v>3714</v>
          </cell>
          <cell r="AQ867">
            <v>3709</v>
          </cell>
          <cell r="AR867">
            <v>3816</v>
          </cell>
          <cell r="AS867">
            <v>3750</v>
          </cell>
          <cell r="AT867">
            <v>304600</v>
          </cell>
        </row>
        <row r="868">
          <cell r="G868">
            <v>2408130202</v>
          </cell>
          <cell r="H868" t="str">
            <v>101동</v>
          </cell>
          <cell r="I868">
            <v>240813</v>
          </cell>
          <cell r="J868" t="str">
            <v>101동 1층 바닥</v>
          </cell>
          <cell r="K868">
            <v>600</v>
          </cell>
          <cell r="L868">
            <v>600</v>
          </cell>
          <cell r="M868">
            <v>3015</v>
          </cell>
          <cell r="N868" t="str">
            <v>영진</v>
          </cell>
          <cell r="O868" t="str">
            <v>펌프카(1대)</v>
          </cell>
          <cell r="P868">
            <v>820</v>
          </cell>
          <cell r="Q868">
            <v>1635</v>
          </cell>
          <cell r="R868">
            <v>160</v>
          </cell>
          <cell r="S868">
            <v>49</v>
          </cell>
          <cell r="T868">
            <v>63</v>
          </cell>
          <cell r="U868">
            <v>251</v>
          </cell>
          <cell r="V868"/>
          <cell r="W868" t="str">
            <v>박순홍</v>
          </cell>
          <cell r="X868" t="str">
            <v>(인)</v>
          </cell>
          <cell r="Y868" t="str">
            <v>김광록</v>
          </cell>
          <cell r="Z868" t="str">
            <v>(인)</v>
          </cell>
          <cell r="AA868" t="str">
            <v>박기원</v>
          </cell>
          <cell r="AB868" t="str">
            <v>(인)</v>
          </cell>
          <cell r="AC868" t="str">
            <v>박상갑</v>
          </cell>
          <cell r="AD868" t="str">
            <v>(인)</v>
          </cell>
          <cell r="AE868">
            <v>174.7</v>
          </cell>
          <cell r="AF868" t="str">
            <v>표준</v>
          </cell>
          <cell r="AG868">
            <v>2</v>
          </cell>
          <cell r="AH868">
            <v>0</v>
          </cell>
        </row>
        <row r="869">
          <cell r="G869">
            <v>2408130203</v>
          </cell>
          <cell r="H869" t="str">
            <v>101동</v>
          </cell>
          <cell r="I869">
            <v>240813</v>
          </cell>
          <cell r="J869" t="str">
            <v>101동 1층 바닥</v>
          </cell>
          <cell r="K869">
            <v>600</v>
          </cell>
          <cell r="L869">
            <v>600</v>
          </cell>
          <cell r="M869">
            <v>3015</v>
          </cell>
          <cell r="N869" t="str">
            <v>영진</v>
          </cell>
          <cell r="O869" t="str">
            <v>펌프카(1대)</v>
          </cell>
          <cell r="P869">
            <v>820</v>
          </cell>
          <cell r="Q869">
            <v>1635</v>
          </cell>
          <cell r="R869">
            <v>170</v>
          </cell>
          <cell r="S869">
            <v>50</v>
          </cell>
          <cell r="T869">
            <v>92</v>
          </cell>
          <cell r="U869">
            <v>242</v>
          </cell>
          <cell r="V869"/>
          <cell r="W869" t="str">
            <v>박순홍</v>
          </cell>
          <cell r="X869" t="str">
            <v>(인)</v>
          </cell>
          <cell r="Y869" t="str">
            <v>김광록</v>
          </cell>
          <cell r="Z869" t="str">
            <v>(인)</v>
          </cell>
          <cell r="AA869" t="str">
            <v>박기원</v>
          </cell>
          <cell r="AB869" t="str">
            <v>(인)</v>
          </cell>
          <cell r="AC869" t="str">
            <v>박상갑</v>
          </cell>
          <cell r="AD869" t="str">
            <v>(인)</v>
          </cell>
          <cell r="AE869">
            <v>181.2</v>
          </cell>
          <cell r="AF869" t="str">
            <v>표준</v>
          </cell>
          <cell r="AG869">
            <v>3</v>
          </cell>
          <cell r="AH869">
            <v>0</v>
          </cell>
        </row>
        <row r="870">
          <cell r="G870">
            <v>2408130204</v>
          </cell>
          <cell r="H870" t="str">
            <v>101동</v>
          </cell>
          <cell r="I870">
            <v>240813</v>
          </cell>
          <cell r="J870" t="str">
            <v>101동 1층 바닥</v>
          </cell>
          <cell r="K870">
            <v>600</v>
          </cell>
          <cell r="L870">
            <v>600</v>
          </cell>
          <cell r="M870">
            <v>3015</v>
          </cell>
          <cell r="N870" t="str">
            <v>영진</v>
          </cell>
          <cell r="O870" t="str">
            <v>펌프카(1대)</v>
          </cell>
          <cell r="P870">
            <v>820</v>
          </cell>
          <cell r="Q870">
            <v>1635</v>
          </cell>
          <cell r="R870">
            <v>155</v>
          </cell>
          <cell r="S870">
            <v>37</v>
          </cell>
          <cell r="T870">
            <v>21</v>
          </cell>
          <cell r="U870">
            <v>273</v>
          </cell>
          <cell r="V870"/>
          <cell r="W870" t="str">
            <v>박순홍</v>
          </cell>
          <cell r="X870" t="str">
            <v>(인)</v>
          </cell>
          <cell r="Y870" t="str">
            <v>김광록</v>
          </cell>
          <cell r="Z870" t="str">
            <v>(인)</v>
          </cell>
          <cell r="AA870" t="str">
            <v>박기원</v>
          </cell>
          <cell r="AB870" t="str">
            <v>(인)</v>
          </cell>
          <cell r="AC870" t="str">
            <v>박상갑</v>
          </cell>
          <cell r="AD870" t="str">
            <v>(인)</v>
          </cell>
          <cell r="AE870">
            <v>180.4</v>
          </cell>
          <cell r="AF870" t="str">
            <v>표준</v>
          </cell>
          <cell r="AG870">
            <v>4</v>
          </cell>
          <cell r="AH870">
            <v>1</v>
          </cell>
          <cell r="AL870">
            <v>3712</v>
          </cell>
          <cell r="AM870">
            <v>3804</v>
          </cell>
          <cell r="AN870">
            <v>3706</v>
          </cell>
          <cell r="AO870">
            <v>3714</v>
          </cell>
          <cell r="AP870">
            <v>3762</v>
          </cell>
          <cell r="AQ870">
            <v>3802</v>
          </cell>
          <cell r="AR870">
            <v>3773</v>
          </cell>
          <cell r="AS870">
            <v>3778</v>
          </cell>
          <cell r="AT870">
            <v>301400</v>
          </cell>
        </row>
        <row r="871">
          <cell r="G871">
            <v>2408130205</v>
          </cell>
          <cell r="H871" t="str">
            <v>101동</v>
          </cell>
          <cell r="I871">
            <v>240813</v>
          </cell>
          <cell r="J871" t="str">
            <v>101동 1층 바닥</v>
          </cell>
          <cell r="K871">
            <v>600</v>
          </cell>
          <cell r="L871">
            <v>600</v>
          </cell>
          <cell r="M871">
            <v>3015</v>
          </cell>
          <cell r="N871" t="str">
            <v>영진</v>
          </cell>
          <cell r="O871" t="str">
            <v>펌프카(1대)</v>
          </cell>
          <cell r="P871">
            <v>820</v>
          </cell>
          <cell r="Q871">
            <v>1635</v>
          </cell>
          <cell r="R871">
            <v>160</v>
          </cell>
          <cell r="S871">
            <v>44</v>
          </cell>
          <cell r="T871">
            <v>56</v>
          </cell>
          <cell r="U871">
            <v>267</v>
          </cell>
          <cell r="V871"/>
          <cell r="W871" t="str">
            <v>박순홍</v>
          </cell>
          <cell r="X871" t="str">
            <v>(인)</v>
          </cell>
          <cell r="Y871" t="str">
            <v>김광록</v>
          </cell>
          <cell r="Z871" t="str">
            <v>(인)</v>
          </cell>
          <cell r="AA871" t="str">
            <v>박기원</v>
          </cell>
          <cell r="AB871" t="str">
            <v>(인)</v>
          </cell>
          <cell r="AC871" t="str">
            <v>박상갑</v>
          </cell>
          <cell r="AD871" t="str">
            <v>(인)</v>
          </cell>
          <cell r="AE871">
            <v>180.6</v>
          </cell>
          <cell r="AF871" t="str">
            <v>표준</v>
          </cell>
          <cell r="AG871">
            <v>5</v>
          </cell>
          <cell r="AH871">
            <v>0</v>
          </cell>
        </row>
        <row r="872">
          <cell r="G872">
            <v>2408130206</v>
          </cell>
          <cell r="H872" t="str">
            <v>101동</v>
          </cell>
          <cell r="I872">
            <v>240813</v>
          </cell>
          <cell r="J872" t="str">
            <v>101동 1층 바닥</v>
          </cell>
          <cell r="K872">
            <v>600</v>
          </cell>
          <cell r="L872">
            <v>600</v>
          </cell>
          <cell r="M872">
            <v>3015</v>
          </cell>
          <cell r="N872" t="str">
            <v>영진</v>
          </cell>
          <cell r="O872" t="str">
            <v>펌프카(1대)</v>
          </cell>
          <cell r="P872">
            <v>820</v>
          </cell>
          <cell r="Q872">
            <v>1635</v>
          </cell>
          <cell r="R872">
            <v>170</v>
          </cell>
          <cell r="S872">
            <v>48</v>
          </cell>
          <cell r="T872">
            <v>102</v>
          </cell>
          <cell r="U872">
            <v>279</v>
          </cell>
          <cell r="V872"/>
          <cell r="W872" t="str">
            <v>박순홍</v>
          </cell>
          <cell r="X872" t="str">
            <v>(인)</v>
          </cell>
          <cell r="Y872" t="str">
            <v>김광록</v>
          </cell>
          <cell r="Z872" t="str">
            <v>(인)</v>
          </cell>
          <cell r="AA872" t="str">
            <v>박기원</v>
          </cell>
          <cell r="AB872" t="str">
            <v>(인)</v>
          </cell>
          <cell r="AC872" t="str">
            <v>박상갑</v>
          </cell>
          <cell r="AD872" t="str">
            <v>(인)</v>
          </cell>
          <cell r="AE872">
            <v>181.7</v>
          </cell>
          <cell r="AF872" t="str">
            <v>표준</v>
          </cell>
          <cell r="AG872">
            <v>6</v>
          </cell>
          <cell r="AH872">
            <v>0</v>
          </cell>
        </row>
        <row r="873">
          <cell r="G873">
            <v>2408130301</v>
          </cell>
          <cell r="H873" t="str">
            <v>105동</v>
          </cell>
          <cell r="I873">
            <v>240813</v>
          </cell>
          <cell r="J873" t="str">
            <v>105동 12층 바닥</v>
          </cell>
          <cell r="K873">
            <v>280</v>
          </cell>
          <cell r="L873">
            <v>282</v>
          </cell>
          <cell r="M873">
            <v>3018</v>
          </cell>
          <cell r="N873" t="str">
            <v>용호</v>
          </cell>
          <cell r="O873" t="str">
            <v>펌프카(1대)</v>
          </cell>
          <cell r="P873">
            <v>1330</v>
          </cell>
          <cell r="Q873">
            <v>1641</v>
          </cell>
          <cell r="R873">
            <v>185</v>
          </cell>
          <cell r="S873">
            <v>38</v>
          </cell>
          <cell r="T873">
            <v>20</v>
          </cell>
          <cell r="U873">
            <v>284</v>
          </cell>
          <cell r="V873"/>
          <cell r="W873" t="str">
            <v>박순홍</v>
          </cell>
          <cell r="X873" t="str">
            <v>(인)</v>
          </cell>
          <cell r="Y873" t="str">
            <v>김광록</v>
          </cell>
          <cell r="Z873" t="str">
            <v>(인)</v>
          </cell>
          <cell r="AA873" t="str">
            <v>박기원</v>
          </cell>
          <cell r="AB873" t="str">
            <v>(인)</v>
          </cell>
          <cell r="AC873" t="str">
            <v>박상갑</v>
          </cell>
          <cell r="AD873" t="str">
            <v>(인)</v>
          </cell>
          <cell r="AE873">
            <v>190.8</v>
          </cell>
          <cell r="AF873" t="str">
            <v>표준</v>
          </cell>
          <cell r="AG873">
            <v>1</v>
          </cell>
          <cell r="AH873">
            <v>1</v>
          </cell>
          <cell r="AI873">
            <v>2788</v>
          </cell>
          <cell r="AJ873">
            <v>2872</v>
          </cell>
          <cell r="AK873">
            <v>230200</v>
          </cell>
          <cell r="AL873">
            <v>3921</v>
          </cell>
          <cell r="AM873">
            <v>3905</v>
          </cell>
          <cell r="AN873">
            <v>3894</v>
          </cell>
          <cell r="AO873">
            <v>3911</v>
          </cell>
          <cell r="AP873">
            <v>3910</v>
          </cell>
          <cell r="AQ873">
            <v>3875</v>
          </cell>
          <cell r="AR873">
            <v>3885</v>
          </cell>
          <cell r="AS873">
            <v>3921</v>
          </cell>
          <cell r="AT873">
            <v>308600</v>
          </cell>
        </row>
        <row r="874">
          <cell r="G874">
            <v>2408130302</v>
          </cell>
          <cell r="H874" t="str">
            <v>105동</v>
          </cell>
          <cell r="I874">
            <v>240813</v>
          </cell>
          <cell r="J874" t="str">
            <v>105동 12층 바닥</v>
          </cell>
          <cell r="K874">
            <v>280</v>
          </cell>
          <cell r="L874">
            <v>282</v>
          </cell>
          <cell r="M874">
            <v>3018</v>
          </cell>
          <cell r="N874" t="str">
            <v>용호</v>
          </cell>
          <cell r="O874" t="str">
            <v>펌프카(1대)</v>
          </cell>
          <cell r="P874">
            <v>1330</v>
          </cell>
          <cell r="Q874">
            <v>1641</v>
          </cell>
          <cell r="R874">
            <v>190</v>
          </cell>
          <cell r="S874">
            <v>40</v>
          </cell>
          <cell r="T874">
            <v>25</v>
          </cell>
          <cell r="U874">
            <v>279</v>
          </cell>
          <cell r="V874"/>
          <cell r="W874" t="str">
            <v>박순홍</v>
          </cell>
          <cell r="X874" t="str">
            <v>(인)</v>
          </cell>
          <cell r="Y874" t="str">
            <v>김광록</v>
          </cell>
          <cell r="Z874" t="str">
            <v>(인)</v>
          </cell>
          <cell r="AA874" t="str">
            <v>박기원</v>
          </cell>
          <cell r="AB874" t="str">
            <v>(인)</v>
          </cell>
          <cell r="AC874" t="str">
            <v>박상갑</v>
          </cell>
          <cell r="AD874" t="str">
            <v>(인)</v>
          </cell>
          <cell r="AE874">
            <v>186.4</v>
          </cell>
          <cell r="AF874" t="str">
            <v>표준</v>
          </cell>
          <cell r="AG874">
            <v>2</v>
          </cell>
          <cell r="AH874">
            <v>0</v>
          </cell>
        </row>
        <row r="875">
          <cell r="G875">
            <v>2408130303</v>
          </cell>
          <cell r="H875" t="str">
            <v>105동</v>
          </cell>
          <cell r="I875">
            <v>240813</v>
          </cell>
          <cell r="J875" t="str">
            <v>105동 12층 바닥</v>
          </cell>
          <cell r="K875">
            <v>280</v>
          </cell>
          <cell r="L875">
            <v>282</v>
          </cell>
          <cell r="M875">
            <v>3018</v>
          </cell>
          <cell r="N875" t="str">
            <v>용호</v>
          </cell>
          <cell r="O875" t="str">
            <v>펌프카(1대)</v>
          </cell>
          <cell r="P875">
            <v>1330</v>
          </cell>
          <cell r="Q875">
            <v>1641</v>
          </cell>
          <cell r="R875">
            <v>200</v>
          </cell>
          <cell r="S875">
            <v>47</v>
          </cell>
          <cell r="T875">
            <v>17</v>
          </cell>
          <cell r="U875">
            <v>275</v>
          </cell>
          <cell r="V875"/>
          <cell r="W875" t="str">
            <v>박순홍</v>
          </cell>
          <cell r="X875" t="str">
            <v>(인)</v>
          </cell>
          <cell r="Y875" t="str">
            <v>김광록</v>
          </cell>
          <cell r="Z875" t="str">
            <v>(인)</v>
          </cell>
          <cell r="AA875" t="str">
            <v>박기원</v>
          </cell>
          <cell r="AB875" t="str">
            <v>(인)</v>
          </cell>
          <cell r="AC875" t="str">
            <v>박상갑</v>
          </cell>
          <cell r="AD875" t="str">
            <v>(인)</v>
          </cell>
          <cell r="AE875">
            <v>188.2</v>
          </cell>
          <cell r="AF875" t="str">
            <v>표준</v>
          </cell>
          <cell r="AG875">
            <v>3</v>
          </cell>
          <cell r="AH875">
            <v>0</v>
          </cell>
        </row>
        <row r="876">
          <cell r="G876">
            <v>2408140101</v>
          </cell>
          <cell r="H876" t="str">
            <v>103동</v>
          </cell>
          <cell r="I876">
            <v>240814</v>
          </cell>
          <cell r="J876" t="str">
            <v>103동 13층 바닥</v>
          </cell>
          <cell r="K876">
            <v>280</v>
          </cell>
          <cell r="L876">
            <v>280</v>
          </cell>
          <cell r="M876">
            <v>3018</v>
          </cell>
          <cell r="N876" t="str">
            <v>대공</v>
          </cell>
          <cell r="O876" t="str">
            <v>펌프카(1대)</v>
          </cell>
          <cell r="P876">
            <v>812</v>
          </cell>
          <cell r="Q876">
            <v>1314</v>
          </cell>
          <cell r="R876">
            <v>180</v>
          </cell>
          <cell r="S876">
            <v>46</v>
          </cell>
          <cell r="T876">
            <v>49</v>
          </cell>
          <cell r="U876">
            <v>266</v>
          </cell>
          <cell r="V876"/>
          <cell r="W876" t="str">
            <v>박순홍</v>
          </cell>
          <cell r="X876" t="str">
            <v>(인)</v>
          </cell>
          <cell r="Y876" t="str">
            <v>김광록</v>
          </cell>
          <cell r="Z876" t="str">
            <v>(인)</v>
          </cell>
          <cell r="AA876" t="str">
            <v>박기원</v>
          </cell>
          <cell r="AB876" t="str">
            <v>(인)</v>
          </cell>
          <cell r="AC876" t="str">
            <v>박상갑</v>
          </cell>
          <cell r="AD876" t="str">
            <v>(인)</v>
          </cell>
          <cell r="AE876">
            <v>173</v>
          </cell>
          <cell r="AF876" t="str">
            <v>표준</v>
          </cell>
          <cell r="AG876">
            <v>1</v>
          </cell>
          <cell r="AH876">
            <v>1</v>
          </cell>
          <cell r="AI876">
            <v>2790</v>
          </cell>
          <cell r="AJ876">
            <v>2784</v>
          </cell>
          <cell r="AK876">
            <v>223000</v>
          </cell>
          <cell r="AL876">
            <v>3862</v>
          </cell>
          <cell r="AM876">
            <v>3718</v>
          </cell>
          <cell r="AN876">
            <v>3815</v>
          </cell>
          <cell r="AO876">
            <v>3694</v>
          </cell>
          <cell r="AP876">
            <v>3877</v>
          </cell>
          <cell r="AQ876">
            <v>3854</v>
          </cell>
          <cell r="AR876">
            <v>3791</v>
          </cell>
          <cell r="AS876">
            <v>3752</v>
          </cell>
          <cell r="AT876">
            <v>302400</v>
          </cell>
        </row>
        <row r="877">
          <cell r="G877">
            <v>2408140102</v>
          </cell>
          <cell r="H877" t="str">
            <v>103동</v>
          </cell>
          <cell r="I877">
            <v>240814</v>
          </cell>
          <cell r="J877" t="str">
            <v>103동 13층 바닥</v>
          </cell>
          <cell r="K877">
            <v>280</v>
          </cell>
          <cell r="L877">
            <v>280</v>
          </cell>
          <cell r="M877">
            <v>3018</v>
          </cell>
          <cell r="N877" t="str">
            <v>대공</v>
          </cell>
          <cell r="O877" t="str">
            <v>펌프카(1대)</v>
          </cell>
          <cell r="P877">
            <v>812</v>
          </cell>
          <cell r="Q877">
            <v>1314</v>
          </cell>
          <cell r="R877">
            <v>180</v>
          </cell>
          <cell r="S877">
            <v>44</v>
          </cell>
          <cell r="T877">
            <v>34</v>
          </cell>
          <cell r="U877">
            <v>280</v>
          </cell>
          <cell r="V877"/>
          <cell r="W877" t="str">
            <v>박순홍</v>
          </cell>
          <cell r="X877" t="str">
            <v>(인)</v>
          </cell>
          <cell r="Y877" t="str">
            <v>김광록</v>
          </cell>
          <cell r="Z877" t="str">
            <v>(인)</v>
          </cell>
          <cell r="AA877" t="str">
            <v>박기원</v>
          </cell>
          <cell r="AB877" t="str">
            <v>(인)</v>
          </cell>
          <cell r="AC877" t="str">
            <v>박상갑</v>
          </cell>
          <cell r="AD877" t="str">
            <v>(인)</v>
          </cell>
          <cell r="AE877">
            <v>173.7</v>
          </cell>
          <cell r="AF877" t="str">
            <v>표준</v>
          </cell>
          <cell r="AG877">
            <v>2</v>
          </cell>
          <cell r="AH877">
            <v>0</v>
          </cell>
        </row>
        <row r="878">
          <cell r="G878">
            <v>2408140103</v>
          </cell>
          <cell r="H878" t="str">
            <v>103동</v>
          </cell>
          <cell r="I878">
            <v>240814</v>
          </cell>
          <cell r="J878" t="str">
            <v>103동 13층 바닥</v>
          </cell>
          <cell r="K878">
            <v>280</v>
          </cell>
          <cell r="L878">
            <v>280</v>
          </cell>
          <cell r="M878">
            <v>3018</v>
          </cell>
          <cell r="N878" t="str">
            <v>대공</v>
          </cell>
          <cell r="O878" t="str">
            <v>펌프카(1대)</v>
          </cell>
          <cell r="P878">
            <v>812</v>
          </cell>
          <cell r="Q878">
            <v>1314</v>
          </cell>
          <cell r="R878">
            <v>200</v>
          </cell>
          <cell r="S878">
            <v>50</v>
          </cell>
          <cell r="T878">
            <v>61</v>
          </cell>
          <cell r="U878">
            <v>278</v>
          </cell>
          <cell r="V878"/>
          <cell r="W878" t="str">
            <v>박순홍</v>
          </cell>
          <cell r="X878" t="str">
            <v>(인)</v>
          </cell>
          <cell r="Y878" t="str">
            <v>김광록</v>
          </cell>
          <cell r="Z878" t="str">
            <v>(인)</v>
          </cell>
          <cell r="AA878" t="str">
            <v>박기원</v>
          </cell>
          <cell r="AB878" t="str">
            <v>(인)</v>
          </cell>
          <cell r="AC878" t="str">
            <v>박상갑</v>
          </cell>
          <cell r="AD878" t="str">
            <v>(인)</v>
          </cell>
          <cell r="AE878">
            <v>181.9</v>
          </cell>
          <cell r="AF878" t="str">
            <v>표준</v>
          </cell>
          <cell r="AG878">
            <v>3</v>
          </cell>
          <cell r="AH878">
            <v>0</v>
          </cell>
        </row>
        <row r="879">
          <cell r="G879">
            <v>2408140201</v>
          </cell>
          <cell r="H879" t="str">
            <v>106동</v>
          </cell>
          <cell r="I879">
            <v>240814</v>
          </cell>
          <cell r="J879" t="str">
            <v>106동 10층 바닥</v>
          </cell>
          <cell r="K879">
            <v>280</v>
          </cell>
          <cell r="L879">
            <v>282</v>
          </cell>
          <cell r="M879">
            <v>3018</v>
          </cell>
          <cell r="N879" t="str">
            <v>용호</v>
          </cell>
          <cell r="O879" t="str">
            <v>펌프카(1대)</v>
          </cell>
          <cell r="P879">
            <v>822</v>
          </cell>
          <cell r="Q879">
            <v>1239</v>
          </cell>
          <cell r="R879">
            <v>175</v>
          </cell>
          <cell r="S879">
            <v>44</v>
          </cell>
          <cell r="T879">
            <v>45</v>
          </cell>
          <cell r="U879">
            <v>264</v>
          </cell>
          <cell r="V879"/>
          <cell r="W879" t="str">
            <v>박순홍</v>
          </cell>
          <cell r="X879" t="str">
            <v>(인)</v>
          </cell>
          <cell r="Y879" t="str">
            <v>김광록</v>
          </cell>
          <cell r="Z879" t="str">
            <v>(인)</v>
          </cell>
          <cell r="AA879" t="str">
            <v>박기원</v>
          </cell>
          <cell r="AB879" t="str">
            <v>(인)</v>
          </cell>
          <cell r="AC879" t="str">
            <v>박상갑</v>
          </cell>
          <cell r="AD879" t="str">
            <v>(인)</v>
          </cell>
          <cell r="AE879">
            <v>182.9</v>
          </cell>
          <cell r="AF879" t="str">
            <v>표준</v>
          </cell>
          <cell r="AG879">
            <v>1</v>
          </cell>
          <cell r="AH879">
            <v>1</v>
          </cell>
          <cell r="AI879">
            <v>2887</v>
          </cell>
          <cell r="AJ879">
            <v>2832</v>
          </cell>
          <cell r="AK879">
            <v>221000</v>
          </cell>
          <cell r="AL879">
            <v>3740</v>
          </cell>
          <cell r="AM879">
            <v>3812</v>
          </cell>
          <cell r="AN879">
            <v>3794</v>
          </cell>
          <cell r="AO879">
            <v>3843</v>
          </cell>
          <cell r="AP879">
            <v>3855</v>
          </cell>
          <cell r="AQ879">
            <v>3774</v>
          </cell>
          <cell r="AR879">
            <v>3898</v>
          </cell>
          <cell r="AS879">
            <v>3778</v>
          </cell>
          <cell r="AT879">
            <v>296200</v>
          </cell>
        </row>
        <row r="880">
          <cell r="G880">
            <v>2408140202</v>
          </cell>
          <cell r="H880" t="str">
            <v>106동</v>
          </cell>
          <cell r="I880">
            <v>240814</v>
          </cell>
          <cell r="J880" t="str">
            <v>106동 10층 바닥</v>
          </cell>
          <cell r="K880">
            <v>280</v>
          </cell>
          <cell r="L880">
            <v>282</v>
          </cell>
          <cell r="M880">
            <v>3018</v>
          </cell>
          <cell r="N880" t="str">
            <v>용호</v>
          </cell>
          <cell r="O880" t="str">
            <v>펌프카(1대)</v>
          </cell>
          <cell r="P880">
            <v>822</v>
          </cell>
          <cell r="Q880">
            <v>1239</v>
          </cell>
          <cell r="R880">
            <v>185</v>
          </cell>
          <cell r="S880">
            <v>45</v>
          </cell>
          <cell r="T880">
            <v>38</v>
          </cell>
          <cell r="U880">
            <v>250</v>
          </cell>
          <cell r="V880"/>
          <cell r="W880" t="str">
            <v>박순홍</v>
          </cell>
          <cell r="X880" t="str">
            <v>(인)</v>
          </cell>
          <cell r="Y880" t="str">
            <v>김광록</v>
          </cell>
          <cell r="Z880" t="str">
            <v>(인)</v>
          </cell>
          <cell r="AA880" t="str">
            <v>박기원</v>
          </cell>
          <cell r="AB880" t="str">
            <v>(인)</v>
          </cell>
          <cell r="AC880" t="str">
            <v>박상갑</v>
          </cell>
          <cell r="AD880" t="str">
            <v>(인)</v>
          </cell>
          <cell r="AE880">
            <v>183.2</v>
          </cell>
          <cell r="AF880" t="str">
            <v>표준</v>
          </cell>
          <cell r="AG880">
            <v>2</v>
          </cell>
          <cell r="AH880">
            <v>0</v>
          </cell>
        </row>
        <row r="881">
          <cell r="G881">
            <v>2408140203</v>
          </cell>
          <cell r="H881" t="str">
            <v>106동</v>
          </cell>
          <cell r="I881">
            <v>240814</v>
          </cell>
          <cell r="J881" t="str">
            <v>106동 10층 바닥</v>
          </cell>
          <cell r="K881">
            <v>280</v>
          </cell>
          <cell r="L881">
            <v>282</v>
          </cell>
          <cell r="M881">
            <v>3018</v>
          </cell>
          <cell r="N881" t="str">
            <v>용호</v>
          </cell>
          <cell r="O881" t="str">
            <v>펌프카(1대)</v>
          </cell>
          <cell r="P881">
            <v>822</v>
          </cell>
          <cell r="Q881">
            <v>1239</v>
          </cell>
          <cell r="R881">
            <v>190</v>
          </cell>
          <cell r="S881">
            <v>49</v>
          </cell>
          <cell r="T881">
            <v>40</v>
          </cell>
          <cell r="U881">
            <v>258</v>
          </cell>
          <cell r="V881"/>
          <cell r="W881" t="str">
            <v>박순홍</v>
          </cell>
          <cell r="X881" t="str">
            <v>(인)</v>
          </cell>
          <cell r="Y881" t="str">
            <v>김광록</v>
          </cell>
          <cell r="Z881" t="str">
            <v>(인)</v>
          </cell>
          <cell r="AA881" t="str">
            <v>박기원</v>
          </cell>
          <cell r="AB881" t="str">
            <v>(인)</v>
          </cell>
          <cell r="AC881" t="str">
            <v>박상갑</v>
          </cell>
          <cell r="AD881" t="str">
            <v>(인)</v>
          </cell>
          <cell r="AE881">
            <v>184.4</v>
          </cell>
          <cell r="AF881" t="str">
            <v>표준</v>
          </cell>
          <cell r="AG881">
            <v>3</v>
          </cell>
          <cell r="AH881">
            <v>0</v>
          </cell>
        </row>
        <row r="882">
          <cell r="G882">
            <v>2408140301</v>
          </cell>
          <cell r="H882" t="str">
            <v>104동</v>
          </cell>
          <cell r="I882">
            <v>240814</v>
          </cell>
          <cell r="J882" t="str">
            <v>104동 13층 바닥</v>
          </cell>
          <cell r="K882">
            <v>280</v>
          </cell>
          <cell r="L882">
            <v>275</v>
          </cell>
          <cell r="M882">
            <v>3018</v>
          </cell>
          <cell r="N882" t="str">
            <v>용호</v>
          </cell>
          <cell r="O882" t="str">
            <v>펌프카(1대)</v>
          </cell>
          <cell r="P882">
            <v>1346</v>
          </cell>
          <cell r="Q882">
            <v>1721</v>
          </cell>
          <cell r="R882">
            <v>180</v>
          </cell>
          <cell r="S882">
            <v>47</v>
          </cell>
          <cell r="T882">
            <v>47</v>
          </cell>
          <cell r="U882">
            <v>273</v>
          </cell>
          <cell r="V882"/>
          <cell r="W882" t="str">
            <v>박순홍</v>
          </cell>
          <cell r="X882" t="str">
            <v>(인)</v>
          </cell>
          <cell r="Y882" t="str">
            <v>김광록</v>
          </cell>
          <cell r="Z882" t="str">
            <v>(인)</v>
          </cell>
          <cell r="AA882" t="str">
            <v>박기원</v>
          </cell>
          <cell r="AB882" t="str">
            <v>(인)</v>
          </cell>
          <cell r="AC882" t="str">
            <v>박상갑</v>
          </cell>
          <cell r="AD882" t="str">
            <v>(인)</v>
          </cell>
          <cell r="AE882">
            <v>185</v>
          </cell>
          <cell r="AF882" t="str">
            <v>표준</v>
          </cell>
          <cell r="AG882">
            <v>1</v>
          </cell>
          <cell r="AH882">
            <v>1</v>
          </cell>
          <cell r="AI882">
            <v>2933</v>
          </cell>
          <cell r="AJ882">
            <v>2916</v>
          </cell>
          <cell r="AK882">
            <v>233400</v>
          </cell>
          <cell r="AL882">
            <v>3768</v>
          </cell>
          <cell r="AM882">
            <v>3834</v>
          </cell>
          <cell r="AN882">
            <v>3792</v>
          </cell>
          <cell r="AO882">
            <v>3871</v>
          </cell>
          <cell r="AP882">
            <v>3798</v>
          </cell>
          <cell r="AQ882">
            <v>3851</v>
          </cell>
          <cell r="AR882">
            <v>3796</v>
          </cell>
          <cell r="AS882">
            <v>3821</v>
          </cell>
          <cell r="AT882">
            <v>300000</v>
          </cell>
        </row>
        <row r="883">
          <cell r="G883">
            <v>2408140302</v>
          </cell>
          <cell r="H883" t="str">
            <v>104동</v>
          </cell>
          <cell r="I883">
            <v>240814</v>
          </cell>
          <cell r="J883" t="str">
            <v>104동 13층 바닥</v>
          </cell>
          <cell r="K883">
            <v>280</v>
          </cell>
          <cell r="L883">
            <v>275</v>
          </cell>
          <cell r="M883">
            <v>3018</v>
          </cell>
          <cell r="N883" t="str">
            <v>용호</v>
          </cell>
          <cell r="O883" t="str">
            <v>펌프카(1대)</v>
          </cell>
          <cell r="P883">
            <v>1346</v>
          </cell>
          <cell r="Q883">
            <v>1721</v>
          </cell>
          <cell r="R883">
            <v>190</v>
          </cell>
          <cell r="S883">
            <v>50</v>
          </cell>
          <cell r="T883">
            <v>65</v>
          </cell>
          <cell r="U883">
            <v>268</v>
          </cell>
          <cell r="V883"/>
          <cell r="W883" t="str">
            <v>박순홍</v>
          </cell>
          <cell r="X883" t="str">
            <v>(인)</v>
          </cell>
          <cell r="Y883" t="str">
            <v>김광록</v>
          </cell>
          <cell r="Z883" t="str">
            <v>(인)</v>
          </cell>
          <cell r="AA883" t="str">
            <v>박기원</v>
          </cell>
          <cell r="AB883" t="str">
            <v>(인)</v>
          </cell>
          <cell r="AC883" t="str">
            <v>박상갑</v>
          </cell>
          <cell r="AD883" t="str">
            <v>(인)</v>
          </cell>
          <cell r="AE883">
            <v>182.4</v>
          </cell>
          <cell r="AF883" t="str">
            <v>표준</v>
          </cell>
          <cell r="AG883">
            <v>2</v>
          </cell>
          <cell r="AH883">
            <v>0</v>
          </cell>
        </row>
        <row r="884">
          <cell r="G884">
            <v>2408140303</v>
          </cell>
          <cell r="H884" t="str">
            <v>104동</v>
          </cell>
          <cell r="I884">
            <v>240814</v>
          </cell>
          <cell r="J884" t="str">
            <v>104동 13층 바닥</v>
          </cell>
          <cell r="K884">
            <v>280</v>
          </cell>
          <cell r="L884">
            <v>275</v>
          </cell>
          <cell r="M884">
            <v>3018</v>
          </cell>
          <cell r="N884" t="str">
            <v>용호</v>
          </cell>
          <cell r="O884" t="str">
            <v>펌프카(1대)</v>
          </cell>
          <cell r="P884">
            <v>1346</v>
          </cell>
          <cell r="Q884">
            <v>1721</v>
          </cell>
          <cell r="R884">
            <v>200</v>
          </cell>
          <cell r="S884">
            <v>43</v>
          </cell>
          <cell r="T884">
            <v>44</v>
          </cell>
          <cell r="U884">
            <v>27.5</v>
          </cell>
          <cell r="V884"/>
          <cell r="W884" t="str">
            <v>박순홍</v>
          </cell>
          <cell r="X884" t="str">
            <v>(인)</v>
          </cell>
          <cell r="Y884" t="str">
            <v>김광록</v>
          </cell>
          <cell r="Z884" t="str">
            <v>(인)</v>
          </cell>
          <cell r="AA884" t="str">
            <v>박기원</v>
          </cell>
          <cell r="AB884" t="str">
            <v>(인)</v>
          </cell>
          <cell r="AC884" t="str">
            <v>박상갑</v>
          </cell>
          <cell r="AD884" t="str">
            <v>(인)</v>
          </cell>
          <cell r="AE884">
            <v>179.6</v>
          </cell>
          <cell r="AF884" t="str">
            <v>표준</v>
          </cell>
          <cell r="AG884">
            <v>3</v>
          </cell>
          <cell r="AH884">
            <v>0</v>
          </cell>
        </row>
        <row r="885">
          <cell r="G885">
            <v>2408140401</v>
          </cell>
          <cell r="H885" t="str">
            <v>116동, 117동</v>
          </cell>
          <cell r="I885">
            <v>240814</v>
          </cell>
          <cell r="J885" t="str">
            <v>16동~17동 사이 버림</v>
          </cell>
          <cell r="K885">
            <v>12</v>
          </cell>
          <cell r="L885">
            <v>12</v>
          </cell>
          <cell r="M885">
            <v>1812</v>
          </cell>
          <cell r="N885" t="str">
            <v>대공</v>
          </cell>
          <cell r="O885" t="str">
            <v>펌프카(1대)</v>
          </cell>
          <cell r="P885">
            <v>1403</v>
          </cell>
          <cell r="Q885">
            <v>1416</v>
          </cell>
          <cell r="R885">
            <v>115</v>
          </cell>
          <cell r="S885">
            <v>50</v>
          </cell>
          <cell r="T885">
            <v>102</v>
          </cell>
          <cell r="U885">
            <v>265</v>
          </cell>
          <cell r="V885"/>
          <cell r="W885" t="str">
            <v>박순홍</v>
          </cell>
          <cell r="X885" t="str">
            <v>(인)</v>
          </cell>
          <cell r="Y885" t="str">
            <v>김광록</v>
          </cell>
          <cell r="Z885" t="str">
            <v>(인)</v>
          </cell>
          <cell r="AA885" t="str">
            <v>박기원</v>
          </cell>
          <cell r="AB885" t="str">
            <v>(인)</v>
          </cell>
          <cell r="AC885" t="str">
            <v>박상갑</v>
          </cell>
          <cell r="AD885" t="str">
            <v>(인)</v>
          </cell>
          <cell r="AE885">
            <v>173.1</v>
          </cell>
          <cell r="AF885" t="str">
            <v>표준</v>
          </cell>
          <cell r="AG885">
            <v>1</v>
          </cell>
          <cell r="AH885">
            <v>1</v>
          </cell>
          <cell r="AI885">
            <v>1792</v>
          </cell>
          <cell r="AJ885">
            <v>1748</v>
          </cell>
          <cell r="AK885">
            <v>138600</v>
          </cell>
          <cell r="AL885">
            <v>2421</v>
          </cell>
          <cell r="AM885">
            <v>2349</v>
          </cell>
          <cell r="AN885">
            <v>2378</v>
          </cell>
          <cell r="AO885">
            <v>2405</v>
          </cell>
          <cell r="AP885">
            <v>2424</v>
          </cell>
          <cell r="AQ885">
            <v>2356</v>
          </cell>
          <cell r="AR885">
            <v>2373</v>
          </cell>
          <cell r="AS885">
            <v>2364</v>
          </cell>
          <cell r="AT885">
            <v>187800</v>
          </cell>
        </row>
        <row r="886">
          <cell r="G886">
            <v>2408150101</v>
          </cell>
          <cell r="H886" t="str">
            <v>116동, 117동</v>
          </cell>
          <cell r="I886">
            <v>240815</v>
          </cell>
          <cell r="J886" t="str">
            <v>16동~17동 사이 버림</v>
          </cell>
          <cell r="K886">
            <v>170</v>
          </cell>
          <cell r="L886">
            <v>170</v>
          </cell>
          <cell r="M886">
            <v>1812</v>
          </cell>
          <cell r="N886" t="str">
            <v>대공</v>
          </cell>
          <cell r="O886" t="str">
            <v>펌프카(1대)</v>
          </cell>
          <cell r="P886">
            <v>741</v>
          </cell>
          <cell r="Q886">
            <v>1050</v>
          </cell>
          <cell r="R886">
            <v>130</v>
          </cell>
          <cell r="S886">
            <v>41</v>
          </cell>
          <cell r="T886">
            <v>50</v>
          </cell>
          <cell r="U886">
            <v>268</v>
          </cell>
          <cell r="V886"/>
          <cell r="W886" t="str">
            <v>박순홍</v>
          </cell>
          <cell r="X886" t="str">
            <v>(인)</v>
          </cell>
          <cell r="Y886" t="str">
            <v>김광록</v>
          </cell>
          <cell r="Z886" t="str">
            <v>(인)</v>
          </cell>
          <cell r="AA886" t="str">
            <v>정창인</v>
          </cell>
          <cell r="AB886" t="str">
            <v>(인)</v>
          </cell>
          <cell r="AC886" t="str">
            <v>박상갑</v>
          </cell>
          <cell r="AD886" t="str">
            <v>(인)</v>
          </cell>
          <cell r="AE886">
            <v>170.8</v>
          </cell>
          <cell r="AF886" t="str">
            <v>표준</v>
          </cell>
          <cell r="AG886">
            <v>1</v>
          </cell>
          <cell r="AH886">
            <v>1</v>
          </cell>
          <cell r="AI886">
            <v>1512</v>
          </cell>
          <cell r="AJ886">
            <v>1486</v>
          </cell>
          <cell r="AK886">
            <v>115800</v>
          </cell>
          <cell r="AL886">
            <v>2386</v>
          </cell>
          <cell r="AM886">
            <v>2377</v>
          </cell>
          <cell r="AN886">
            <v>2406</v>
          </cell>
          <cell r="AO886">
            <v>2319</v>
          </cell>
          <cell r="AP886">
            <v>2404</v>
          </cell>
          <cell r="AQ886">
            <v>2319</v>
          </cell>
          <cell r="AR886">
            <v>2404</v>
          </cell>
          <cell r="AS886">
            <v>2434</v>
          </cell>
          <cell r="AT886">
            <v>183200</v>
          </cell>
        </row>
        <row r="887">
          <cell r="G887">
            <v>2408150102</v>
          </cell>
          <cell r="H887" t="str">
            <v>116동, 117동</v>
          </cell>
          <cell r="I887">
            <v>240815</v>
          </cell>
          <cell r="J887" t="str">
            <v>16동~17동 사이 버림</v>
          </cell>
          <cell r="K887">
            <v>170</v>
          </cell>
          <cell r="L887">
            <v>170</v>
          </cell>
          <cell r="M887">
            <v>1812</v>
          </cell>
          <cell r="N887" t="str">
            <v>대공</v>
          </cell>
          <cell r="O887" t="str">
            <v>펌프카(1대)</v>
          </cell>
          <cell r="P887">
            <v>741</v>
          </cell>
          <cell r="Q887">
            <v>1050</v>
          </cell>
          <cell r="R887">
            <v>145</v>
          </cell>
          <cell r="S887">
            <v>50</v>
          </cell>
          <cell r="T887">
            <v>21</v>
          </cell>
          <cell r="U887">
            <v>273</v>
          </cell>
          <cell r="V887"/>
          <cell r="W887" t="str">
            <v>박순홍</v>
          </cell>
          <cell r="X887" t="str">
            <v>(인)</v>
          </cell>
          <cell r="Y887" t="str">
            <v>김광록</v>
          </cell>
          <cell r="Z887" t="str">
            <v>(인)</v>
          </cell>
          <cell r="AA887" t="str">
            <v>이루비</v>
          </cell>
          <cell r="AB887" t="str">
            <v>(인)</v>
          </cell>
          <cell r="AC887" t="str">
            <v>박상갑</v>
          </cell>
          <cell r="AD887" t="str">
            <v>(인)</v>
          </cell>
          <cell r="AE887">
            <v>174.2</v>
          </cell>
          <cell r="AF887" t="str">
            <v>표준</v>
          </cell>
          <cell r="AG887">
            <v>2</v>
          </cell>
          <cell r="AH887">
            <v>0</v>
          </cell>
        </row>
        <row r="888">
          <cell r="G888">
            <v>2408150201</v>
          </cell>
          <cell r="H888" t="str">
            <v>102동</v>
          </cell>
          <cell r="I888">
            <v>240815</v>
          </cell>
          <cell r="J888" t="str">
            <v>102동 5층 바닥</v>
          </cell>
          <cell r="K888">
            <v>280</v>
          </cell>
          <cell r="L888">
            <v>281</v>
          </cell>
          <cell r="M888">
            <v>3018</v>
          </cell>
          <cell r="N888" t="str">
            <v>대원</v>
          </cell>
          <cell r="O888" t="str">
            <v>펌프카(1대)</v>
          </cell>
          <cell r="P888">
            <v>748</v>
          </cell>
          <cell r="Q888">
            <v>1120</v>
          </cell>
          <cell r="R888">
            <v>170</v>
          </cell>
          <cell r="S888">
            <v>38</v>
          </cell>
          <cell r="T888">
            <v>23</v>
          </cell>
          <cell r="U888">
            <v>233</v>
          </cell>
          <cell r="V888"/>
          <cell r="W888" t="str">
            <v>박순홍</v>
          </cell>
          <cell r="X888" t="str">
            <v>(인)</v>
          </cell>
          <cell r="Y888" t="str">
            <v>김광록</v>
          </cell>
          <cell r="Z888" t="str">
            <v>(인)</v>
          </cell>
          <cell r="AA888" t="str">
            <v>정창인</v>
          </cell>
          <cell r="AB888" t="str">
            <v>(인)</v>
          </cell>
          <cell r="AC888" t="str">
            <v>박상갑</v>
          </cell>
          <cell r="AD888" t="str">
            <v>(인)</v>
          </cell>
          <cell r="AE888">
            <v>180.7</v>
          </cell>
          <cell r="AF888" t="str">
            <v>표준</v>
          </cell>
          <cell r="AG888">
            <v>1</v>
          </cell>
          <cell r="AH888">
            <v>1</v>
          </cell>
          <cell r="AI888">
            <v>2808</v>
          </cell>
          <cell r="AJ888">
            <v>2872</v>
          </cell>
          <cell r="AK888">
            <v>220400</v>
          </cell>
          <cell r="AL888">
            <v>3926</v>
          </cell>
          <cell r="AM888">
            <v>3819</v>
          </cell>
          <cell r="AN888">
            <v>3820</v>
          </cell>
          <cell r="AO888">
            <v>3917</v>
          </cell>
          <cell r="AP888">
            <v>4019</v>
          </cell>
          <cell r="AQ888">
            <v>3994</v>
          </cell>
          <cell r="AR888">
            <v>3906</v>
          </cell>
          <cell r="AS888">
            <v>3898</v>
          </cell>
          <cell r="AT888">
            <v>307000</v>
          </cell>
        </row>
        <row r="889">
          <cell r="G889">
            <v>2408150202</v>
          </cell>
          <cell r="H889" t="str">
            <v>102동</v>
          </cell>
          <cell r="I889">
            <v>240815</v>
          </cell>
          <cell r="J889" t="str">
            <v>102동 5층 바닥</v>
          </cell>
          <cell r="K889">
            <v>280</v>
          </cell>
          <cell r="L889">
            <v>281</v>
          </cell>
          <cell r="M889">
            <v>3018</v>
          </cell>
          <cell r="N889" t="str">
            <v>대원</v>
          </cell>
          <cell r="O889" t="str">
            <v>펌프카(1대)</v>
          </cell>
          <cell r="P889">
            <v>748</v>
          </cell>
          <cell r="Q889">
            <v>1120</v>
          </cell>
          <cell r="R889">
            <v>195</v>
          </cell>
          <cell r="S889">
            <v>40</v>
          </cell>
          <cell r="T889">
            <v>16</v>
          </cell>
          <cell r="U889">
            <v>246</v>
          </cell>
          <cell r="V889"/>
          <cell r="W889" t="str">
            <v>박순홍</v>
          </cell>
          <cell r="X889" t="str">
            <v>(인)</v>
          </cell>
          <cell r="Y889" t="str">
            <v>김광록</v>
          </cell>
          <cell r="Z889" t="str">
            <v>(인)</v>
          </cell>
          <cell r="AA889" t="str">
            <v>이루비</v>
          </cell>
          <cell r="AB889" t="str">
            <v>(인)</v>
          </cell>
          <cell r="AC889" t="str">
            <v>박상갑</v>
          </cell>
          <cell r="AD889" t="str">
            <v>(인)</v>
          </cell>
          <cell r="AE889">
            <v>187.6</v>
          </cell>
          <cell r="AF889" t="str">
            <v>표준</v>
          </cell>
          <cell r="AG889">
            <v>2</v>
          </cell>
          <cell r="AH889">
            <v>0</v>
          </cell>
        </row>
        <row r="890">
          <cell r="G890">
            <v>2408150203</v>
          </cell>
          <cell r="H890" t="str">
            <v>102동</v>
          </cell>
          <cell r="I890">
            <v>240815</v>
          </cell>
          <cell r="J890" t="str">
            <v>102동 5층 바닥</v>
          </cell>
          <cell r="K890">
            <v>280</v>
          </cell>
          <cell r="L890">
            <v>281</v>
          </cell>
          <cell r="M890">
            <v>3018</v>
          </cell>
          <cell r="N890" t="str">
            <v>대원</v>
          </cell>
          <cell r="O890" t="str">
            <v>펌프카(1대)</v>
          </cell>
          <cell r="P890">
            <v>748</v>
          </cell>
          <cell r="Q890">
            <v>1120</v>
          </cell>
          <cell r="R890">
            <v>200</v>
          </cell>
          <cell r="S890">
            <v>43</v>
          </cell>
          <cell r="T890">
            <v>21</v>
          </cell>
          <cell r="U890">
            <v>267</v>
          </cell>
          <cell r="V890"/>
          <cell r="W890" t="str">
            <v>박순홍</v>
          </cell>
          <cell r="X890" t="str">
            <v>(인)</v>
          </cell>
          <cell r="Y890" t="str">
            <v>김광록</v>
          </cell>
          <cell r="Z890" t="str">
            <v>(인)</v>
          </cell>
          <cell r="AA890" t="str">
            <v>이루비</v>
          </cell>
          <cell r="AB890" t="str">
            <v>(인)</v>
          </cell>
          <cell r="AC890" t="str">
            <v>박상갑</v>
          </cell>
          <cell r="AD890" t="str">
            <v>(인)</v>
          </cell>
          <cell r="AE890">
            <v>190.4</v>
          </cell>
          <cell r="AF890" t="str">
            <v>표준</v>
          </cell>
          <cell r="AG890">
            <v>3</v>
          </cell>
          <cell r="AH890">
            <v>0</v>
          </cell>
        </row>
        <row r="891">
          <cell r="G891">
            <v>2408150301</v>
          </cell>
          <cell r="H891" t="str">
            <v>107동</v>
          </cell>
          <cell r="I891">
            <v>240815</v>
          </cell>
          <cell r="J891" t="str">
            <v>107동 6층 바닥</v>
          </cell>
          <cell r="K891">
            <v>280</v>
          </cell>
          <cell r="L891">
            <v>284</v>
          </cell>
          <cell r="M891">
            <v>3018</v>
          </cell>
          <cell r="N891" t="str">
            <v>대공</v>
          </cell>
          <cell r="O891" t="str">
            <v>펌프카(1대)</v>
          </cell>
          <cell r="P891">
            <v>812</v>
          </cell>
          <cell r="Q891">
            <v>1406</v>
          </cell>
          <cell r="R891">
            <v>190</v>
          </cell>
          <cell r="S891">
            <v>36</v>
          </cell>
          <cell r="T891">
            <v>27</v>
          </cell>
          <cell r="U891">
            <v>243</v>
          </cell>
          <cell r="V891"/>
          <cell r="W891" t="str">
            <v>박순홍</v>
          </cell>
          <cell r="X891" t="str">
            <v>(인)</v>
          </cell>
          <cell r="Y891" t="str">
            <v>김광록</v>
          </cell>
          <cell r="Z891" t="str">
            <v>(인)</v>
          </cell>
          <cell r="AA891" t="str">
            <v>이루비</v>
          </cell>
          <cell r="AB891" t="str">
            <v>(인)</v>
          </cell>
          <cell r="AC891" t="str">
            <v>박상갑</v>
          </cell>
          <cell r="AD891" t="str">
            <v>(인)</v>
          </cell>
          <cell r="AE891">
            <v>186.4</v>
          </cell>
          <cell r="AF891" t="str">
            <v>표준</v>
          </cell>
          <cell r="AG891">
            <v>1</v>
          </cell>
          <cell r="AH891">
            <v>1</v>
          </cell>
          <cell r="AI891">
            <v>2811</v>
          </cell>
          <cell r="AJ891">
            <v>2902</v>
          </cell>
          <cell r="AK891">
            <v>224800</v>
          </cell>
          <cell r="AL891">
            <v>4041</v>
          </cell>
          <cell r="AM891">
            <v>3845</v>
          </cell>
          <cell r="AN891">
            <v>3906</v>
          </cell>
          <cell r="AO891">
            <v>3879</v>
          </cell>
          <cell r="AP891">
            <v>4024</v>
          </cell>
          <cell r="AQ891">
            <v>3927</v>
          </cell>
          <cell r="AR891">
            <v>4033</v>
          </cell>
          <cell r="AS891">
            <v>4012</v>
          </cell>
          <cell r="AT891">
            <v>306800</v>
          </cell>
        </row>
        <row r="892">
          <cell r="G892">
            <v>2408150302</v>
          </cell>
          <cell r="H892" t="str">
            <v>107동</v>
          </cell>
          <cell r="I892">
            <v>240815</v>
          </cell>
          <cell r="J892" t="str">
            <v>107동 6층 바닥</v>
          </cell>
          <cell r="K892">
            <v>280</v>
          </cell>
          <cell r="L892">
            <v>284</v>
          </cell>
          <cell r="M892">
            <v>3018</v>
          </cell>
          <cell r="N892" t="str">
            <v>대공</v>
          </cell>
          <cell r="O892" t="str">
            <v>펌프카(1대)</v>
          </cell>
          <cell r="P892">
            <v>812</v>
          </cell>
          <cell r="Q892">
            <v>1406</v>
          </cell>
          <cell r="R892">
            <v>195</v>
          </cell>
          <cell r="S892">
            <v>51</v>
          </cell>
          <cell r="T892">
            <v>16</v>
          </cell>
          <cell r="U892">
            <v>248</v>
          </cell>
          <cell r="V892"/>
          <cell r="W892" t="str">
            <v>박순홍</v>
          </cell>
          <cell r="X892" t="str">
            <v>(인)</v>
          </cell>
          <cell r="Y892" t="str">
            <v>김광록</v>
          </cell>
          <cell r="Z892" t="str">
            <v>(인)</v>
          </cell>
          <cell r="AA892" t="str">
            <v>이루비</v>
          </cell>
          <cell r="AB892" t="str">
            <v>(인)</v>
          </cell>
          <cell r="AC892" t="str">
            <v>박상갑</v>
          </cell>
          <cell r="AD892" t="str">
            <v>(인)</v>
          </cell>
          <cell r="AE892">
            <v>183.5</v>
          </cell>
          <cell r="AF892" t="str">
            <v>표준</v>
          </cell>
          <cell r="AG892">
            <v>2</v>
          </cell>
          <cell r="AH892">
            <v>0</v>
          </cell>
        </row>
        <row r="893">
          <cell r="G893">
            <v>2408150303</v>
          </cell>
          <cell r="H893" t="str">
            <v>107동</v>
          </cell>
          <cell r="I893">
            <v>240815</v>
          </cell>
          <cell r="J893" t="str">
            <v>107동 6층 바닥</v>
          </cell>
          <cell r="K893">
            <v>280</v>
          </cell>
          <cell r="L893">
            <v>284</v>
          </cell>
          <cell r="M893">
            <v>3018</v>
          </cell>
          <cell r="N893" t="str">
            <v>대공</v>
          </cell>
          <cell r="O893" t="str">
            <v>펌프카(1대)</v>
          </cell>
          <cell r="P893">
            <v>812</v>
          </cell>
          <cell r="Q893">
            <v>1406</v>
          </cell>
          <cell r="R893">
            <v>200</v>
          </cell>
          <cell r="S893">
            <v>47</v>
          </cell>
          <cell r="T893">
            <v>12</v>
          </cell>
          <cell r="U893">
            <v>257</v>
          </cell>
          <cell r="V893"/>
          <cell r="W893" t="str">
            <v>박순홍</v>
          </cell>
          <cell r="X893" t="str">
            <v>(인)</v>
          </cell>
          <cell r="Y893" t="str">
            <v>김광록</v>
          </cell>
          <cell r="Z893" t="str">
            <v>(인)</v>
          </cell>
          <cell r="AA893" t="str">
            <v>이루비</v>
          </cell>
          <cell r="AB893" t="str">
            <v>(인)</v>
          </cell>
          <cell r="AC893" t="str">
            <v>박상갑</v>
          </cell>
          <cell r="AD893" t="str">
            <v>(인)</v>
          </cell>
          <cell r="AE893">
            <v>184.8</v>
          </cell>
          <cell r="AF893" t="str">
            <v>표준</v>
          </cell>
          <cell r="AG893">
            <v>3</v>
          </cell>
          <cell r="AH893">
            <v>0</v>
          </cell>
        </row>
        <row r="894">
          <cell r="G894">
            <v>2408150401</v>
          </cell>
          <cell r="H894" t="str">
            <v>105동</v>
          </cell>
          <cell r="I894">
            <v>240815</v>
          </cell>
          <cell r="J894" t="str">
            <v>105동 주변주차장 지붕</v>
          </cell>
          <cell r="K894">
            <v>200</v>
          </cell>
          <cell r="L894">
            <v>198</v>
          </cell>
          <cell r="M894">
            <v>2715</v>
          </cell>
          <cell r="N894" t="str">
            <v>대원</v>
          </cell>
          <cell r="O894" t="str">
            <v>펌프카(1대)</v>
          </cell>
          <cell r="P894">
            <v>1216</v>
          </cell>
          <cell r="Q894">
            <v>1459</v>
          </cell>
          <cell r="R894">
            <v>155</v>
          </cell>
          <cell r="S894">
            <v>44</v>
          </cell>
          <cell r="T894">
            <v>86</v>
          </cell>
          <cell r="U894">
            <v>253</v>
          </cell>
          <cell r="V894"/>
          <cell r="W894" t="str">
            <v>박순홍</v>
          </cell>
          <cell r="X894" t="str">
            <v>(인)</v>
          </cell>
          <cell r="Y894" t="str">
            <v>김광록</v>
          </cell>
          <cell r="Z894" t="str">
            <v>(인)</v>
          </cell>
          <cell r="AA894" t="str">
            <v>이루비</v>
          </cell>
          <cell r="AB894" t="str">
            <v>(인)</v>
          </cell>
          <cell r="AC894" t="str">
            <v>박상갑</v>
          </cell>
          <cell r="AD894" t="str">
            <v>(인)</v>
          </cell>
          <cell r="AE894">
            <v>181.7</v>
          </cell>
          <cell r="AF894" t="str">
            <v>표준</v>
          </cell>
          <cell r="AG894">
            <v>1</v>
          </cell>
          <cell r="AH894">
            <v>1</v>
          </cell>
          <cell r="AI894">
            <v>2424</v>
          </cell>
          <cell r="AJ894">
            <v>2429</v>
          </cell>
          <cell r="AK894">
            <v>195800</v>
          </cell>
          <cell r="AL894">
            <v>3516</v>
          </cell>
          <cell r="AM894">
            <v>3427</v>
          </cell>
          <cell r="AN894">
            <v>3406</v>
          </cell>
          <cell r="AO894">
            <v>3510</v>
          </cell>
          <cell r="AP894">
            <v>3419</v>
          </cell>
          <cell r="AQ894">
            <v>3504</v>
          </cell>
          <cell r="AR894">
            <v>3429</v>
          </cell>
          <cell r="AS894">
            <v>3567</v>
          </cell>
          <cell r="AT894">
            <v>266400</v>
          </cell>
        </row>
        <row r="895">
          <cell r="G895">
            <v>2408150402</v>
          </cell>
          <cell r="H895" t="str">
            <v>105동</v>
          </cell>
          <cell r="I895">
            <v>240815</v>
          </cell>
          <cell r="J895" t="str">
            <v>105동 주변주차장 지붕</v>
          </cell>
          <cell r="K895">
            <v>200</v>
          </cell>
          <cell r="L895">
            <v>198</v>
          </cell>
          <cell r="M895">
            <v>2715</v>
          </cell>
          <cell r="N895" t="str">
            <v>대원</v>
          </cell>
          <cell r="O895" t="str">
            <v>펌프카(1대)</v>
          </cell>
          <cell r="P895">
            <v>1216</v>
          </cell>
          <cell r="Q895">
            <v>1459</v>
          </cell>
          <cell r="R895">
            <v>160</v>
          </cell>
          <cell r="S895">
            <v>46</v>
          </cell>
          <cell r="T895">
            <v>16</v>
          </cell>
          <cell r="U895">
            <v>237</v>
          </cell>
          <cell r="V895"/>
          <cell r="W895" t="str">
            <v>박순홍</v>
          </cell>
          <cell r="X895" t="str">
            <v>(인)</v>
          </cell>
          <cell r="Y895" t="str">
            <v>김광록</v>
          </cell>
          <cell r="Z895" t="str">
            <v>(인)</v>
          </cell>
          <cell r="AA895" t="str">
            <v>이루비</v>
          </cell>
          <cell r="AB895" t="str">
            <v>(인)</v>
          </cell>
          <cell r="AC895" t="str">
            <v>박상갑</v>
          </cell>
          <cell r="AD895" t="str">
            <v>(인)</v>
          </cell>
          <cell r="AE895">
            <v>182.2</v>
          </cell>
          <cell r="AF895" t="str">
            <v>표준</v>
          </cell>
          <cell r="AG895">
            <v>2</v>
          </cell>
          <cell r="AH895">
            <v>0</v>
          </cell>
        </row>
        <row r="896">
          <cell r="G896">
            <v>2408160101</v>
          </cell>
          <cell r="H896" t="str">
            <v>115동</v>
          </cell>
          <cell r="I896">
            <v>240816</v>
          </cell>
          <cell r="J896" t="str">
            <v>115동 지하2층 바닥</v>
          </cell>
          <cell r="K896">
            <v>330</v>
          </cell>
          <cell r="L896">
            <v>330</v>
          </cell>
          <cell r="M896">
            <v>3015</v>
          </cell>
          <cell r="N896" t="str">
            <v>대공</v>
          </cell>
          <cell r="O896" t="str">
            <v>펌프카(1대)</v>
          </cell>
          <cell r="P896">
            <v>748</v>
          </cell>
          <cell r="Q896">
            <v>1208</v>
          </cell>
          <cell r="R896">
            <v>160</v>
          </cell>
          <cell r="S896">
            <v>35</v>
          </cell>
          <cell r="T896">
            <v>18</v>
          </cell>
          <cell r="U896">
            <v>254</v>
          </cell>
          <cell r="V896"/>
          <cell r="W896" t="str">
            <v>박순홍</v>
          </cell>
          <cell r="X896" t="str">
            <v>(인)</v>
          </cell>
          <cell r="Y896" t="str">
            <v>김광록</v>
          </cell>
          <cell r="Z896" t="str">
            <v>(인)</v>
          </cell>
          <cell r="AA896" t="str">
            <v>박기원</v>
          </cell>
          <cell r="AB896" t="str">
            <v>(인)</v>
          </cell>
          <cell r="AC896" t="str">
            <v>박상갑</v>
          </cell>
          <cell r="AD896" t="str">
            <v>(인)</v>
          </cell>
          <cell r="AE896">
            <v>175.9</v>
          </cell>
          <cell r="AF896" t="str">
            <v>표준</v>
          </cell>
          <cell r="AG896">
            <v>1</v>
          </cell>
          <cell r="AH896">
            <v>1</v>
          </cell>
          <cell r="AI896">
            <v>2691</v>
          </cell>
          <cell r="AJ896">
            <v>2704</v>
          </cell>
          <cell r="AK896">
            <v>220800</v>
          </cell>
          <cell r="AL896">
            <v>3934</v>
          </cell>
          <cell r="AM896">
            <v>3878</v>
          </cell>
          <cell r="AN896">
            <v>3911</v>
          </cell>
          <cell r="AO896">
            <v>3921</v>
          </cell>
          <cell r="AP896">
            <v>3875</v>
          </cell>
          <cell r="AQ896">
            <v>3904</v>
          </cell>
          <cell r="AR896">
            <v>3862</v>
          </cell>
          <cell r="AS896">
            <v>3974</v>
          </cell>
          <cell r="AT896">
            <v>301200</v>
          </cell>
        </row>
        <row r="897">
          <cell r="G897">
            <v>2408160102</v>
          </cell>
          <cell r="H897" t="str">
            <v>115동</v>
          </cell>
          <cell r="I897">
            <v>240816</v>
          </cell>
          <cell r="J897" t="str">
            <v>115동 지하2층 바닥</v>
          </cell>
          <cell r="K897">
            <v>330</v>
          </cell>
          <cell r="L897">
            <v>330</v>
          </cell>
          <cell r="M897">
            <v>3015</v>
          </cell>
          <cell r="N897" t="str">
            <v>대공</v>
          </cell>
          <cell r="O897" t="str">
            <v>펌프카(1대)</v>
          </cell>
          <cell r="P897">
            <v>748</v>
          </cell>
          <cell r="Q897">
            <v>1208</v>
          </cell>
          <cell r="R897">
            <v>160</v>
          </cell>
          <cell r="S897">
            <v>38</v>
          </cell>
          <cell r="T897">
            <v>30</v>
          </cell>
          <cell r="U897">
            <v>223</v>
          </cell>
          <cell r="V897"/>
          <cell r="W897" t="str">
            <v>박순홍</v>
          </cell>
          <cell r="X897" t="str">
            <v>(인)</v>
          </cell>
          <cell r="Y897" t="str">
            <v>김광록</v>
          </cell>
          <cell r="Z897" t="str">
            <v>(인)</v>
          </cell>
          <cell r="AA897" t="str">
            <v>박기원</v>
          </cell>
          <cell r="AB897" t="str">
            <v>(인)</v>
          </cell>
          <cell r="AC897" t="str">
            <v>박상갑</v>
          </cell>
          <cell r="AD897" t="str">
            <v>(인)</v>
          </cell>
          <cell r="AE897">
            <v>177.5</v>
          </cell>
          <cell r="AF897" t="str">
            <v>표준</v>
          </cell>
          <cell r="AG897">
            <v>2</v>
          </cell>
          <cell r="AH897">
            <v>0</v>
          </cell>
        </row>
        <row r="898">
          <cell r="G898">
            <v>2408160103</v>
          </cell>
          <cell r="H898" t="str">
            <v>115동</v>
          </cell>
          <cell r="I898">
            <v>240816</v>
          </cell>
          <cell r="J898" t="str">
            <v>115동 지하2층 바닥</v>
          </cell>
          <cell r="K898">
            <v>330</v>
          </cell>
          <cell r="L898">
            <v>330</v>
          </cell>
          <cell r="M898">
            <v>3015</v>
          </cell>
          <cell r="N898" t="str">
            <v>대공</v>
          </cell>
          <cell r="O898" t="str">
            <v>펌프카(1대)</v>
          </cell>
          <cell r="P898">
            <v>748</v>
          </cell>
          <cell r="Q898">
            <v>1208</v>
          </cell>
          <cell r="R898">
            <v>170</v>
          </cell>
          <cell r="S898">
            <v>48</v>
          </cell>
          <cell r="T898">
            <v>14</v>
          </cell>
          <cell r="U898">
            <v>232</v>
          </cell>
          <cell r="V898"/>
          <cell r="W898" t="str">
            <v>박순홍</v>
          </cell>
          <cell r="X898" t="str">
            <v>(인)</v>
          </cell>
          <cell r="Y898" t="str">
            <v>김광록</v>
          </cell>
          <cell r="Z898" t="str">
            <v>(인)</v>
          </cell>
          <cell r="AA898" t="str">
            <v>박기원</v>
          </cell>
          <cell r="AB898" t="str">
            <v>(인)</v>
          </cell>
          <cell r="AC898" t="str">
            <v>박상갑</v>
          </cell>
          <cell r="AD898" t="str">
            <v>(인)</v>
          </cell>
          <cell r="AE898">
            <v>178.9</v>
          </cell>
          <cell r="AF898" t="str">
            <v>표준</v>
          </cell>
          <cell r="AG898">
            <v>3</v>
          </cell>
          <cell r="AH898">
            <v>0</v>
          </cell>
        </row>
        <row r="899">
          <cell r="G899">
            <v>2408160201</v>
          </cell>
          <cell r="H899" t="str">
            <v>115동</v>
          </cell>
          <cell r="I899">
            <v>240816</v>
          </cell>
          <cell r="J899" t="str">
            <v>115동 지하2층 바닥</v>
          </cell>
          <cell r="K899">
            <v>360</v>
          </cell>
          <cell r="L899">
            <v>360</v>
          </cell>
          <cell r="M899">
            <v>3015</v>
          </cell>
          <cell r="N899" t="str">
            <v>영진</v>
          </cell>
          <cell r="O899" t="str">
            <v>펌프카(1대)</v>
          </cell>
          <cell r="P899">
            <v>749</v>
          </cell>
          <cell r="Q899">
            <v>1214</v>
          </cell>
          <cell r="R899">
            <v>145</v>
          </cell>
          <cell r="S899">
            <v>48</v>
          </cell>
          <cell r="T899">
            <v>42</v>
          </cell>
          <cell r="U899">
            <v>241</v>
          </cell>
          <cell r="V899"/>
          <cell r="W899" t="str">
            <v>박순홍</v>
          </cell>
          <cell r="X899" t="str">
            <v>(인)</v>
          </cell>
          <cell r="Y899" t="str">
            <v>김광록</v>
          </cell>
          <cell r="Z899" t="str">
            <v>(인)</v>
          </cell>
          <cell r="AA899" t="str">
            <v>박기원</v>
          </cell>
          <cell r="AB899" t="str">
            <v>(인)</v>
          </cell>
          <cell r="AC899" t="str">
            <v>박상갑</v>
          </cell>
          <cell r="AD899" t="str">
            <v>(인)</v>
          </cell>
          <cell r="AE899">
            <v>179.4</v>
          </cell>
          <cell r="AF899" t="str">
            <v>표준</v>
          </cell>
          <cell r="AG899">
            <v>1</v>
          </cell>
          <cell r="AH899">
            <v>1</v>
          </cell>
          <cell r="AI899">
            <v>2474</v>
          </cell>
          <cell r="AJ899">
            <v>2718</v>
          </cell>
          <cell r="AK899">
            <v>212800</v>
          </cell>
          <cell r="AL899">
            <v>3748</v>
          </cell>
          <cell r="AM899">
            <v>3821</v>
          </cell>
          <cell r="AN899">
            <v>3795</v>
          </cell>
          <cell r="AO899">
            <v>3874</v>
          </cell>
          <cell r="AP899">
            <v>3852</v>
          </cell>
          <cell r="AQ899">
            <v>3784</v>
          </cell>
          <cell r="AR899">
            <v>3806</v>
          </cell>
          <cell r="AS899">
            <v>3752</v>
          </cell>
          <cell r="AT899">
            <v>307200</v>
          </cell>
        </row>
        <row r="900">
          <cell r="G900">
            <v>2408160202</v>
          </cell>
          <cell r="H900" t="str">
            <v>115동</v>
          </cell>
          <cell r="I900">
            <v>240816</v>
          </cell>
          <cell r="J900" t="str">
            <v>115동 지하2층 바닥</v>
          </cell>
          <cell r="K900">
            <v>360</v>
          </cell>
          <cell r="L900">
            <v>360</v>
          </cell>
          <cell r="M900">
            <v>3015</v>
          </cell>
          <cell r="N900" t="str">
            <v>영진</v>
          </cell>
          <cell r="O900" t="str">
            <v>펌프카(1대)</v>
          </cell>
          <cell r="P900">
            <v>749</v>
          </cell>
          <cell r="Q900">
            <v>1214</v>
          </cell>
          <cell r="R900">
            <v>155</v>
          </cell>
          <cell r="S900">
            <v>50</v>
          </cell>
          <cell r="T900">
            <v>12</v>
          </cell>
          <cell r="U900">
            <v>237</v>
          </cell>
          <cell r="V900"/>
          <cell r="W900" t="str">
            <v>박순홍</v>
          </cell>
          <cell r="X900" t="str">
            <v>(인)</v>
          </cell>
          <cell r="Y900" t="str">
            <v>김광록</v>
          </cell>
          <cell r="Z900" t="str">
            <v>(인)</v>
          </cell>
          <cell r="AA900" t="str">
            <v>박기원</v>
          </cell>
          <cell r="AB900" t="str">
            <v>(인)</v>
          </cell>
          <cell r="AC900" t="str">
            <v>박상갑</v>
          </cell>
          <cell r="AD900" t="str">
            <v>(인)</v>
          </cell>
          <cell r="AE900">
            <v>180.7</v>
          </cell>
          <cell r="AF900" t="str">
            <v>표준</v>
          </cell>
          <cell r="AG900">
            <v>2</v>
          </cell>
          <cell r="AH900">
            <v>0</v>
          </cell>
        </row>
        <row r="901">
          <cell r="G901">
            <v>2408160203</v>
          </cell>
          <cell r="H901" t="str">
            <v>115동</v>
          </cell>
          <cell r="I901">
            <v>240816</v>
          </cell>
          <cell r="J901" t="str">
            <v>115동 지하2층 바닥</v>
          </cell>
          <cell r="K901">
            <v>360</v>
          </cell>
          <cell r="L901">
            <v>360</v>
          </cell>
          <cell r="M901">
            <v>3015</v>
          </cell>
          <cell r="N901" t="str">
            <v>영진</v>
          </cell>
          <cell r="O901" t="str">
            <v>펌프카(1대)</v>
          </cell>
          <cell r="P901">
            <v>749</v>
          </cell>
          <cell r="Q901">
            <v>1214</v>
          </cell>
          <cell r="R901">
            <v>160</v>
          </cell>
          <cell r="S901">
            <v>52</v>
          </cell>
          <cell r="T901">
            <v>47</v>
          </cell>
          <cell r="U901">
            <v>239</v>
          </cell>
          <cell r="V901"/>
          <cell r="W901" t="str">
            <v>박순홍</v>
          </cell>
          <cell r="X901" t="str">
            <v>(인)</v>
          </cell>
          <cell r="Y901" t="str">
            <v>김광록</v>
          </cell>
          <cell r="Z901" t="str">
            <v>(인)</v>
          </cell>
          <cell r="AA901" t="str">
            <v>박기원</v>
          </cell>
          <cell r="AB901" t="str">
            <v>(인)</v>
          </cell>
          <cell r="AC901" t="str">
            <v>박상갑</v>
          </cell>
          <cell r="AD901" t="str">
            <v>(인)</v>
          </cell>
          <cell r="AE901">
            <v>181.6</v>
          </cell>
          <cell r="AF901" t="str">
            <v>표준</v>
          </cell>
          <cell r="AG901">
            <v>3</v>
          </cell>
          <cell r="AH901">
            <v>0</v>
          </cell>
        </row>
        <row r="902">
          <cell r="G902">
            <v>2408160301</v>
          </cell>
          <cell r="H902" t="str">
            <v>115동</v>
          </cell>
          <cell r="I902">
            <v>240816</v>
          </cell>
          <cell r="J902" t="str">
            <v xml:space="preserve">115동 지하2층 바닥 </v>
          </cell>
          <cell r="K902">
            <v>120</v>
          </cell>
          <cell r="L902">
            <v>120</v>
          </cell>
          <cell r="M902">
            <v>2715</v>
          </cell>
          <cell r="N902" t="str">
            <v>영진</v>
          </cell>
          <cell r="O902" t="str">
            <v>펌프카(1대)</v>
          </cell>
          <cell r="P902">
            <v>1200</v>
          </cell>
          <cell r="Q902">
            <v>1525</v>
          </cell>
          <cell r="R902">
            <v>150</v>
          </cell>
          <cell r="S902">
            <v>37</v>
          </cell>
          <cell r="T902">
            <v>34</v>
          </cell>
          <cell r="U902">
            <v>272</v>
          </cell>
          <cell r="V902"/>
          <cell r="W902" t="str">
            <v>박순홍</v>
          </cell>
          <cell r="X902" t="str">
            <v>(인)</v>
          </cell>
          <cell r="Y902" t="str">
            <v>김광록</v>
          </cell>
          <cell r="Z902" t="str">
            <v>(인)</v>
          </cell>
          <cell r="AA902" t="str">
            <v>박기원</v>
          </cell>
          <cell r="AB902" t="str">
            <v>(인)</v>
          </cell>
          <cell r="AC902" t="str">
            <v>박상갑</v>
          </cell>
          <cell r="AD902" t="str">
            <v>(인)</v>
          </cell>
          <cell r="AE902">
            <v>178.3</v>
          </cell>
          <cell r="AF902" t="str">
            <v>표준</v>
          </cell>
          <cell r="AG902">
            <v>1</v>
          </cell>
          <cell r="AH902">
            <v>1</v>
          </cell>
          <cell r="AI902">
            <v>2368</v>
          </cell>
          <cell r="AJ902">
            <v>2409</v>
          </cell>
          <cell r="AK902">
            <v>186800</v>
          </cell>
          <cell r="AL902">
            <v>3488</v>
          </cell>
          <cell r="AM902">
            <v>3454</v>
          </cell>
          <cell r="AN902">
            <v>3465</v>
          </cell>
          <cell r="AO902">
            <v>3410</v>
          </cell>
          <cell r="AP902">
            <v>3309</v>
          </cell>
          <cell r="AQ902">
            <v>3422</v>
          </cell>
          <cell r="AR902">
            <v>3363</v>
          </cell>
          <cell r="AS902">
            <v>3371</v>
          </cell>
          <cell r="AT902">
            <v>261200</v>
          </cell>
        </row>
        <row r="903">
          <cell r="G903">
            <v>2408160401</v>
          </cell>
          <cell r="H903" t="str">
            <v>115동</v>
          </cell>
          <cell r="I903">
            <v>240816</v>
          </cell>
          <cell r="J903" t="str">
            <v xml:space="preserve">115동 지하2층 바닥 </v>
          </cell>
          <cell r="K903">
            <v>70</v>
          </cell>
          <cell r="L903">
            <v>72</v>
          </cell>
          <cell r="M903">
            <v>2715</v>
          </cell>
          <cell r="N903" t="str">
            <v>대공</v>
          </cell>
          <cell r="O903" t="str">
            <v>펌프카(1대)</v>
          </cell>
          <cell r="P903">
            <v>1242</v>
          </cell>
          <cell r="Q903">
            <v>1333</v>
          </cell>
          <cell r="R903">
            <v>145</v>
          </cell>
          <cell r="S903">
            <v>51</v>
          </cell>
          <cell r="T903">
            <v>38</v>
          </cell>
          <cell r="U903">
            <v>244</v>
          </cell>
          <cell r="V903"/>
          <cell r="W903" t="str">
            <v>박순홍</v>
          </cell>
          <cell r="X903" t="str">
            <v>(인)</v>
          </cell>
          <cell r="Y903" t="str">
            <v>김광록</v>
          </cell>
          <cell r="Z903" t="str">
            <v>(인)</v>
          </cell>
          <cell r="AA903" t="str">
            <v>박기원</v>
          </cell>
          <cell r="AB903" t="str">
            <v>(인)</v>
          </cell>
          <cell r="AC903" t="str">
            <v>박상갑</v>
          </cell>
          <cell r="AD903" t="str">
            <v>(인)</v>
          </cell>
          <cell r="AE903">
            <v>179.6</v>
          </cell>
          <cell r="AF903" t="str">
            <v>표준</v>
          </cell>
          <cell r="AG903">
            <v>1</v>
          </cell>
          <cell r="AH903">
            <v>1</v>
          </cell>
          <cell r="AI903">
            <v>2510</v>
          </cell>
          <cell r="AJ903">
            <v>2567</v>
          </cell>
          <cell r="AK903">
            <v>199400</v>
          </cell>
          <cell r="AL903">
            <v>3419</v>
          </cell>
          <cell r="AM903">
            <v>3420</v>
          </cell>
          <cell r="AN903">
            <v>3394</v>
          </cell>
          <cell r="AO903">
            <v>3426</v>
          </cell>
          <cell r="AP903">
            <v>3594</v>
          </cell>
          <cell r="AQ903">
            <v>3612</v>
          </cell>
          <cell r="AR903">
            <v>3628</v>
          </cell>
          <cell r="AS903">
            <v>3510</v>
          </cell>
          <cell r="AT903">
            <v>274400</v>
          </cell>
        </row>
        <row r="904">
          <cell r="G904">
            <v>2408190101</v>
          </cell>
          <cell r="H904" t="str">
            <v>117동</v>
          </cell>
          <cell r="I904">
            <v>240819</v>
          </cell>
          <cell r="J904" t="str">
            <v>전기실, 발전기실 벽체</v>
          </cell>
          <cell r="K904">
            <v>12</v>
          </cell>
          <cell r="L904">
            <v>12</v>
          </cell>
          <cell r="M904">
            <v>2715</v>
          </cell>
          <cell r="N904" t="str">
            <v>동양</v>
          </cell>
          <cell r="O904" t="str">
            <v>펌프카(1대)</v>
          </cell>
          <cell r="P904">
            <v>749</v>
          </cell>
          <cell r="Q904">
            <v>810</v>
          </cell>
          <cell r="R904">
            <v>165</v>
          </cell>
          <cell r="S904">
            <v>41</v>
          </cell>
          <cell r="T904">
            <v>26</v>
          </cell>
          <cell r="U904">
            <v>267</v>
          </cell>
          <cell r="V904"/>
          <cell r="W904" t="str">
            <v>박순홍</v>
          </cell>
          <cell r="X904" t="str">
            <v>(인)</v>
          </cell>
          <cell r="Y904" t="str">
            <v>김광록</v>
          </cell>
          <cell r="Z904" t="str">
            <v>(인)</v>
          </cell>
          <cell r="AA904" t="str">
            <v>박상갑</v>
          </cell>
          <cell r="AB904" t="str">
            <v>(인)</v>
          </cell>
          <cell r="AC904" t="str">
            <v>박기원</v>
          </cell>
          <cell r="AD904" t="str">
            <v>(인)</v>
          </cell>
          <cell r="AE904">
            <v>178.3</v>
          </cell>
          <cell r="AF904" t="str">
            <v>표준</v>
          </cell>
          <cell r="AG904">
            <v>1</v>
          </cell>
          <cell r="AH904">
            <v>1</v>
          </cell>
          <cell r="AI904">
            <v>2490</v>
          </cell>
          <cell r="AJ904">
            <v>2506</v>
          </cell>
          <cell r="AK904">
            <v>197200</v>
          </cell>
          <cell r="AL904">
            <v>3552</v>
          </cell>
          <cell r="AM904">
            <v>3254</v>
          </cell>
          <cell r="AN904">
            <v>3362</v>
          </cell>
          <cell r="AO904">
            <v>3292</v>
          </cell>
          <cell r="AP904">
            <v>3372</v>
          </cell>
          <cell r="AQ904">
            <v>3504</v>
          </cell>
          <cell r="AR904">
            <v>3502</v>
          </cell>
          <cell r="AS904">
            <v>3507</v>
          </cell>
          <cell r="AT904">
            <v>244600</v>
          </cell>
        </row>
        <row r="905">
          <cell r="G905">
            <v>2408190201</v>
          </cell>
          <cell r="H905" t="str">
            <v>117동</v>
          </cell>
          <cell r="I905">
            <v>240819</v>
          </cell>
          <cell r="J905" t="str">
            <v>F구간 기초</v>
          </cell>
          <cell r="K905">
            <v>650</v>
          </cell>
          <cell r="L905">
            <v>648</v>
          </cell>
          <cell r="M905">
            <v>2415</v>
          </cell>
          <cell r="N905" t="str">
            <v>동양</v>
          </cell>
          <cell r="O905" t="str">
            <v>펌프카(1대)</v>
          </cell>
          <cell r="P905">
            <v>801</v>
          </cell>
          <cell r="Q905">
            <v>1735</v>
          </cell>
          <cell r="R905">
            <v>150</v>
          </cell>
          <cell r="S905">
            <v>39</v>
          </cell>
          <cell r="T905">
            <v>100</v>
          </cell>
          <cell r="U905">
            <v>259</v>
          </cell>
          <cell r="V905"/>
          <cell r="W905" t="str">
            <v>박순홍</v>
          </cell>
          <cell r="X905" t="str">
            <v>(인)</v>
          </cell>
          <cell r="Y905" t="str">
            <v>김광록</v>
          </cell>
          <cell r="Z905" t="str">
            <v>(인)</v>
          </cell>
          <cell r="AA905" t="str">
            <v>박상갑</v>
          </cell>
          <cell r="AB905" t="str">
            <v>(인)</v>
          </cell>
          <cell r="AC905" t="str">
            <v>박기원</v>
          </cell>
          <cell r="AD905" t="str">
            <v>(인)</v>
          </cell>
          <cell r="AE905">
            <v>170</v>
          </cell>
          <cell r="AF905" t="str">
            <v>표준</v>
          </cell>
          <cell r="AG905">
            <v>1</v>
          </cell>
          <cell r="AH905">
            <v>1</v>
          </cell>
          <cell r="AI905">
            <v>2391</v>
          </cell>
          <cell r="AJ905">
            <v>2372</v>
          </cell>
          <cell r="AK905">
            <v>181200</v>
          </cell>
          <cell r="AL905">
            <v>3284</v>
          </cell>
          <cell r="AM905">
            <v>3190</v>
          </cell>
          <cell r="AN905">
            <v>3177</v>
          </cell>
          <cell r="AO905">
            <v>3162</v>
          </cell>
          <cell r="AP905">
            <v>3148</v>
          </cell>
          <cell r="AQ905">
            <v>3194</v>
          </cell>
          <cell r="AR905">
            <v>3147</v>
          </cell>
          <cell r="AS905">
            <v>3206</v>
          </cell>
          <cell r="AT905">
            <v>258000</v>
          </cell>
        </row>
        <row r="906">
          <cell r="G906">
            <v>2408190202</v>
          </cell>
          <cell r="H906" t="str">
            <v>117동</v>
          </cell>
          <cell r="I906">
            <v>240819</v>
          </cell>
          <cell r="J906" t="str">
            <v>F구간 기초</v>
          </cell>
          <cell r="K906">
            <v>650</v>
          </cell>
          <cell r="L906">
            <v>648</v>
          </cell>
          <cell r="M906">
            <v>2415</v>
          </cell>
          <cell r="N906" t="str">
            <v>동양</v>
          </cell>
          <cell r="O906" t="str">
            <v>펌프카(1대)</v>
          </cell>
          <cell r="P906">
            <v>801</v>
          </cell>
          <cell r="Q906">
            <v>1735</v>
          </cell>
          <cell r="R906">
            <v>155</v>
          </cell>
          <cell r="S906">
            <v>34</v>
          </cell>
          <cell r="T906">
            <v>22</v>
          </cell>
          <cell r="U906">
            <v>265</v>
          </cell>
          <cell r="V906"/>
          <cell r="W906" t="str">
            <v>박순홍</v>
          </cell>
          <cell r="X906" t="str">
            <v>(인)</v>
          </cell>
          <cell r="Y906" t="str">
            <v>김광록</v>
          </cell>
          <cell r="Z906" t="str">
            <v>(인)</v>
          </cell>
          <cell r="AA906" t="str">
            <v>박상갑</v>
          </cell>
          <cell r="AB906" t="str">
            <v>(인)</v>
          </cell>
          <cell r="AC906" t="str">
            <v>박기원</v>
          </cell>
          <cell r="AD906" t="str">
            <v>(인)</v>
          </cell>
          <cell r="AE906">
            <v>164.1</v>
          </cell>
          <cell r="AF906" t="str">
            <v>표준</v>
          </cell>
          <cell r="AG906">
            <v>2</v>
          </cell>
          <cell r="AH906">
            <v>0</v>
          </cell>
        </row>
        <row r="907">
          <cell r="G907">
            <v>2408190203</v>
          </cell>
          <cell r="H907" t="str">
            <v>117동</v>
          </cell>
          <cell r="I907">
            <v>240819</v>
          </cell>
          <cell r="J907" t="str">
            <v>F구간 기초</v>
          </cell>
          <cell r="K907">
            <v>650</v>
          </cell>
          <cell r="L907">
            <v>648</v>
          </cell>
          <cell r="M907">
            <v>2415</v>
          </cell>
          <cell r="N907" t="str">
            <v>동양</v>
          </cell>
          <cell r="O907" t="str">
            <v>펌프카(1대)</v>
          </cell>
          <cell r="P907">
            <v>801</v>
          </cell>
          <cell r="Q907">
            <v>1735</v>
          </cell>
          <cell r="R907">
            <v>155</v>
          </cell>
          <cell r="S907">
            <v>45</v>
          </cell>
          <cell r="T907">
            <v>21</v>
          </cell>
          <cell r="U907">
            <v>269</v>
          </cell>
          <cell r="V907"/>
          <cell r="W907" t="str">
            <v>박순홍</v>
          </cell>
          <cell r="X907" t="str">
            <v>(인)</v>
          </cell>
          <cell r="Y907" t="str">
            <v>김광록</v>
          </cell>
          <cell r="Z907" t="str">
            <v>(인)</v>
          </cell>
          <cell r="AA907" t="str">
            <v>박상갑</v>
          </cell>
          <cell r="AB907" t="str">
            <v>(인)</v>
          </cell>
          <cell r="AC907" t="str">
            <v>박기원</v>
          </cell>
          <cell r="AD907" t="str">
            <v>(인)</v>
          </cell>
          <cell r="AE907">
            <v>168.6</v>
          </cell>
          <cell r="AF907" t="str">
            <v>표준</v>
          </cell>
          <cell r="AG907">
            <v>3</v>
          </cell>
          <cell r="AH907">
            <v>0</v>
          </cell>
        </row>
        <row r="908">
          <cell r="G908">
            <v>2408190204</v>
          </cell>
          <cell r="H908" t="str">
            <v>117동</v>
          </cell>
          <cell r="I908">
            <v>240819</v>
          </cell>
          <cell r="J908" t="str">
            <v>F구간 기초</v>
          </cell>
          <cell r="K908">
            <v>650</v>
          </cell>
          <cell r="L908">
            <v>648</v>
          </cell>
          <cell r="M908">
            <v>2415</v>
          </cell>
          <cell r="N908" t="str">
            <v>동양</v>
          </cell>
          <cell r="O908" t="str">
            <v>펌프카(1대)</v>
          </cell>
          <cell r="P908">
            <v>801</v>
          </cell>
          <cell r="Q908">
            <v>1735</v>
          </cell>
          <cell r="R908">
            <v>140</v>
          </cell>
          <cell r="S908">
            <v>37</v>
          </cell>
          <cell r="T908">
            <v>93</v>
          </cell>
          <cell r="U908">
            <v>276</v>
          </cell>
          <cell r="V908"/>
          <cell r="W908" t="str">
            <v>박순홍</v>
          </cell>
          <cell r="X908" t="str">
            <v>(인)</v>
          </cell>
          <cell r="Y908" t="str">
            <v>김광록</v>
          </cell>
          <cell r="Z908" t="str">
            <v>(인)</v>
          </cell>
          <cell r="AA908" t="str">
            <v>박상갑</v>
          </cell>
          <cell r="AB908" t="str">
            <v>(인)</v>
          </cell>
          <cell r="AC908" t="str">
            <v>박기원</v>
          </cell>
          <cell r="AD908" t="str">
            <v>(인)</v>
          </cell>
          <cell r="AE908">
            <v>189</v>
          </cell>
          <cell r="AF908" t="str">
            <v>표준</v>
          </cell>
          <cell r="AG908">
            <v>4</v>
          </cell>
          <cell r="AH908">
            <v>1</v>
          </cell>
          <cell r="AL908">
            <v>3307</v>
          </cell>
          <cell r="AM908">
            <v>3165</v>
          </cell>
          <cell r="AN908">
            <v>3206</v>
          </cell>
          <cell r="AO908">
            <v>3304</v>
          </cell>
          <cell r="AP908">
            <v>3271</v>
          </cell>
          <cell r="AQ908">
            <v>3194</v>
          </cell>
          <cell r="AR908">
            <v>3360</v>
          </cell>
          <cell r="AS908">
            <v>3210</v>
          </cell>
          <cell r="AT908">
            <v>245600</v>
          </cell>
        </row>
        <row r="909">
          <cell r="G909">
            <v>2408190205</v>
          </cell>
          <cell r="H909" t="str">
            <v>117동</v>
          </cell>
          <cell r="I909">
            <v>240819</v>
          </cell>
          <cell r="J909" t="str">
            <v>F구간 기초</v>
          </cell>
          <cell r="K909">
            <v>650</v>
          </cell>
          <cell r="L909">
            <v>648</v>
          </cell>
          <cell r="M909">
            <v>2415</v>
          </cell>
          <cell r="N909" t="str">
            <v>동양</v>
          </cell>
          <cell r="O909" t="str">
            <v>펌프카(1대)</v>
          </cell>
          <cell r="P909">
            <v>801</v>
          </cell>
          <cell r="Q909">
            <v>1735</v>
          </cell>
          <cell r="R909">
            <v>145</v>
          </cell>
          <cell r="S909">
            <v>47</v>
          </cell>
          <cell r="T909">
            <v>108</v>
          </cell>
          <cell r="U909">
            <v>277</v>
          </cell>
          <cell r="V909"/>
          <cell r="W909" t="str">
            <v>박순홍</v>
          </cell>
          <cell r="X909" t="str">
            <v>(인)</v>
          </cell>
          <cell r="Y909" t="str">
            <v>김광록</v>
          </cell>
          <cell r="Z909" t="str">
            <v>(인)</v>
          </cell>
          <cell r="AA909" t="str">
            <v>박상갑</v>
          </cell>
          <cell r="AB909" t="str">
            <v>(인)</v>
          </cell>
          <cell r="AC909" t="str">
            <v>박기원</v>
          </cell>
          <cell r="AD909" t="str">
            <v>(인)</v>
          </cell>
          <cell r="AE909">
            <v>186</v>
          </cell>
          <cell r="AF909" t="str">
            <v>표준</v>
          </cell>
          <cell r="AG909">
            <v>5</v>
          </cell>
          <cell r="AH909">
            <v>0</v>
          </cell>
        </row>
        <row r="910">
          <cell r="G910">
            <v>2408190206</v>
          </cell>
          <cell r="H910" t="str">
            <v>117동</v>
          </cell>
          <cell r="I910">
            <v>240819</v>
          </cell>
          <cell r="J910" t="str">
            <v>F구간 기초</v>
          </cell>
          <cell r="K910">
            <v>650</v>
          </cell>
          <cell r="L910">
            <v>648</v>
          </cell>
          <cell r="M910">
            <v>2415</v>
          </cell>
          <cell r="N910" t="str">
            <v>동양</v>
          </cell>
          <cell r="O910" t="str">
            <v>펌프카(1대)</v>
          </cell>
          <cell r="P910">
            <v>801</v>
          </cell>
          <cell r="Q910">
            <v>1735</v>
          </cell>
          <cell r="R910">
            <v>160</v>
          </cell>
          <cell r="S910">
            <v>44</v>
          </cell>
          <cell r="T910">
            <v>42</v>
          </cell>
          <cell r="U910">
            <v>284</v>
          </cell>
          <cell r="V910"/>
          <cell r="W910" t="str">
            <v>박순홍</v>
          </cell>
          <cell r="X910" t="str">
            <v>(인)</v>
          </cell>
          <cell r="Y910" t="str">
            <v>김광록</v>
          </cell>
          <cell r="Z910" t="str">
            <v>(인)</v>
          </cell>
          <cell r="AA910" t="str">
            <v>박상갑</v>
          </cell>
          <cell r="AB910" t="str">
            <v>(인)</v>
          </cell>
          <cell r="AC910" t="str">
            <v>박기원</v>
          </cell>
          <cell r="AD910" t="str">
            <v>(인)</v>
          </cell>
          <cell r="AE910">
            <v>187.2</v>
          </cell>
          <cell r="AF910" t="str">
            <v>표준</v>
          </cell>
          <cell r="AG910">
            <v>6</v>
          </cell>
          <cell r="AH910">
            <v>0</v>
          </cell>
        </row>
        <row r="911">
          <cell r="G911">
            <v>2408190301</v>
          </cell>
          <cell r="H911" t="str">
            <v>109동</v>
          </cell>
          <cell r="I911">
            <v>240819</v>
          </cell>
          <cell r="J911" t="str">
            <v>109동 1차</v>
          </cell>
          <cell r="K911">
            <v>360</v>
          </cell>
          <cell r="L911">
            <v>360</v>
          </cell>
          <cell r="M911">
            <v>3015</v>
          </cell>
          <cell r="N911" t="str">
            <v>대원</v>
          </cell>
          <cell r="O911" t="str">
            <v>펌프카(1대)</v>
          </cell>
          <cell r="P911">
            <v>803</v>
          </cell>
          <cell r="Q911">
            <v>1551</v>
          </cell>
          <cell r="R911">
            <v>155</v>
          </cell>
          <cell r="S911">
            <v>48</v>
          </cell>
          <cell r="T911">
            <v>37</v>
          </cell>
          <cell r="U911">
            <v>275</v>
          </cell>
          <cell r="V911"/>
          <cell r="W911" t="str">
            <v>박순홍</v>
          </cell>
          <cell r="X911" t="str">
            <v>(인)</v>
          </cell>
          <cell r="Y911" t="str">
            <v>김광록</v>
          </cell>
          <cell r="Z911" t="str">
            <v>(인)</v>
          </cell>
          <cell r="AA911" t="str">
            <v>박상갑</v>
          </cell>
          <cell r="AB911" t="str">
            <v>(인)</v>
          </cell>
          <cell r="AC911" t="str">
            <v>박기원</v>
          </cell>
          <cell r="AD911" t="str">
            <v>(인)</v>
          </cell>
          <cell r="AE911">
            <v>185.3</v>
          </cell>
          <cell r="AF911" t="str">
            <v>표준</v>
          </cell>
          <cell r="AG911">
            <v>1</v>
          </cell>
          <cell r="AH911">
            <v>1</v>
          </cell>
          <cell r="AI911">
            <v>2846</v>
          </cell>
          <cell r="AJ911">
            <v>2872</v>
          </cell>
          <cell r="AK911">
            <v>220600</v>
          </cell>
          <cell r="AL911">
            <v>3812</v>
          </cell>
          <cell r="AM911">
            <v>3813</v>
          </cell>
          <cell r="AN911">
            <v>3906</v>
          </cell>
          <cell r="AO911">
            <v>3927</v>
          </cell>
          <cell r="AP911">
            <v>3966</v>
          </cell>
          <cell r="AQ911">
            <v>3872</v>
          </cell>
          <cell r="AR911">
            <v>3864</v>
          </cell>
          <cell r="AS911">
            <v>3799</v>
          </cell>
          <cell r="AT911">
            <v>306000</v>
          </cell>
        </row>
        <row r="912">
          <cell r="G912">
            <v>2408190302</v>
          </cell>
          <cell r="H912" t="str">
            <v>109동</v>
          </cell>
          <cell r="I912">
            <v>240819</v>
          </cell>
          <cell r="J912" t="str">
            <v>109동 1차</v>
          </cell>
          <cell r="K912">
            <v>360</v>
          </cell>
          <cell r="L912">
            <v>360</v>
          </cell>
          <cell r="M912">
            <v>3015</v>
          </cell>
          <cell r="N912" t="str">
            <v>대원</v>
          </cell>
          <cell r="O912" t="str">
            <v>펌프카(1대)</v>
          </cell>
          <cell r="P912">
            <v>803</v>
          </cell>
          <cell r="Q912">
            <v>1551</v>
          </cell>
          <cell r="R912">
            <v>170</v>
          </cell>
          <cell r="S912">
            <v>46</v>
          </cell>
          <cell r="T912">
            <v>56</v>
          </cell>
          <cell r="U912">
            <v>279</v>
          </cell>
          <cell r="V912"/>
          <cell r="W912" t="str">
            <v>박순홍</v>
          </cell>
          <cell r="X912" t="str">
            <v>(인)</v>
          </cell>
          <cell r="Y912" t="str">
            <v>김광록</v>
          </cell>
          <cell r="Z912" t="str">
            <v>(인)</v>
          </cell>
          <cell r="AA912" t="str">
            <v>박상갑</v>
          </cell>
          <cell r="AB912" t="str">
            <v>(인)</v>
          </cell>
          <cell r="AC912" t="str">
            <v>박기원</v>
          </cell>
          <cell r="AD912" t="str">
            <v>(인)</v>
          </cell>
          <cell r="AE912">
            <v>184.5</v>
          </cell>
          <cell r="AF912" t="str">
            <v>표준</v>
          </cell>
          <cell r="AG912">
            <v>2</v>
          </cell>
          <cell r="AH912">
            <v>0</v>
          </cell>
        </row>
        <row r="913">
          <cell r="G913">
            <v>2408190303</v>
          </cell>
          <cell r="H913" t="str">
            <v>109동</v>
          </cell>
          <cell r="I913">
            <v>240819</v>
          </cell>
          <cell r="J913" t="str">
            <v>109동 1차</v>
          </cell>
          <cell r="K913">
            <v>360</v>
          </cell>
          <cell r="L913">
            <v>360</v>
          </cell>
          <cell r="M913">
            <v>3015</v>
          </cell>
          <cell r="N913" t="str">
            <v>대원</v>
          </cell>
          <cell r="O913" t="str">
            <v>펌프카(1대)</v>
          </cell>
          <cell r="P913">
            <v>803</v>
          </cell>
          <cell r="Q913">
            <v>1551</v>
          </cell>
          <cell r="R913">
            <v>170</v>
          </cell>
          <cell r="S913">
            <v>49</v>
          </cell>
          <cell r="T913">
            <v>45</v>
          </cell>
          <cell r="U913">
            <v>272</v>
          </cell>
          <cell r="V913"/>
          <cell r="W913" t="str">
            <v>박순홍</v>
          </cell>
          <cell r="X913" t="str">
            <v>(인)</v>
          </cell>
          <cell r="Y913" t="str">
            <v>김광록</v>
          </cell>
          <cell r="Z913" t="str">
            <v>(인)</v>
          </cell>
          <cell r="AA913" t="str">
            <v>박상갑</v>
          </cell>
          <cell r="AB913" t="str">
            <v>(인)</v>
          </cell>
          <cell r="AC913" t="str">
            <v>박기원</v>
          </cell>
          <cell r="AD913" t="str">
            <v>(인)</v>
          </cell>
          <cell r="AE913">
            <v>171</v>
          </cell>
          <cell r="AF913" t="str">
            <v>표준</v>
          </cell>
          <cell r="AG913">
            <v>3</v>
          </cell>
          <cell r="AH913">
            <v>0</v>
          </cell>
        </row>
        <row r="914">
          <cell r="G914">
            <v>2408190401</v>
          </cell>
          <cell r="H914" t="str">
            <v>109동</v>
          </cell>
          <cell r="I914">
            <v>240819</v>
          </cell>
          <cell r="J914" t="str">
            <v>109동 1차</v>
          </cell>
          <cell r="K914">
            <v>110</v>
          </cell>
          <cell r="L914">
            <v>108</v>
          </cell>
          <cell r="M914">
            <v>2715</v>
          </cell>
          <cell r="N914" t="str">
            <v>대원</v>
          </cell>
          <cell r="O914" t="str">
            <v>펌프카(1대)</v>
          </cell>
          <cell r="P914">
            <v>1220</v>
          </cell>
          <cell r="Q914">
            <v>1442</v>
          </cell>
          <cell r="R914">
            <v>150</v>
          </cell>
          <cell r="S914">
            <v>42</v>
          </cell>
          <cell r="T914">
            <v>29</v>
          </cell>
          <cell r="U914">
            <v>273</v>
          </cell>
          <cell r="V914"/>
          <cell r="W914" t="str">
            <v>박순홍</v>
          </cell>
          <cell r="X914" t="str">
            <v>(인)</v>
          </cell>
          <cell r="Y914" t="str">
            <v>김광록</v>
          </cell>
          <cell r="Z914" t="str">
            <v>(인)</v>
          </cell>
          <cell r="AA914" t="str">
            <v>박상갑</v>
          </cell>
          <cell r="AB914" t="str">
            <v>(인)</v>
          </cell>
          <cell r="AC914" t="str">
            <v>박기원</v>
          </cell>
          <cell r="AD914" t="str">
            <v>(인)</v>
          </cell>
          <cell r="AE914">
            <v>186.4</v>
          </cell>
          <cell r="AF914" t="str">
            <v>표준</v>
          </cell>
          <cell r="AG914">
            <v>1</v>
          </cell>
          <cell r="AH914">
            <v>1</v>
          </cell>
          <cell r="AI914">
            <v>2457</v>
          </cell>
          <cell r="AJ914">
            <v>2406</v>
          </cell>
          <cell r="AK914">
            <v>191400</v>
          </cell>
          <cell r="AL914">
            <v>3462</v>
          </cell>
          <cell r="AM914">
            <v>3453</v>
          </cell>
          <cell r="AN914">
            <v>3419</v>
          </cell>
          <cell r="AO914">
            <v>3482</v>
          </cell>
          <cell r="AP914">
            <v>3429</v>
          </cell>
          <cell r="AQ914">
            <v>3433</v>
          </cell>
          <cell r="AR914">
            <v>3421</v>
          </cell>
          <cell r="AS914">
            <v>3426</v>
          </cell>
          <cell r="AT914">
            <v>253800</v>
          </cell>
        </row>
        <row r="915">
          <cell r="G915">
            <v>2408190501</v>
          </cell>
          <cell r="H915" t="str">
            <v>117동</v>
          </cell>
          <cell r="I915">
            <v>240819</v>
          </cell>
          <cell r="J915" t="str">
            <v>F구간 기초</v>
          </cell>
          <cell r="K915">
            <v>60</v>
          </cell>
          <cell r="L915">
            <v>60</v>
          </cell>
          <cell r="M915">
            <v>2415</v>
          </cell>
          <cell r="N915" t="str">
            <v>대원</v>
          </cell>
          <cell r="O915" t="str">
            <v>펌프카(1대)</v>
          </cell>
          <cell r="P915">
            <v>1537</v>
          </cell>
          <cell r="Q915">
            <v>1635</v>
          </cell>
          <cell r="R915">
            <v>160</v>
          </cell>
          <cell r="S915">
            <v>49</v>
          </cell>
          <cell r="T915">
            <v>16</v>
          </cell>
          <cell r="U915">
            <v>277</v>
          </cell>
          <cell r="V915"/>
          <cell r="W915" t="str">
            <v>박순홍</v>
          </cell>
          <cell r="X915" t="str">
            <v>(인)</v>
          </cell>
          <cell r="Y915" t="str">
            <v>김광록</v>
          </cell>
          <cell r="Z915" t="str">
            <v>(인)</v>
          </cell>
          <cell r="AA915" t="str">
            <v>박상갑</v>
          </cell>
          <cell r="AB915" t="str">
            <v>(인)</v>
          </cell>
          <cell r="AC915" t="str">
            <v>박기원</v>
          </cell>
          <cell r="AD915" t="str">
            <v>(인)</v>
          </cell>
          <cell r="AE915">
            <v>182.6</v>
          </cell>
          <cell r="AF915" t="str">
            <v>표준</v>
          </cell>
          <cell r="AG915">
            <v>1</v>
          </cell>
          <cell r="AH915">
            <v>1</v>
          </cell>
          <cell r="AI915">
            <v>2319</v>
          </cell>
          <cell r="AJ915">
            <v>2306</v>
          </cell>
          <cell r="AK915">
            <v>191200</v>
          </cell>
          <cell r="AL915">
            <v>3132</v>
          </cell>
          <cell r="AM915">
            <v>3228</v>
          </cell>
          <cell r="AN915">
            <v>3206</v>
          </cell>
          <cell r="AO915">
            <v>3107</v>
          </cell>
          <cell r="AP915">
            <v>3106</v>
          </cell>
          <cell r="AQ915">
            <v>3010</v>
          </cell>
          <cell r="AR915">
            <v>3179</v>
          </cell>
          <cell r="AS915">
            <v>3206</v>
          </cell>
          <cell r="AT915">
            <v>247600</v>
          </cell>
        </row>
        <row r="916">
          <cell r="G916">
            <v>2408210101</v>
          </cell>
          <cell r="H916" t="str">
            <v>101동, 102동, 103동, 104동</v>
          </cell>
          <cell r="I916">
            <v>240821</v>
          </cell>
          <cell r="J916" t="str">
            <v>103동~104동 사이 지하주차장 지붕층 및 101동~102동 사이 램프 벽체</v>
          </cell>
          <cell r="K916">
            <v>220</v>
          </cell>
          <cell r="L916">
            <v>226</v>
          </cell>
          <cell r="M916">
            <v>2715</v>
          </cell>
          <cell r="N916" t="str">
            <v>동양</v>
          </cell>
          <cell r="O916" t="str">
            <v>펌프카(1대)</v>
          </cell>
          <cell r="P916">
            <v>840</v>
          </cell>
          <cell r="Q916">
            <v>1435</v>
          </cell>
          <cell r="R916">
            <v>160</v>
          </cell>
          <cell r="S916">
            <v>42</v>
          </cell>
          <cell r="T916">
            <v>29</v>
          </cell>
          <cell r="U916">
            <v>287</v>
          </cell>
          <cell r="V916"/>
          <cell r="W916" t="str">
            <v>박순홍</v>
          </cell>
          <cell r="X916" t="str">
            <v>(인)</v>
          </cell>
          <cell r="Y916" t="str">
            <v>김광록</v>
          </cell>
          <cell r="Z916" t="str">
            <v>(인)</v>
          </cell>
          <cell r="AA916" t="str">
            <v>박상갑</v>
          </cell>
          <cell r="AB916" t="str">
            <v>(인)</v>
          </cell>
          <cell r="AC916" t="str">
            <v>박기원</v>
          </cell>
          <cell r="AD916" t="str">
            <v>(인)</v>
          </cell>
          <cell r="AE916">
            <v>178.3</v>
          </cell>
          <cell r="AF916" t="str">
            <v>표준</v>
          </cell>
          <cell r="AG916">
            <v>1</v>
          </cell>
          <cell r="AH916">
            <v>1</v>
          </cell>
          <cell r="AI916">
            <v>2337</v>
          </cell>
          <cell r="AJ916">
            <v>2431</v>
          </cell>
          <cell r="AK916">
            <v>196400</v>
          </cell>
          <cell r="AL916">
            <v>3101</v>
          </cell>
          <cell r="AM916">
            <v>3371</v>
          </cell>
          <cell r="AN916">
            <v>3363</v>
          </cell>
          <cell r="AO916">
            <v>3234</v>
          </cell>
          <cell r="AP916">
            <v>3362</v>
          </cell>
          <cell r="AQ916">
            <v>3189</v>
          </cell>
          <cell r="AR916">
            <v>3244</v>
          </cell>
          <cell r="AS916">
            <v>3366</v>
          </cell>
          <cell r="AT916">
            <v>262000</v>
          </cell>
        </row>
        <row r="917">
          <cell r="G917">
            <v>2408210102</v>
          </cell>
          <cell r="H917" t="str">
            <v>101동, 102동, 103동, 104동</v>
          </cell>
          <cell r="I917">
            <v>240821</v>
          </cell>
          <cell r="J917" t="str">
            <v>103동~104동 사이 지하주차장 지붕층 및 101동~102동 사이 램프 벽체</v>
          </cell>
          <cell r="K917">
            <v>220</v>
          </cell>
          <cell r="L917">
            <v>226</v>
          </cell>
          <cell r="M917">
            <v>2715</v>
          </cell>
          <cell r="N917" t="str">
            <v>동양</v>
          </cell>
          <cell r="O917" t="str">
            <v>펌프카(1대)</v>
          </cell>
          <cell r="P917">
            <v>840</v>
          </cell>
          <cell r="Q917">
            <v>1435</v>
          </cell>
          <cell r="R917">
            <v>160</v>
          </cell>
          <cell r="S917">
            <v>35</v>
          </cell>
          <cell r="T917">
            <v>41</v>
          </cell>
          <cell r="U917">
            <v>270</v>
          </cell>
          <cell r="V917"/>
          <cell r="W917" t="str">
            <v>박순홍</v>
          </cell>
          <cell r="X917" t="str">
            <v>(인)</v>
          </cell>
          <cell r="Y917" t="str">
            <v>김광록</v>
          </cell>
          <cell r="Z917" t="str">
            <v>(인)</v>
          </cell>
          <cell r="AA917" t="str">
            <v>박상갑</v>
          </cell>
          <cell r="AB917" t="str">
            <v>(인)</v>
          </cell>
          <cell r="AC917" t="str">
            <v>박기원</v>
          </cell>
          <cell r="AD917" t="str">
            <v>(인)</v>
          </cell>
          <cell r="AE917">
            <v>185.3</v>
          </cell>
          <cell r="AF917" t="str">
            <v>표준</v>
          </cell>
          <cell r="AG917">
            <v>2</v>
          </cell>
          <cell r="AH917">
            <v>0</v>
          </cell>
        </row>
        <row r="918">
          <cell r="G918">
            <v>2408210201</v>
          </cell>
          <cell r="H918" t="str">
            <v>105동, 106동</v>
          </cell>
          <cell r="I918">
            <v>240821</v>
          </cell>
          <cell r="J918" t="str">
            <v>105동~106동 사이 주차장 지붕층</v>
          </cell>
          <cell r="K918">
            <v>160</v>
          </cell>
          <cell r="L918">
            <v>161</v>
          </cell>
          <cell r="M918">
            <v>2715</v>
          </cell>
          <cell r="N918" t="str">
            <v>대공</v>
          </cell>
          <cell r="O918" t="str">
            <v>펌프카(1대)</v>
          </cell>
          <cell r="P918">
            <v>1516</v>
          </cell>
          <cell r="Q918">
            <v>1735</v>
          </cell>
          <cell r="R918">
            <v>145</v>
          </cell>
          <cell r="S918">
            <v>46</v>
          </cell>
          <cell r="T918">
            <v>59</v>
          </cell>
          <cell r="U918">
            <v>267</v>
          </cell>
          <cell r="V918"/>
          <cell r="W918" t="str">
            <v>박순홍</v>
          </cell>
          <cell r="X918" t="str">
            <v>(인)</v>
          </cell>
          <cell r="Y918" t="str">
            <v>김광록</v>
          </cell>
          <cell r="Z918" t="str">
            <v>(인)</v>
          </cell>
          <cell r="AA918" t="str">
            <v>박상갑</v>
          </cell>
          <cell r="AB918" t="str">
            <v>(인)</v>
          </cell>
          <cell r="AC918" t="str">
            <v>박기원</v>
          </cell>
          <cell r="AD918" t="str">
            <v>(인)</v>
          </cell>
          <cell r="AE918">
            <v>184.6</v>
          </cell>
          <cell r="AF918" t="str">
            <v>표준</v>
          </cell>
          <cell r="AG918">
            <v>1</v>
          </cell>
          <cell r="AH918">
            <v>1</v>
          </cell>
          <cell r="AI918">
            <v>2370</v>
          </cell>
          <cell r="AJ918">
            <v>2498</v>
          </cell>
          <cell r="AK918">
            <v>199000</v>
          </cell>
          <cell r="AL918">
            <v>3432</v>
          </cell>
          <cell r="AM918">
            <v>3358</v>
          </cell>
          <cell r="AN918">
            <v>3244</v>
          </cell>
          <cell r="AO918">
            <v>3296</v>
          </cell>
          <cell r="AP918">
            <v>3277</v>
          </cell>
          <cell r="AQ918">
            <v>3310</v>
          </cell>
          <cell r="AR918">
            <v>3296</v>
          </cell>
          <cell r="AS918">
            <v>3274</v>
          </cell>
          <cell r="AT918">
            <v>254800</v>
          </cell>
        </row>
        <row r="919">
          <cell r="G919">
            <v>2408210202</v>
          </cell>
          <cell r="H919" t="str">
            <v>105동, 106동</v>
          </cell>
          <cell r="I919">
            <v>240821</v>
          </cell>
          <cell r="J919" t="str">
            <v>105동~106동 사이 주차장 지붕층</v>
          </cell>
          <cell r="K919">
            <v>160</v>
          </cell>
          <cell r="L919">
            <v>161</v>
          </cell>
          <cell r="M919">
            <v>2715</v>
          </cell>
          <cell r="N919" t="str">
            <v>대공</v>
          </cell>
          <cell r="O919" t="str">
            <v>펌프카(1대)</v>
          </cell>
          <cell r="P919">
            <v>1516</v>
          </cell>
          <cell r="Q919">
            <v>1735</v>
          </cell>
          <cell r="R919">
            <v>160</v>
          </cell>
          <cell r="S919">
            <v>50</v>
          </cell>
          <cell r="T919">
            <v>66</v>
          </cell>
          <cell r="U919">
            <v>257</v>
          </cell>
          <cell r="V919"/>
          <cell r="W919" t="str">
            <v>박순홍</v>
          </cell>
          <cell r="X919" t="str">
            <v>(인)</v>
          </cell>
          <cell r="Y919" t="str">
            <v>김광록</v>
          </cell>
          <cell r="Z919" t="str">
            <v>(인)</v>
          </cell>
          <cell r="AA919" t="str">
            <v>박상갑</v>
          </cell>
          <cell r="AB919" t="str">
            <v>(인)</v>
          </cell>
          <cell r="AC919" t="str">
            <v>박기원</v>
          </cell>
          <cell r="AD919" t="str">
            <v>(인)</v>
          </cell>
          <cell r="AE919">
            <v>181.4</v>
          </cell>
          <cell r="AF919" t="str">
            <v>표준</v>
          </cell>
          <cell r="AG919">
            <v>2</v>
          </cell>
          <cell r="AH919">
            <v>0</v>
          </cell>
        </row>
        <row r="920">
          <cell r="G920">
            <v>2408220101</v>
          </cell>
          <cell r="H920" t="str">
            <v>103동</v>
          </cell>
          <cell r="I920">
            <v>240822</v>
          </cell>
          <cell r="J920" t="str">
            <v>103동 14층 바닥</v>
          </cell>
          <cell r="K920">
            <v>280</v>
          </cell>
          <cell r="L920">
            <v>279</v>
          </cell>
          <cell r="M920">
            <v>3018</v>
          </cell>
          <cell r="N920" t="str">
            <v>용호</v>
          </cell>
          <cell r="O920" t="str">
            <v>펌프카(1대)</v>
          </cell>
          <cell r="P920">
            <v>810</v>
          </cell>
          <cell r="Q920">
            <v>1242</v>
          </cell>
          <cell r="R920">
            <v>185</v>
          </cell>
          <cell r="S920">
            <v>36</v>
          </cell>
          <cell r="T920">
            <v>58</v>
          </cell>
          <cell r="U920">
            <v>241</v>
          </cell>
          <cell r="V920"/>
          <cell r="W920" t="str">
            <v>박순홍</v>
          </cell>
          <cell r="X920" t="str">
            <v>(인)</v>
          </cell>
          <cell r="Y920" t="str">
            <v>박순홍</v>
          </cell>
          <cell r="Z920" t="str">
            <v>(인)</v>
          </cell>
          <cell r="AA920" t="str">
            <v>박상갑</v>
          </cell>
          <cell r="AB920" t="str">
            <v>(인)</v>
          </cell>
          <cell r="AC920" t="str">
            <v>박상갑</v>
          </cell>
          <cell r="AD920" t="str">
            <v>(인)</v>
          </cell>
          <cell r="AE920">
            <v>176.1</v>
          </cell>
          <cell r="AF920" t="str">
            <v>표준</v>
          </cell>
          <cell r="AG920">
            <v>1</v>
          </cell>
          <cell r="AH920">
            <v>1</v>
          </cell>
          <cell r="AI920">
            <v>2717</v>
          </cell>
          <cell r="AJ920">
            <v>2722</v>
          </cell>
          <cell r="AK920">
            <v>211800</v>
          </cell>
          <cell r="AL920">
            <v>3781</v>
          </cell>
          <cell r="AM920">
            <v>3758</v>
          </cell>
          <cell r="AN920">
            <v>3792</v>
          </cell>
          <cell r="AO920">
            <v>3806</v>
          </cell>
          <cell r="AP920">
            <v>3707</v>
          </cell>
          <cell r="AQ920">
            <v>3807</v>
          </cell>
          <cell r="AR920">
            <v>3802</v>
          </cell>
          <cell r="AS920">
            <v>3762</v>
          </cell>
          <cell r="AT920">
            <v>285400</v>
          </cell>
        </row>
        <row r="921">
          <cell r="G921">
            <v>2408220102</v>
          </cell>
          <cell r="H921" t="str">
            <v>103동</v>
          </cell>
          <cell r="I921">
            <v>240822</v>
          </cell>
          <cell r="J921" t="str">
            <v>103동 14층 바닥</v>
          </cell>
          <cell r="K921">
            <v>280</v>
          </cell>
          <cell r="L921">
            <v>279</v>
          </cell>
          <cell r="M921">
            <v>3018</v>
          </cell>
          <cell r="N921" t="str">
            <v>용호</v>
          </cell>
          <cell r="O921" t="str">
            <v>펌프카(1대)</v>
          </cell>
          <cell r="P921">
            <v>810</v>
          </cell>
          <cell r="Q921">
            <v>1242</v>
          </cell>
          <cell r="R921">
            <v>185</v>
          </cell>
          <cell r="S921">
            <v>41</v>
          </cell>
          <cell r="T921">
            <v>22</v>
          </cell>
          <cell r="U921">
            <v>242</v>
          </cell>
          <cell r="V921"/>
          <cell r="W921" t="str">
            <v>박순홍</v>
          </cell>
          <cell r="X921" t="str">
            <v>(인)</v>
          </cell>
          <cell r="Y921" t="str">
            <v>박순홍</v>
          </cell>
          <cell r="Z921" t="str">
            <v>(인)</v>
          </cell>
          <cell r="AA921" t="str">
            <v>박상갑</v>
          </cell>
          <cell r="AB921" t="str">
            <v>(인)</v>
          </cell>
          <cell r="AC921" t="str">
            <v>박상갑</v>
          </cell>
          <cell r="AD921" t="str">
            <v>(인)</v>
          </cell>
          <cell r="AE921">
            <v>175.4</v>
          </cell>
          <cell r="AF921" t="str">
            <v>표준</v>
          </cell>
          <cell r="AG921">
            <v>2</v>
          </cell>
          <cell r="AH921">
            <v>0</v>
          </cell>
        </row>
        <row r="922">
          <cell r="G922">
            <v>2408220103</v>
          </cell>
          <cell r="H922" t="str">
            <v>103동</v>
          </cell>
          <cell r="I922">
            <v>240822</v>
          </cell>
          <cell r="J922" t="str">
            <v>103동 14층 바닥</v>
          </cell>
          <cell r="K922">
            <v>280</v>
          </cell>
          <cell r="L922">
            <v>279</v>
          </cell>
          <cell r="M922">
            <v>3018</v>
          </cell>
          <cell r="N922" t="str">
            <v>용호</v>
          </cell>
          <cell r="O922" t="str">
            <v>펌프카(1대)</v>
          </cell>
          <cell r="P922">
            <v>810</v>
          </cell>
          <cell r="Q922">
            <v>1242</v>
          </cell>
          <cell r="R922">
            <v>190</v>
          </cell>
          <cell r="S922">
            <v>45</v>
          </cell>
          <cell r="T922">
            <v>22</v>
          </cell>
          <cell r="U922">
            <v>235</v>
          </cell>
          <cell r="V922"/>
          <cell r="W922" t="str">
            <v>박순홍</v>
          </cell>
          <cell r="X922" t="str">
            <v>(인)</v>
          </cell>
          <cell r="Y922" t="str">
            <v>박순홍</v>
          </cell>
          <cell r="Z922" t="str">
            <v>(인)</v>
          </cell>
          <cell r="AA922" t="str">
            <v>박상갑</v>
          </cell>
          <cell r="AB922" t="str">
            <v>(인)</v>
          </cell>
          <cell r="AC922" t="str">
            <v>박상갑</v>
          </cell>
          <cell r="AD922" t="str">
            <v>(인)</v>
          </cell>
          <cell r="AE922">
            <v>172.5</v>
          </cell>
          <cell r="AF922" t="str">
            <v>표준</v>
          </cell>
          <cell r="AG922">
            <v>3</v>
          </cell>
          <cell r="AH922">
            <v>0</v>
          </cell>
        </row>
        <row r="923">
          <cell r="G923">
            <v>2408230101</v>
          </cell>
          <cell r="H923" t="str">
            <v>119동</v>
          </cell>
          <cell r="I923">
            <v>240823</v>
          </cell>
          <cell r="J923" t="str">
            <v>119동 주변주차장 합벽</v>
          </cell>
          <cell r="K923">
            <v>120</v>
          </cell>
          <cell r="L923">
            <v>120</v>
          </cell>
          <cell r="M923">
            <v>2715</v>
          </cell>
          <cell r="N923" t="str">
            <v>대원</v>
          </cell>
          <cell r="O923" t="str">
            <v>펌프카(1대)</v>
          </cell>
          <cell r="P923">
            <v>803</v>
          </cell>
          <cell r="Q923">
            <v>1115</v>
          </cell>
          <cell r="R923">
            <v>150</v>
          </cell>
          <cell r="S923">
            <v>47</v>
          </cell>
          <cell r="T923">
            <v>43</v>
          </cell>
          <cell r="U923">
            <v>242</v>
          </cell>
          <cell r="V923"/>
          <cell r="W923" t="str">
            <v>박순홍</v>
          </cell>
          <cell r="X923" t="str">
            <v>(인)</v>
          </cell>
          <cell r="Y923" t="str">
            <v>박순홍</v>
          </cell>
          <cell r="Z923" t="str">
            <v>(인)</v>
          </cell>
          <cell r="AA923" t="str">
            <v>박상갑</v>
          </cell>
          <cell r="AB923" t="str">
            <v>(인)</v>
          </cell>
          <cell r="AC923" t="str">
            <v>박상갑</v>
          </cell>
          <cell r="AD923" t="str">
            <v>(인)</v>
          </cell>
          <cell r="AE923">
            <v>173.7</v>
          </cell>
          <cell r="AF923" t="str">
            <v>표준</v>
          </cell>
          <cell r="AG923">
            <v>1</v>
          </cell>
          <cell r="AH923">
            <v>1</v>
          </cell>
          <cell r="AI923">
            <v>2510</v>
          </cell>
          <cell r="AJ923">
            <v>2419</v>
          </cell>
          <cell r="AK923">
            <v>189600</v>
          </cell>
          <cell r="AL923">
            <v>3394</v>
          </cell>
          <cell r="AM923">
            <v>3279</v>
          </cell>
          <cell r="AN923">
            <v>3402</v>
          </cell>
          <cell r="AO923">
            <v>3372</v>
          </cell>
          <cell r="AP923">
            <v>3296</v>
          </cell>
          <cell r="AQ923">
            <v>3218</v>
          </cell>
          <cell r="AR923">
            <v>3309</v>
          </cell>
          <cell r="AS923">
            <v>3279</v>
          </cell>
          <cell r="AT923">
            <v>263600</v>
          </cell>
        </row>
        <row r="924">
          <cell r="G924">
            <v>2408230201</v>
          </cell>
          <cell r="H924" t="str">
            <v>113동</v>
          </cell>
          <cell r="I924">
            <v>240823</v>
          </cell>
          <cell r="J924" t="str">
            <v>113동 3층 바닥</v>
          </cell>
          <cell r="K924">
            <v>360</v>
          </cell>
          <cell r="L924">
            <v>361</v>
          </cell>
          <cell r="M924">
            <v>3018</v>
          </cell>
          <cell r="N924" t="str">
            <v>용호</v>
          </cell>
          <cell r="O924" t="str">
            <v>펌프카(1대)</v>
          </cell>
          <cell r="P924">
            <v>810</v>
          </cell>
          <cell r="Q924">
            <v>1327</v>
          </cell>
          <cell r="R924">
            <v>190</v>
          </cell>
          <cell r="S924">
            <v>50</v>
          </cell>
          <cell r="T924">
            <v>33</v>
          </cell>
          <cell r="U924">
            <v>225</v>
          </cell>
          <cell r="V924"/>
          <cell r="W924" t="str">
            <v>박순홍</v>
          </cell>
          <cell r="X924" t="str">
            <v>(인)</v>
          </cell>
          <cell r="Y924" t="str">
            <v>박순홍</v>
          </cell>
          <cell r="Z924" t="str">
            <v>(인)</v>
          </cell>
          <cell r="AA924" t="str">
            <v>박상갑</v>
          </cell>
          <cell r="AB924" t="str">
            <v>(인)</v>
          </cell>
          <cell r="AC924" t="str">
            <v>박상갑</v>
          </cell>
          <cell r="AD924" t="str">
            <v>(인)</v>
          </cell>
          <cell r="AE924">
            <v>181.7</v>
          </cell>
          <cell r="AF924" t="str">
            <v>표준</v>
          </cell>
          <cell r="AG924">
            <v>1</v>
          </cell>
          <cell r="AH924">
            <v>1</v>
          </cell>
          <cell r="AI924">
            <v>2808</v>
          </cell>
          <cell r="AJ924">
            <v>2801</v>
          </cell>
          <cell r="AK924">
            <v>212000</v>
          </cell>
          <cell r="AL924">
            <v>3896</v>
          </cell>
          <cell r="AM924">
            <v>3758</v>
          </cell>
          <cell r="AN924">
            <v>3719</v>
          </cell>
          <cell r="AO924">
            <v>3813</v>
          </cell>
          <cell r="AP924">
            <v>3816</v>
          </cell>
          <cell r="AQ924">
            <v>3712</v>
          </cell>
          <cell r="AR924">
            <v>3713</v>
          </cell>
          <cell r="AS924">
            <v>3806</v>
          </cell>
          <cell r="AT924">
            <v>295800</v>
          </cell>
        </row>
        <row r="925">
          <cell r="G925">
            <v>2408230202</v>
          </cell>
          <cell r="H925" t="str">
            <v>113동</v>
          </cell>
          <cell r="I925">
            <v>240823</v>
          </cell>
          <cell r="J925" t="str">
            <v>113동 3층 바닥</v>
          </cell>
          <cell r="K925">
            <v>360</v>
          </cell>
          <cell r="L925">
            <v>361</v>
          </cell>
          <cell r="M925">
            <v>3018</v>
          </cell>
          <cell r="N925" t="str">
            <v>용호</v>
          </cell>
          <cell r="O925" t="str">
            <v>펌프카(1대)</v>
          </cell>
          <cell r="P925">
            <v>810</v>
          </cell>
          <cell r="Q925">
            <v>1327</v>
          </cell>
          <cell r="R925">
            <v>195</v>
          </cell>
          <cell r="S925">
            <v>39</v>
          </cell>
          <cell r="T925">
            <v>38</v>
          </cell>
          <cell r="U925">
            <v>235</v>
          </cell>
          <cell r="V925"/>
          <cell r="W925" t="str">
            <v>박순홍</v>
          </cell>
          <cell r="X925" t="str">
            <v>(인)</v>
          </cell>
          <cell r="Y925" t="str">
            <v>박순홍</v>
          </cell>
          <cell r="Z925" t="str">
            <v>(인)</v>
          </cell>
          <cell r="AA925" t="str">
            <v>박상갑</v>
          </cell>
          <cell r="AB925" t="str">
            <v>(인)</v>
          </cell>
          <cell r="AC925" t="str">
            <v>박상갑</v>
          </cell>
          <cell r="AD925" t="str">
            <v>(인)</v>
          </cell>
          <cell r="AE925">
            <v>178.6</v>
          </cell>
          <cell r="AF925" t="str">
            <v>표준</v>
          </cell>
          <cell r="AG925">
            <v>2</v>
          </cell>
          <cell r="AH925">
            <v>0</v>
          </cell>
        </row>
        <row r="926">
          <cell r="G926">
            <v>2408230203</v>
          </cell>
          <cell r="H926" t="str">
            <v>113동</v>
          </cell>
          <cell r="I926">
            <v>240823</v>
          </cell>
          <cell r="J926" t="str">
            <v>113동 3층 바닥</v>
          </cell>
          <cell r="K926">
            <v>360</v>
          </cell>
          <cell r="L926">
            <v>361</v>
          </cell>
          <cell r="M926">
            <v>3018</v>
          </cell>
          <cell r="N926" t="str">
            <v>용호</v>
          </cell>
          <cell r="O926" t="str">
            <v>펌프카(1대)</v>
          </cell>
          <cell r="P926">
            <v>810</v>
          </cell>
          <cell r="Q926">
            <v>1327</v>
          </cell>
          <cell r="R926">
            <v>195</v>
          </cell>
          <cell r="S926">
            <v>44</v>
          </cell>
          <cell r="T926">
            <v>44</v>
          </cell>
          <cell r="U926">
            <v>248</v>
          </cell>
          <cell r="V926"/>
          <cell r="W926" t="str">
            <v>박순홍</v>
          </cell>
          <cell r="X926" t="str">
            <v>(인)</v>
          </cell>
          <cell r="Y926" t="str">
            <v>박순홍</v>
          </cell>
          <cell r="Z926" t="str">
            <v>(인)</v>
          </cell>
          <cell r="AA926" t="str">
            <v>박상갑</v>
          </cell>
          <cell r="AB926" t="str">
            <v>(인)</v>
          </cell>
          <cell r="AC926" t="str">
            <v>박상갑</v>
          </cell>
          <cell r="AD926" t="str">
            <v>(인)</v>
          </cell>
          <cell r="AE926">
            <v>177.3</v>
          </cell>
          <cell r="AF926" t="str">
            <v>표준</v>
          </cell>
          <cell r="AG926">
            <v>3</v>
          </cell>
          <cell r="AH926">
            <v>0</v>
          </cell>
        </row>
        <row r="927">
          <cell r="G927">
            <v>2408230204</v>
          </cell>
          <cell r="H927" t="str">
            <v>113동</v>
          </cell>
          <cell r="I927">
            <v>240823</v>
          </cell>
          <cell r="J927" t="str">
            <v>113동 3층 바닥</v>
          </cell>
          <cell r="K927">
            <v>360</v>
          </cell>
          <cell r="L927">
            <v>361</v>
          </cell>
          <cell r="M927">
            <v>3018</v>
          </cell>
          <cell r="N927" t="str">
            <v>용호</v>
          </cell>
          <cell r="O927" t="str">
            <v>펌프카(1대)</v>
          </cell>
          <cell r="P927">
            <v>810</v>
          </cell>
          <cell r="Q927">
            <v>1327</v>
          </cell>
          <cell r="R927">
            <v>200</v>
          </cell>
          <cell r="S927">
            <v>39</v>
          </cell>
          <cell r="T927">
            <v>46</v>
          </cell>
          <cell r="U927">
            <v>255</v>
          </cell>
          <cell r="V927"/>
          <cell r="W927" t="str">
            <v>박순홍</v>
          </cell>
          <cell r="X927" t="str">
            <v>(인)</v>
          </cell>
          <cell r="Y927" t="str">
            <v>박순홍</v>
          </cell>
          <cell r="Z927" t="str">
            <v>(인)</v>
          </cell>
          <cell r="AA927" t="str">
            <v>박상갑</v>
          </cell>
          <cell r="AB927" t="str">
            <v>(인)</v>
          </cell>
          <cell r="AC927" t="str">
            <v>박상갑</v>
          </cell>
          <cell r="AD927" t="str">
            <v>(인)</v>
          </cell>
          <cell r="AE927">
            <v>185.9</v>
          </cell>
          <cell r="AF927" t="str">
            <v>표준</v>
          </cell>
          <cell r="AG927">
            <v>4</v>
          </cell>
          <cell r="AH927">
            <v>1</v>
          </cell>
          <cell r="AL927">
            <v>3723</v>
          </cell>
          <cell r="AM927">
            <v>3830</v>
          </cell>
          <cell r="AN927">
            <v>3612</v>
          </cell>
          <cell r="AO927">
            <v>3816</v>
          </cell>
          <cell r="AP927">
            <v>4043</v>
          </cell>
          <cell r="AQ927">
            <v>3819</v>
          </cell>
          <cell r="AR927">
            <v>3711</v>
          </cell>
          <cell r="AS927">
            <v>4012</v>
          </cell>
          <cell r="AT927">
            <v>295800</v>
          </cell>
        </row>
        <row r="928">
          <cell r="G928">
            <v>2408230301</v>
          </cell>
          <cell r="H928" t="str">
            <v>104동</v>
          </cell>
          <cell r="I928">
            <v>240823</v>
          </cell>
          <cell r="J928" t="str">
            <v>104동 14층 바닥</v>
          </cell>
          <cell r="K928">
            <v>280</v>
          </cell>
          <cell r="L928">
            <v>279</v>
          </cell>
          <cell r="M928">
            <v>3018</v>
          </cell>
          <cell r="N928" t="str">
            <v>한진</v>
          </cell>
          <cell r="O928" t="str">
            <v>펌프카(1대)</v>
          </cell>
          <cell r="P928">
            <v>1230</v>
          </cell>
          <cell r="Q928">
            <v>1648</v>
          </cell>
          <cell r="R928">
            <v>185</v>
          </cell>
          <cell r="S928">
            <v>39</v>
          </cell>
          <cell r="T928">
            <v>24</v>
          </cell>
          <cell r="U928">
            <v>269</v>
          </cell>
          <cell r="V928"/>
          <cell r="W928" t="str">
            <v>박순홍</v>
          </cell>
          <cell r="X928" t="str">
            <v>(인)</v>
          </cell>
          <cell r="Y928" t="str">
            <v>박순홍</v>
          </cell>
          <cell r="Z928" t="str">
            <v>(인)</v>
          </cell>
          <cell r="AA928" t="str">
            <v>박상갑</v>
          </cell>
          <cell r="AB928" t="str">
            <v>(인)</v>
          </cell>
          <cell r="AC928" t="str">
            <v>박상갑</v>
          </cell>
          <cell r="AD928" t="str">
            <v>(인)</v>
          </cell>
          <cell r="AE928">
            <v>192.6</v>
          </cell>
          <cell r="AF928" t="str">
            <v>표준</v>
          </cell>
          <cell r="AG928">
            <v>1</v>
          </cell>
          <cell r="AH928">
            <v>1</v>
          </cell>
          <cell r="AI928">
            <v>2642</v>
          </cell>
          <cell r="AJ928">
            <v>2778</v>
          </cell>
          <cell r="AK928">
            <v>199000</v>
          </cell>
          <cell r="AL928">
            <v>3743</v>
          </cell>
          <cell r="AM928">
            <v>3766</v>
          </cell>
          <cell r="AN928">
            <v>3727</v>
          </cell>
          <cell r="AO928">
            <v>3609</v>
          </cell>
          <cell r="AP928">
            <v>3601</v>
          </cell>
          <cell r="AQ928">
            <v>3714</v>
          </cell>
          <cell r="AR928">
            <v>3605</v>
          </cell>
          <cell r="AS928">
            <v>3802</v>
          </cell>
          <cell r="AT928">
            <v>292600</v>
          </cell>
        </row>
        <row r="929">
          <cell r="G929">
            <v>2408230302</v>
          </cell>
          <cell r="H929" t="str">
            <v>104동</v>
          </cell>
          <cell r="I929">
            <v>240823</v>
          </cell>
          <cell r="J929" t="str">
            <v>104동 14층 바닥</v>
          </cell>
          <cell r="K929">
            <v>280</v>
          </cell>
          <cell r="L929">
            <v>279</v>
          </cell>
          <cell r="M929">
            <v>3018</v>
          </cell>
          <cell r="N929" t="str">
            <v>한진</v>
          </cell>
          <cell r="O929" t="str">
            <v>펌프카(1대)</v>
          </cell>
          <cell r="P929">
            <v>1230</v>
          </cell>
          <cell r="Q929">
            <v>1648</v>
          </cell>
          <cell r="R929">
            <v>190</v>
          </cell>
          <cell r="S929">
            <v>42</v>
          </cell>
          <cell r="T929">
            <v>13</v>
          </cell>
          <cell r="U929">
            <v>264</v>
          </cell>
          <cell r="V929"/>
          <cell r="W929" t="str">
            <v>박순홍</v>
          </cell>
          <cell r="X929" t="str">
            <v>(인)</v>
          </cell>
          <cell r="Y929" t="str">
            <v>박순홍</v>
          </cell>
          <cell r="Z929" t="str">
            <v>(인)</v>
          </cell>
          <cell r="AA929" t="str">
            <v>박상갑</v>
          </cell>
          <cell r="AB929" t="str">
            <v>(인)</v>
          </cell>
          <cell r="AC929" t="str">
            <v>박상갑</v>
          </cell>
          <cell r="AD929" t="str">
            <v>(인)</v>
          </cell>
          <cell r="AE929">
            <v>196.3</v>
          </cell>
          <cell r="AF929" t="str">
            <v>표준</v>
          </cell>
          <cell r="AG929">
            <v>2</v>
          </cell>
          <cell r="AH929">
            <v>0</v>
          </cell>
        </row>
        <row r="930">
          <cell r="G930">
            <v>2408230303</v>
          </cell>
          <cell r="H930" t="str">
            <v>104동</v>
          </cell>
          <cell r="I930">
            <v>240823</v>
          </cell>
          <cell r="J930" t="str">
            <v>104동 14층 바닥</v>
          </cell>
          <cell r="K930">
            <v>280</v>
          </cell>
          <cell r="L930">
            <v>279</v>
          </cell>
          <cell r="M930">
            <v>3018</v>
          </cell>
          <cell r="N930" t="str">
            <v>한진</v>
          </cell>
          <cell r="O930" t="str">
            <v>펌프카(1대)</v>
          </cell>
          <cell r="P930">
            <v>1230</v>
          </cell>
          <cell r="Q930">
            <v>1648</v>
          </cell>
          <cell r="R930">
            <v>190</v>
          </cell>
          <cell r="S930">
            <v>44</v>
          </cell>
          <cell r="T930">
            <v>42</v>
          </cell>
          <cell r="U930">
            <v>273</v>
          </cell>
          <cell r="V930"/>
          <cell r="W930" t="str">
            <v>박순홍</v>
          </cell>
          <cell r="X930" t="str">
            <v>(인)</v>
          </cell>
          <cell r="Y930" t="str">
            <v>박순홍</v>
          </cell>
          <cell r="Z930" t="str">
            <v>(인)</v>
          </cell>
          <cell r="AA930" t="str">
            <v>박상갑</v>
          </cell>
          <cell r="AB930" t="str">
            <v>(인)</v>
          </cell>
          <cell r="AC930" t="str">
            <v>박상갑</v>
          </cell>
          <cell r="AD930" t="str">
            <v>(인)</v>
          </cell>
          <cell r="AE930">
            <v>191.4</v>
          </cell>
          <cell r="AF930" t="str">
            <v>표준</v>
          </cell>
          <cell r="AG930">
            <v>3</v>
          </cell>
          <cell r="AH930">
            <v>0</v>
          </cell>
        </row>
        <row r="931">
          <cell r="G931">
            <v>2408260101</v>
          </cell>
          <cell r="H931" t="str">
            <v>105동</v>
          </cell>
          <cell r="I931">
            <v>240826</v>
          </cell>
          <cell r="J931" t="str">
            <v>105동 13층 바닥</v>
          </cell>
          <cell r="K931">
            <v>280</v>
          </cell>
          <cell r="L931">
            <v>276</v>
          </cell>
          <cell r="M931">
            <v>3018</v>
          </cell>
          <cell r="N931" t="str">
            <v>대공</v>
          </cell>
          <cell r="O931" t="str">
            <v>펌프카(1대)</v>
          </cell>
          <cell r="P931">
            <v>755</v>
          </cell>
          <cell r="Q931">
            <v>1130</v>
          </cell>
          <cell r="R931">
            <v>170</v>
          </cell>
          <cell r="S931">
            <v>40</v>
          </cell>
          <cell r="T931">
            <v>29</v>
          </cell>
          <cell r="U931">
            <v>264</v>
          </cell>
          <cell r="V931"/>
          <cell r="W931" t="str">
            <v>박순홍</v>
          </cell>
          <cell r="X931" t="str">
            <v>(인)</v>
          </cell>
          <cell r="Y931" t="str">
            <v>박순홍</v>
          </cell>
          <cell r="Z931" t="str">
            <v>(인)</v>
          </cell>
          <cell r="AA931" t="str">
            <v>이홍걸</v>
          </cell>
          <cell r="AB931" t="str">
            <v>(인)</v>
          </cell>
          <cell r="AC931" t="str">
            <v>박상갑</v>
          </cell>
          <cell r="AD931" t="str">
            <v>(인)</v>
          </cell>
          <cell r="AE931">
            <v>186</v>
          </cell>
          <cell r="AF931" t="str">
            <v>표준</v>
          </cell>
          <cell r="AG931">
            <v>1</v>
          </cell>
          <cell r="AH931">
            <v>1</v>
          </cell>
          <cell r="AI931">
            <v>2719</v>
          </cell>
          <cell r="AJ931">
            <v>2737</v>
          </cell>
          <cell r="AK931">
            <v>221600</v>
          </cell>
          <cell r="AL931">
            <v>3972</v>
          </cell>
          <cell r="AM931">
            <v>3952</v>
          </cell>
          <cell r="AN931">
            <v>3867</v>
          </cell>
          <cell r="AO931">
            <v>3926</v>
          </cell>
          <cell r="AP931">
            <v>3937</v>
          </cell>
          <cell r="AQ931">
            <v>3927</v>
          </cell>
          <cell r="AR931">
            <v>3862</v>
          </cell>
          <cell r="AS931">
            <v>4004</v>
          </cell>
          <cell r="AT931">
            <v>306400</v>
          </cell>
        </row>
        <row r="932">
          <cell r="G932">
            <v>2408260102</v>
          </cell>
          <cell r="H932" t="str">
            <v>105동</v>
          </cell>
          <cell r="I932">
            <v>240826</v>
          </cell>
          <cell r="J932" t="str">
            <v>105동 13층 바닥</v>
          </cell>
          <cell r="K932">
            <v>280</v>
          </cell>
          <cell r="L932">
            <v>276</v>
          </cell>
          <cell r="M932">
            <v>3018</v>
          </cell>
          <cell r="N932" t="str">
            <v>대공</v>
          </cell>
          <cell r="O932" t="str">
            <v>펌프카(1대)</v>
          </cell>
          <cell r="P932">
            <v>755</v>
          </cell>
          <cell r="Q932">
            <v>1130</v>
          </cell>
          <cell r="R932">
            <v>175</v>
          </cell>
          <cell r="S932">
            <v>52</v>
          </cell>
          <cell r="T932">
            <v>91</v>
          </cell>
          <cell r="U932">
            <v>257</v>
          </cell>
          <cell r="V932"/>
          <cell r="W932" t="str">
            <v>박순홍</v>
          </cell>
          <cell r="X932" t="str">
            <v>(인)</v>
          </cell>
          <cell r="Y932" t="str">
            <v>박순홍</v>
          </cell>
          <cell r="Z932" t="str">
            <v>(인)</v>
          </cell>
          <cell r="AA932" t="str">
            <v>이홍걸</v>
          </cell>
          <cell r="AB932" t="str">
            <v>(인)</v>
          </cell>
          <cell r="AC932" t="str">
            <v>박상갑</v>
          </cell>
          <cell r="AD932" t="str">
            <v>(인)</v>
          </cell>
          <cell r="AE932">
            <v>187.4</v>
          </cell>
          <cell r="AF932" t="str">
            <v>표준</v>
          </cell>
          <cell r="AG932">
            <v>2</v>
          </cell>
          <cell r="AH932">
            <v>0</v>
          </cell>
        </row>
        <row r="933">
          <cell r="G933">
            <v>2408260103</v>
          </cell>
          <cell r="H933" t="str">
            <v>105동</v>
          </cell>
          <cell r="I933">
            <v>240826</v>
          </cell>
          <cell r="J933" t="str">
            <v>105동 13층 바닥</v>
          </cell>
          <cell r="K933">
            <v>280</v>
          </cell>
          <cell r="L933">
            <v>276</v>
          </cell>
          <cell r="M933">
            <v>3018</v>
          </cell>
          <cell r="N933" t="str">
            <v>대공</v>
          </cell>
          <cell r="O933" t="str">
            <v>펌프카(1대)</v>
          </cell>
          <cell r="P933">
            <v>755</v>
          </cell>
          <cell r="Q933">
            <v>1130</v>
          </cell>
          <cell r="R933">
            <v>180</v>
          </cell>
          <cell r="S933">
            <v>53</v>
          </cell>
          <cell r="T933">
            <v>29</v>
          </cell>
          <cell r="U933">
            <v>262</v>
          </cell>
          <cell r="V933"/>
          <cell r="W933" t="str">
            <v>박순홍</v>
          </cell>
          <cell r="X933" t="str">
            <v>(인)</v>
          </cell>
          <cell r="Y933" t="str">
            <v>박순홍</v>
          </cell>
          <cell r="Z933" t="str">
            <v>(인)</v>
          </cell>
          <cell r="AA933" t="str">
            <v>이홍걸</v>
          </cell>
          <cell r="AB933" t="str">
            <v>(인)</v>
          </cell>
          <cell r="AC933" t="str">
            <v>박상갑</v>
          </cell>
          <cell r="AD933" t="str">
            <v>(인)</v>
          </cell>
          <cell r="AE933">
            <v>190.6</v>
          </cell>
          <cell r="AF933" t="str">
            <v>표준</v>
          </cell>
          <cell r="AG933">
            <v>3</v>
          </cell>
          <cell r="AH933">
            <v>0</v>
          </cell>
        </row>
        <row r="934">
          <cell r="G934">
            <v>2408260201</v>
          </cell>
          <cell r="H934" t="str">
            <v>106동</v>
          </cell>
          <cell r="I934">
            <v>240826</v>
          </cell>
          <cell r="J934" t="str">
            <v>106동 11층 바닥</v>
          </cell>
          <cell r="K934">
            <v>280</v>
          </cell>
          <cell r="L934">
            <v>276</v>
          </cell>
          <cell r="M934">
            <v>3018</v>
          </cell>
          <cell r="N934" t="str">
            <v>대공</v>
          </cell>
          <cell r="O934" t="str">
            <v>펌프카(1대)</v>
          </cell>
          <cell r="P934">
            <v>1301</v>
          </cell>
          <cell r="Q934">
            <v>1634</v>
          </cell>
          <cell r="R934">
            <v>185</v>
          </cell>
          <cell r="S934">
            <v>36</v>
          </cell>
          <cell r="T934">
            <v>51</v>
          </cell>
          <cell r="U934">
            <v>27.1</v>
          </cell>
          <cell r="V934"/>
          <cell r="W934" t="str">
            <v>박순홍</v>
          </cell>
          <cell r="X934" t="str">
            <v>(인)</v>
          </cell>
          <cell r="Y934" t="str">
            <v>박순홍</v>
          </cell>
          <cell r="Z934" t="str">
            <v>(인)</v>
          </cell>
          <cell r="AA934" t="str">
            <v>이홍걸</v>
          </cell>
          <cell r="AB934" t="str">
            <v>(인)</v>
          </cell>
          <cell r="AC934" t="str">
            <v>박상갑</v>
          </cell>
          <cell r="AD934" t="str">
            <v>(인)</v>
          </cell>
          <cell r="AE934">
            <v>184.3</v>
          </cell>
          <cell r="AF934" t="str">
            <v>표준</v>
          </cell>
          <cell r="AG934">
            <v>1</v>
          </cell>
          <cell r="AH934">
            <v>1</v>
          </cell>
          <cell r="AI934">
            <v>2735</v>
          </cell>
          <cell r="AJ934">
            <v>2770</v>
          </cell>
          <cell r="AK934">
            <v>217200</v>
          </cell>
          <cell r="AL934">
            <v>4028</v>
          </cell>
          <cell r="AM934">
            <v>3941</v>
          </cell>
          <cell r="AN934">
            <v>3906</v>
          </cell>
          <cell r="AO934">
            <v>3862</v>
          </cell>
          <cell r="AP934">
            <v>4024</v>
          </cell>
          <cell r="AQ934">
            <v>4019</v>
          </cell>
          <cell r="AR934">
            <v>3987</v>
          </cell>
          <cell r="AS934">
            <v>3962</v>
          </cell>
          <cell r="AT934">
            <v>310000</v>
          </cell>
        </row>
        <row r="935">
          <cell r="G935">
            <v>2408260202</v>
          </cell>
          <cell r="H935" t="str">
            <v>106동</v>
          </cell>
          <cell r="I935">
            <v>240826</v>
          </cell>
          <cell r="J935" t="str">
            <v>106동 11층 바닥</v>
          </cell>
          <cell r="K935">
            <v>280</v>
          </cell>
          <cell r="L935">
            <v>276</v>
          </cell>
          <cell r="M935">
            <v>3018</v>
          </cell>
          <cell r="N935" t="str">
            <v>대공</v>
          </cell>
          <cell r="O935" t="str">
            <v>펌프카(1대)</v>
          </cell>
          <cell r="P935">
            <v>1301</v>
          </cell>
          <cell r="Q935">
            <v>1634</v>
          </cell>
          <cell r="R935">
            <v>190</v>
          </cell>
          <cell r="S935">
            <v>39</v>
          </cell>
          <cell r="T935">
            <v>61</v>
          </cell>
          <cell r="U935">
            <v>266</v>
          </cell>
          <cell r="V935"/>
          <cell r="W935" t="str">
            <v>박순홍</v>
          </cell>
          <cell r="X935" t="str">
            <v>(인)</v>
          </cell>
          <cell r="Y935" t="str">
            <v>박순홍</v>
          </cell>
          <cell r="Z935" t="str">
            <v>(인)</v>
          </cell>
          <cell r="AA935" t="str">
            <v>이홍걸</v>
          </cell>
          <cell r="AB935" t="str">
            <v>(인)</v>
          </cell>
          <cell r="AC935" t="str">
            <v>박상갑</v>
          </cell>
          <cell r="AD935" t="str">
            <v>(인)</v>
          </cell>
          <cell r="AE935">
            <v>187.4</v>
          </cell>
          <cell r="AF935" t="str">
            <v>표준</v>
          </cell>
          <cell r="AG935">
            <v>2</v>
          </cell>
          <cell r="AH935">
            <v>0</v>
          </cell>
        </row>
        <row r="936">
          <cell r="G936">
            <v>2408260203</v>
          </cell>
          <cell r="H936" t="str">
            <v>106동</v>
          </cell>
          <cell r="I936">
            <v>240826</v>
          </cell>
          <cell r="J936" t="str">
            <v>106동 11층 바닥</v>
          </cell>
          <cell r="K936">
            <v>280</v>
          </cell>
          <cell r="L936">
            <v>276</v>
          </cell>
          <cell r="M936">
            <v>3018</v>
          </cell>
          <cell r="N936" t="str">
            <v>대공</v>
          </cell>
          <cell r="O936" t="str">
            <v>펌프카(1대)</v>
          </cell>
          <cell r="P936">
            <v>1301</v>
          </cell>
          <cell r="Q936">
            <v>1634</v>
          </cell>
          <cell r="R936">
            <v>195</v>
          </cell>
          <cell r="S936">
            <v>46</v>
          </cell>
          <cell r="T936">
            <v>56</v>
          </cell>
          <cell r="U936">
            <v>265</v>
          </cell>
          <cell r="V936"/>
          <cell r="W936" t="str">
            <v>박순홍</v>
          </cell>
          <cell r="X936" t="str">
            <v>(인)</v>
          </cell>
          <cell r="Y936" t="str">
            <v>박순홍</v>
          </cell>
          <cell r="Z936" t="str">
            <v>(인)</v>
          </cell>
          <cell r="AA936" t="str">
            <v>이홍걸</v>
          </cell>
          <cell r="AB936" t="str">
            <v>(인)</v>
          </cell>
          <cell r="AC936" t="str">
            <v>박상갑</v>
          </cell>
          <cell r="AD936" t="str">
            <v>(인)</v>
          </cell>
          <cell r="AE936">
            <v>180.9</v>
          </cell>
          <cell r="AF936" t="str">
            <v>표준</v>
          </cell>
          <cell r="AG936">
            <v>3</v>
          </cell>
          <cell r="AH936">
            <v>0</v>
          </cell>
        </row>
        <row r="937">
          <cell r="G937">
            <v>2408260301</v>
          </cell>
          <cell r="H937" t="str">
            <v>108동</v>
          </cell>
          <cell r="I937">
            <v>240826</v>
          </cell>
          <cell r="J937" t="str">
            <v>108동 1차</v>
          </cell>
          <cell r="K937">
            <v>370</v>
          </cell>
          <cell r="L937">
            <v>372</v>
          </cell>
          <cell r="M937">
            <v>3015</v>
          </cell>
          <cell r="N937" t="str">
            <v>영진</v>
          </cell>
          <cell r="O937" t="str">
            <v>펌프카(1대)</v>
          </cell>
          <cell r="P937">
            <v>802</v>
          </cell>
          <cell r="Q937">
            <v>1507</v>
          </cell>
          <cell r="R937">
            <v>160</v>
          </cell>
          <cell r="S937">
            <v>46</v>
          </cell>
          <cell r="T937">
            <v>103</v>
          </cell>
          <cell r="U937">
            <v>271</v>
          </cell>
          <cell r="V937"/>
          <cell r="W937" t="str">
            <v>박순홍</v>
          </cell>
          <cell r="X937" t="str">
            <v>(인)</v>
          </cell>
          <cell r="Y937" t="str">
            <v>박순홍</v>
          </cell>
          <cell r="Z937" t="str">
            <v>(인)</v>
          </cell>
          <cell r="AA937" t="str">
            <v>이홍걸</v>
          </cell>
          <cell r="AB937" t="str">
            <v>(인)</v>
          </cell>
          <cell r="AC937" t="str">
            <v>박상갑</v>
          </cell>
          <cell r="AD937" t="str">
            <v>(인)</v>
          </cell>
          <cell r="AE937">
            <v>179</v>
          </cell>
          <cell r="AF937" t="str">
            <v>표준</v>
          </cell>
          <cell r="AG937">
            <v>1</v>
          </cell>
          <cell r="AH937">
            <v>1</v>
          </cell>
          <cell r="AI937">
            <v>2528</v>
          </cell>
          <cell r="AJ937">
            <v>2579</v>
          </cell>
          <cell r="AK937">
            <v>192000</v>
          </cell>
          <cell r="AL937">
            <v>3318</v>
          </cell>
          <cell r="AM937">
            <v>3394</v>
          </cell>
          <cell r="AN937">
            <v>3406</v>
          </cell>
          <cell r="AO937">
            <v>3319</v>
          </cell>
          <cell r="AP937">
            <v>3427</v>
          </cell>
          <cell r="AQ937">
            <v>3406</v>
          </cell>
          <cell r="AR937">
            <v>3392</v>
          </cell>
          <cell r="AS937">
            <v>3374</v>
          </cell>
          <cell r="AT937">
            <v>261200</v>
          </cell>
        </row>
        <row r="938">
          <cell r="G938">
            <v>2408260302</v>
          </cell>
          <cell r="H938" t="str">
            <v>108동</v>
          </cell>
          <cell r="I938">
            <v>240826</v>
          </cell>
          <cell r="J938" t="str">
            <v>108동 1차</v>
          </cell>
          <cell r="K938">
            <v>370</v>
          </cell>
          <cell r="L938">
            <v>372</v>
          </cell>
          <cell r="M938">
            <v>3015</v>
          </cell>
          <cell r="N938" t="str">
            <v>영진</v>
          </cell>
          <cell r="O938" t="str">
            <v>펌프카(1대)</v>
          </cell>
          <cell r="P938">
            <v>802</v>
          </cell>
          <cell r="Q938">
            <v>1507</v>
          </cell>
          <cell r="R938">
            <v>175</v>
          </cell>
          <cell r="S938">
            <v>49</v>
          </cell>
          <cell r="T938">
            <v>58</v>
          </cell>
          <cell r="U938">
            <v>267</v>
          </cell>
          <cell r="V938"/>
          <cell r="W938" t="str">
            <v>박순홍</v>
          </cell>
          <cell r="X938" t="str">
            <v>(인)</v>
          </cell>
          <cell r="Y938" t="str">
            <v>박순홍</v>
          </cell>
          <cell r="Z938" t="str">
            <v>(인)</v>
          </cell>
          <cell r="AA938" t="str">
            <v>이홍걸</v>
          </cell>
          <cell r="AB938" t="str">
            <v>(인)</v>
          </cell>
          <cell r="AC938" t="str">
            <v>박상갑</v>
          </cell>
          <cell r="AD938" t="str">
            <v>(인)</v>
          </cell>
          <cell r="AE938">
            <v>181.3</v>
          </cell>
          <cell r="AF938" t="str">
            <v>표준</v>
          </cell>
          <cell r="AG938">
            <v>2</v>
          </cell>
          <cell r="AH938">
            <v>0</v>
          </cell>
        </row>
        <row r="939">
          <cell r="G939">
            <v>2408260303</v>
          </cell>
          <cell r="H939" t="str">
            <v>108동</v>
          </cell>
          <cell r="I939">
            <v>240826</v>
          </cell>
          <cell r="J939" t="str">
            <v>108동 1차</v>
          </cell>
          <cell r="K939">
            <v>370</v>
          </cell>
          <cell r="L939">
            <v>372</v>
          </cell>
          <cell r="M939">
            <v>3015</v>
          </cell>
          <cell r="N939" t="str">
            <v>영진</v>
          </cell>
          <cell r="O939" t="str">
            <v>펌프카(1대)</v>
          </cell>
          <cell r="P939">
            <v>802</v>
          </cell>
          <cell r="Q939">
            <v>1507</v>
          </cell>
          <cell r="R939">
            <v>145</v>
          </cell>
          <cell r="S939">
            <v>45</v>
          </cell>
          <cell r="T939">
            <v>32</v>
          </cell>
          <cell r="U939">
            <v>263</v>
          </cell>
          <cell r="V939"/>
          <cell r="W939" t="str">
            <v>박순홍</v>
          </cell>
          <cell r="X939" t="str">
            <v>(인)</v>
          </cell>
          <cell r="Y939" t="str">
            <v>박순홍</v>
          </cell>
          <cell r="Z939" t="str">
            <v>(인)</v>
          </cell>
          <cell r="AA939" t="str">
            <v>이홍걸</v>
          </cell>
          <cell r="AB939" t="str">
            <v>(인)</v>
          </cell>
          <cell r="AC939" t="str">
            <v>박상갑</v>
          </cell>
          <cell r="AD939" t="str">
            <v>(인)</v>
          </cell>
          <cell r="AE939">
            <v>181.6</v>
          </cell>
          <cell r="AF939" t="str">
            <v>표준</v>
          </cell>
          <cell r="AG939">
            <v>3</v>
          </cell>
          <cell r="AH939">
            <v>0</v>
          </cell>
        </row>
        <row r="940">
          <cell r="G940">
            <v>2408260304</v>
          </cell>
          <cell r="H940" t="str">
            <v>108동</v>
          </cell>
          <cell r="I940">
            <v>240826</v>
          </cell>
          <cell r="J940" t="str">
            <v>108동 1차</v>
          </cell>
          <cell r="K940">
            <v>370</v>
          </cell>
          <cell r="L940">
            <v>372</v>
          </cell>
          <cell r="M940">
            <v>3015</v>
          </cell>
          <cell r="N940" t="str">
            <v>영진</v>
          </cell>
          <cell r="O940" t="str">
            <v>펌프카(1대)</v>
          </cell>
          <cell r="P940">
            <v>802</v>
          </cell>
          <cell r="Q940">
            <v>1507</v>
          </cell>
          <cell r="R940">
            <v>160</v>
          </cell>
          <cell r="S940">
            <v>47</v>
          </cell>
          <cell r="T940">
            <v>25</v>
          </cell>
          <cell r="U940">
            <v>270</v>
          </cell>
          <cell r="V940"/>
          <cell r="W940" t="str">
            <v>박순홍</v>
          </cell>
          <cell r="X940" t="str">
            <v>(인)</v>
          </cell>
          <cell r="Y940" t="str">
            <v>박순홍</v>
          </cell>
          <cell r="Z940" t="str">
            <v>(인)</v>
          </cell>
          <cell r="AA940" t="str">
            <v>이홍걸</v>
          </cell>
          <cell r="AB940" t="str">
            <v>(인)</v>
          </cell>
          <cell r="AC940" t="str">
            <v>박상갑</v>
          </cell>
          <cell r="AD940" t="str">
            <v>(인)</v>
          </cell>
          <cell r="AE940">
            <v>178.8</v>
          </cell>
          <cell r="AF940" t="str">
            <v>표준</v>
          </cell>
          <cell r="AG940">
            <v>4</v>
          </cell>
          <cell r="AH940">
            <v>1</v>
          </cell>
          <cell r="AL940">
            <v>3542</v>
          </cell>
          <cell r="AM940">
            <v>3483</v>
          </cell>
          <cell r="AN940">
            <v>3416</v>
          </cell>
          <cell r="AO940">
            <v>3416</v>
          </cell>
          <cell r="AP940">
            <v>3406</v>
          </cell>
          <cell r="AQ940">
            <v>3319</v>
          </cell>
          <cell r="AR940">
            <v>3317</v>
          </cell>
          <cell r="AS940">
            <v>3329</v>
          </cell>
          <cell r="AT940">
            <v>267000</v>
          </cell>
        </row>
        <row r="941">
          <cell r="G941">
            <v>2408260401</v>
          </cell>
          <cell r="H941" t="str">
            <v>108동</v>
          </cell>
          <cell r="I941">
            <v>240826</v>
          </cell>
          <cell r="J941" t="str">
            <v>108동 1차</v>
          </cell>
          <cell r="K941">
            <v>90</v>
          </cell>
          <cell r="L941">
            <v>90</v>
          </cell>
          <cell r="M941">
            <v>2715</v>
          </cell>
          <cell r="N941" t="str">
            <v>영진</v>
          </cell>
          <cell r="O941" t="str">
            <v>펌프카(1대)</v>
          </cell>
          <cell r="P941">
            <v>1439</v>
          </cell>
          <cell r="Q941">
            <v>1630</v>
          </cell>
          <cell r="R941">
            <v>155</v>
          </cell>
          <cell r="S941">
            <v>46</v>
          </cell>
          <cell r="T941">
            <v>74</v>
          </cell>
          <cell r="U941">
            <v>276</v>
          </cell>
          <cell r="V941"/>
          <cell r="W941" t="str">
            <v>박순홍</v>
          </cell>
          <cell r="X941" t="str">
            <v>(인)</v>
          </cell>
          <cell r="Y941" t="str">
            <v>박순홍</v>
          </cell>
          <cell r="Z941" t="str">
            <v>(인)</v>
          </cell>
          <cell r="AA941" t="str">
            <v>이홍걸</v>
          </cell>
          <cell r="AB941" t="str">
            <v>(인)</v>
          </cell>
          <cell r="AC941" t="str">
            <v>박상갑</v>
          </cell>
          <cell r="AD941" t="str">
            <v>(인)</v>
          </cell>
          <cell r="AE941">
            <v>183.5</v>
          </cell>
          <cell r="AF941" t="str">
            <v>표준</v>
          </cell>
          <cell r="AG941">
            <v>1</v>
          </cell>
          <cell r="AH941">
            <v>1</v>
          </cell>
          <cell r="AI941">
            <v>2324</v>
          </cell>
          <cell r="AJ941">
            <v>2179</v>
          </cell>
          <cell r="AK941">
            <v>188600</v>
          </cell>
          <cell r="AL941">
            <v>3246</v>
          </cell>
          <cell r="AM941">
            <v>3330</v>
          </cell>
          <cell r="AN941">
            <v>3294</v>
          </cell>
          <cell r="AO941">
            <v>3306</v>
          </cell>
          <cell r="AP941">
            <v>3329</v>
          </cell>
          <cell r="AQ941">
            <v>3387</v>
          </cell>
          <cell r="AR941">
            <v>3292</v>
          </cell>
          <cell r="AS941">
            <v>3306</v>
          </cell>
          <cell r="AT941">
            <v>257400</v>
          </cell>
        </row>
        <row r="942">
          <cell r="G942">
            <v>2408260501</v>
          </cell>
          <cell r="H942" t="str">
            <v>117동</v>
          </cell>
          <cell r="I942">
            <v>240826</v>
          </cell>
          <cell r="J942" t="str">
            <v>117동 주변 기초</v>
          </cell>
          <cell r="K942">
            <v>36</v>
          </cell>
          <cell r="L942">
            <v>36</v>
          </cell>
          <cell r="M942">
            <v>2715</v>
          </cell>
          <cell r="N942" t="str">
            <v>한진</v>
          </cell>
          <cell r="O942" t="str">
            <v>펌프카(1대)</v>
          </cell>
          <cell r="P942">
            <v>756</v>
          </cell>
          <cell r="Q942">
            <v>835</v>
          </cell>
          <cell r="R942">
            <v>165</v>
          </cell>
          <cell r="S942">
            <v>46</v>
          </cell>
          <cell r="T942">
            <v>65</v>
          </cell>
          <cell r="U942">
            <v>286</v>
          </cell>
          <cell r="V942"/>
          <cell r="W942" t="str">
            <v>박순홍</v>
          </cell>
          <cell r="X942" t="str">
            <v>(인)</v>
          </cell>
          <cell r="Y942" t="str">
            <v>박순홍</v>
          </cell>
          <cell r="Z942" t="str">
            <v>(인)</v>
          </cell>
          <cell r="AA942" t="str">
            <v>이홍걸</v>
          </cell>
          <cell r="AB942" t="str">
            <v>(인)</v>
          </cell>
          <cell r="AC942" t="str">
            <v>박상갑</v>
          </cell>
          <cell r="AD942" t="str">
            <v>(인)</v>
          </cell>
          <cell r="AE942">
            <v>189.4</v>
          </cell>
          <cell r="AF942" t="str">
            <v>표준</v>
          </cell>
          <cell r="AG942">
            <v>1</v>
          </cell>
          <cell r="AH942">
            <v>1</v>
          </cell>
          <cell r="AI942">
            <v>2497</v>
          </cell>
          <cell r="AJ942">
            <v>2528</v>
          </cell>
          <cell r="AK942">
            <v>199800</v>
          </cell>
          <cell r="AL942">
            <v>3462</v>
          </cell>
          <cell r="AM942">
            <v>3389</v>
          </cell>
          <cell r="AN942">
            <v>3394</v>
          </cell>
          <cell r="AO942">
            <v>3427</v>
          </cell>
          <cell r="AP942">
            <v>3426</v>
          </cell>
          <cell r="AQ942">
            <v>3406</v>
          </cell>
          <cell r="AR942">
            <v>3412</v>
          </cell>
          <cell r="AS942">
            <v>3409</v>
          </cell>
          <cell r="AT942">
            <v>269000</v>
          </cell>
        </row>
        <row r="943">
          <cell r="G943">
            <v>2408260601</v>
          </cell>
          <cell r="H943" t="str">
            <v>117동</v>
          </cell>
          <cell r="I943">
            <v>240826</v>
          </cell>
          <cell r="J943" t="str">
            <v>117동 주변 기초</v>
          </cell>
          <cell r="K943">
            <v>36</v>
          </cell>
          <cell r="L943">
            <v>36</v>
          </cell>
          <cell r="M943">
            <v>2415</v>
          </cell>
          <cell r="N943" t="str">
            <v>한진</v>
          </cell>
          <cell r="O943" t="str">
            <v>펌프카(1대)</v>
          </cell>
          <cell r="P943">
            <v>820</v>
          </cell>
          <cell r="Q943">
            <v>907</v>
          </cell>
          <cell r="R943">
            <v>175</v>
          </cell>
          <cell r="S943">
            <v>51</v>
          </cell>
          <cell r="T943">
            <v>82</v>
          </cell>
          <cell r="U943">
            <v>269</v>
          </cell>
          <cell r="V943"/>
          <cell r="W943" t="str">
            <v>박순홍</v>
          </cell>
          <cell r="X943" t="str">
            <v>(인)</v>
          </cell>
          <cell r="Y943" t="str">
            <v>박순홍</v>
          </cell>
          <cell r="Z943" t="str">
            <v>(인)</v>
          </cell>
          <cell r="AA943" t="str">
            <v>이홍걸</v>
          </cell>
          <cell r="AB943" t="str">
            <v>(인)</v>
          </cell>
          <cell r="AC943" t="str">
            <v>박상갑</v>
          </cell>
          <cell r="AD943" t="str">
            <v>(인)</v>
          </cell>
          <cell r="AE943">
            <v>188.4</v>
          </cell>
          <cell r="AF943" t="str">
            <v>표준</v>
          </cell>
          <cell r="AG943">
            <v>1</v>
          </cell>
          <cell r="AH943">
            <v>1</v>
          </cell>
          <cell r="AI943">
            <v>2185</v>
          </cell>
          <cell r="AJ943">
            <v>2251</v>
          </cell>
          <cell r="AK943">
            <v>175200</v>
          </cell>
          <cell r="AL943">
            <v>3218</v>
          </cell>
          <cell r="AM943">
            <v>3226</v>
          </cell>
          <cell r="AN943">
            <v>3217</v>
          </cell>
          <cell r="AO943">
            <v>3210</v>
          </cell>
          <cell r="AP943">
            <v>3217</v>
          </cell>
          <cell r="AQ943">
            <v>3294</v>
          </cell>
          <cell r="AR943">
            <v>3306</v>
          </cell>
          <cell r="AS943">
            <v>3214</v>
          </cell>
          <cell r="AT943">
            <v>251400</v>
          </cell>
        </row>
        <row r="944">
          <cell r="G944">
            <v>2408280101</v>
          </cell>
          <cell r="H944" t="str">
            <v>107동</v>
          </cell>
          <cell r="I944">
            <v>240828</v>
          </cell>
          <cell r="J944" t="str">
            <v>107동 7층 바닥</v>
          </cell>
          <cell r="K944">
            <v>288</v>
          </cell>
          <cell r="L944">
            <v>288</v>
          </cell>
          <cell r="M944">
            <v>3018</v>
          </cell>
          <cell r="N944" t="str">
            <v>대원</v>
          </cell>
          <cell r="O944" t="str">
            <v>펌프카(1대)</v>
          </cell>
          <cell r="P944">
            <v>903</v>
          </cell>
          <cell r="Q944">
            <v>1343</v>
          </cell>
          <cell r="R944">
            <v>180</v>
          </cell>
          <cell r="S944">
            <v>49</v>
          </cell>
          <cell r="T944">
            <v>36</v>
          </cell>
          <cell r="U944">
            <v>258</v>
          </cell>
          <cell r="V944"/>
          <cell r="W944" t="str">
            <v>박순홍</v>
          </cell>
          <cell r="X944" t="str">
            <v>(인)</v>
          </cell>
          <cell r="Y944" t="str">
            <v>박순홍</v>
          </cell>
          <cell r="Z944" t="str">
            <v>(인)</v>
          </cell>
          <cell r="AA944" t="str">
            <v>박기원</v>
          </cell>
          <cell r="AB944" t="str">
            <v>(인)</v>
          </cell>
          <cell r="AC944" t="str">
            <v>박상갑</v>
          </cell>
          <cell r="AD944" t="str">
            <v>(인)</v>
          </cell>
          <cell r="AE944">
            <v>175.6</v>
          </cell>
          <cell r="AF944" t="str">
            <v>표준</v>
          </cell>
          <cell r="AG944">
            <v>1</v>
          </cell>
          <cell r="AH944">
            <v>1</v>
          </cell>
          <cell r="AI944">
            <v>2771</v>
          </cell>
          <cell r="AJ944">
            <v>2742</v>
          </cell>
          <cell r="AK944">
            <v>220200</v>
          </cell>
          <cell r="AL944">
            <v>3837</v>
          </cell>
          <cell r="AM944">
            <v>3977</v>
          </cell>
          <cell r="AN944">
            <v>3826</v>
          </cell>
          <cell r="AO944">
            <v>3874</v>
          </cell>
          <cell r="AP944">
            <v>3966</v>
          </cell>
          <cell r="AQ944">
            <v>4031</v>
          </cell>
          <cell r="AR944">
            <v>3927</v>
          </cell>
          <cell r="AS944">
            <v>3879</v>
          </cell>
          <cell r="AT944">
            <v>308600</v>
          </cell>
        </row>
        <row r="945">
          <cell r="G945">
            <v>2408280102</v>
          </cell>
          <cell r="H945" t="str">
            <v>107동</v>
          </cell>
          <cell r="I945">
            <v>240828</v>
          </cell>
          <cell r="J945" t="str">
            <v>107동 7층 바닥</v>
          </cell>
          <cell r="K945">
            <v>288</v>
          </cell>
          <cell r="L945">
            <v>288</v>
          </cell>
          <cell r="M945">
            <v>3018</v>
          </cell>
          <cell r="N945" t="str">
            <v>대원</v>
          </cell>
          <cell r="O945" t="str">
            <v>펌프카(1대)</v>
          </cell>
          <cell r="P945">
            <v>903</v>
          </cell>
          <cell r="Q945">
            <v>1343</v>
          </cell>
          <cell r="R945">
            <v>185</v>
          </cell>
          <cell r="S945">
            <v>48</v>
          </cell>
          <cell r="T945">
            <v>26</v>
          </cell>
          <cell r="U945">
            <v>251</v>
          </cell>
          <cell r="V945"/>
          <cell r="W945" t="str">
            <v>박순홍</v>
          </cell>
          <cell r="X945" t="str">
            <v>(인)</v>
          </cell>
          <cell r="Y945" t="str">
            <v>박순홍</v>
          </cell>
          <cell r="Z945" t="str">
            <v>(인)</v>
          </cell>
          <cell r="AA945" t="str">
            <v>박기원</v>
          </cell>
          <cell r="AB945" t="str">
            <v>(인)</v>
          </cell>
          <cell r="AC945" t="str">
            <v>박상갑</v>
          </cell>
          <cell r="AD945" t="str">
            <v>(인)</v>
          </cell>
          <cell r="AE945">
            <v>179.4</v>
          </cell>
          <cell r="AF945" t="str">
            <v>표준</v>
          </cell>
          <cell r="AG945">
            <v>2</v>
          </cell>
          <cell r="AH945">
            <v>0</v>
          </cell>
        </row>
        <row r="946">
          <cell r="G946">
            <v>2408280103</v>
          </cell>
          <cell r="H946" t="str">
            <v>107동</v>
          </cell>
          <cell r="I946">
            <v>240828</v>
          </cell>
          <cell r="J946" t="str">
            <v>107동 7층 바닥</v>
          </cell>
          <cell r="K946">
            <v>288</v>
          </cell>
          <cell r="L946">
            <v>288</v>
          </cell>
          <cell r="M946">
            <v>3018</v>
          </cell>
          <cell r="N946" t="str">
            <v>대원</v>
          </cell>
          <cell r="O946" t="str">
            <v>펌프카(1대)</v>
          </cell>
          <cell r="P946">
            <v>903</v>
          </cell>
          <cell r="Q946">
            <v>1343</v>
          </cell>
          <cell r="R946">
            <v>185</v>
          </cell>
          <cell r="S946">
            <v>39</v>
          </cell>
          <cell r="T946">
            <v>140</v>
          </cell>
          <cell r="U946">
            <v>260</v>
          </cell>
          <cell r="V946"/>
          <cell r="W946" t="str">
            <v>박순홍</v>
          </cell>
          <cell r="X946" t="str">
            <v>(인)</v>
          </cell>
          <cell r="Y946" t="str">
            <v>박순홍</v>
          </cell>
          <cell r="Z946" t="str">
            <v>(인)</v>
          </cell>
          <cell r="AA946" t="str">
            <v>박기원</v>
          </cell>
          <cell r="AB946" t="str">
            <v>(인)</v>
          </cell>
          <cell r="AC946" t="str">
            <v>박상갑</v>
          </cell>
          <cell r="AD946" t="str">
            <v>(인)</v>
          </cell>
          <cell r="AE946">
            <v>181.2</v>
          </cell>
          <cell r="AF946" t="str">
            <v>표준</v>
          </cell>
          <cell r="AG946">
            <v>3</v>
          </cell>
          <cell r="AH946">
            <v>0</v>
          </cell>
        </row>
        <row r="947">
          <cell r="G947">
            <v>2408300101</v>
          </cell>
          <cell r="H947" t="str">
            <v>111동</v>
          </cell>
          <cell r="I947">
            <v>240830</v>
          </cell>
          <cell r="J947" t="str">
            <v>H구간 지하3층</v>
          </cell>
          <cell r="K947">
            <v>600</v>
          </cell>
          <cell r="L947">
            <v>612</v>
          </cell>
          <cell r="M947">
            <v>2715</v>
          </cell>
          <cell r="N947" t="str">
            <v>대공</v>
          </cell>
          <cell r="O947" t="str">
            <v>펌프카(1대)</v>
          </cell>
          <cell r="P947">
            <v>750</v>
          </cell>
          <cell r="Q947">
            <v>1720</v>
          </cell>
          <cell r="R947">
            <v>170</v>
          </cell>
          <cell r="S947">
            <v>51</v>
          </cell>
          <cell r="T947">
            <v>19</v>
          </cell>
          <cell r="U947">
            <v>268</v>
          </cell>
          <cell r="V947"/>
          <cell r="W947" t="str">
            <v>김광록</v>
          </cell>
          <cell r="X947" t="str">
            <v>(인)</v>
          </cell>
          <cell r="Y947" t="str">
            <v>박순홍</v>
          </cell>
          <cell r="Z947" t="str">
            <v>(인)</v>
          </cell>
          <cell r="AA947" t="str">
            <v>박기원</v>
          </cell>
          <cell r="AB947" t="str">
            <v>(인)</v>
          </cell>
          <cell r="AC947" t="str">
            <v>박상갑</v>
          </cell>
          <cell r="AD947" t="str">
            <v>(인)</v>
          </cell>
          <cell r="AE947">
            <v>171</v>
          </cell>
          <cell r="AF947" t="str">
            <v>표준</v>
          </cell>
          <cell r="AG947">
            <v>1</v>
          </cell>
          <cell r="AH947">
            <v>1</v>
          </cell>
          <cell r="AI947">
            <v>2559</v>
          </cell>
          <cell r="AJ947">
            <v>2531</v>
          </cell>
          <cell r="AK947">
            <v>205600</v>
          </cell>
          <cell r="AL947">
            <v>3860</v>
          </cell>
          <cell r="AM947">
            <v>3791</v>
          </cell>
          <cell r="AN947">
            <v>3929</v>
          </cell>
          <cell r="AO947">
            <v>3967</v>
          </cell>
          <cell r="AP947">
            <v>3873</v>
          </cell>
          <cell r="AQ947">
            <v>3924</v>
          </cell>
          <cell r="AR947">
            <v>3866</v>
          </cell>
          <cell r="AS947">
            <v>4031</v>
          </cell>
          <cell r="AT947">
            <v>301600</v>
          </cell>
        </row>
        <row r="948">
          <cell r="G948">
            <v>2408300102</v>
          </cell>
          <cell r="H948" t="str">
            <v>111동</v>
          </cell>
          <cell r="I948">
            <v>240830</v>
          </cell>
          <cell r="J948" t="str">
            <v>H구간 지하3층</v>
          </cell>
          <cell r="K948">
            <v>600</v>
          </cell>
          <cell r="L948">
            <v>612</v>
          </cell>
          <cell r="M948">
            <v>2715</v>
          </cell>
          <cell r="N948" t="str">
            <v>대공</v>
          </cell>
          <cell r="O948" t="str">
            <v>펌프카(1대)</v>
          </cell>
          <cell r="P948">
            <v>750</v>
          </cell>
          <cell r="Q948">
            <v>1720</v>
          </cell>
          <cell r="R948">
            <v>170</v>
          </cell>
          <cell r="S948">
            <v>46</v>
          </cell>
          <cell r="T948">
            <v>40</v>
          </cell>
          <cell r="U948">
            <v>24.5</v>
          </cell>
          <cell r="V948"/>
          <cell r="W948" t="str">
            <v>김광록</v>
          </cell>
          <cell r="X948" t="str">
            <v>(인)</v>
          </cell>
          <cell r="Y948" t="str">
            <v>박순홍</v>
          </cell>
          <cell r="Z948" t="str">
            <v>(인)</v>
          </cell>
          <cell r="AA948" t="str">
            <v>박기원</v>
          </cell>
          <cell r="AB948" t="str">
            <v>(인)</v>
          </cell>
          <cell r="AC948" t="str">
            <v>박상갑</v>
          </cell>
          <cell r="AD948" t="str">
            <v>(인)</v>
          </cell>
          <cell r="AE948">
            <v>171.4</v>
          </cell>
          <cell r="AF948" t="str">
            <v>표준</v>
          </cell>
          <cell r="AG948">
            <v>2</v>
          </cell>
          <cell r="AH948">
            <v>0</v>
          </cell>
        </row>
        <row r="949">
          <cell r="G949">
            <v>2408300103</v>
          </cell>
          <cell r="H949" t="str">
            <v>111동</v>
          </cell>
          <cell r="I949">
            <v>240830</v>
          </cell>
          <cell r="J949" t="str">
            <v>H구간 지하3층</v>
          </cell>
          <cell r="K949">
            <v>600</v>
          </cell>
          <cell r="L949">
            <v>612</v>
          </cell>
          <cell r="M949">
            <v>2715</v>
          </cell>
          <cell r="N949" t="str">
            <v>대공</v>
          </cell>
          <cell r="O949" t="str">
            <v>펌프카(1대)</v>
          </cell>
          <cell r="P949">
            <v>750</v>
          </cell>
          <cell r="Q949">
            <v>1720</v>
          </cell>
          <cell r="R949">
            <v>175</v>
          </cell>
          <cell r="S949">
            <v>5</v>
          </cell>
          <cell r="T949">
            <v>81</v>
          </cell>
          <cell r="U949">
            <v>233</v>
          </cell>
          <cell r="V949"/>
          <cell r="W949" t="str">
            <v>김광록</v>
          </cell>
          <cell r="X949" t="str">
            <v>(인)</v>
          </cell>
          <cell r="Y949" t="str">
            <v>박순홍</v>
          </cell>
          <cell r="Z949" t="str">
            <v>(인)</v>
          </cell>
          <cell r="AA949" t="str">
            <v>박기원</v>
          </cell>
          <cell r="AB949" t="str">
            <v>(인)</v>
          </cell>
          <cell r="AC949" t="str">
            <v>박상갑</v>
          </cell>
          <cell r="AD949" t="str">
            <v>(인)</v>
          </cell>
          <cell r="AE949">
            <v>175.4</v>
          </cell>
          <cell r="AF949" t="str">
            <v>표준</v>
          </cell>
          <cell r="AG949">
            <v>3</v>
          </cell>
          <cell r="AH949">
            <v>0</v>
          </cell>
        </row>
        <row r="950">
          <cell r="G950">
            <v>2408300104</v>
          </cell>
          <cell r="H950" t="str">
            <v>111동</v>
          </cell>
          <cell r="I950">
            <v>240830</v>
          </cell>
          <cell r="J950" t="str">
            <v>H구간 지하3층</v>
          </cell>
          <cell r="K950">
            <v>600</v>
          </cell>
          <cell r="L950">
            <v>612</v>
          </cell>
          <cell r="M950">
            <v>2715</v>
          </cell>
          <cell r="N950" t="str">
            <v>대공</v>
          </cell>
          <cell r="O950" t="str">
            <v>펌프카(1대)</v>
          </cell>
          <cell r="P950">
            <v>750</v>
          </cell>
          <cell r="Q950">
            <v>1720</v>
          </cell>
          <cell r="R950">
            <v>150</v>
          </cell>
          <cell r="S950">
            <v>44</v>
          </cell>
          <cell r="T950">
            <v>87</v>
          </cell>
          <cell r="U950">
            <v>272</v>
          </cell>
          <cell r="V950"/>
          <cell r="W950" t="str">
            <v>김광록</v>
          </cell>
          <cell r="X950" t="str">
            <v>(인)</v>
          </cell>
          <cell r="Y950" t="str">
            <v>박순홍</v>
          </cell>
          <cell r="Z950" t="str">
            <v>(인)</v>
          </cell>
          <cell r="AA950" t="str">
            <v>박기원</v>
          </cell>
          <cell r="AB950" t="str">
            <v>(인)</v>
          </cell>
          <cell r="AC950" t="str">
            <v>박상갑</v>
          </cell>
          <cell r="AD950" t="str">
            <v>(인)</v>
          </cell>
          <cell r="AE950">
            <v>167.6</v>
          </cell>
          <cell r="AF950" t="str">
            <v>표준</v>
          </cell>
          <cell r="AG950">
            <v>4</v>
          </cell>
          <cell r="AH950">
            <v>1</v>
          </cell>
          <cell r="AL950">
            <v>3720</v>
          </cell>
          <cell r="AM950">
            <v>3794</v>
          </cell>
          <cell r="AN950">
            <v>3721</v>
          </cell>
          <cell r="AO950">
            <v>3739</v>
          </cell>
          <cell r="AP950">
            <v>3862</v>
          </cell>
          <cell r="AQ950">
            <v>3726</v>
          </cell>
          <cell r="AR950">
            <v>4012</v>
          </cell>
          <cell r="AS950">
            <v>4039</v>
          </cell>
          <cell r="AT950">
            <v>304200</v>
          </cell>
        </row>
        <row r="951">
          <cell r="G951">
            <v>2408300105</v>
          </cell>
          <cell r="H951" t="str">
            <v>111동</v>
          </cell>
          <cell r="I951">
            <v>240830</v>
          </cell>
          <cell r="J951" t="str">
            <v>H구간 지하3층</v>
          </cell>
          <cell r="K951">
            <v>600</v>
          </cell>
          <cell r="L951">
            <v>612</v>
          </cell>
          <cell r="M951">
            <v>2715</v>
          </cell>
          <cell r="N951" t="str">
            <v>대공</v>
          </cell>
          <cell r="O951" t="str">
            <v>펌프카(1대)</v>
          </cell>
          <cell r="P951">
            <v>750</v>
          </cell>
          <cell r="Q951">
            <v>1720</v>
          </cell>
          <cell r="R951">
            <v>160</v>
          </cell>
          <cell r="S951">
            <v>47</v>
          </cell>
          <cell r="T951">
            <v>17</v>
          </cell>
          <cell r="U951">
            <v>267</v>
          </cell>
          <cell r="V951"/>
          <cell r="W951" t="str">
            <v>김광록</v>
          </cell>
          <cell r="X951" t="str">
            <v>(인)</v>
          </cell>
          <cell r="Y951" t="str">
            <v>박순홍</v>
          </cell>
          <cell r="Z951" t="str">
            <v>(인)</v>
          </cell>
          <cell r="AA951" t="str">
            <v>박기원</v>
          </cell>
          <cell r="AB951" t="str">
            <v>(인)</v>
          </cell>
          <cell r="AC951" t="str">
            <v>박상갑</v>
          </cell>
          <cell r="AD951" t="str">
            <v>(인)</v>
          </cell>
          <cell r="AE951">
            <v>167.9</v>
          </cell>
          <cell r="AF951" t="str">
            <v>표준</v>
          </cell>
          <cell r="AG951">
            <v>5</v>
          </cell>
          <cell r="AH951">
            <v>0</v>
          </cell>
        </row>
        <row r="952">
          <cell r="G952">
            <v>2408300106</v>
          </cell>
          <cell r="H952" t="str">
            <v>111동</v>
          </cell>
          <cell r="I952">
            <v>240830</v>
          </cell>
          <cell r="J952" t="str">
            <v>H구간 지하3층</v>
          </cell>
          <cell r="K952">
            <v>600</v>
          </cell>
          <cell r="L952">
            <v>612</v>
          </cell>
          <cell r="M952">
            <v>2715</v>
          </cell>
          <cell r="N952" t="str">
            <v>대공</v>
          </cell>
          <cell r="O952" t="str">
            <v>펌프카(1대)</v>
          </cell>
          <cell r="P952">
            <v>750</v>
          </cell>
          <cell r="Q952">
            <v>1720</v>
          </cell>
          <cell r="R952">
            <v>175</v>
          </cell>
          <cell r="S952">
            <v>51</v>
          </cell>
          <cell r="T952">
            <v>27</v>
          </cell>
          <cell r="U952">
            <v>277</v>
          </cell>
          <cell r="V952"/>
          <cell r="W952" t="str">
            <v>김광록</v>
          </cell>
          <cell r="X952" t="str">
            <v>(인)</v>
          </cell>
          <cell r="Y952" t="str">
            <v>박순홍</v>
          </cell>
          <cell r="Z952" t="str">
            <v>(인)</v>
          </cell>
          <cell r="AA952" t="str">
            <v>박기원</v>
          </cell>
          <cell r="AB952" t="str">
            <v>(인)</v>
          </cell>
          <cell r="AC952" t="str">
            <v>박상갑</v>
          </cell>
          <cell r="AD952" t="str">
            <v>(인)</v>
          </cell>
          <cell r="AE952">
            <v>171.5</v>
          </cell>
          <cell r="AF952" t="str">
            <v>표준</v>
          </cell>
          <cell r="AG952">
            <v>6</v>
          </cell>
          <cell r="AH952">
            <v>0</v>
          </cell>
        </row>
        <row r="953">
          <cell r="G953">
            <v>2408300201</v>
          </cell>
          <cell r="H953" t="str">
            <v>110동</v>
          </cell>
          <cell r="I953">
            <v>240830</v>
          </cell>
          <cell r="J953" t="str">
            <v>110동 1차</v>
          </cell>
          <cell r="K953">
            <v>360</v>
          </cell>
          <cell r="L953">
            <v>360</v>
          </cell>
          <cell r="M953">
            <v>3015</v>
          </cell>
          <cell r="N953" t="str">
            <v>용호</v>
          </cell>
          <cell r="O953" t="str">
            <v>펌프카(1대)</v>
          </cell>
          <cell r="P953">
            <v>851</v>
          </cell>
          <cell r="Q953">
            <v>1436</v>
          </cell>
          <cell r="R953">
            <v>165</v>
          </cell>
          <cell r="S953">
            <v>45</v>
          </cell>
          <cell r="T953">
            <v>54</v>
          </cell>
          <cell r="U953">
            <v>229</v>
          </cell>
          <cell r="V953"/>
          <cell r="W953" t="str">
            <v>김광록</v>
          </cell>
          <cell r="X953" t="str">
            <v>(인)</v>
          </cell>
          <cell r="Y953" t="str">
            <v>박순홍</v>
          </cell>
          <cell r="Z953" t="str">
            <v>(인)</v>
          </cell>
          <cell r="AA953" t="str">
            <v>박기원</v>
          </cell>
          <cell r="AB953" t="str">
            <v>(인)</v>
          </cell>
          <cell r="AC953" t="str">
            <v>박상갑</v>
          </cell>
          <cell r="AD953" t="str">
            <v>(인)</v>
          </cell>
          <cell r="AE953">
            <v>173.6</v>
          </cell>
          <cell r="AF953" t="str">
            <v>표준</v>
          </cell>
          <cell r="AG953">
            <v>1</v>
          </cell>
          <cell r="AH953">
            <v>1</v>
          </cell>
          <cell r="AI953">
            <v>2645</v>
          </cell>
          <cell r="AJ953">
            <v>2732</v>
          </cell>
          <cell r="AK953">
            <v>213800</v>
          </cell>
          <cell r="AL953">
            <v>3768</v>
          </cell>
          <cell r="AM953">
            <v>3934</v>
          </cell>
          <cell r="AN953">
            <v>3926</v>
          </cell>
          <cell r="AO953">
            <v>3864</v>
          </cell>
          <cell r="AP953">
            <v>3862</v>
          </cell>
          <cell r="AQ953">
            <v>3904</v>
          </cell>
          <cell r="AR953">
            <v>3726</v>
          </cell>
          <cell r="AS953">
            <v>3739</v>
          </cell>
          <cell r="AT953">
            <v>297000</v>
          </cell>
        </row>
        <row r="954">
          <cell r="G954">
            <v>2408300202</v>
          </cell>
          <cell r="H954" t="str">
            <v>110동</v>
          </cell>
          <cell r="I954">
            <v>240830</v>
          </cell>
          <cell r="J954" t="str">
            <v>110동 1차</v>
          </cell>
          <cell r="K954">
            <v>360</v>
          </cell>
          <cell r="L954">
            <v>360</v>
          </cell>
          <cell r="M954">
            <v>3015</v>
          </cell>
          <cell r="N954" t="str">
            <v>용호</v>
          </cell>
          <cell r="O954" t="str">
            <v>펌프카(1대)</v>
          </cell>
          <cell r="P954">
            <v>851</v>
          </cell>
          <cell r="Q954">
            <v>1436</v>
          </cell>
          <cell r="R954">
            <v>160</v>
          </cell>
          <cell r="S954">
            <v>47</v>
          </cell>
          <cell r="T954">
            <v>59</v>
          </cell>
          <cell r="U954">
            <v>245</v>
          </cell>
          <cell r="V954"/>
          <cell r="W954" t="str">
            <v>김광록</v>
          </cell>
          <cell r="X954" t="str">
            <v>(인)</v>
          </cell>
          <cell r="Y954" t="str">
            <v>박순홍</v>
          </cell>
          <cell r="Z954" t="str">
            <v>(인)</v>
          </cell>
          <cell r="AA954" t="str">
            <v>박기원</v>
          </cell>
          <cell r="AB954" t="str">
            <v>(인)</v>
          </cell>
          <cell r="AC954" t="str">
            <v>박상갑</v>
          </cell>
          <cell r="AD954" t="str">
            <v>(인)</v>
          </cell>
          <cell r="AE954">
            <v>173.7</v>
          </cell>
          <cell r="AF954" t="str">
            <v>표준</v>
          </cell>
          <cell r="AG954">
            <v>2</v>
          </cell>
          <cell r="AH954">
            <v>0</v>
          </cell>
        </row>
        <row r="955">
          <cell r="G955">
            <v>2408300203</v>
          </cell>
          <cell r="H955" t="str">
            <v>110동</v>
          </cell>
          <cell r="I955">
            <v>240830</v>
          </cell>
          <cell r="J955" t="str">
            <v>110동 1차</v>
          </cell>
          <cell r="K955">
            <v>360</v>
          </cell>
          <cell r="L955">
            <v>360</v>
          </cell>
          <cell r="M955">
            <v>3015</v>
          </cell>
          <cell r="N955" t="str">
            <v>용호</v>
          </cell>
          <cell r="O955" t="str">
            <v>펌프카(1대)</v>
          </cell>
          <cell r="P955">
            <v>851</v>
          </cell>
          <cell r="Q955">
            <v>1436</v>
          </cell>
          <cell r="R955">
            <v>170</v>
          </cell>
          <cell r="S955">
            <v>50</v>
          </cell>
          <cell r="T955">
            <v>66</v>
          </cell>
          <cell r="U955">
            <v>23.6</v>
          </cell>
          <cell r="V955"/>
          <cell r="W955" t="str">
            <v>김광록</v>
          </cell>
          <cell r="X955" t="str">
            <v>(인)</v>
          </cell>
          <cell r="Y955" t="str">
            <v>박순홍</v>
          </cell>
          <cell r="Z955" t="str">
            <v>(인)</v>
          </cell>
          <cell r="AA955" t="str">
            <v>박기원</v>
          </cell>
          <cell r="AB955" t="str">
            <v>(인)</v>
          </cell>
          <cell r="AC955" t="str">
            <v>박상갑</v>
          </cell>
          <cell r="AD955" t="str">
            <v>(인)</v>
          </cell>
          <cell r="AE955">
            <v>173</v>
          </cell>
          <cell r="AF955" t="str">
            <v>표준</v>
          </cell>
          <cell r="AG955">
            <v>3</v>
          </cell>
          <cell r="AH955">
            <v>0</v>
          </cell>
        </row>
        <row r="956">
          <cell r="G956">
            <v>2408300301</v>
          </cell>
          <cell r="H956" t="str">
            <v>110동</v>
          </cell>
          <cell r="I956">
            <v>240830</v>
          </cell>
          <cell r="J956" t="str">
            <v>110동 1차</v>
          </cell>
          <cell r="K956">
            <v>210</v>
          </cell>
          <cell r="L956">
            <v>209</v>
          </cell>
          <cell r="M956">
            <v>2715</v>
          </cell>
          <cell r="N956" t="str">
            <v>용호</v>
          </cell>
          <cell r="O956" t="str">
            <v>펌프카(1대)</v>
          </cell>
          <cell r="P956">
            <v>1425</v>
          </cell>
          <cell r="Q956">
            <v>1703</v>
          </cell>
          <cell r="R956">
            <v>165</v>
          </cell>
          <cell r="S956">
            <v>46</v>
          </cell>
          <cell r="T956">
            <v>34</v>
          </cell>
          <cell r="U956">
            <v>277</v>
          </cell>
          <cell r="V956"/>
          <cell r="W956" t="str">
            <v>김광록</v>
          </cell>
          <cell r="X956" t="str">
            <v>(인)</v>
          </cell>
          <cell r="Y956" t="str">
            <v>박순홍</v>
          </cell>
          <cell r="Z956" t="str">
            <v>(인)</v>
          </cell>
          <cell r="AA956" t="str">
            <v>박기원</v>
          </cell>
          <cell r="AB956" t="str">
            <v>(인)</v>
          </cell>
          <cell r="AC956" t="str">
            <v>박상갑</v>
          </cell>
          <cell r="AD956" t="str">
            <v>(인)</v>
          </cell>
          <cell r="AE956">
            <v>179.1</v>
          </cell>
          <cell r="AF956" t="str">
            <v>표준</v>
          </cell>
          <cell r="AG956">
            <v>1</v>
          </cell>
          <cell r="AH956">
            <v>1</v>
          </cell>
          <cell r="AI956">
            <v>2518</v>
          </cell>
          <cell r="AJ956">
            <v>2490</v>
          </cell>
          <cell r="AK956">
            <v>205000</v>
          </cell>
          <cell r="AL956">
            <v>3419</v>
          </cell>
          <cell r="AM956">
            <v>3356</v>
          </cell>
          <cell r="AN956">
            <v>3294</v>
          </cell>
          <cell r="AO956">
            <v>3471</v>
          </cell>
          <cell r="AP956">
            <v>3426</v>
          </cell>
          <cell r="AQ956">
            <v>3362</v>
          </cell>
          <cell r="AR956">
            <v>3374</v>
          </cell>
          <cell r="AS956">
            <v>3294</v>
          </cell>
          <cell r="AT956">
            <v>266000</v>
          </cell>
        </row>
        <row r="957">
          <cell r="G957">
            <v>2408300302</v>
          </cell>
          <cell r="H957" t="str">
            <v>110동</v>
          </cell>
          <cell r="I957">
            <v>240830</v>
          </cell>
          <cell r="J957" t="str">
            <v>110동 1차</v>
          </cell>
          <cell r="K957">
            <v>210</v>
          </cell>
          <cell r="L957">
            <v>209</v>
          </cell>
          <cell r="M957">
            <v>2715</v>
          </cell>
          <cell r="N957" t="str">
            <v>용호</v>
          </cell>
          <cell r="O957" t="str">
            <v>펌프카(1대)</v>
          </cell>
          <cell r="P957">
            <v>1425</v>
          </cell>
          <cell r="Q957">
            <v>1703</v>
          </cell>
          <cell r="R957">
            <v>170</v>
          </cell>
          <cell r="S957">
            <v>49</v>
          </cell>
          <cell r="T957">
            <v>76</v>
          </cell>
          <cell r="U957">
            <v>279</v>
          </cell>
          <cell r="V957"/>
          <cell r="W957" t="str">
            <v>김광록</v>
          </cell>
          <cell r="X957" t="str">
            <v>(인)</v>
          </cell>
          <cell r="Y957" t="str">
            <v>박순홍</v>
          </cell>
          <cell r="Z957" t="str">
            <v>(인)</v>
          </cell>
          <cell r="AA957" t="str">
            <v>박기원</v>
          </cell>
          <cell r="AB957" t="str">
            <v>(인)</v>
          </cell>
          <cell r="AC957" t="str">
            <v>박상갑</v>
          </cell>
          <cell r="AD957" t="str">
            <v>(인)</v>
          </cell>
          <cell r="AE957">
            <v>197.5</v>
          </cell>
          <cell r="AF957" t="str">
            <v>표준</v>
          </cell>
          <cell r="AG957">
            <v>2</v>
          </cell>
          <cell r="AH957">
            <v>0</v>
          </cell>
        </row>
        <row r="958">
          <cell r="G958">
            <v>2409020101</v>
          </cell>
          <cell r="H958" t="str">
            <v>103동</v>
          </cell>
          <cell r="I958">
            <v>240902</v>
          </cell>
          <cell r="J958" t="str">
            <v>103동 15층 바닥</v>
          </cell>
          <cell r="K958">
            <v>270</v>
          </cell>
          <cell r="L958">
            <v>270</v>
          </cell>
          <cell r="M958">
            <v>3018</v>
          </cell>
          <cell r="N958" t="str">
            <v>영진</v>
          </cell>
          <cell r="O958" t="str">
            <v>펌프카(1대)</v>
          </cell>
          <cell r="P958">
            <v>800</v>
          </cell>
          <cell r="Q958">
            <v>1305</v>
          </cell>
          <cell r="R958">
            <v>175</v>
          </cell>
          <cell r="S958">
            <v>43</v>
          </cell>
          <cell r="T958">
            <v>86</v>
          </cell>
          <cell r="U958">
            <v>277</v>
          </cell>
          <cell r="V958"/>
          <cell r="W958" t="str">
            <v>김광록</v>
          </cell>
          <cell r="X958" t="str">
            <v>(인)</v>
          </cell>
          <cell r="Y958" t="str">
            <v>박순홍</v>
          </cell>
          <cell r="Z958" t="str">
            <v>(인)</v>
          </cell>
          <cell r="AA958" t="str">
            <v>이홍걸</v>
          </cell>
          <cell r="AB958" t="str">
            <v>(인)</v>
          </cell>
          <cell r="AC958" t="str">
            <v>박기원</v>
          </cell>
          <cell r="AD958" t="str">
            <v>(인)</v>
          </cell>
          <cell r="AE958">
            <v>182.3</v>
          </cell>
          <cell r="AF958" t="str">
            <v>표준</v>
          </cell>
          <cell r="AG958">
            <v>1</v>
          </cell>
          <cell r="AH958">
            <v>1</v>
          </cell>
          <cell r="AI958">
            <v>2408</v>
          </cell>
          <cell r="AJ958">
            <v>2401</v>
          </cell>
          <cell r="AK958">
            <v>181000</v>
          </cell>
          <cell r="AL958">
            <v>3455</v>
          </cell>
          <cell r="AM958">
            <v>3429</v>
          </cell>
          <cell r="AN958">
            <v>3462</v>
          </cell>
          <cell r="AO958">
            <v>3536</v>
          </cell>
          <cell r="AP958">
            <v>3519</v>
          </cell>
          <cell r="AQ958">
            <v>3489</v>
          </cell>
          <cell r="AR958">
            <v>3487</v>
          </cell>
          <cell r="AS958">
            <v>3506</v>
          </cell>
          <cell r="AT958">
            <v>274800</v>
          </cell>
        </row>
        <row r="959">
          <cell r="G959">
            <v>2409020102</v>
          </cell>
          <cell r="H959" t="str">
            <v>103동</v>
          </cell>
          <cell r="I959">
            <v>240902</v>
          </cell>
          <cell r="J959" t="str">
            <v>103동 15층 바닥</v>
          </cell>
          <cell r="K959">
            <v>270</v>
          </cell>
          <cell r="L959">
            <v>270</v>
          </cell>
          <cell r="M959">
            <v>3018</v>
          </cell>
          <cell r="N959" t="str">
            <v>영진</v>
          </cell>
          <cell r="O959" t="str">
            <v>펌프카(1대)</v>
          </cell>
          <cell r="P959">
            <v>800</v>
          </cell>
          <cell r="Q959">
            <v>1305</v>
          </cell>
          <cell r="R959">
            <v>180</v>
          </cell>
          <cell r="S959">
            <v>45</v>
          </cell>
          <cell r="T959">
            <v>55</v>
          </cell>
          <cell r="U959">
            <v>266</v>
          </cell>
          <cell r="V959"/>
          <cell r="W959" t="str">
            <v>김광록</v>
          </cell>
          <cell r="X959" t="str">
            <v>(인)</v>
          </cell>
          <cell r="Y959" t="str">
            <v>박순홍</v>
          </cell>
          <cell r="Z959" t="str">
            <v>(인)</v>
          </cell>
          <cell r="AA959" t="str">
            <v>이홍걸</v>
          </cell>
          <cell r="AB959" t="str">
            <v>(인)</v>
          </cell>
          <cell r="AC959" t="str">
            <v>박기원</v>
          </cell>
          <cell r="AD959" t="str">
            <v>(인)</v>
          </cell>
          <cell r="AE959">
            <v>185.9</v>
          </cell>
          <cell r="AF959" t="str">
            <v>표준</v>
          </cell>
          <cell r="AG959">
            <v>2</v>
          </cell>
          <cell r="AH959">
            <v>0</v>
          </cell>
        </row>
        <row r="960">
          <cell r="G960">
            <v>2409020103</v>
          </cell>
          <cell r="H960" t="str">
            <v>103동</v>
          </cell>
          <cell r="I960">
            <v>240902</v>
          </cell>
          <cell r="J960" t="str">
            <v>103동 15층 바닥</v>
          </cell>
          <cell r="K960">
            <v>270</v>
          </cell>
          <cell r="L960">
            <v>270</v>
          </cell>
          <cell r="M960">
            <v>3018</v>
          </cell>
          <cell r="N960" t="str">
            <v>영진</v>
          </cell>
          <cell r="O960" t="str">
            <v>펌프카(1대)</v>
          </cell>
          <cell r="P960">
            <v>800</v>
          </cell>
          <cell r="Q960">
            <v>1305</v>
          </cell>
          <cell r="R960">
            <v>200</v>
          </cell>
          <cell r="S960">
            <v>51</v>
          </cell>
          <cell r="T960">
            <v>37</v>
          </cell>
          <cell r="U960">
            <v>273</v>
          </cell>
          <cell r="V960"/>
          <cell r="W960" t="str">
            <v>김광록</v>
          </cell>
          <cell r="X960" t="str">
            <v>(인)</v>
          </cell>
          <cell r="Y960" t="str">
            <v>박순홍</v>
          </cell>
          <cell r="Z960" t="str">
            <v>(인)</v>
          </cell>
          <cell r="AA960" t="str">
            <v>이홍걸</v>
          </cell>
          <cell r="AB960" t="str">
            <v>(인)</v>
          </cell>
          <cell r="AC960" t="str">
            <v>박기원</v>
          </cell>
          <cell r="AD960" t="str">
            <v>(인)</v>
          </cell>
          <cell r="AE960">
            <v>178.1</v>
          </cell>
          <cell r="AF960" t="str">
            <v>표준</v>
          </cell>
          <cell r="AG960">
            <v>3</v>
          </cell>
          <cell r="AH960">
            <v>0</v>
          </cell>
        </row>
        <row r="961">
          <cell r="G961">
            <v>2409020201</v>
          </cell>
          <cell r="H961" t="str">
            <v>109동</v>
          </cell>
          <cell r="I961">
            <v>240902</v>
          </cell>
          <cell r="J961" t="str">
            <v xml:space="preserve"> 109동 2차</v>
          </cell>
          <cell r="K961">
            <v>372</v>
          </cell>
          <cell r="L961">
            <v>372</v>
          </cell>
          <cell r="M961">
            <v>3015</v>
          </cell>
          <cell r="N961" t="str">
            <v>대공</v>
          </cell>
          <cell r="O961" t="str">
            <v>펌프카(1대)</v>
          </cell>
          <cell r="P961">
            <v>956</v>
          </cell>
          <cell r="Q961">
            <v>1734</v>
          </cell>
          <cell r="R961">
            <v>160</v>
          </cell>
          <cell r="S961">
            <v>39</v>
          </cell>
          <cell r="T961">
            <v>28</v>
          </cell>
          <cell r="U961">
            <v>279</v>
          </cell>
          <cell r="V961"/>
          <cell r="W961" t="str">
            <v>김광록</v>
          </cell>
          <cell r="X961" t="str">
            <v>(인)</v>
          </cell>
          <cell r="Y961" t="str">
            <v>박순홍</v>
          </cell>
          <cell r="Z961" t="str">
            <v>(인)</v>
          </cell>
          <cell r="AA961" t="str">
            <v>박기원</v>
          </cell>
          <cell r="AB961" t="str">
            <v>(인)</v>
          </cell>
          <cell r="AC961" t="str">
            <v>박기원</v>
          </cell>
          <cell r="AD961" t="str">
            <v>(인)</v>
          </cell>
          <cell r="AE961">
            <v>173.6</v>
          </cell>
          <cell r="AF961" t="str">
            <v>표준</v>
          </cell>
          <cell r="AG961">
            <v>1</v>
          </cell>
          <cell r="AH961">
            <v>1</v>
          </cell>
          <cell r="AI961">
            <v>2844</v>
          </cell>
          <cell r="AJ961">
            <v>2780</v>
          </cell>
          <cell r="AK961">
            <v>221000</v>
          </cell>
          <cell r="AL961">
            <v>3949</v>
          </cell>
          <cell r="AM961">
            <v>4013</v>
          </cell>
          <cell r="AN961">
            <v>3920</v>
          </cell>
          <cell r="AO961">
            <v>3924</v>
          </cell>
          <cell r="AP961">
            <v>3864</v>
          </cell>
          <cell r="AQ961">
            <v>3936</v>
          </cell>
          <cell r="AR961">
            <v>3927</v>
          </cell>
          <cell r="AS961">
            <v>3862</v>
          </cell>
          <cell r="AT961">
            <v>303200</v>
          </cell>
        </row>
        <row r="962">
          <cell r="G962">
            <v>2409020202</v>
          </cell>
          <cell r="H962" t="str">
            <v>109동</v>
          </cell>
          <cell r="I962">
            <v>240902</v>
          </cell>
          <cell r="J962" t="str">
            <v xml:space="preserve"> 109동 2차</v>
          </cell>
          <cell r="K962">
            <v>372</v>
          </cell>
          <cell r="L962">
            <v>372</v>
          </cell>
          <cell r="M962">
            <v>3015</v>
          </cell>
          <cell r="N962" t="str">
            <v>대공</v>
          </cell>
          <cell r="O962" t="str">
            <v>펌프카(1대)</v>
          </cell>
          <cell r="P962">
            <v>956</v>
          </cell>
          <cell r="Q962">
            <v>1734</v>
          </cell>
          <cell r="R962">
            <v>155</v>
          </cell>
          <cell r="S962">
            <v>40</v>
          </cell>
          <cell r="T962">
            <v>71</v>
          </cell>
          <cell r="U962">
            <v>257</v>
          </cell>
          <cell r="V962"/>
          <cell r="W962" t="str">
            <v>김광록</v>
          </cell>
          <cell r="X962" t="str">
            <v>(인)</v>
          </cell>
          <cell r="Y962" t="str">
            <v>박순홍</v>
          </cell>
          <cell r="Z962" t="str">
            <v>(인)</v>
          </cell>
          <cell r="AA962" t="str">
            <v>박기원</v>
          </cell>
          <cell r="AB962" t="str">
            <v>(인)</v>
          </cell>
          <cell r="AC962" t="str">
            <v>박기원</v>
          </cell>
          <cell r="AD962" t="str">
            <v>(인)</v>
          </cell>
          <cell r="AE962">
            <v>173</v>
          </cell>
          <cell r="AF962" t="str">
            <v>표준</v>
          </cell>
          <cell r="AG962">
            <v>2</v>
          </cell>
          <cell r="AH962">
            <v>0</v>
          </cell>
        </row>
        <row r="963">
          <cell r="G963">
            <v>2409020203</v>
          </cell>
          <cell r="H963" t="str">
            <v>109동</v>
          </cell>
          <cell r="I963">
            <v>240902</v>
          </cell>
          <cell r="J963" t="str">
            <v xml:space="preserve"> 109동 2차</v>
          </cell>
          <cell r="K963">
            <v>372</v>
          </cell>
          <cell r="L963">
            <v>372</v>
          </cell>
          <cell r="M963">
            <v>3015</v>
          </cell>
          <cell r="N963" t="str">
            <v>대공</v>
          </cell>
          <cell r="O963" t="str">
            <v>펌프카(1대)</v>
          </cell>
          <cell r="P963">
            <v>956</v>
          </cell>
          <cell r="Q963">
            <v>1734</v>
          </cell>
          <cell r="R963">
            <v>170</v>
          </cell>
          <cell r="S963">
            <v>42</v>
          </cell>
          <cell r="T963">
            <v>24</v>
          </cell>
          <cell r="U963">
            <v>262</v>
          </cell>
          <cell r="V963"/>
          <cell r="W963" t="str">
            <v>김광록</v>
          </cell>
          <cell r="X963" t="str">
            <v>(인)</v>
          </cell>
          <cell r="Y963" t="str">
            <v>박순홍</v>
          </cell>
          <cell r="Z963" t="str">
            <v>(인)</v>
          </cell>
          <cell r="AA963" t="str">
            <v>박기원</v>
          </cell>
          <cell r="AB963" t="str">
            <v>(인)</v>
          </cell>
          <cell r="AC963" t="str">
            <v>박기원</v>
          </cell>
          <cell r="AD963" t="str">
            <v>(인)</v>
          </cell>
          <cell r="AE963">
            <v>172.6</v>
          </cell>
          <cell r="AF963" t="str">
            <v>표준</v>
          </cell>
          <cell r="AG963">
            <v>3</v>
          </cell>
          <cell r="AH963">
            <v>0</v>
          </cell>
        </row>
        <row r="964">
          <cell r="G964">
            <v>2409020204</v>
          </cell>
          <cell r="H964" t="str">
            <v>109동</v>
          </cell>
          <cell r="I964">
            <v>240902</v>
          </cell>
          <cell r="J964" t="str">
            <v xml:space="preserve"> 109동 2차</v>
          </cell>
          <cell r="K964">
            <v>372</v>
          </cell>
          <cell r="L964">
            <v>372</v>
          </cell>
          <cell r="M964">
            <v>3015</v>
          </cell>
          <cell r="N964" t="str">
            <v>대공</v>
          </cell>
          <cell r="O964" t="str">
            <v>펌프카(1대)</v>
          </cell>
          <cell r="P964">
            <v>956</v>
          </cell>
          <cell r="Q964">
            <v>1734</v>
          </cell>
          <cell r="R964">
            <v>150</v>
          </cell>
          <cell r="S964">
            <v>46</v>
          </cell>
          <cell r="T964">
            <v>122</v>
          </cell>
          <cell r="U964">
            <v>254</v>
          </cell>
          <cell r="V964"/>
          <cell r="W964" t="str">
            <v>김광록</v>
          </cell>
          <cell r="X964" t="str">
            <v>(인)</v>
          </cell>
          <cell r="Y964" t="str">
            <v>박순홍</v>
          </cell>
          <cell r="Z964" t="str">
            <v>(인)</v>
          </cell>
          <cell r="AA964" t="str">
            <v>박기원</v>
          </cell>
          <cell r="AB964" t="str">
            <v>(인)</v>
          </cell>
          <cell r="AC964" t="str">
            <v>박기원</v>
          </cell>
          <cell r="AD964" t="str">
            <v>(인)</v>
          </cell>
          <cell r="AE964">
            <v>178.3</v>
          </cell>
          <cell r="AF964" t="str">
            <v>표준</v>
          </cell>
          <cell r="AG964">
            <v>4</v>
          </cell>
          <cell r="AH964">
            <v>1</v>
          </cell>
          <cell r="AL964">
            <v>3987</v>
          </cell>
          <cell r="AM964">
            <v>3901</v>
          </cell>
          <cell r="AN964">
            <v>3906</v>
          </cell>
          <cell r="AO964">
            <v>3927</v>
          </cell>
          <cell r="AP964">
            <v>3864</v>
          </cell>
          <cell r="AQ964">
            <v>3829</v>
          </cell>
          <cell r="AR964">
            <v>4036</v>
          </cell>
          <cell r="AS964">
            <v>3964</v>
          </cell>
          <cell r="AT964">
            <v>300400</v>
          </cell>
        </row>
        <row r="965">
          <cell r="G965">
            <v>2409020301</v>
          </cell>
          <cell r="H965" t="str">
            <v>109동</v>
          </cell>
          <cell r="I965">
            <v>240902</v>
          </cell>
          <cell r="J965" t="str">
            <v xml:space="preserve"> 109동 2차</v>
          </cell>
          <cell r="K965">
            <v>108</v>
          </cell>
          <cell r="L965">
            <v>108</v>
          </cell>
          <cell r="M965">
            <v>3015</v>
          </cell>
          <cell r="N965" t="str">
            <v>영진</v>
          </cell>
          <cell r="O965" t="str">
            <v>펌프카(1대)</v>
          </cell>
          <cell r="P965">
            <v>1405</v>
          </cell>
          <cell r="Q965">
            <v>1620</v>
          </cell>
          <cell r="R965">
            <v>145</v>
          </cell>
          <cell r="S965">
            <v>39</v>
          </cell>
          <cell r="T965">
            <v>76</v>
          </cell>
          <cell r="U965">
            <v>286</v>
          </cell>
          <cell r="V965"/>
          <cell r="W965" t="str">
            <v>김광록</v>
          </cell>
          <cell r="X965" t="str">
            <v>(인)</v>
          </cell>
          <cell r="Y965" t="str">
            <v>박순홍</v>
          </cell>
          <cell r="Z965" t="str">
            <v>(인)</v>
          </cell>
          <cell r="AA965" t="str">
            <v>박기원</v>
          </cell>
          <cell r="AB965" t="str">
            <v>(인)</v>
          </cell>
          <cell r="AC965" t="str">
            <v>박기원</v>
          </cell>
          <cell r="AD965" t="str">
            <v>(인)</v>
          </cell>
          <cell r="AE965">
            <v>179.6</v>
          </cell>
          <cell r="AF965" t="str">
            <v>표준</v>
          </cell>
          <cell r="AG965">
            <v>1</v>
          </cell>
          <cell r="AH965">
            <v>1</v>
          </cell>
          <cell r="AI965">
            <v>2551</v>
          </cell>
          <cell r="AJ965">
            <v>2570</v>
          </cell>
          <cell r="AK965">
            <v>193600</v>
          </cell>
          <cell r="AL965">
            <v>3346</v>
          </cell>
          <cell r="AM965">
            <v>3674</v>
          </cell>
          <cell r="AN965">
            <v>3527</v>
          </cell>
          <cell r="AO965">
            <v>3604</v>
          </cell>
          <cell r="AP965">
            <v>3519</v>
          </cell>
          <cell r="AQ965">
            <v>3586</v>
          </cell>
          <cell r="AR965">
            <v>3536</v>
          </cell>
          <cell r="AS965">
            <v>3494</v>
          </cell>
          <cell r="AT965">
            <v>275000</v>
          </cell>
        </row>
        <row r="966">
          <cell r="G966">
            <v>2409020401</v>
          </cell>
          <cell r="H966" t="str">
            <v>109동</v>
          </cell>
          <cell r="I966">
            <v>240902</v>
          </cell>
          <cell r="J966" t="str">
            <v xml:space="preserve"> 109동 2차, 115동 주변 합벽</v>
          </cell>
          <cell r="K966">
            <v>210</v>
          </cell>
          <cell r="L966">
            <v>210</v>
          </cell>
          <cell r="M966">
            <v>2715</v>
          </cell>
          <cell r="N966" t="str">
            <v>영진</v>
          </cell>
          <cell r="O966" t="str">
            <v>펌프카(1대)</v>
          </cell>
          <cell r="P966">
            <v>1428</v>
          </cell>
          <cell r="Q966">
            <v>1727</v>
          </cell>
          <cell r="R966">
            <v>160</v>
          </cell>
          <cell r="S966">
            <v>53</v>
          </cell>
          <cell r="T966">
            <v>58</v>
          </cell>
          <cell r="U966">
            <v>281</v>
          </cell>
          <cell r="V966"/>
          <cell r="W966" t="str">
            <v>김광록</v>
          </cell>
          <cell r="X966" t="str">
            <v>(인)</v>
          </cell>
          <cell r="Y966" t="str">
            <v>박순홍</v>
          </cell>
          <cell r="Z966" t="str">
            <v>(인)</v>
          </cell>
          <cell r="AA966" t="str">
            <v>박기원</v>
          </cell>
          <cell r="AB966" t="str">
            <v>(인)</v>
          </cell>
          <cell r="AC966" t="str">
            <v>박기원</v>
          </cell>
          <cell r="AD966" t="str">
            <v>(인)</v>
          </cell>
          <cell r="AE966">
            <v>179</v>
          </cell>
          <cell r="AF966" t="str">
            <v>표준</v>
          </cell>
          <cell r="AG966">
            <v>1</v>
          </cell>
          <cell r="AH966">
            <v>1</v>
          </cell>
          <cell r="AI966">
            <v>1942</v>
          </cell>
          <cell r="AJ966">
            <v>1973</v>
          </cell>
          <cell r="AK966">
            <v>151200</v>
          </cell>
          <cell r="AL966">
            <v>3256</v>
          </cell>
          <cell r="AM966">
            <v>3254</v>
          </cell>
          <cell r="AN966">
            <v>3292</v>
          </cell>
          <cell r="AO966">
            <v>3306</v>
          </cell>
          <cell r="AP966">
            <v>3219</v>
          </cell>
          <cell r="AQ966">
            <v>3323</v>
          </cell>
          <cell r="AR966">
            <v>3236</v>
          </cell>
          <cell r="AS966">
            <v>3306</v>
          </cell>
          <cell r="AT966">
            <v>259000</v>
          </cell>
        </row>
        <row r="967">
          <cell r="G967">
            <v>2409020402</v>
          </cell>
          <cell r="H967" t="str">
            <v>109동</v>
          </cell>
          <cell r="I967">
            <v>240902</v>
          </cell>
          <cell r="J967" t="str">
            <v xml:space="preserve"> 109동 2차, 115동 주변 합벽</v>
          </cell>
          <cell r="K967">
            <v>210</v>
          </cell>
          <cell r="L967">
            <v>210</v>
          </cell>
          <cell r="M967">
            <v>2715</v>
          </cell>
          <cell r="N967" t="str">
            <v>영진</v>
          </cell>
          <cell r="O967" t="str">
            <v>펌프카(1대)</v>
          </cell>
          <cell r="P967">
            <v>1428</v>
          </cell>
          <cell r="Q967">
            <v>1727</v>
          </cell>
          <cell r="R967">
            <v>170</v>
          </cell>
          <cell r="S967">
            <v>44</v>
          </cell>
          <cell r="T967">
            <v>62</v>
          </cell>
          <cell r="U967">
            <v>274</v>
          </cell>
          <cell r="V967"/>
          <cell r="W967" t="str">
            <v>김광록</v>
          </cell>
          <cell r="X967" t="str">
            <v>(인)</v>
          </cell>
          <cell r="Y967" t="str">
            <v>박순홍</v>
          </cell>
          <cell r="Z967" t="str">
            <v>(인)</v>
          </cell>
          <cell r="AA967" t="str">
            <v>박기원</v>
          </cell>
          <cell r="AB967" t="str">
            <v>(인)</v>
          </cell>
          <cell r="AC967" t="str">
            <v>박기원</v>
          </cell>
          <cell r="AD967" t="str">
            <v>(인)</v>
          </cell>
          <cell r="AE967">
            <v>180.6</v>
          </cell>
          <cell r="AF967" t="str">
            <v>표준</v>
          </cell>
          <cell r="AG967">
            <v>2</v>
          </cell>
          <cell r="AH967">
            <v>0</v>
          </cell>
        </row>
        <row r="968">
          <cell r="G968">
            <v>2409020501</v>
          </cell>
          <cell r="H968" t="str">
            <v>103동</v>
          </cell>
          <cell r="I968">
            <v>240902</v>
          </cell>
          <cell r="J968" t="str">
            <v xml:space="preserve"> 7, 7-1구간 주차장 </v>
          </cell>
          <cell r="K968">
            <v>375</v>
          </cell>
          <cell r="L968">
            <v>375</v>
          </cell>
          <cell r="M968">
            <v>2715</v>
          </cell>
          <cell r="N968" t="str">
            <v>용호</v>
          </cell>
          <cell r="O968" t="str">
            <v>펌프카(1대)</v>
          </cell>
          <cell r="P968">
            <v>847</v>
          </cell>
          <cell r="Q968">
            <v>1646</v>
          </cell>
          <cell r="R968">
            <v>170</v>
          </cell>
          <cell r="S968">
            <v>41</v>
          </cell>
          <cell r="T968">
            <v>57</v>
          </cell>
          <cell r="U968">
            <v>265</v>
          </cell>
          <cell r="V968"/>
          <cell r="W968" t="str">
            <v>김광록</v>
          </cell>
          <cell r="X968" t="str">
            <v>(인)</v>
          </cell>
          <cell r="Y968" t="str">
            <v>박순홍</v>
          </cell>
          <cell r="Z968" t="str">
            <v>(인)</v>
          </cell>
          <cell r="AA968" t="str">
            <v>박기원</v>
          </cell>
          <cell r="AB968" t="str">
            <v>(인)</v>
          </cell>
          <cell r="AC968" t="str">
            <v>박기원</v>
          </cell>
          <cell r="AD968" t="str">
            <v>(인)</v>
          </cell>
          <cell r="AE968">
            <v>173.1</v>
          </cell>
          <cell r="AF968" t="str">
            <v>표준</v>
          </cell>
          <cell r="AG968">
            <v>1</v>
          </cell>
          <cell r="AH968">
            <v>1</v>
          </cell>
          <cell r="AI968">
            <v>2472</v>
          </cell>
          <cell r="AJ968">
            <v>2398</v>
          </cell>
          <cell r="AK968">
            <v>161800</v>
          </cell>
          <cell r="AL968">
            <v>3430</v>
          </cell>
          <cell r="AM968">
            <v>3442</v>
          </cell>
          <cell r="AN968">
            <v>3427</v>
          </cell>
          <cell r="AO968">
            <v>3394</v>
          </cell>
          <cell r="AP968">
            <v>3306</v>
          </cell>
          <cell r="AQ968">
            <v>3412</v>
          </cell>
          <cell r="AR968">
            <v>3376</v>
          </cell>
          <cell r="AS968">
            <v>3324</v>
          </cell>
          <cell r="AT968">
            <v>273400</v>
          </cell>
        </row>
        <row r="969">
          <cell r="G969">
            <v>2409020502</v>
          </cell>
          <cell r="H969" t="str">
            <v>103동</v>
          </cell>
          <cell r="I969">
            <v>240902</v>
          </cell>
          <cell r="J969" t="str">
            <v xml:space="preserve"> 7, 7-1구간 주차장 </v>
          </cell>
          <cell r="K969">
            <v>375</v>
          </cell>
          <cell r="L969">
            <v>375</v>
          </cell>
          <cell r="M969">
            <v>2715</v>
          </cell>
          <cell r="N969" t="str">
            <v>용호</v>
          </cell>
          <cell r="O969" t="str">
            <v>펌프카(1대)</v>
          </cell>
          <cell r="P969">
            <v>847</v>
          </cell>
          <cell r="Q969">
            <v>1646</v>
          </cell>
          <cell r="R969">
            <v>175</v>
          </cell>
          <cell r="S969">
            <v>45</v>
          </cell>
          <cell r="T969">
            <v>51</v>
          </cell>
          <cell r="U969">
            <v>262</v>
          </cell>
          <cell r="V969"/>
          <cell r="W969" t="str">
            <v>김광록</v>
          </cell>
          <cell r="X969" t="str">
            <v>(인)</v>
          </cell>
          <cell r="Y969" t="str">
            <v>박순홍</v>
          </cell>
          <cell r="Z969" t="str">
            <v>(인)</v>
          </cell>
          <cell r="AA969" t="str">
            <v>박기원</v>
          </cell>
          <cell r="AB969" t="str">
            <v>(인)</v>
          </cell>
          <cell r="AC969" t="str">
            <v>박기원</v>
          </cell>
          <cell r="AD969" t="str">
            <v>(인)</v>
          </cell>
          <cell r="AE969">
            <v>172.6</v>
          </cell>
          <cell r="AF969" t="str">
            <v>표준</v>
          </cell>
          <cell r="AG969">
            <v>2</v>
          </cell>
          <cell r="AH969">
            <v>0</v>
          </cell>
        </row>
        <row r="970">
          <cell r="G970">
            <v>2409020503</v>
          </cell>
          <cell r="H970" t="str">
            <v>103동</v>
          </cell>
          <cell r="I970">
            <v>240902</v>
          </cell>
          <cell r="J970" t="str">
            <v xml:space="preserve"> 7, 7-1구간 주차장 </v>
          </cell>
          <cell r="K970">
            <v>375</v>
          </cell>
          <cell r="L970">
            <v>375</v>
          </cell>
          <cell r="M970">
            <v>2715</v>
          </cell>
          <cell r="N970" t="str">
            <v>용호</v>
          </cell>
          <cell r="O970" t="str">
            <v>펌프카(1대)</v>
          </cell>
          <cell r="P970">
            <v>847</v>
          </cell>
          <cell r="Q970">
            <v>1646</v>
          </cell>
          <cell r="R970">
            <v>175</v>
          </cell>
          <cell r="S970">
            <v>48</v>
          </cell>
          <cell r="T970">
            <v>40</v>
          </cell>
          <cell r="U970">
            <v>274</v>
          </cell>
          <cell r="V970"/>
          <cell r="W970" t="str">
            <v>김광록</v>
          </cell>
          <cell r="X970" t="str">
            <v>(인)</v>
          </cell>
          <cell r="Y970" t="str">
            <v>박순홍</v>
          </cell>
          <cell r="Z970" t="str">
            <v>(인)</v>
          </cell>
          <cell r="AA970" t="str">
            <v>박기원</v>
          </cell>
          <cell r="AB970" t="str">
            <v>(인)</v>
          </cell>
          <cell r="AC970" t="str">
            <v>박기원</v>
          </cell>
          <cell r="AD970" t="str">
            <v>(인)</v>
          </cell>
          <cell r="AE970">
            <v>178.1</v>
          </cell>
          <cell r="AF970" t="str">
            <v>표준</v>
          </cell>
          <cell r="AG970">
            <v>3</v>
          </cell>
          <cell r="AH970">
            <v>0</v>
          </cell>
        </row>
        <row r="971">
          <cell r="G971">
            <v>2409020504</v>
          </cell>
          <cell r="H971" t="str">
            <v>103동</v>
          </cell>
          <cell r="I971">
            <v>240902</v>
          </cell>
          <cell r="J971" t="str">
            <v xml:space="preserve"> 7, 7-1구간 주차장 </v>
          </cell>
          <cell r="K971">
            <v>375</v>
          </cell>
          <cell r="L971">
            <v>375</v>
          </cell>
          <cell r="M971">
            <v>2715</v>
          </cell>
          <cell r="N971" t="str">
            <v>용호</v>
          </cell>
          <cell r="O971" t="str">
            <v>펌프카(1대)</v>
          </cell>
          <cell r="P971">
            <v>847</v>
          </cell>
          <cell r="Q971">
            <v>1646</v>
          </cell>
          <cell r="R971">
            <v>170</v>
          </cell>
          <cell r="S971">
            <v>46</v>
          </cell>
          <cell r="T971">
            <v>39</v>
          </cell>
          <cell r="U971">
            <v>278</v>
          </cell>
          <cell r="V971"/>
          <cell r="W971" t="str">
            <v>김광록</v>
          </cell>
          <cell r="X971" t="str">
            <v>(인)</v>
          </cell>
          <cell r="Y971" t="str">
            <v>박순홍</v>
          </cell>
          <cell r="Z971" t="str">
            <v>(인)</v>
          </cell>
          <cell r="AA971" t="str">
            <v>박기원</v>
          </cell>
          <cell r="AB971" t="str">
            <v>(인)</v>
          </cell>
          <cell r="AC971" t="str">
            <v>박기원</v>
          </cell>
          <cell r="AD971" t="str">
            <v>(인)</v>
          </cell>
          <cell r="AE971">
            <v>184.6</v>
          </cell>
          <cell r="AF971" t="str">
            <v>표준</v>
          </cell>
          <cell r="AG971">
            <v>4</v>
          </cell>
          <cell r="AH971">
            <v>1</v>
          </cell>
          <cell r="AL971">
            <v>3396</v>
          </cell>
          <cell r="AM971">
            <v>3279</v>
          </cell>
          <cell r="AN971">
            <v>3329</v>
          </cell>
          <cell r="AO971">
            <v>3406</v>
          </cell>
          <cell r="AP971">
            <v>3329</v>
          </cell>
          <cell r="AQ971">
            <v>3382</v>
          </cell>
          <cell r="AR971">
            <v>3364</v>
          </cell>
          <cell r="AS971">
            <v>3420</v>
          </cell>
          <cell r="AT971">
            <v>265600</v>
          </cell>
        </row>
        <row r="972">
          <cell r="G972">
            <v>2409030101</v>
          </cell>
          <cell r="H972" t="str">
            <v>104동</v>
          </cell>
          <cell r="I972">
            <v>240903</v>
          </cell>
          <cell r="J972" t="str">
            <v>104동 15층 바닥</v>
          </cell>
          <cell r="K972">
            <v>278</v>
          </cell>
          <cell r="L972">
            <v>278</v>
          </cell>
          <cell r="M972">
            <v>3018</v>
          </cell>
          <cell r="N972" t="str">
            <v>용호</v>
          </cell>
          <cell r="O972" t="str">
            <v>펌프카(1대)</v>
          </cell>
          <cell r="P972">
            <v>756</v>
          </cell>
          <cell r="Q972">
            <v>1229</v>
          </cell>
          <cell r="R972">
            <v>190</v>
          </cell>
          <cell r="S972">
            <v>46</v>
          </cell>
          <cell r="T972">
            <v>93</v>
          </cell>
          <cell r="U972">
            <v>258</v>
          </cell>
          <cell r="V972"/>
          <cell r="W972" t="str">
            <v>김광록</v>
          </cell>
          <cell r="X972" t="str">
            <v>(인)</v>
          </cell>
          <cell r="Y972" t="str">
            <v>박순홍</v>
          </cell>
          <cell r="Z972" t="str">
            <v>(인)</v>
          </cell>
          <cell r="AA972" t="str">
            <v>박상갑</v>
          </cell>
          <cell r="AB972" t="str">
            <v>(인)</v>
          </cell>
          <cell r="AC972" t="str">
            <v>이홍걸</v>
          </cell>
          <cell r="AD972" t="str">
            <v>(인)</v>
          </cell>
          <cell r="AE972">
            <v>192.6</v>
          </cell>
          <cell r="AF972" t="str">
            <v>표준</v>
          </cell>
          <cell r="AG972">
            <v>1</v>
          </cell>
          <cell r="AH972">
            <v>1</v>
          </cell>
          <cell r="AI972">
            <v>2765</v>
          </cell>
          <cell r="AJ972">
            <v>2712</v>
          </cell>
          <cell r="AK972">
            <v>206600</v>
          </cell>
          <cell r="AL972">
            <v>3906</v>
          </cell>
          <cell r="AM972">
            <v>3862</v>
          </cell>
          <cell r="AN972">
            <v>3937</v>
          </cell>
          <cell r="AO972">
            <v>3906</v>
          </cell>
          <cell r="AP972">
            <v>4026</v>
          </cell>
          <cell r="AQ972">
            <v>3927</v>
          </cell>
          <cell r="AR972">
            <v>3864</v>
          </cell>
          <cell r="AS972">
            <v>3929</v>
          </cell>
          <cell r="AT972">
            <v>305800</v>
          </cell>
        </row>
        <row r="973">
          <cell r="G973">
            <v>2409030102</v>
          </cell>
          <cell r="H973" t="str">
            <v>104동</v>
          </cell>
          <cell r="I973">
            <v>240903</v>
          </cell>
          <cell r="J973" t="str">
            <v>104동 15층 바닥</v>
          </cell>
          <cell r="K973">
            <v>279</v>
          </cell>
          <cell r="L973">
            <v>278</v>
          </cell>
          <cell r="M973">
            <v>3018</v>
          </cell>
          <cell r="N973" t="str">
            <v>용호</v>
          </cell>
          <cell r="O973" t="str">
            <v>펌프카(1대)</v>
          </cell>
          <cell r="P973">
            <v>756</v>
          </cell>
          <cell r="Q973">
            <v>1229</v>
          </cell>
          <cell r="R973">
            <v>195</v>
          </cell>
          <cell r="S973">
            <v>48</v>
          </cell>
          <cell r="T973">
            <v>97</v>
          </cell>
          <cell r="U973">
            <v>269</v>
          </cell>
          <cell r="V973"/>
          <cell r="W973" t="str">
            <v>김광록</v>
          </cell>
          <cell r="X973" t="str">
            <v>(인)</v>
          </cell>
          <cell r="Y973" t="str">
            <v>박순홍</v>
          </cell>
          <cell r="Z973" t="str">
            <v>(인)</v>
          </cell>
          <cell r="AA973" t="str">
            <v>박상갑</v>
          </cell>
          <cell r="AB973" t="str">
            <v>(인)</v>
          </cell>
          <cell r="AC973" t="str">
            <v>이홍걸</v>
          </cell>
          <cell r="AD973" t="str">
            <v>(인)</v>
          </cell>
          <cell r="AE973">
            <v>190.4</v>
          </cell>
          <cell r="AF973" t="str">
            <v>표준</v>
          </cell>
          <cell r="AG973">
            <v>2</v>
          </cell>
          <cell r="AH973">
            <v>0</v>
          </cell>
        </row>
        <row r="974">
          <cell r="G974">
            <v>2409030103</v>
          </cell>
          <cell r="H974" t="str">
            <v>104동</v>
          </cell>
          <cell r="I974">
            <v>240903</v>
          </cell>
          <cell r="J974" t="str">
            <v>104동 15층 바닥</v>
          </cell>
          <cell r="K974">
            <v>280</v>
          </cell>
          <cell r="L974">
            <v>278</v>
          </cell>
          <cell r="M974">
            <v>3018</v>
          </cell>
          <cell r="N974" t="str">
            <v>용호</v>
          </cell>
          <cell r="O974" t="str">
            <v>펌프카(1대)</v>
          </cell>
          <cell r="P974">
            <v>756</v>
          </cell>
          <cell r="Q974">
            <v>1229</v>
          </cell>
          <cell r="R974">
            <v>190</v>
          </cell>
          <cell r="S974">
            <v>51</v>
          </cell>
          <cell r="T974">
            <v>97</v>
          </cell>
          <cell r="U974">
            <v>273</v>
          </cell>
          <cell r="V974"/>
          <cell r="W974" t="str">
            <v>김광록</v>
          </cell>
          <cell r="X974" t="str">
            <v>(인)</v>
          </cell>
          <cell r="Y974" t="str">
            <v>박순홍</v>
          </cell>
          <cell r="Z974" t="str">
            <v>(인)</v>
          </cell>
          <cell r="AA974" t="str">
            <v>박상갑</v>
          </cell>
          <cell r="AB974" t="str">
            <v>(인)</v>
          </cell>
          <cell r="AC974" t="str">
            <v>이홍걸</v>
          </cell>
          <cell r="AD974" t="str">
            <v>(인)</v>
          </cell>
          <cell r="AE974">
            <v>189.4</v>
          </cell>
          <cell r="AF974" t="str">
            <v>표준</v>
          </cell>
          <cell r="AG974">
            <v>3</v>
          </cell>
          <cell r="AH974">
            <v>0</v>
          </cell>
        </row>
        <row r="975">
          <cell r="G975">
            <v>2409030201</v>
          </cell>
          <cell r="H975" t="str">
            <v>101동</v>
          </cell>
          <cell r="I975">
            <v>240903</v>
          </cell>
          <cell r="J975" t="str">
            <v>101동 2층 바닥</v>
          </cell>
          <cell r="K975">
            <v>270</v>
          </cell>
          <cell r="L975">
            <v>270</v>
          </cell>
          <cell r="M975">
            <v>3018</v>
          </cell>
          <cell r="N975" t="str">
            <v>용호</v>
          </cell>
          <cell r="O975" t="str">
            <v>펌프카(1대)</v>
          </cell>
          <cell r="P975">
            <v>1320</v>
          </cell>
          <cell r="Q975">
            <v>1653</v>
          </cell>
          <cell r="R975">
            <v>180</v>
          </cell>
          <cell r="S975">
            <v>45</v>
          </cell>
          <cell r="T975">
            <v>20</v>
          </cell>
          <cell r="U975">
            <v>269</v>
          </cell>
          <cell r="V975"/>
          <cell r="W975" t="str">
            <v>김광록</v>
          </cell>
          <cell r="X975" t="str">
            <v>(인)</v>
          </cell>
          <cell r="Y975" t="str">
            <v>박순홍</v>
          </cell>
          <cell r="Z975" t="str">
            <v>(인)</v>
          </cell>
          <cell r="AA975" t="str">
            <v>박상갑</v>
          </cell>
          <cell r="AB975" t="str">
            <v>(인)</v>
          </cell>
          <cell r="AC975" t="str">
            <v>이홍걸</v>
          </cell>
          <cell r="AD975" t="str">
            <v>(인)</v>
          </cell>
          <cell r="AE975">
            <v>190.6</v>
          </cell>
          <cell r="AF975" t="str">
            <v>표준</v>
          </cell>
          <cell r="AG975">
            <v>1</v>
          </cell>
          <cell r="AH975">
            <v>1</v>
          </cell>
          <cell r="AI975">
            <v>2727</v>
          </cell>
          <cell r="AJ975">
            <v>2754</v>
          </cell>
          <cell r="AK975">
            <v>225600</v>
          </cell>
          <cell r="AL975">
            <v>3947</v>
          </cell>
          <cell r="AM975">
            <v>3964</v>
          </cell>
          <cell r="AN975">
            <v>3986</v>
          </cell>
          <cell r="AO975">
            <v>4034</v>
          </cell>
          <cell r="AP975">
            <v>3926</v>
          </cell>
          <cell r="AQ975">
            <v>3872</v>
          </cell>
          <cell r="AR975">
            <v>3937</v>
          </cell>
          <cell r="AS975">
            <v>3862</v>
          </cell>
          <cell r="AT975">
            <v>307200</v>
          </cell>
        </row>
        <row r="976">
          <cell r="G976">
            <v>2409030202</v>
          </cell>
          <cell r="H976" t="str">
            <v>101동</v>
          </cell>
          <cell r="I976">
            <v>240903</v>
          </cell>
          <cell r="J976" t="str">
            <v>101동 2층 바닥</v>
          </cell>
          <cell r="K976">
            <v>271</v>
          </cell>
          <cell r="L976">
            <v>270</v>
          </cell>
          <cell r="M976">
            <v>3018</v>
          </cell>
          <cell r="N976" t="str">
            <v>용호</v>
          </cell>
          <cell r="O976" t="str">
            <v>펌프카(1대)</v>
          </cell>
          <cell r="P976">
            <v>1320</v>
          </cell>
          <cell r="Q976">
            <v>1653</v>
          </cell>
          <cell r="R976">
            <v>190</v>
          </cell>
          <cell r="S976">
            <v>38</v>
          </cell>
          <cell r="T976">
            <v>30</v>
          </cell>
          <cell r="U976">
            <v>273</v>
          </cell>
          <cell r="V976"/>
          <cell r="W976" t="str">
            <v>김광록</v>
          </cell>
          <cell r="X976" t="str">
            <v>(인)</v>
          </cell>
          <cell r="Y976" t="str">
            <v>박순홍</v>
          </cell>
          <cell r="Z976" t="str">
            <v>(인)</v>
          </cell>
          <cell r="AA976" t="str">
            <v>박상갑</v>
          </cell>
          <cell r="AB976" t="str">
            <v>(인)</v>
          </cell>
          <cell r="AC976" t="str">
            <v>이홍걸</v>
          </cell>
          <cell r="AD976" t="str">
            <v>(인)</v>
          </cell>
          <cell r="AE976">
            <v>186.7</v>
          </cell>
          <cell r="AF976" t="str">
            <v>표준</v>
          </cell>
          <cell r="AG976">
            <v>2</v>
          </cell>
          <cell r="AH976">
            <v>0</v>
          </cell>
        </row>
        <row r="977">
          <cell r="G977">
            <v>2409030203</v>
          </cell>
          <cell r="H977" t="str">
            <v>101동</v>
          </cell>
          <cell r="I977">
            <v>240903</v>
          </cell>
          <cell r="J977" t="str">
            <v>101동 2층 바닥</v>
          </cell>
          <cell r="K977">
            <v>272</v>
          </cell>
          <cell r="L977">
            <v>270</v>
          </cell>
          <cell r="M977">
            <v>3018</v>
          </cell>
          <cell r="N977" t="str">
            <v>용호</v>
          </cell>
          <cell r="O977" t="str">
            <v>펌프카(1대)</v>
          </cell>
          <cell r="P977">
            <v>1320</v>
          </cell>
          <cell r="Q977">
            <v>1653</v>
          </cell>
          <cell r="R977">
            <v>195</v>
          </cell>
          <cell r="S977">
            <v>42</v>
          </cell>
          <cell r="T977">
            <v>33</v>
          </cell>
          <cell r="U977">
            <v>276</v>
          </cell>
          <cell r="V977"/>
          <cell r="W977" t="str">
            <v>김광록</v>
          </cell>
          <cell r="X977" t="str">
            <v>(인)</v>
          </cell>
          <cell r="Y977" t="str">
            <v>박순홍</v>
          </cell>
          <cell r="Z977" t="str">
            <v>(인)</v>
          </cell>
          <cell r="AA977" t="str">
            <v>박상갑</v>
          </cell>
          <cell r="AB977" t="str">
            <v>(인)</v>
          </cell>
          <cell r="AC977" t="str">
            <v>이홍걸</v>
          </cell>
          <cell r="AD977" t="str">
            <v>(인)</v>
          </cell>
          <cell r="AE977">
            <v>188.4</v>
          </cell>
          <cell r="AF977" t="str">
            <v>표준</v>
          </cell>
          <cell r="AG977">
            <v>3</v>
          </cell>
          <cell r="AH977">
            <v>0</v>
          </cell>
        </row>
        <row r="978">
          <cell r="G978">
            <v>2409030301</v>
          </cell>
          <cell r="H978" t="str">
            <v>101동</v>
          </cell>
          <cell r="I978">
            <v>240903</v>
          </cell>
          <cell r="J978" t="str">
            <v xml:space="preserve"> 101동 2층 바닥 </v>
          </cell>
          <cell r="K978">
            <v>30</v>
          </cell>
          <cell r="L978">
            <v>30</v>
          </cell>
          <cell r="M978">
            <v>3018</v>
          </cell>
          <cell r="N978" t="str">
            <v>대공</v>
          </cell>
          <cell r="O978" t="str">
            <v>펌프카(1대)</v>
          </cell>
          <cell r="P978">
            <v>1612</v>
          </cell>
          <cell r="Q978">
            <v>1645</v>
          </cell>
          <cell r="R978">
            <v>180</v>
          </cell>
          <cell r="S978">
            <v>48</v>
          </cell>
          <cell r="T978">
            <v>47</v>
          </cell>
          <cell r="U978">
            <v>273</v>
          </cell>
          <cell r="V978"/>
          <cell r="W978" t="str">
            <v>김광록</v>
          </cell>
          <cell r="X978" t="str">
            <v>(인)</v>
          </cell>
          <cell r="Y978" t="str">
            <v>박순홍</v>
          </cell>
          <cell r="Z978" t="str">
            <v>(인)</v>
          </cell>
          <cell r="AA978" t="str">
            <v>박상갑</v>
          </cell>
          <cell r="AB978" t="str">
            <v>(인)</v>
          </cell>
          <cell r="AC978" t="str">
            <v>이홍걸</v>
          </cell>
          <cell r="AD978" t="str">
            <v>(인)</v>
          </cell>
          <cell r="AE978">
            <v>187.6</v>
          </cell>
          <cell r="AF978" t="str">
            <v>표준</v>
          </cell>
          <cell r="AG978">
            <v>1</v>
          </cell>
          <cell r="AH978">
            <v>1</v>
          </cell>
          <cell r="AI978">
            <v>2826</v>
          </cell>
          <cell r="AJ978">
            <v>2794</v>
          </cell>
          <cell r="AK978">
            <v>219200</v>
          </cell>
          <cell r="AL978">
            <v>3944</v>
          </cell>
          <cell r="AM978">
            <v>3903</v>
          </cell>
          <cell r="AN978">
            <v>3929</v>
          </cell>
          <cell r="AO978">
            <v>3988</v>
          </cell>
          <cell r="AP978">
            <v>4036</v>
          </cell>
          <cell r="AQ978">
            <v>4064</v>
          </cell>
          <cell r="AR978">
            <v>3927</v>
          </cell>
          <cell r="AS978">
            <v>3966</v>
          </cell>
          <cell r="AT978">
            <v>311200</v>
          </cell>
        </row>
        <row r="979">
          <cell r="G979">
            <v>2409030401</v>
          </cell>
          <cell r="H979" t="str">
            <v>112동</v>
          </cell>
          <cell r="I979">
            <v>240903</v>
          </cell>
          <cell r="J979" t="str">
            <v xml:space="preserve"> 112동 지하2층 바닥</v>
          </cell>
          <cell r="K979">
            <v>306</v>
          </cell>
          <cell r="L979">
            <v>306</v>
          </cell>
          <cell r="M979">
            <v>3015</v>
          </cell>
          <cell r="N979" t="str">
            <v>대원</v>
          </cell>
          <cell r="O979" t="str">
            <v>펌프카(1대)</v>
          </cell>
          <cell r="P979">
            <v>735</v>
          </cell>
          <cell r="Q979">
            <v>1238</v>
          </cell>
          <cell r="R979">
            <v>160</v>
          </cell>
          <cell r="S979">
            <v>48</v>
          </cell>
          <cell r="T979">
            <v>64</v>
          </cell>
          <cell r="U979">
            <v>273</v>
          </cell>
          <cell r="V979"/>
          <cell r="W979" t="str">
            <v>김광록</v>
          </cell>
          <cell r="X979" t="str">
            <v>(인)</v>
          </cell>
          <cell r="Y979" t="str">
            <v>박순홍</v>
          </cell>
          <cell r="Z979" t="str">
            <v>(인)</v>
          </cell>
          <cell r="AA979" t="str">
            <v>박상갑</v>
          </cell>
          <cell r="AB979" t="str">
            <v>(인)</v>
          </cell>
          <cell r="AC979" t="str">
            <v>이홍걸</v>
          </cell>
          <cell r="AD979" t="str">
            <v>(인)</v>
          </cell>
          <cell r="AE979">
            <v>186.4</v>
          </cell>
          <cell r="AF979" t="str">
            <v>표준</v>
          </cell>
          <cell r="AG979">
            <v>1</v>
          </cell>
          <cell r="AH979">
            <v>1</v>
          </cell>
          <cell r="AI979">
            <v>2429</v>
          </cell>
          <cell r="AJ979">
            <v>2404</v>
          </cell>
          <cell r="AK979">
            <v>201000</v>
          </cell>
          <cell r="AL979">
            <v>3759</v>
          </cell>
          <cell r="AM979">
            <v>3604</v>
          </cell>
          <cell r="AN979">
            <v>3629</v>
          </cell>
          <cell r="AO979">
            <v>3604</v>
          </cell>
          <cell r="AP979">
            <v>3584</v>
          </cell>
          <cell r="AQ979">
            <v>3527</v>
          </cell>
          <cell r="AR979">
            <v>3536</v>
          </cell>
          <cell r="AS979">
            <v>3609</v>
          </cell>
          <cell r="AT979">
            <v>277000</v>
          </cell>
        </row>
        <row r="980">
          <cell r="G980">
            <v>2409030402</v>
          </cell>
          <cell r="H980" t="str">
            <v>112동</v>
          </cell>
          <cell r="I980">
            <v>240903</v>
          </cell>
          <cell r="J980" t="str">
            <v>112동 지하2층 바닥</v>
          </cell>
          <cell r="K980">
            <v>306</v>
          </cell>
          <cell r="L980">
            <v>306</v>
          </cell>
          <cell r="M980">
            <v>3015</v>
          </cell>
          <cell r="N980" t="str">
            <v>대원</v>
          </cell>
          <cell r="O980" t="str">
            <v>펌프카(1대)</v>
          </cell>
          <cell r="P980">
            <v>735</v>
          </cell>
          <cell r="Q980">
            <v>1238</v>
          </cell>
          <cell r="R980">
            <v>165</v>
          </cell>
          <cell r="S980">
            <v>50</v>
          </cell>
          <cell r="T980">
            <v>43</v>
          </cell>
          <cell r="U980">
            <v>242</v>
          </cell>
          <cell r="V980"/>
          <cell r="W980" t="str">
            <v>김광록</v>
          </cell>
          <cell r="X980" t="str">
            <v>(인)</v>
          </cell>
          <cell r="Y980" t="str">
            <v>박순홍</v>
          </cell>
          <cell r="Z980" t="str">
            <v>(인)</v>
          </cell>
          <cell r="AA980" t="str">
            <v>박상갑</v>
          </cell>
          <cell r="AB980" t="str">
            <v>(인)</v>
          </cell>
          <cell r="AC980" t="str">
            <v>이홍걸</v>
          </cell>
          <cell r="AD980" t="str">
            <v>(인)</v>
          </cell>
          <cell r="AE980">
            <v>187.4</v>
          </cell>
          <cell r="AF980" t="str">
            <v>표준</v>
          </cell>
          <cell r="AG980">
            <v>2</v>
          </cell>
          <cell r="AH980">
            <v>0</v>
          </cell>
        </row>
        <row r="981">
          <cell r="G981">
            <v>2409030403</v>
          </cell>
          <cell r="H981" t="str">
            <v>112동</v>
          </cell>
          <cell r="I981">
            <v>240903</v>
          </cell>
          <cell r="J981" t="str">
            <v>112동 지하2층 바닥</v>
          </cell>
          <cell r="K981">
            <v>306</v>
          </cell>
          <cell r="L981">
            <v>306</v>
          </cell>
          <cell r="M981">
            <v>3015</v>
          </cell>
          <cell r="N981" t="str">
            <v>대원</v>
          </cell>
          <cell r="O981" t="str">
            <v>펌프카(1대)</v>
          </cell>
          <cell r="P981">
            <v>735</v>
          </cell>
          <cell r="Q981">
            <v>1238</v>
          </cell>
          <cell r="R981">
            <v>165</v>
          </cell>
          <cell r="S981">
            <v>38</v>
          </cell>
          <cell r="T981">
            <v>36</v>
          </cell>
          <cell r="U981">
            <v>254</v>
          </cell>
          <cell r="V981"/>
          <cell r="W981" t="str">
            <v>김광록</v>
          </cell>
          <cell r="X981" t="str">
            <v>(인)</v>
          </cell>
          <cell r="Y981" t="str">
            <v>박순홍</v>
          </cell>
          <cell r="Z981" t="str">
            <v>(인)</v>
          </cell>
          <cell r="AA981" t="str">
            <v>박상갑</v>
          </cell>
          <cell r="AB981" t="str">
            <v>(인)</v>
          </cell>
          <cell r="AC981" t="str">
            <v>이홍걸</v>
          </cell>
          <cell r="AD981" t="str">
            <v>(인)</v>
          </cell>
          <cell r="AE981">
            <v>179.9</v>
          </cell>
          <cell r="AF981" t="str">
            <v>표준</v>
          </cell>
          <cell r="AG981">
            <v>3</v>
          </cell>
          <cell r="AH981">
            <v>0</v>
          </cell>
        </row>
        <row r="982">
          <cell r="G982">
            <v>2409030501</v>
          </cell>
          <cell r="H982" t="str">
            <v>112동</v>
          </cell>
          <cell r="I982">
            <v>240903</v>
          </cell>
          <cell r="J982" t="str">
            <v>112동 지하2층 바닥</v>
          </cell>
          <cell r="K982">
            <v>210</v>
          </cell>
          <cell r="L982">
            <v>210</v>
          </cell>
          <cell r="M982">
            <v>3015</v>
          </cell>
          <cell r="N982" t="str">
            <v>대공</v>
          </cell>
          <cell r="O982" t="str">
            <v>펌프카(1대)</v>
          </cell>
          <cell r="P982">
            <v>747</v>
          </cell>
          <cell r="Q982">
            <v>1038</v>
          </cell>
          <cell r="R982">
            <v>155</v>
          </cell>
          <cell r="S982">
            <v>41</v>
          </cell>
          <cell r="T982">
            <v>30</v>
          </cell>
          <cell r="U982">
            <v>254</v>
          </cell>
          <cell r="V982"/>
          <cell r="W982" t="str">
            <v>김광록</v>
          </cell>
          <cell r="X982" t="str">
            <v>(인)</v>
          </cell>
          <cell r="Y982" t="str">
            <v>박순홍</v>
          </cell>
          <cell r="Z982" t="str">
            <v>(인)</v>
          </cell>
          <cell r="AA982" t="str">
            <v>박상갑</v>
          </cell>
          <cell r="AB982" t="str">
            <v>(인)</v>
          </cell>
          <cell r="AC982" t="str">
            <v>이홍걸</v>
          </cell>
          <cell r="AD982" t="str">
            <v>(인)</v>
          </cell>
          <cell r="AE982">
            <v>178.4</v>
          </cell>
          <cell r="AF982" t="str">
            <v>표준</v>
          </cell>
          <cell r="AG982">
            <v>1</v>
          </cell>
          <cell r="AH982">
            <v>1</v>
          </cell>
          <cell r="AI982">
            <v>2818</v>
          </cell>
          <cell r="AJ982">
            <v>2765</v>
          </cell>
          <cell r="AK982">
            <v>215600</v>
          </cell>
          <cell r="AL982">
            <v>3947</v>
          </cell>
          <cell r="AM982">
            <v>3867</v>
          </cell>
          <cell r="AN982">
            <v>3942</v>
          </cell>
          <cell r="AO982">
            <v>3867</v>
          </cell>
          <cell r="AP982">
            <v>3936</v>
          </cell>
          <cell r="AQ982">
            <v>3864</v>
          </cell>
          <cell r="AR982">
            <v>3926</v>
          </cell>
          <cell r="AS982">
            <v>3864</v>
          </cell>
          <cell r="AT982">
            <v>312200</v>
          </cell>
        </row>
        <row r="983">
          <cell r="G983">
            <v>2409030502</v>
          </cell>
          <cell r="H983" t="str">
            <v>112동</v>
          </cell>
          <cell r="I983">
            <v>240903</v>
          </cell>
          <cell r="J983" t="str">
            <v>112동 지하2층 바닥</v>
          </cell>
          <cell r="K983">
            <v>210</v>
          </cell>
          <cell r="L983">
            <v>210</v>
          </cell>
          <cell r="M983">
            <v>3015</v>
          </cell>
          <cell r="N983" t="str">
            <v>대공</v>
          </cell>
          <cell r="O983" t="str">
            <v>펌프카(1대)</v>
          </cell>
          <cell r="P983">
            <v>747</v>
          </cell>
          <cell r="Q983">
            <v>1038</v>
          </cell>
          <cell r="R983">
            <v>160</v>
          </cell>
          <cell r="S983">
            <v>43</v>
          </cell>
          <cell r="T983">
            <v>74</v>
          </cell>
          <cell r="U983">
            <v>267</v>
          </cell>
          <cell r="V983"/>
          <cell r="W983" t="str">
            <v>김광록</v>
          </cell>
          <cell r="X983" t="str">
            <v>(인)</v>
          </cell>
          <cell r="Y983" t="str">
            <v>박순홍</v>
          </cell>
          <cell r="Z983" t="str">
            <v>(인)</v>
          </cell>
          <cell r="AA983" t="str">
            <v>박상갑</v>
          </cell>
          <cell r="AB983" t="str">
            <v>(인)</v>
          </cell>
          <cell r="AC983" t="str">
            <v>이홍걸</v>
          </cell>
          <cell r="AD983" t="str">
            <v>(인)</v>
          </cell>
          <cell r="AE983">
            <v>182.4</v>
          </cell>
          <cell r="AF983" t="str">
            <v>표준</v>
          </cell>
          <cell r="AG983">
            <v>2</v>
          </cell>
          <cell r="AH983">
            <v>0</v>
          </cell>
        </row>
        <row r="984">
          <cell r="G984">
            <v>2409030601</v>
          </cell>
          <cell r="H984" t="str">
            <v>112동</v>
          </cell>
          <cell r="I984">
            <v>240903</v>
          </cell>
          <cell r="J984" t="str">
            <v xml:space="preserve"> 112동 지하2층 바닥 </v>
          </cell>
          <cell r="K984">
            <v>60</v>
          </cell>
          <cell r="L984">
            <v>60</v>
          </cell>
          <cell r="M984">
            <v>2715</v>
          </cell>
          <cell r="N984" t="str">
            <v>대원</v>
          </cell>
          <cell r="O984" t="str">
            <v>펌프카(1대)</v>
          </cell>
          <cell r="P984">
            <v>1256</v>
          </cell>
          <cell r="Q984">
            <v>1325</v>
          </cell>
          <cell r="R984">
            <v>155</v>
          </cell>
          <cell r="S984">
            <v>54</v>
          </cell>
          <cell r="T984">
            <v>38</v>
          </cell>
          <cell r="U984">
            <v>268</v>
          </cell>
          <cell r="V984"/>
          <cell r="W984" t="str">
            <v>김광록</v>
          </cell>
          <cell r="X984" t="str">
            <v>(인)</v>
          </cell>
          <cell r="Y984" t="str">
            <v>박순홍</v>
          </cell>
          <cell r="Z984" t="str">
            <v>(인)</v>
          </cell>
          <cell r="AA984" t="str">
            <v>박상갑</v>
          </cell>
          <cell r="AB984" t="str">
            <v>(인)</v>
          </cell>
          <cell r="AC984" t="str">
            <v>이홍걸</v>
          </cell>
          <cell r="AD984" t="str">
            <v>(인)</v>
          </cell>
          <cell r="AE984">
            <v>181.6</v>
          </cell>
          <cell r="AF984" t="str">
            <v>표준</v>
          </cell>
          <cell r="AG984">
            <v>1</v>
          </cell>
          <cell r="AH984">
            <v>1</v>
          </cell>
          <cell r="AI984">
            <v>2429</v>
          </cell>
          <cell r="AJ984">
            <v>2404</v>
          </cell>
          <cell r="AK984">
            <v>201000</v>
          </cell>
          <cell r="AL984">
            <v>3419</v>
          </cell>
          <cell r="AM984">
            <v>3426</v>
          </cell>
          <cell r="AN984">
            <v>3488</v>
          </cell>
          <cell r="AO984">
            <v>3506</v>
          </cell>
          <cell r="AP984">
            <v>3329</v>
          </cell>
          <cell r="AQ984">
            <v>3384</v>
          </cell>
          <cell r="AR984">
            <v>3401</v>
          </cell>
          <cell r="AS984">
            <v>3412</v>
          </cell>
          <cell r="AT984">
            <v>265000</v>
          </cell>
        </row>
        <row r="985">
          <cell r="G985">
            <v>2409030701</v>
          </cell>
          <cell r="H985" t="str">
            <v>112동</v>
          </cell>
          <cell r="I985">
            <v>240903</v>
          </cell>
          <cell r="J985" t="str">
            <v xml:space="preserve"> 112동 지하2층 바닥 </v>
          </cell>
          <cell r="K985">
            <v>90</v>
          </cell>
          <cell r="L985">
            <v>90</v>
          </cell>
          <cell r="M985">
            <v>2715</v>
          </cell>
          <cell r="N985" t="str">
            <v>대공</v>
          </cell>
          <cell r="O985" t="str">
            <v>펌프카(1대)</v>
          </cell>
          <cell r="P985">
            <v>1120</v>
          </cell>
          <cell r="Q985">
            <v>1327</v>
          </cell>
          <cell r="R985">
            <v>150</v>
          </cell>
          <cell r="S985">
            <v>46</v>
          </cell>
          <cell r="T985">
            <v>56</v>
          </cell>
          <cell r="U985">
            <v>257</v>
          </cell>
          <cell r="V985"/>
          <cell r="W985" t="str">
            <v>김광록</v>
          </cell>
          <cell r="X985" t="str">
            <v>(인)</v>
          </cell>
          <cell r="Y985" t="str">
            <v>박순홍</v>
          </cell>
          <cell r="Z985" t="str">
            <v>(인)</v>
          </cell>
          <cell r="AA985" t="str">
            <v>박상갑</v>
          </cell>
          <cell r="AB985" t="str">
            <v>(인)</v>
          </cell>
          <cell r="AC985" t="str">
            <v>이홍걸</v>
          </cell>
          <cell r="AD985" t="str">
            <v>(인)</v>
          </cell>
          <cell r="AE985">
            <v>180.4</v>
          </cell>
          <cell r="AF985" t="str">
            <v>표준</v>
          </cell>
          <cell r="AG985">
            <v>1</v>
          </cell>
          <cell r="AH985">
            <v>1</v>
          </cell>
          <cell r="AI985">
            <v>2452</v>
          </cell>
          <cell r="AJ985">
            <v>2367</v>
          </cell>
          <cell r="AK985">
            <v>189200</v>
          </cell>
          <cell r="AL985">
            <v>3947</v>
          </cell>
          <cell r="AM985">
            <v>3867</v>
          </cell>
          <cell r="AN985">
            <v>3942</v>
          </cell>
          <cell r="AO985">
            <v>3867</v>
          </cell>
          <cell r="AP985">
            <v>3936</v>
          </cell>
          <cell r="AQ985">
            <v>3864</v>
          </cell>
          <cell r="AR985">
            <v>3926</v>
          </cell>
          <cell r="AS985">
            <v>3864</v>
          </cell>
          <cell r="AT985">
            <v>312200</v>
          </cell>
        </row>
        <row r="986">
          <cell r="G986">
            <v>2409040101</v>
          </cell>
          <cell r="H986" t="str">
            <v>113동</v>
          </cell>
          <cell r="I986">
            <v>240904</v>
          </cell>
          <cell r="J986" t="str">
            <v>113동 4층 바닥</v>
          </cell>
          <cell r="K986">
            <v>370</v>
          </cell>
          <cell r="L986">
            <v>370</v>
          </cell>
          <cell r="M986">
            <v>3018</v>
          </cell>
          <cell r="N986" t="str">
            <v>용호</v>
          </cell>
          <cell r="O986" t="str">
            <v>펌프카(1대)</v>
          </cell>
          <cell r="P986">
            <v>830</v>
          </cell>
          <cell r="Q986">
            <v>1454</v>
          </cell>
          <cell r="R986">
            <v>185</v>
          </cell>
          <cell r="S986">
            <v>42</v>
          </cell>
          <cell r="T986">
            <v>36</v>
          </cell>
          <cell r="U986">
            <v>257</v>
          </cell>
          <cell r="V986"/>
          <cell r="W986" t="str">
            <v>김광록</v>
          </cell>
          <cell r="X986" t="str">
            <v>(인)</v>
          </cell>
          <cell r="Y986" t="str">
            <v>박순홍</v>
          </cell>
          <cell r="Z986" t="str">
            <v>(인)</v>
          </cell>
          <cell r="AA986" t="str">
            <v>박상갑</v>
          </cell>
          <cell r="AB986" t="str">
            <v>(인)</v>
          </cell>
          <cell r="AC986" t="str">
            <v>박기원</v>
          </cell>
          <cell r="AD986" t="str">
            <v>(인)</v>
          </cell>
          <cell r="AE986">
            <v>182.3</v>
          </cell>
          <cell r="AF986" t="str">
            <v>표준</v>
          </cell>
          <cell r="AG986">
            <v>1</v>
          </cell>
          <cell r="AH986">
            <v>1</v>
          </cell>
          <cell r="AI986">
            <v>2765</v>
          </cell>
          <cell r="AJ986">
            <v>2814</v>
          </cell>
          <cell r="AK986">
            <v>224000</v>
          </cell>
          <cell r="AL986">
            <v>3975</v>
          </cell>
          <cell r="AM986">
            <v>3924</v>
          </cell>
          <cell r="AN986">
            <v>3926</v>
          </cell>
          <cell r="AO986">
            <v>4017</v>
          </cell>
          <cell r="AP986">
            <v>3934</v>
          </cell>
          <cell r="AQ986">
            <v>4064</v>
          </cell>
          <cell r="AR986">
            <v>3987</v>
          </cell>
          <cell r="AS986">
            <v>3816</v>
          </cell>
          <cell r="AT986">
            <v>315400</v>
          </cell>
        </row>
        <row r="987">
          <cell r="G987">
            <v>2409040102</v>
          </cell>
          <cell r="H987" t="str">
            <v>113동</v>
          </cell>
          <cell r="I987">
            <v>240904</v>
          </cell>
          <cell r="J987" t="str">
            <v>113동 4층 바닥</v>
          </cell>
          <cell r="K987">
            <v>370</v>
          </cell>
          <cell r="L987">
            <v>370</v>
          </cell>
          <cell r="M987">
            <v>3018</v>
          </cell>
          <cell r="N987" t="str">
            <v>용호</v>
          </cell>
          <cell r="O987" t="str">
            <v>펌프카(1대)</v>
          </cell>
          <cell r="P987">
            <v>830</v>
          </cell>
          <cell r="Q987">
            <v>1454</v>
          </cell>
          <cell r="R987">
            <v>190</v>
          </cell>
          <cell r="S987">
            <v>44</v>
          </cell>
          <cell r="T987">
            <v>19</v>
          </cell>
          <cell r="U987">
            <v>252</v>
          </cell>
          <cell r="V987"/>
          <cell r="W987" t="str">
            <v>김광록</v>
          </cell>
          <cell r="X987" t="str">
            <v>(인)</v>
          </cell>
          <cell r="Y987" t="str">
            <v>박순홍</v>
          </cell>
          <cell r="Z987" t="str">
            <v>(인)</v>
          </cell>
          <cell r="AA987" t="str">
            <v>박상갑</v>
          </cell>
          <cell r="AB987" t="str">
            <v>(인)</v>
          </cell>
          <cell r="AC987" t="str">
            <v>박기원</v>
          </cell>
          <cell r="AD987" t="str">
            <v>(인)</v>
          </cell>
          <cell r="AE987">
            <v>181.1</v>
          </cell>
          <cell r="AF987" t="str">
            <v>표준</v>
          </cell>
          <cell r="AG987">
            <v>2</v>
          </cell>
          <cell r="AH987">
            <v>0</v>
          </cell>
        </row>
        <row r="988">
          <cell r="G988">
            <v>2409040103</v>
          </cell>
          <cell r="H988" t="str">
            <v>113동</v>
          </cell>
          <cell r="I988">
            <v>240904</v>
          </cell>
          <cell r="J988" t="str">
            <v>113동 4층 바닥</v>
          </cell>
          <cell r="K988">
            <v>370</v>
          </cell>
          <cell r="L988">
            <v>370</v>
          </cell>
          <cell r="M988">
            <v>3018</v>
          </cell>
          <cell r="N988" t="str">
            <v>용호</v>
          </cell>
          <cell r="O988" t="str">
            <v>펌프카(1대)</v>
          </cell>
          <cell r="P988">
            <v>830</v>
          </cell>
          <cell r="Q988">
            <v>1454</v>
          </cell>
          <cell r="R988">
            <v>195</v>
          </cell>
          <cell r="S988">
            <v>48</v>
          </cell>
          <cell r="T988">
            <v>22</v>
          </cell>
          <cell r="U988">
            <v>261</v>
          </cell>
          <cell r="V988"/>
          <cell r="W988" t="str">
            <v>김광록</v>
          </cell>
          <cell r="X988" t="str">
            <v>(인)</v>
          </cell>
          <cell r="Y988" t="str">
            <v>박순홍</v>
          </cell>
          <cell r="Z988" t="str">
            <v>(인)</v>
          </cell>
          <cell r="AA988" t="str">
            <v>박상갑</v>
          </cell>
          <cell r="AB988" t="str">
            <v>(인)</v>
          </cell>
          <cell r="AC988" t="str">
            <v>박기원</v>
          </cell>
          <cell r="AD988" t="str">
            <v>(인)</v>
          </cell>
          <cell r="AE988">
            <v>179.8</v>
          </cell>
          <cell r="AF988" t="str">
            <v>표준</v>
          </cell>
          <cell r="AG988">
            <v>3</v>
          </cell>
          <cell r="AH988">
            <v>0</v>
          </cell>
        </row>
        <row r="989">
          <cell r="G989">
            <v>2409040104</v>
          </cell>
          <cell r="H989" t="str">
            <v>113동</v>
          </cell>
          <cell r="I989">
            <v>240904</v>
          </cell>
          <cell r="J989" t="str">
            <v>113동 4층 바닥</v>
          </cell>
          <cell r="K989">
            <v>370</v>
          </cell>
          <cell r="L989">
            <v>370</v>
          </cell>
          <cell r="M989">
            <v>3018</v>
          </cell>
          <cell r="N989" t="str">
            <v>용호</v>
          </cell>
          <cell r="O989" t="str">
            <v>펌프카(1대)</v>
          </cell>
          <cell r="P989">
            <v>830</v>
          </cell>
          <cell r="Q989">
            <v>1454</v>
          </cell>
          <cell r="R989">
            <v>180</v>
          </cell>
          <cell r="S989">
            <v>48</v>
          </cell>
          <cell r="T989">
            <v>63</v>
          </cell>
          <cell r="U989">
            <v>264</v>
          </cell>
          <cell r="V989"/>
          <cell r="W989" t="str">
            <v>김광록</v>
          </cell>
          <cell r="X989" t="str">
            <v>(인)</v>
          </cell>
          <cell r="Y989" t="str">
            <v>박순홍</v>
          </cell>
          <cell r="Z989" t="str">
            <v>(인)</v>
          </cell>
          <cell r="AA989" t="str">
            <v>박상갑</v>
          </cell>
          <cell r="AB989" t="str">
            <v>(인)</v>
          </cell>
          <cell r="AC989" t="str">
            <v>박기원</v>
          </cell>
          <cell r="AD989" t="str">
            <v>(인)</v>
          </cell>
          <cell r="AE989">
            <v>192.4</v>
          </cell>
          <cell r="AF989" t="str">
            <v>표준</v>
          </cell>
          <cell r="AG989">
            <v>4</v>
          </cell>
          <cell r="AH989">
            <v>1</v>
          </cell>
          <cell r="AL989">
            <v>3896</v>
          </cell>
          <cell r="AM989">
            <v>3888</v>
          </cell>
          <cell r="AN989">
            <v>3906</v>
          </cell>
          <cell r="AO989">
            <v>3806</v>
          </cell>
          <cell r="AP989">
            <v>3917</v>
          </cell>
          <cell r="AQ989">
            <v>3879</v>
          </cell>
          <cell r="AR989">
            <v>4016</v>
          </cell>
          <cell r="AS989">
            <v>3929</v>
          </cell>
          <cell r="AT989">
            <v>302200</v>
          </cell>
        </row>
        <row r="990">
          <cell r="G990">
            <v>2409040201</v>
          </cell>
          <cell r="H990" t="str">
            <v>102동</v>
          </cell>
          <cell r="I990">
            <v>240904</v>
          </cell>
          <cell r="J990" t="str">
            <v xml:space="preserve"> 102~103동 사이 누름 </v>
          </cell>
          <cell r="K990">
            <v>324</v>
          </cell>
          <cell r="L990">
            <v>324</v>
          </cell>
          <cell r="M990">
            <v>1815</v>
          </cell>
          <cell r="N990" t="str">
            <v>대공</v>
          </cell>
          <cell r="O990" t="str">
            <v>펌프카(1대)</v>
          </cell>
          <cell r="P990">
            <v>908</v>
          </cell>
          <cell r="Q990">
            <v>1608</v>
          </cell>
          <cell r="R990">
            <v>140</v>
          </cell>
          <cell r="S990">
            <v>49</v>
          </cell>
          <cell r="T990">
            <v>58</v>
          </cell>
          <cell r="U990">
            <v>264</v>
          </cell>
          <cell r="V990"/>
          <cell r="W990" t="str">
            <v>김광록</v>
          </cell>
          <cell r="X990" t="str">
            <v>(인)</v>
          </cell>
          <cell r="Y990" t="str">
            <v>박순홍</v>
          </cell>
          <cell r="Z990" t="str">
            <v>(인)</v>
          </cell>
          <cell r="AA990" t="str">
            <v>박상갑</v>
          </cell>
          <cell r="AB990" t="str">
            <v>(인)</v>
          </cell>
          <cell r="AC990" t="str">
            <v>박기원</v>
          </cell>
          <cell r="AD990" t="str">
            <v>(인)</v>
          </cell>
          <cell r="AE990">
            <v>182.3</v>
          </cell>
          <cell r="AF990" t="str">
            <v>표준</v>
          </cell>
          <cell r="AG990">
            <v>1</v>
          </cell>
          <cell r="AH990">
            <v>1</v>
          </cell>
          <cell r="AI990">
            <v>1660</v>
          </cell>
          <cell r="AJ990">
            <v>1624</v>
          </cell>
          <cell r="AK990">
            <v>135000</v>
          </cell>
          <cell r="AL990">
            <v>2342</v>
          </cell>
          <cell r="AM990">
            <v>2309</v>
          </cell>
          <cell r="AN990">
            <v>2317</v>
          </cell>
          <cell r="AO990">
            <v>2406</v>
          </cell>
          <cell r="AP990">
            <v>2312</v>
          </cell>
          <cell r="AQ990">
            <v>2406</v>
          </cell>
          <cell r="AR990">
            <v>2307</v>
          </cell>
          <cell r="AS990">
            <v>2306</v>
          </cell>
          <cell r="AT990">
            <v>189600</v>
          </cell>
        </row>
        <row r="991">
          <cell r="G991">
            <v>2409040202</v>
          </cell>
          <cell r="H991" t="str">
            <v>102동</v>
          </cell>
          <cell r="I991">
            <v>240904</v>
          </cell>
          <cell r="J991" t="str">
            <v>102~103동 사이 누름</v>
          </cell>
          <cell r="K991">
            <v>324</v>
          </cell>
          <cell r="L991">
            <v>324</v>
          </cell>
          <cell r="M991">
            <v>1815</v>
          </cell>
          <cell r="N991" t="str">
            <v>대공</v>
          </cell>
          <cell r="O991" t="str">
            <v>펌프카(1대)</v>
          </cell>
          <cell r="P991">
            <v>908</v>
          </cell>
          <cell r="Q991">
            <v>1608</v>
          </cell>
          <cell r="R991">
            <v>150</v>
          </cell>
          <cell r="S991">
            <v>46</v>
          </cell>
          <cell r="T991">
            <v>34</v>
          </cell>
          <cell r="U991">
            <v>245</v>
          </cell>
          <cell r="V991"/>
          <cell r="W991" t="str">
            <v>김광록</v>
          </cell>
          <cell r="X991" t="str">
            <v>(인)</v>
          </cell>
          <cell r="Y991" t="str">
            <v>박순홍</v>
          </cell>
          <cell r="Z991" t="str">
            <v>(인)</v>
          </cell>
          <cell r="AA991" t="str">
            <v>박상갑</v>
          </cell>
          <cell r="AB991" t="str">
            <v>(인)</v>
          </cell>
          <cell r="AC991" t="str">
            <v>박기원</v>
          </cell>
          <cell r="AD991" t="str">
            <v>(인)</v>
          </cell>
          <cell r="AE991">
            <v>184.3</v>
          </cell>
          <cell r="AF991" t="str">
            <v>표준</v>
          </cell>
          <cell r="AG991">
            <v>2</v>
          </cell>
          <cell r="AH991">
            <v>0</v>
          </cell>
        </row>
        <row r="992">
          <cell r="G992">
            <v>2409040301</v>
          </cell>
          <cell r="H992" t="str">
            <v>102동</v>
          </cell>
          <cell r="I992">
            <v>240904</v>
          </cell>
          <cell r="J992" t="str">
            <v>근생1 버림</v>
          </cell>
          <cell r="K992">
            <v>10</v>
          </cell>
          <cell r="L992">
            <v>10</v>
          </cell>
          <cell r="M992">
            <v>1812</v>
          </cell>
          <cell r="N992" t="str">
            <v>대공</v>
          </cell>
          <cell r="O992" t="str">
            <v>펌프카(1대)</v>
          </cell>
          <cell r="P992">
            <v>1615</v>
          </cell>
          <cell r="Q992">
            <v>1646</v>
          </cell>
          <cell r="R992">
            <v>110</v>
          </cell>
          <cell r="S992">
            <v>48</v>
          </cell>
          <cell r="T992">
            <v>30</v>
          </cell>
          <cell r="U992">
            <v>270</v>
          </cell>
          <cell r="V992"/>
          <cell r="W992" t="str">
            <v>김광록</v>
          </cell>
          <cell r="X992" t="str">
            <v>(인)</v>
          </cell>
          <cell r="Y992" t="str">
            <v>박순홍</v>
          </cell>
          <cell r="Z992" t="str">
            <v>(인)</v>
          </cell>
          <cell r="AA992" t="str">
            <v>박상갑</v>
          </cell>
          <cell r="AB992" t="str">
            <v>(인)</v>
          </cell>
          <cell r="AC992" t="str">
            <v>박기원</v>
          </cell>
          <cell r="AD992" t="str">
            <v>(인)</v>
          </cell>
          <cell r="AE992">
            <v>178.4</v>
          </cell>
          <cell r="AF992" t="str">
            <v>표준</v>
          </cell>
          <cell r="AG992">
            <v>1</v>
          </cell>
          <cell r="AH992">
            <v>1</v>
          </cell>
          <cell r="AI992">
            <v>1532</v>
          </cell>
          <cell r="AJ992">
            <v>1510</v>
          </cell>
          <cell r="AK992">
            <v>129200</v>
          </cell>
          <cell r="AL992">
            <v>2095</v>
          </cell>
          <cell r="AM992">
            <v>2284</v>
          </cell>
          <cell r="AN992">
            <v>2206</v>
          </cell>
          <cell r="AO992">
            <v>2304</v>
          </cell>
          <cell r="AP992">
            <v>2192</v>
          </cell>
          <cell r="AQ992">
            <v>2194</v>
          </cell>
          <cell r="AR992">
            <v>2206</v>
          </cell>
          <cell r="AS992">
            <v>2192</v>
          </cell>
          <cell r="AT992">
            <v>181600</v>
          </cell>
        </row>
        <row r="993">
          <cell r="G993">
            <v>2409050101</v>
          </cell>
          <cell r="H993" t="str">
            <v>105동</v>
          </cell>
          <cell r="I993">
            <v>240905</v>
          </cell>
          <cell r="J993" t="str">
            <v>105동 14층 바닥</v>
          </cell>
          <cell r="K993">
            <v>276</v>
          </cell>
          <cell r="L993">
            <v>276</v>
          </cell>
          <cell r="M993">
            <v>3018</v>
          </cell>
          <cell r="N993" t="str">
            <v>용호</v>
          </cell>
          <cell r="O993" t="str">
            <v>펌프카(1대)</v>
          </cell>
          <cell r="P993">
            <v>810</v>
          </cell>
          <cell r="Q993">
            <v>1146</v>
          </cell>
          <cell r="R993">
            <v>180</v>
          </cell>
          <cell r="S993">
            <v>38</v>
          </cell>
          <cell r="T993">
            <v>34</v>
          </cell>
          <cell r="U993">
            <v>264</v>
          </cell>
          <cell r="V993"/>
          <cell r="W993" t="str">
            <v>김광록</v>
          </cell>
          <cell r="X993" t="str">
            <v>(인)</v>
          </cell>
          <cell r="Y993" t="str">
            <v>박순홍</v>
          </cell>
          <cell r="Z993" t="str">
            <v>(인)</v>
          </cell>
          <cell r="AA993" t="str">
            <v>박상갑</v>
          </cell>
          <cell r="AB993" t="str">
            <v>(인)</v>
          </cell>
          <cell r="AC993" t="str">
            <v>이루비</v>
          </cell>
          <cell r="AD993" t="str">
            <v>(인)</v>
          </cell>
          <cell r="AE993">
            <v>192.2</v>
          </cell>
          <cell r="AF993" t="str">
            <v>표준</v>
          </cell>
          <cell r="AG993">
            <v>1</v>
          </cell>
          <cell r="AH993">
            <v>1</v>
          </cell>
          <cell r="AI993">
            <v>2785</v>
          </cell>
          <cell r="AJ993">
            <v>2766</v>
          </cell>
          <cell r="AK993">
            <v>223600</v>
          </cell>
          <cell r="AL993">
            <v>3921</v>
          </cell>
          <cell r="AM993">
            <v>3878</v>
          </cell>
          <cell r="AN993">
            <v>3929</v>
          </cell>
          <cell r="AO993">
            <v>3879</v>
          </cell>
          <cell r="AP993">
            <v>4026</v>
          </cell>
          <cell r="AQ993">
            <v>3927</v>
          </cell>
          <cell r="AR993">
            <v>3876</v>
          </cell>
          <cell r="AS993">
            <v>3906</v>
          </cell>
          <cell r="AT993">
            <v>303800</v>
          </cell>
        </row>
        <row r="994">
          <cell r="G994">
            <v>2409050102</v>
          </cell>
          <cell r="H994" t="str">
            <v>105동</v>
          </cell>
          <cell r="I994">
            <v>240905</v>
          </cell>
          <cell r="J994" t="str">
            <v>105동 14층 바닥</v>
          </cell>
          <cell r="K994">
            <v>276</v>
          </cell>
          <cell r="L994">
            <v>276</v>
          </cell>
          <cell r="M994">
            <v>3018</v>
          </cell>
          <cell r="N994" t="str">
            <v>용호</v>
          </cell>
          <cell r="O994" t="str">
            <v>펌프카(1대)</v>
          </cell>
          <cell r="P994">
            <v>810</v>
          </cell>
          <cell r="Q994">
            <v>1146</v>
          </cell>
          <cell r="R994">
            <v>185</v>
          </cell>
          <cell r="S994">
            <v>46</v>
          </cell>
          <cell r="T994">
            <v>33</v>
          </cell>
          <cell r="U994">
            <v>259</v>
          </cell>
          <cell r="V994"/>
          <cell r="W994" t="str">
            <v>김광록</v>
          </cell>
          <cell r="X994" t="str">
            <v>(인)</v>
          </cell>
          <cell r="Y994" t="str">
            <v>박순홍</v>
          </cell>
          <cell r="Z994" t="str">
            <v>(인)</v>
          </cell>
          <cell r="AA994" t="str">
            <v>박상갑</v>
          </cell>
          <cell r="AB994" t="str">
            <v>(인)</v>
          </cell>
          <cell r="AC994" t="str">
            <v>이루비</v>
          </cell>
          <cell r="AD994" t="str">
            <v>(인)</v>
          </cell>
          <cell r="AE994">
            <v>189.6</v>
          </cell>
          <cell r="AF994" t="str">
            <v>표준</v>
          </cell>
          <cell r="AG994">
            <v>2</v>
          </cell>
          <cell r="AH994">
            <v>0</v>
          </cell>
        </row>
        <row r="995">
          <cell r="G995">
            <v>2409050103</v>
          </cell>
          <cell r="H995" t="str">
            <v>105동</v>
          </cell>
          <cell r="I995">
            <v>240905</v>
          </cell>
          <cell r="J995" t="str">
            <v>105동 14층 바닥</v>
          </cell>
          <cell r="K995">
            <v>276</v>
          </cell>
          <cell r="L995">
            <v>276</v>
          </cell>
          <cell r="M995">
            <v>3018</v>
          </cell>
          <cell r="N995" t="str">
            <v>용호</v>
          </cell>
          <cell r="O995" t="str">
            <v>펌프카(1대)</v>
          </cell>
          <cell r="P995">
            <v>810</v>
          </cell>
          <cell r="Q995">
            <v>1146</v>
          </cell>
          <cell r="R995">
            <v>185</v>
          </cell>
          <cell r="S995">
            <v>43</v>
          </cell>
          <cell r="T995">
            <v>21</v>
          </cell>
          <cell r="U995">
            <v>272</v>
          </cell>
          <cell r="V995"/>
          <cell r="W995" t="str">
            <v>김광록</v>
          </cell>
          <cell r="X995" t="str">
            <v>(인)</v>
          </cell>
          <cell r="Y995" t="str">
            <v>박순홍</v>
          </cell>
          <cell r="Z995" t="str">
            <v>(인)</v>
          </cell>
          <cell r="AA995" t="str">
            <v>박상갑</v>
          </cell>
          <cell r="AB995" t="str">
            <v>(인)</v>
          </cell>
          <cell r="AC995" t="str">
            <v>이루비</v>
          </cell>
          <cell r="AD995" t="str">
            <v>(인)</v>
          </cell>
          <cell r="AE995">
            <v>191.7</v>
          </cell>
          <cell r="AF995" t="str">
            <v>표준</v>
          </cell>
          <cell r="AG995">
            <v>3</v>
          </cell>
          <cell r="AH995">
            <v>0</v>
          </cell>
        </row>
        <row r="996">
          <cell r="G996">
            <v>2409050201</v>
          </cell>
          <cell r="H996" t="str">
            <v>106동</v>
          </cell>
          <cell r="I996">
            <v>240905</v>
          </cell>
          <cell r="J996" t="str">
            <v>106동 12층 바닥</v>
          </cell>
          <cell r="K996">
            <v>280</v>
          </cell>
          <cell r="L996">
            <v>279</v>
          </cell>
          <cell r="M996">
            <v>3018</v>
          </cell>
          <cell r="N996" t="str">
            <v>신우</v>
          </cell>
          <cell r="O996" t="str">
            <v>펌프카(1대)</v>
          </cell>
          <cell r="P996">
            <v>853</v>
          </cell>
          <cell r="Q996">
            <v>1348</v>
          </cell>
          <cell r="R996">
            <v>185</v>
          </cell>
          <cell r="S996">
            <v>41</v>
          </cell>
          <cell r="T996">
            <v>24</v>
          </cell>
          <cell r="U996">
            <v>253</v>
          </cell>
          <cell r="V996"/>
          <cell r="W996" t="str">
            <v>김광록</v>
          </cell>
          <cell r="X996" t="str">
            <v>(인)</v>
          </cell>
          <cell r="Y996" t="str">
            <v>박순홍</v>
          </cell>
          <cell r="Z996" t="str">
            <v>(인)</v>
          </cell>
          <cell r="AA996" t="str">
            <v>박상갑</v>
          </cell>
          <cell r="AB996" t="str">
            <v>(인)</v>
          </cell>
          <cell r="AC996" t="str">
            <v>이루비</v>
          </cell>
          <cell r="AD996" t="str">
            <v>(인)</v>
          </cell>
          <cell r="AE996">
            <v>182.9</v>
          </cell>
          <cell r="AF996" t="str">
            <v>표준</v>
          </cell>
          <cell r="AG996">
            <v>1</v>
          </cell>
          <cell r="AH996">
            <v>1</v>
          </cell>
          <cell r="AI996">
            <v>2773</v>
          </cell>
          <cell r="AJ996">
            <v>2801</v>
          </cell>
          <cell r="AK996">
            <v>205600</v>
          </cell>
          <cell r="AL996">
            <v>3949</v>
          </cell>
          <cell r="AM996">
            <v>4005</v>
          </cell>
          <cell r="AN996">
            <v>3906</v>
          </cell>
          <cell r="AO996">
            <v>4016</v>
          </cell>
          <cell r="AP996">
            <v>3962</v>
          </cell>
          <cell r="AQ996">
            <v>4012</v>
          </cell>
          <cell r="AR996">
            <v>4026</v>
          </cell>
          <cell r="AS996">
            <v>3986</v>
          </cell>
          <cell r="AT996">
            <v>312400</v>
          </cell>
        </row>
        <row r="997">
          <cell r="G997">
            <v>2409050202</v>
          </cell>
          <cell r="H997" t="str">
            <v>106동</v>
          </cell>
          <cell r="I997">
            <v>240905</v>
          </cell>
          <cell r="J997" t="str">
            <v>106동 12층 바닥</v>
          </cell>
          <cell r="K997">
            <v>280</v>
          </cell>
          <cell r="L997">
            <v>279</v>
          </cell>
          <cell r="M997">
            <v>3018</v>
          </cell>
          <cell r="N997" t="str">
            <v>신우</v>
          </cell>
          <cell r="O997" t="str">
            <v>펌프카(1대)</v>
          </cell>
          <cell r="P997">
            <v>853</v>
          </cell>
          <cell r="Q997">
            <v>1348</v>
          </cell>
          <cell r="R997">
            <v>190</v>
          </cell>
          <cell r="S997">
            <v>40</v>
          </cell>
          <cell r="T997">
            <v>36</v>
          </cell>
          <cell r="U997">
            <v>249</v>
          </cell>
          <cell r="V997"/>
          <cell r="W997" t="str">
            <v>김광록</v>
          </cell>
          <cell r="X997" t="str">
            <v>(인)</v>
          </cell>
          <cell r="Y997" t="str">
            <v>박순홍</v>
          </cell>
          <cell r="Z997" t="str">
            <v>(인)</v>
          </cell>
          <cell r="AA997" t="str">
            <v>박상갑</v>
          </cell>
          <cell r="AB997" t="str">
            <v>(인)</v>
          </cell>
          <cell r="AC997" t="str">
            <v>이루비</v>
          </cell>
          <cell r="AD997" t="str">
            <v>(인)</v>
          </cell>
          <cell r="AE997">
            <v>185.1</v>
          </cell>
          <cell r="AF997" t="str">
            <v>표준</v>
          </cell>
          <cell r="AG997">
            <v>2</v>
          </cell>
          <cell r="AH997">
            <v>0</v>
          </cell>
        </row>
        <row r="998">
          <cell r="G998">
            <v>2409050203</v>
          </cell>
          <cell r="H998" t="str">
            <v>106동</v>
          </cell>
          <cell r="I998">
            <v>240905</v>
          </cell>
          <cell r="J998" t="str">
            <v>106동 12층 바닥</v>
          </cell>
          <cell r="K998">
            <v>280</v>
          </cell>
          <cell r="L998">
            <v>279</v>
          </cell>
          <cell r="M998">
            <v>3018</v>
          </cell>
          <cell r="N998" t="str">
            <v>신우</v>
          </cell>
          <cell r="O998" t="str">
            <v>펌프카(1대)</v>
          </cell>
          <cell r="P998">
            <v>853</v>
          </cell>
          <cell r="Q998">
            <v>1348</v>
          </cell>
          <cell r="R998">
            <v>195</v>
          </cell>
          <cell r="S998">
            <v>4.5</v>
          </cell>
          <cell r="T998">
            <v>114</v>
          </cell>
          <cell r="U998">
            <v>265</v>
          </cell>
          <cell r="V998"/>
          <cell r="W998" t="str">
            <v>김광록</v>
          </cell>
          <cell r="X998" t="str">
            <v>(인)</v>
          </cell>
          <cell r="Y998" t="str">
            <v>박순홍</v>
          </cell>
          <cell r="Z998" t="str">
            <v>(인)</v>
          </cell>
          <cell r="AA998" t="str">
            <v>박상갑</v>
          </cell>
          <cell r="AB998" t="str">
            <v>(인)</v>
          </cell>
          <cell r="AC998" t="str">
            <v>이루비</v>
          </cell>
          <cell r="AD998" t="str">
            <v>(인)</v>
          </cell>
          <cell r="AE998">
            <v>186.5</v>
          </cell>
          <cell r="AF998" t="str">
            <v>표준</v>
          </cell>
          <cell r="AG998">
            <v>3</v>
          </cell>
          <cell r="AH998">
            <v>0</v>
          </cell>
        </row>
        <row r="999">
          <cell r="G999">
            <v>2409050301</v>
          </cell>
          <cell r="H999" t="str">
            <v>108동</v>
          </cell>
          <cell r="I999">
            <v>240905</v>
          </cell>
          <cell r="J999" t="str">
            <v>108동 및 주변주차장 2차</v>
          </cell>
          <cell r="K999">
            <v>180</v>
          </cell>
          <cell r="L999">
            <v>180</v>
          </cell>
          <cell r="M999">
            <v>3015</v>
          </cell>
          <cell r="N999" t="str">
            <v>용호</v>
          </cell>
          <cell r="O999" t="str">
            <v>펌프카(1대)</v>
          </cell>
          <cell r="P999">
            <v>1410</v>
          </cell>
          <cell r="Q999">
            <v>1620</v>
          </cell>
          <cell r="R999">
            <v>160</v>
          </cell>
          <cell r="S999">
            <v>48</v>
          </cell>
          <cell r="T999">
            <v>57</v>
          </cell>
          <cell r="U999">
            <v>276</v>
          </cell>
          <cell r="V999"/>
          <cell r="W999" t="str">
            <v>김광록</v>
          </cell>
          <cell r="X999" t="str">
            <v>(인)</v>
          </cell>
          <cell r="Y999" t="str">
            <v>박순홍</v>
          </cell>
          <cell r="Z999" t="str">
            <v>(인)</v>
          </cell>
          <cell r="AA999" t="str">
            <v>박상갑</v>
          </cell>
          <cell r="AB999" t="str">
            <v>(인)</v>
          </cell>
          <cell r="AC999" t="str">
            <v>이루비</v>
          </cell>
          <cell r="AD999" t="str">
            <v>(인)</v>
          </cell>
          <cell r="AE999">
            <v>186.4</v>
          </cell>
          <cell r="AF999" t="str">
            <v>표준</v>
          </cell>
          <cell r="AG999">
            <v>1</v>
          </cell>
          <cell r="AH999">
            <v>1</v>
          </cell>
          <cell r="AI999">
            <v>2745</v>
          </cell>
          <cell r="AJ999">
            <v>2719</v>
          </cell>
          <cell r="AK999">
            <v>221600</v>
          </cell>
          <cell r="AL999">
            <v>3936</v>
          </cell>
          <cell r="AM999">
            <v>3885</v>
          </cell>
          <cell r="AN999">
            <v>3907</v>
          </cell>
          <cell r="AO999">
            <v>4016</v>
          </cell>
          <cell r="AP999">
            <v>4026</v>
          </cell>
          <cell r="AQ999">
            <v>3819</v>
          </cell>
          <cell r="AR999">
            <v>3819</v>
          </cell>
          <cell r="AS999">
            <v>4016</v>
          </cell>
          <cell r="AT999">
            <v>316200</v>
          </cell>
        </row>
        <row r="1000">
          <cell r="G1000">
            <v>2409050302</v>
          </cell>
          <cell r="H1000" t="str">
            <v>108동</v>
          </cell>
          <cell r="I1000">
            <v>240905</v>
          </cell>
          <cell r="J1000" t="str">
            <v>108동 및 주변주차장 2차</v>
          </cell>
          <cell r="K1000">
            <v>180</v>
          </cell>
          <cell r="L1000">
            <v>180</v>
          </cell>
          <cell r="M1000">
            <v>3015</v>
          </cell>
          <cell r="N1000" t="str">
            <v>용호</v>
          </cell>
          <cell r="O1000" t="str">
            <v>펌프카(1대)</v>
          </cell>
          <cell r="P1000">
            <v>1410</v>
          </cell>
          <cell r="Q1000">
            <v>1620</v>
          </cell>
          <cell r="R1000">
            <v>160</v>
          </cell>
          <cell r="S1000">
            <v>38</v>
          </cell>
          <cell r="T1000">
            <v>38</v>
          </cell>
          <cell r="U1000">
            <v>274</v>
          </cell>
          <cell r="V1000"/>
          <cell r="W1000" t="str">
            <v>김광록</v>
          </cell>
          <cell r="X1000" t="str">
            <v>(인)</v>
          </cell>
          <cell r="Y1000" t="str">
            <v>박순홍</v>
          </cell>
          <cell r="Z1000" t="str">
            <v>(인)</v>
          </cell>
          <cell r="AA1000" t="str">
            <v>박상갑</v>
          </cell>
          <cell r="AB1000" t="str">
            <v>(인)</v>
          </cell>
          <cell r="AC1000" t="str">
            <v>이루비</v>
          </cell>
          <cell r="AD1000" t="str">
            <v>(인)</v>
          </cell>
          <cell r="AE1000">
            <v>187.2</v>
          </cell>
          <cell r="AF1000" t="str">
            <v>표준</v>
          </cell>
          <cell r="AG1000">
            <v>2</v>
          </cell>
          <cell r="AH1000">
            <v>0</v>
          </cell>
        </row>
        <row r="1001">
          <cell r="G1001">
            <v>2409050401</v>
          </cell>
          <cell r="H1001" t="str">
            <v>108동</v>
          </cell>
          <cell r="I1001">
            <v>240905</v>
          </cell>
          <cell r="J1001" t="str">
            <v>108동 및 주변주차장 2차</v>
          </cell>
          <cell r="K1001">
            <v>196</v>
          </cell>
          <cell r="L1001">
            <v>198</v>
          </cell>
          <cell r="M1001">
            <v>3015</v>
          </cell>
          <cell r="N1001" t="str">
            <v>신우</v>
          </cell>
          <cell r="O1001" t="str">
            <v>펌프카(1대)</v>
          </cell>
          <cell r="P1001">
            <v>1433</v>
          </cell>
          <cell r="Q1001">
            <v>1705</v>
          </cell>
          <cell r="R1001">
            <v>160</v>
          </cell>
          <cell r="S1001">
            <v>50</v>
          </cell>
          <cell r="T1001">
            <v>21</v>
          </cell>
          <cell r="U1001">
            <v>268</v>
          </cell>
          <cell r="V1001"/>
          <cell r="W1001" t="str">
            <v>김광록</v>
          </cell>
          <cell r="X1001" t="str">
            <v>(인)</v>
          </cell>
          <cell r="Y1001" t="str">
            <v>박순홍</v>
          </cell>
          <cell r="Z1001" t="str">
            <v>(인)</v>
          </cell>
          <cell r="AA1001" t="str">
            <v>박상갑</v>
          </cell>
          <cell r="AB1001" t="str">
            <v>(인)</v>
          </cell>
          <cell r="AC1001" t="str">
            <v>이루비</v>
          </cell>
          <cell r="AD1001" t="str">
            <v>(인)</v>
          </cell>
          <cell r="AE1001">
            <v>192.6</v>
          </cell>
          <cell r="AF1001" t="str">
            <v>표준</v>
          </cell>
          <cell r="AG1001">
            <v>1</v>
          </cell>
          <cell r="AH1001">
            <v>1</v>
          </cell>
          <cell r="AI1001">
            <v>2582</v>
          </cell>
          <cell r="AJ1001">
            <v>2694</v>
          </cell>
          <cell r="AK1001">
            <v>209200</v>
          </cell>
          <cell r="AL1001">
            <v>3602</v>
          </cell>
          <cell r="AM1001">
            <v>3697</v>
          </cell>
          <cell r="AN1001">
            <v>3702</v>
          </cell>
          <cell r="AO1001">
            <v>3672</v>
          </cell>
          <cell r="AP1001">
            <v>3692</v>
          </cell>
          <cell r="AQ1001">
            <v>3717</v>
          </cell>
          <cell r="AR1001">
            <v>3608</v>
          </cell>
          <cell r="AS1001">
            <v>3721</v>
          </cell>
          <cell r="AT1001">
            <v>295000</v>
          </cell>
        </row>
        <row r="1002">
          <cell r="G1002">
            <v>2409050402</v>
          </cell>
          <cell r="H1002" t="str">
            <v>108동</v>
          </cell>
          <cell r="I1002">
            <v>240905</v>
          </cell>
          <cell r="J1002" t="str">
            <v>108동 및 주변주차장 2차</v>
          </cell>
          <cell r="K1002">
            <v>196</v>
          </cell>
          <cell r="L1002">
            <v>198</v>
          </cell>
          <cell r="M1002">
            <v>3015</v>
          </cell>
          <cell r="N1002" t="str">
            <v>신우</v>
          </cell>
          <cell r="O1002" t="str">
            <v>펌프카(1대)</v>
          </cell>
          <cell r="P1002">
            <v>1433</v>
          </cell>
          <cell r="Q1002">
            <v>1705</v>
          </cell>
          <cell r="R1002">
            <v>165</v>
          </cell>
          <cell r="S1002">
            <v>48</v>
          </cell>
          <cell r="T1002">
            <v>40</v>
          </cell>
          <cell r="U1002">
            <v>273</v>
          </cell>
          <cell r="V1002"/>
          <cell r="W1002" t="str">
            <v>김광록</v>
          </cell>
          <cell r="X1002" t="str">
            <v>(인)</v>
          </cell>
          <cell r="Y1002" t="str">
            <v>박순홍</v>
          </cell>
          <cell r="Z1002" t="str">
            <v>(인)</v>
          </cell>
          <cell r="AA1002" t="str">
            <v>박상갑</v>
          </cell>
          <cell r="AB1002" t="str">
            <v>(인)</v>
          </cell>
          <cell r="AC1002" t="str">
            <v>이루비</v>
          </cell>
          <cell r="AD1002" t="str">
            <v>(인)</v>
          </cell>
          <cell r="AE1002">
            <v>187.6</v>
          </cell>
          <cell r="AF1002" t="str">
            <v>표준</v>
          </cell>
          <cell r="AG1002">
            <v>2</v>
          </cell>
          <cell r="AH1002">
            <v>0</v>
          </cell>
        </row>
        <row r="1003">
          <cell r="G1003">
            <v>2409050501</v>
          </cell>
          <cell r="H1003" t="str">
            <v>108동</v>
          </cell>
          <cell r="I1003">
            <v>240905</v>
          </cell>
          <cell r="J1003" t="str">
            <v>108동 및 주변주차장 2차</v>
          </cell>
          <cell r="K1003">
            <v>60</v>
          </cell>
          <cell r="L1003">
            <v>60</v>
          </cell>
          <cell r="M1003">
            <v>2715</v>
          </cell>
          <cell r="N1003" t="str">
            <v>용호</v>
          </cell>
          <cell r="O1003" t="str">
            <v>펌프카(1대)</v>
          </cell>
          <cell r="P1003">
            <v>1612</v>
          </cell>
          <cell r="Q1003">
            <v>1702</v>
          </cell>
          <cell r="R1003">
            <v>170</v>
          </cell>
          <cell r="S1003">
            <v>47</v>
          </cell>
          <cell r="T1003">
            <v>27</v>
          </cell>
          <cell r="U1003">
            <v>267</v>
          </cell>
          <cell r="V1003"/>
          <cell r="W1003" t="str">
            <v>김광록</v>
          </cell>
          <cell r="X1003" t="str">
            <v>(인)</v>
          </cell>
          <cell r="Y1003" t="str">
            <v>박순홍</v>
          </cell>
          <cell r="Z1003" t="str">
            <v>(인)</v>
          </cell>
          <cell r="AA1003" t="str">
            <v>박상갑</v>
          </cell>
          <cell r="AB1003" t="str">
            <v>(인)</v>
          </cell>
          <cell r="AC1003" t="str">
            <v>이루비</v>
          </cell>
          <cell r="AD1003" t="str">
            <v>(인)</v>
          </cell>
          <cell r="AE1003">
            <v>186</v>
          </cell>
          <cell r="AF1003" t="str">
            <v>표준</v>
          </cell>
          <cell r="AG1003">
            <v>1</v>
          </cell>
          <cell r="AH1003">
            <v>1</v>
          </cell>
          <cell r="AI1003">
            <v>2477</v>
          </cell>
          <cell r="AJ1003">
            <v>2413</v>
          </cell>
          <cell r="AK1003">
            <v>191200</v>
          </cell>
          <cell r="AL1003">
            <v>3300</v>
          </cell>
          <cell r="AM1003">
            <v>3381</v>
          </cell>
          <cell r="AN1003">
            <v>3217</v>
          </cell>
          <cell r="AO1003">
            <v>3307</v>
          </cell>
          <cell r="AP1003">
            <v>3219</v>
          </cell>
          <cell r="AQ1003">
            <v>3318</v>
          </cell>
          <cell r="AR1003">
            <v>3206</v>
          </cell>
          <cell r="AS1003">
            <v>3208</v>
          </cell>
          <cell r="AT1003">
            <v>267000</v>
          </cell>
        </row>
        <row r="1004">
          <cell r="G1004">
            <v>2409060101</v>
          </cell>
          <cell r="H1004" t="str">
            <v>102동</v>
          </cell>
          <cell r="I1004">
            <v>240906</v>
          </cell>
          <cell r="J1004" t="str">
            <v>102동 6층 바닥</v>
          </cell>
          <cell r="K1004">
            <v>288</v>
          </cell>
          <cell r="L1004">
            <v>288</v>
          </cell>
          <cell r="M1004">
            <v>3018</v>
          </cell>
          <cell r="N1004" t="str">
            <v>영진</v>
          </cell>
          <cell r="O1004" t="str">
            <v>펌프카(1대)</v>
          </cell>
          <cell r="P1004">
            <v>810</v>
          </cell>
          <cell r="Q1004">
            <v>1115</v>
          </cell>
          <cell r="R1004">
            <v>200</v>
          </cell>
          <cell r="S1004">
            <v>44</v>
          </cell>
          <cell r="T1004">
            <v>72</v>
          </cell>
          <cell r="U1004">
            <v>270</v>
          </cell>
          <cell r="V1004"/>
          <cell r="W1004" t="str">
            <v>김광록</v>
          </cell>
          <cell r="X1004" t="str">
            <v>(인)</v>
          </cell>
          <cell r="Y1004" t="str">
            <v>박순홍</v>
          </cell>
          <cell r="Z1004" t="str">
            <v>(인)</v>
          </cell>
          <cell r="AA1004" t="str">
            <v>박상갑</v>
          </cell>
          <cell r="AB1004" t="str">
            <v>(인)</v>
          </cell>
          <cell r="AC1004" t="str">
            <v>박상갑</v>
          </cell>
          <cell r="AD1004" t="str">
            <v>(인)</v>
          </cell>
          <cell r="AE1004">
            <v>182.4</v>
          </cell>
          <cell r="AF1004" t="str">
            <v>표준</v>
          </cell>
          <cell r="AG1004">
            <v>1</v>
          </cell>
          <cell r="AH1004">
            <v>1</v>
          </cell>
          <cell r="AI1004">
            <v>2419</v>
          </cell>
          <cell r="AJ1004">
            <v>2404</v>
          </cell>
          <cell r="AK1004">
            <v>187800</v>
          </cell>
          <cell r="AL1004">
            <v>3362</v>
          </cell>
          <cell r="AM1004">
            <v>3638</v>
          </cell>
          <cell r="AN1004">
            <v>3509</v>
          </cell>
          <cell r="AO1004">
            <v>3409</v>
          </cell>
          <cell r="AP1004">
            <v>3516</v>
          </cell>
          <cell r="AQ1004">
            <v>3579</v>
          </cell>
          <cell r="AR1004">
            <v>3610</v>
          </cell>
          <cell r="AS1004">
            <v>3519</v>
          </cell>
          <cell r="AT1004">
            <v>260400</v>
          </cell>
        </row>
        <row r="1005">
          <cell r="G1005">
            <v>2409060102</v>
          </cell>
          <cell r="H1005" t="str">
            <v>102동</v>
          </cell>
          <cell r="I1005">
            <v>240906</v>
          </cell>
          <cell r="J1005" t="str">
            <v>102동 6층 바닥</v>
          </cell>
          <cell r="K1005">
            <v>288</v>
          </cell>
          <cell r="L1005">
            <v>288</v>
          </cell>
          <cell r="M1005">
            <v>3018</v>
          </cell>
          <cell r="N1005" t="str">
            <v>영진</v>
          </cell>
          <cell r="O1005" t="str">
            <v>펌프카(1대)</v>
          </cell>
          <cell r="P1005">
            <v>810</v>
          </cell>
          <cell r="Q1005">
            <v>1115</v>
          </cell>
          <cell r="R1005">
            <v>190</v>
          </cell>
          <cell r="S1005">
            <v>49</v>
          </cell>
          <cell r="T1005">
            <v>49</v>
          </cell>
          <cell r="U1005">
            <v>264</v>
          </cell>
          <cell r="V1005"/>
          <cell r="W1005" t="str">
            <v>김광록</v>
          </cell>
          <cell r="X1005" t="str">
            <v>(인)</v>
          </cell>
          <cell r="Y1005" t="str">
            <v>박순홍</v>
          </cell>
          <cell r="Z1005" t="str">
            <v>(인)</v>
          </cell>
          <cell r="AA1005" t="str">
            <v>박상갑</v>
          </cell>
          <cell r="AB1005" t="str">
            <v>(인)</v>
          </cell>
          <cell r="AC1005" t="str">
            <v>박상갑</v>
          </cell>
          <cell r="AD1005" t="str">
            <v>(인)</v>
          </cell>
          <cell r="AE1005">
            <v>187.2</v>
          </cell>
          <cell r="AF1005" t="str">
            <v>표준</v>
          </cell>
          <cell r="AG1005">
            <v>2</v>
          </cell>
          <cell r="AH1005">
            <v>0</v>
          </cell>
        </row>
        <row r="1006">
          <cell r="G1006">
            <v>2409060103</v>
          </cell>
          <cell r="H1006" t="str">
            <v>102동</v>
          </cell>
          <cell r="I1006">
            <v>240906</v>
          </cell>
          <cell r="J1006" t="str">
            <v>102동 6층 바닥</v>
          </cell>
          <cell r="K1006">
            <v>288</v>
          </cell>
          <cell r="L1006">
            <v>288</v>
          </cell>
          <cell r="M1006">
            <v>3018</v>
          </cell>
          <cell r="N1006" t="str">
            <v>영진</v>
          </cell>
          <cell r="O1006" t="str">
            <v>펌프카(1대)</v>
          </cell>
          <cell r="P1006">
            <v>810</v>
          </cell>
          <cell r="Q1006">
            <v>1115</v>
          </cell>
          <cell r="R1006">
            <v>190</v>
          </cell>
          <cell r="S1006">
            <v>47</v>
          </cell>
          <cell r="T1006">
            <v>26</v>
          </cell>
          <cell r="U1006">
            <v>262</v>
          </cell>
          <cell r="V1006"/>
          <cell r="W1006" t="str">
            <v>김광록</v>
          </cell>
          <cell r="X1006" t="str">
            <v>(인)</v>
          </cell>
          <cell r="Y1006" t="str">
            <v>박순홍</v>
          </cell>
          <cell r="Z1006" t="str">
            <v>(인)</v>
          </cell>
          <cell r="AA1006" t="str">
            <v>박상갑</v>
          </cell>
          <cell r="AB1006" t="str">
            <v>(인)</v>
          </cell>
          <cell r="AC1006" t="str">
            <v>박상갑</v>
          </cell>
          <cell r="AD1006" t="str">
            <v>(인)</v>
          </cell>
          <cell r="AE1006">
            <v>190</v>
          </cell>
          <cell r="AF1006" t="str">
            <v>표준</v>
          </cell>
          <cell r="AG1006">
            <v>3</v>
          </cell>
          <cell r="AH1006">
            <v>0</v>
          </cell>
        </row>
        <row r="1007">
          <cell r="G1007">
            <v>2409060201</v>
          </cell>
          <cell r="H1007" t="str">
            <v>102동</v>
          </cell>
          <cell r="I1007">
            <v>240906</v>
          </cell>
          <cell r="J1007" t="str">
            <v>어린이집 1차 타설 및 주변 주차장</v>
          </cell>
          <cell r="K1007">
            <v>396</v>
          </cell>
          <cell r="L1007">
            <v>396</v>
          </cell>
          <cell r="M1007">
            <v>2715</v>
          </cell>
          <cell r="N1007" t="str">
            <v>대원</v>
          </cell>
          <cell r="O1007" t="str">
            <v>펌프카(1대)</v>
          </cell>
          <cell r="P1007">
            <v>1049</v>
          </cell>
          <cell r="Q1007">
            <v>1610</v>
          </cell>
          <cell r="R1007">
            <v>170</v>
          </cell>
          <cell r="S1007">
            <v>48</v>
          </cell>
          <cell r="T1007">
            <v>16</v>
          </cell>
          <cell r="U1007">
            <v>247</v>
          </cell>
          <cell r="V1007"/>
          <cell r="W1007" t="str">
            <v>김광록</v>
          </cell>
          <cell r="X1007" t="str">
            <v>(인)</v>
          </cell>
          <cell r="Y1007" t="str">
            <v>박순홍</v>
          </cell>
          <cell r="Z1007" t="str">
            <v>(인)</v>
          </cell>
          <cell r="AA1007" t="str">
            <v>박상갑</v>
          </cell>
          <cell r="AB1007" t="str">
            <v>(인)</v>
          </cell>
          <cell r="AC1007" t="str">
            <v>박상갑</v>
          </cell>
          <cell r="AD1007" t="str">
            <v>(인)</v>
          </cell>
          <cell r="AE1007">
            <v>189.2</v>
          </cell>
          <cell r="AF1007" t="str">
            <v>표준</v>
          </cell>
          <cell r="AG1007">
            <v>1</v>
          </cell>
          <cell r="AH1007">
            <v>1</v>
          </cell>
          <cell r="AI1007">
            <v>2347</v>
          </cell>
          <cell r="AJ1007">
            <v>2452</v>
          </cell>
          <cell r="AK1007">
            <v>195200</v>
          </cell>
          <cell r="AL1007">
            <v>3259</v>
          </cell>
          <cell r="AM1007">
            <v>3249</v>
          </cell>
          <cell r="AN1007">
            <v>3364</v>
          </cell>
          <cell r="AO1007">
            <v>3292</v>
          </cell>
          <cell r="AP1007">
            <v>3317</v>
          </cell>
          <cell r="AQ1007">
            <v>3406</v>
          </cell>
          <cell r="AR1007">
            <v>3404</v>
          </cell>
          <cell r="AS1007">
            <v>3278</v>
          </cell>
          <cell r="AT1007">
            <v>268000</v>
          </cell>
        </row>
        <row r="1008">
          <cell r="G1008">
            <v>2409060202</v>
          </cell>
          <cell r="H1008" t="str">
            <v>102동</v>
          </cell>
          <cell r="I1008">
            <v>240906</v>
          </cell>
          <cell r="J1008" t="str">
            <v>어린이집 1차 타설 및 주변 주차장</v>
          </cell>
          <cell r="K1008">
            <v>396</v>
          </cell>
          <cell r="L1008">
            <v>396</v>
          </cell>
          <cell r="M1008">
            <v>2715</v>
          </cell>
          <cell r="N1008" t="str">
            <v>대원</v>
          </cell>
          <cell r="O1008" t="str">
            <v>펌프카(1대)</v>
          </cell>
          <cell r="P1008">
            <v>1049</v>
          </cell>
          <cell r="Q1008">
            <v>1610</v>
          </cell>
          <cell r="R1008">
            <v>175</v>
          </cell>
          <cell r="S1008">
            <v>49</v>
          </cell>
          <cell r="T1008">
            <v>38</v>
          </cell>
          <cell r="U1008">
            <v>264</v>
          </cell>
          <cell r="V1008"/>
          <cell r="W1008" t="str">
            <v>김광록</v>
          </cell>
          <cell r="X1008" t="str">
            <v>(인)</v>
          </cell>
          <cell r="Y1008" t="str">
            <v>박순홍</v>
          </cell>
          <cell r="Z1008" t="str">
            <v>(인)</v>
          </cell>
          <cell r="AA1008" t="str">
            <v>박상갑</v>
          </cell>
          <cell r="AB1008" t="str">
            <v>(인)</v>
          </cell>
          <cell r="AC1008" t="str">
            <v>박상갑</v>
          </cell>
          <cell r="AD1008" t="str">
            <v>(인)</v>
          </cell>
          <cell r="AE1008">
            <v>187.2</v>
          </cell>
          <cell r="AF1008" t="str">
            <v>표준</v>
          </cell>
          <cell r="AG1008">
            <v>2</v>
          </cell>
          <cell r="AH1008">
            <v>0</v>
          </cell>
        </row>
        <row r="1009">
          <cell r="G1009">
            <v>2409060203</v>
          </cell>
          <cell r="H1009" t="str">
            <v>102동</v>
          </cell>
          <cell r="I1009">
            <v>240906</v>
          </cell>
          <cell r="J1009" t="str">
            <v>어린이집 1차 타설 및 주변 주차장</v>
          </cell>
          <cell r="K1009">
            <v>396</v>
          </cell>
          <cell r="L1009">
            <v>396</v>
          </cell>
          <cell r="M1009">
            <v>2715</v>
          </cell>
          <cell r="N1009" t="str">
            <v>대원</v>
          </cell>
          <cell r="O1009" t="str">
            <v>펌프카(1대)</v>
          </cell>
          <cell r="P1009">
            <v>1049</v>
          </cell>
          <cell r="Q1009">
            <v>1610</v>
          </cell>
          <cell r="R1009">
            <v>170</v>
          </cell>
          <cell r="S1009">
            <v>44</v>
          </cell>
          <cell r="T1009">
            <v>95</v>
          </cell>
          <cell r="U1009">
            <v>270</v>
          </cell>
          <cell r="V1009"/>
          <cell r="W1009" t="str">
            <v>김광록</v>
          </cell>
          <cell r="X1009" t="str">
            <v>(인)</v>
          </cell>
          <cell r="Y1009" t="str">
            <v>박순홍</v>
          </cell>
          <cell r="Z1009" t="str">
            <v>(인)</v>
          </cell>
          <cell r="AA1009" t="str">
            <v>박상갑</v>
          </cell>
          <cell r="AB1009" t="str">
            <v>(인)</v>
          </cell>
          <cell r="AC1009" t="str">
            <v>박상갑</v>
          </cell>
          <cell r="AD1009" t="str">
            <v>(인)</v>
          </cell>
          <cell r="AE1009">
            <v>184.2</v>
          </cell>
          <cell r="AF1009" t="str">
            <v>표준</v>
          </cell>
          <cell r="AG1009">
            <v>3</v>
          </cell>
          <cell r="AH1009">
            <v>0</v>
          </cell>
        </row>
        <row r="1010">
          <cell r="G1010">
            <v>2409060204</v>
          </cell>
          <cell r="H1010" t="str">
            <v>102동</v>
          </cell>
          <cell r="I1010">
            <v>240906</v>
          </cell>
          <cell r="J1010" t="str">
            <v>어린이집 1차 타설 및 주변 주차장</v>
          </cell>
          <cell r="K1010">
            <v>396</v>
          </cell>
          <cell r="L1010">
            <v>396</v>
          </cell>
          <cell r="M1010">
            <v>2715</v>
          </cell>
          <cell r="N1010" t="str">
            <v>대원</v>
          </cell>
          <cell r="O1010" t="str">
            <v>펌프카(1대)</v>
          </cell>
          <cell r="P1010">
            <v>1049</v>
          </cell>
          <cell r="Q1010">
            <v>1610</v>
          </cell>
          <cell r="R1010">
            <v>170</v>
          </cell>
          <cell r="S1010">
            <v>40</v>
          </cell>
          <cell r="T1010">
            <v>32</v>
          </cell>
          <cell r="U1010">
            <v>268</v>
          </cell>
          <cell r="V1010"/>
          <cell r="W1010" t="str">
            <v>김광록</v>
          </cell>
          <cell r="X1010" t="str">
            <v>(인)</v>
          </cell>
          <cell r="Y1010" t="str">
            <v>박순홍</v>
          </cell>
          <cell r="Z1010" t="str">
            <v>(인)</v>
          </cell>
          <cell r="AA1010" t="str">
            <v>박상갑</v>
          </cell>
          <cell r="AB1010" t="str">
            <v>(인)</v>
          </cell>
          <cell r="AC1010" t="str">
            <v>박상갑</v>
          </cell>
          <cell r="AD1010" t="str">
            <v>(인)</v>
          </cell>
          <cell r="AE1010">
            <v>179.4</v>
          </cell>
          <cell r="AF1010" t="str">
            <v>표준</v>
          </cell>
          <cell r="AG1010">
            <v>4</v>
          </cell>
          <cell r="AH1010">
            <v>1</v>
          </cell>
          <cell r="AL1010">
            <v>3333</v>
          </cell>
          <cell r="AM1010">
            <v>3340</v>
          </cell>
          <cell r="AN1010">
            <v>3212</v>
          </cell>
          <cell r="AO1010">
            <v>3304</v>
          </cell>
          <cell r="AP1010">
            <v>3306</v>
          </cell>
          <cell r="AQ1010">
            <v>3209</v>
          </cell>
          <cell r="AR1010">
            <v>3414</v>
          </cell>
          <cell r="AS1010">
            <v>3431</v>
          </cell>
          <cell r="AT1010">
            <v>267800</v>
          </cell>
        </row>
        <row r="1011">
          <cell r="G1011">
            <v>2409090101</v>
          </cell>
          <cell r="H1011" t="str">
            <v>111동</v>
          </cell>
          <cell r="I1011">
            <v>240909</v>
          </cell>
          <cell r="J1011" t="str">
            <v>111동 2층 바닥</v>
          </cell>
          <cell r="K1011">
            <v>288</v>
          </cell>
          <cell r="L1011">
            <v>288</v>
          </cell>
          <cell r="M1011">
            <v>3018</v>
          </cell>
          <cell r="N1011" t="str">
            <v>용호</v>
          </cell>
          <cell r="O1011" t="str">
            <v>펌프카(1대)</v>
          </cell>
          <cell r="P1011">
            <v>805</v>
          </cell>
          <cell r="Q1011">
            <v>1149</v>
          </cell>
          <cell r="R1011">
            <v>190</v>
          </cell>
          <cell r="S1011">
            <v>50</v>
          </cell>
          <cell r="T1011">
            <v>54</v>
          </cell>
          <cell r="U1011">
            <v>241</v>
          </cell>
          <cell r="V1011"/>
          <cell r="W1011" t="str">
            <v>박순홍</v>
          </cell>
          <cell r="X1011" t="str">
            <v>(인)</v>
          </cell>
          <cell r="Y1011" t="str">
            <v>박순홍</v>
          </cell>
          <cell r="Z1011" t="str">
            <v>(인)</v>
          </cell>
          <cell r="AA1011" t="str">
            <v>박기원</v>
          </cell>
          <cell r="AB1011" t="str">
            <v>(인)</v>
          </cell>
          <cell r="AC1011" t="str">
            <v>박상갑</v>
          </cell>
          <cell r="AD1011" t="str">
            <v>(인)</v>
          </cell>
          <cell r="AE1011">
            <v>182.7</v>
          </cell>
          <cell r="AF1011" t="str">
            <v>표준</v>
          </cell>
          <cell r="AG1011">
            <v>1</v>
          </cell>
          <cell r="AH1011">
            <v>1</v>
          </cell>
          <cell r="AI1011">
            <v>2928</v>
          </cell>
          <cell r="AJ1011">
            <v>3002</v>
          </cell>
          <cell r="AK1011">
            <v>235200</v>
          </cell>
          <cell r="AL1011">
            <v>4000</v>
          </cell>
          <cell r="AM1011">
            <v>4013</v>
          </cell>
          <cell r="AN1011">
            <v>3862</v>
          </cell>
          <cell r="AO1011">
            <v>3987</v>
          </cell>
          <cell r="AP1011">
            <v>3962</v>
          </cell>
          <cell r="AQ1011">
            <v>4016</v>
          </cell>
          <cell r="AR1011">
            <v>4036</v>
          </cell>
          <cell r="AS1011">
            <v>3929</v>
          </cell>
          <cell r="AT1011">
            <v>309000</v>
          </cell>
        </row>
        <row r="1012">
          <cell r="G1012">
            <v>2409090102</v>
          </cell>
          <cell r="H1012" t="str">
            <v>111동</v>
          </cell>
          <cell r="I1012">
            <v>240909</v>
          </cell>
          <cell r="J1012" t="str">
            <v>111동 2층 바닥</v>
          </cell>
          <cell r="K1012">
            <v>288</v>
          </cell>
          <cell r="L1012">
            <v>288</v>
          </cell>
          <cell r="M1012">
            <v>3018</v>
          </cell>
          <cell r="N1012" t="str">
            <v>용호</v>
          </cell>
          <cell r="O1012" t="str">
            <v>펌프카(1대)</v>
          </cell>
          <cell r="P1012">
            <v>805</v>
          </cell>
          <cell r="Q1012">
            <v>1149</v>
          </cell>
          <cell r="R1012">
            <v>190</v>
          </cell>
          <cell r="S1012">
            <v>44</v>
          </cell>
          <cell r="T1012">
            <v>52</v>
          </cell>
          <cell r="U1012">
            <v>264</v>
          </cell>
          <cell r="V1012"/>
          <cell r="W1012" t="str">
            <v>박순홍</v>
          </cell>
          <cell r="X1012" t="str">
            <v>(인)</v>
          </cell>
          <cell r="Y1012" t="str">
            <v>박순홍</v>
          </cell>
          <cell r="Z1012" t="str">
            <v>(인)</v>
          </cell>
          <cell r="AA1012" t="str">
            <v>박기원</v>
          </cell>
          <cell r="AB1012" t="str">
            <v>(인)</v>
          </cell>
          <cell r="AC1012" t="str">
            <v>박상갑</v>
          </cell>
          <cell r="AD1012" t="str">
            <v>(인)</v>
          </cell>
          <cell r="AE1012">
            <v>187.4</v>
          </cell>
          <cell r="AF1012" t="str">
            <v>표준</v>
          </cell>
          <cell r="AG1012">
            <v>2</v>
          </cell>
          <cell r="AH1012">
            <v>0</v>
          </cell>
        </row>
        <row r="1013">
          <cell r="G1013">
            <v>2409090103</v>
          </cell>
          <cell r="H1013" t="str">
            <v>111동</v>
          </cell>
          <cell r="I1013">
            <v>240909</v>
          </cell>
          <cell r="J1013" t="str">
            <v>111동 2층 바닥</v>
          </cell>
          <cell r="K1013">
            <v>288</v>
          </cell>
          <cell r="L1013">
            <v>288</v>
          </cell>
          <cell r="M1013">
            <v>3018</v>
          </cell>
          <cell r="N1013" t="str">
            <v>용호</v>
          </cell>
          <cell r="O1013" t="str">
            <v>펌프카(1대)</v>
          </cell>
          <cell r="P1013">
            <v>805</v>
          </cell>
          <cell r="Q1013">
            <v>1149</v>
          </cell>
          <cell r="R1013">
            <v>195</v>
          </cell>
          <cell r="S1013">
            <v>50</v>
          </cell>
          <cell r="T1013">
            <v>45</v>
          </cell>
          <cell r="U1013">
            <v>272</v>
          </cell>
          <cell r="V1013"/>
          <cell r="W1013" t="str">
            <v>박순홍</v>
          </cell>
          <cell r="X1013" t="str">
            <v>(인)</v>
          </cell>
          <cell r="Y1013" t="str">
            <v>박순홍</v>
          </cell>
          <cell r="Z1013" t="str">
            <v>(인)</v>
          </cell>
          <cell r="AA1013" t="str">
            <v>박기원</v>
          </cell>
          <cell r="AB1013" t="str">
            <v>(인)</v>
          </cell>
          <cell r="AC1013" t="str">
            <v>박상갑</v>
          </cell>
          <cell r="AD1013" t="str">
            <v>(인)</v>
          </cell>
          <cell r="AE1013">
            <v>190.4</v>
          </cell>
          <cell r="AF1013" t="str">
            <v>표준</v>
          </cell>
          <cell r="AG1013">
            <v>3</v>
          </cell>
          <cell r="AH1013">
            <v>0</v>
          </cell>
        </row>
        <row r="1014">
          <cell r="G1014">
            <v>2409090201</v>
          </cell>
          <cell r="H1014" t="str">
            <v>101동</v>
          </cell>
          <cell r="I1014">
            <v>240909</v>
          </cell>
          <cell r="J1014" t="str">
            <v>101동 3층 바닥</v>
          </cell>
          <cell r="K1014">
            <v>300</v>
          </cell>
          <cell r="L1014">
            <v>292</v>
          </cell>
          <cell r="M1014">
            <v>3018</v>
          </cell>
          <cell r="N1014" t="str">
            <v>용호</v>
          </cell>
          <cell r="O1014" t="str">
            <v>펌프카(1대)</v>
          </cell>
          <cell r="P1014">
            <v>1232</v>
          </cell>
          <cell r="Q1014">
            <v>1616</v>
          </cell>
          <cell r="R1014">
            <v>180</v>
          </cell>
          <cell r="S1014">
            <v>49</v>
          </cell>
          <cell r="T1014">
            <v>29</v>
          </cell>
          <cell r="U1014">
            <v>269</v>
          </cell>
          <cell r="V1014"/>
          <cell r="W1014" t="str">
            <v>박순홍</v>
          </cell>
          <cell r="X1014" t="str">
            <v>(인)</v>
          </cell>
          <cell r="Y1014" t="str">
            <v>박순홍</v>
          </cell>
          <cell r="Z1014" t="str">
            <v>(인)</v>
          </cell>
          <cell r="AA1014" t="str">
            <v>박기원</v>
          </cell>
          <cell r="AB1014" t="str">
            <v>(인)</v>
          </cell>
          <cell r="AC1014" t="str">
            <v>박상갑</v>
          </cell>
          <cell r="AD1014" t="str">
            <v>(인)</v>
          </cell>
          <cell r="AE1014">
            <v>187.4</v>
          </cell>
          <cell r="AF1014" t="str">
            <v>표준</v>
          </cell>
          <cell r="AG1014">
            <v>1</v>
          </cell>
          <cell r="AH1014">
            <v>1</v>
          </cell>
          <cell r="AI1014">
            <v>2930</v>
          </cell>
          <cell r="AJ1014">
            <v>2972</v>
          </cell>
          <cell r="AK1014">
            <v>230200</v>
          </cell>
          <cell r="AL1014">
            <v>3870</v>
          </cell>
          <cell r="AM1014">
            <v>3975</v>
          </cell>
          <cell r="AN1014">
            <v>3827</v>
          </cell>
          <cell r="AO1014">
            <v>3906</v>
          </cell>
          <cell r="AP1014">
            <v>3829</v>
          </cell>
          <cell r="AQ1014">
            <v>3917</v>
          </cell>
          <cell r="AR1014">
            <v>4034</v>
          </cell>
          <cell r="AS1014">
            <v>3862</v>
          </cell>
          <cell r="AT1014">
            <v>309600</v>
          </cell>
        </row>
        <row r="1015">
          <cell r="G1015">
            <v>2409090202</v>
          </cell>
          <cell r="H1015" t="str">
            <v>101동</v>
          </cell>
          <cell r="I1015">
            <v>240909</v>
          </cell>
          <cell r="J1015" t="str">
            <v>101동 3층 바닥</v>
          </cell>
          <cell r="K1015">
            <v>300</v>
          </cell>
          <cell r="L1015">
            <v>292</v>
          </cell>
          <cell r="M1015">
            <v>3018</v>
          </cell>
          <cell r="N1015" t="str">
            <v>용호</v>
          </cell>
          <cell r="O1015" t="str">
            <v>펌프카(1대)</v>
          </cell>
          <cell r="P1015">
            <v>1232</v>
          </cell>
          <cell r="Q1015">
            <v>1616</v>
          </cell>
          <cell r="R1015">
            <v>185</v>
          </cell>
          <cell r="S1015">
            <v>51</v>
          </cell>
          <cell r="T1015">
            <v>20</v>
          </cell>
          <cell r="U1015">
            <v>259</v>
          </cell>
          <cell r="V1015"/>
          <cell r="W1015" t="str">
            <v>박순홍</v>
          </cell>
          <cell r="X1015" t="str">
            <v>(인)</v>
          </cell>
          <cell r="Y1015" t="str">
            <v>박순홍</v>
          </cell>
          <cell r="Z1015" t="str">
            <v>(인)</v>
          </cell>
          <cell r="AA1015" t="str">
            <v>박기원</v>
          </cell>
          <cell r="AB1015" t="str">
            <v>(인)</v>
          </cell>
          <cell r="AC1015" t="str">
            <v>박상갑</v>
          </cell>
          <cell r="AD1015" t="str">
            <v>(인)</v>
          </cell>
          <cell r="AE1015">
            <v>186</v>
          </cell>
          <cell r="AF1015" t="str">
            <v>표준</v>
          </cell>
          <cell r="AG1015">
            <v>2</v>
          </cell>
          <cell r="AH1015">
            <v>0</v>
          </cell>
        </row>
        <row r="1016">
          <cell r="G1016">
            <v>2409090203</v>
          </cell>
          <cell r="H1016" t="str">
            <v>101동</v>
          </cell>
          <cell r="I1016">
            <v>240909</v>
          </cell>
          <cell r="J1016" t="str">
            <v>101동 3층 바닥</v>
          </cell>
          <cell r="K1016">
            <v>300</v>
          </cell>
          <cell r="L1016">
            <v>292</v>
          </cell>
          <cell r="M1016">
            <v>3018</v>
          </cell>
          <cell r="N1016" t="str">
            <v>용호</v>
          </cell>
          <cell r="O1016" t="str">
            <v>펌프카(1대)</v>
          </cell>
          <cell r="P1016">
            <v>1232</v>
          </cell>
          <cell r="Q1016">
            <v>1616</v>
          </cell>
          <cell r="R1016">
            <v>195</v>
          </cell>
          <cell r="S1016">
            <v>53</v>
          </cell>
          <cell r="T1016">
            <v>46</v>
          </cell>
          <cell r="U1016">
            <v>273</v>
          </cell>
          <cell r="V1016"/>
          <cell r="W1016" t="str">
            <v>박순홍</v>
          </cell>
          <cell r="X1016" t="str">
            <v>(인)</v>
          </cell>
          <cell r="Y1016" t="str">
            <v>박순홍</v>
          </cell>
          <cell r="Z1016" t="str">
            <v>(인)</v>
          </cell>
          <cell r="AA1016" t="str">
            <v>박기원</v>
          </cell>
          <cell r="AB1016" t="str">
            <v>(인)</v>
          </cell>
          <cell r="AC1016" t="str">
            <v>박상갑</v>
          </cell>
          <cell r="AD1016" t="str">
            <v>(인)</v>
          </cell>
          <cell r="AE1016">
            <v>181.4</v>
          </cell>
          <cell r="AF1016" t="str">
            <v>표준</v>
          </cell>
          <cell r="AG1016">
            <v>3</v>
          </cell>
          <cell r="AH1016">
            <v>0</v>
          </cell>
        </row>
        <row r="1017">
          <cell r="G1017">
            <v>2409090301</v>
          </cell>
          <cell r="H1017" t="str">
            <v>107동</v>
          </cell>
          <cell r="I1017">
            <v>240909</v>
          </cell>
          <cell r="J1017" t="str">
            <v>107동 8층 바닥</v>
          </cell>
          <cell r="K1017">
            <v>280</v>
          </cell>
          <cell r="L1017">
            <v>286</v>
          </cell>
          <cell r="M1017">
            <v>3018</v>
          </cell>
          <cell r="N1017" t="str">
            <v>대원</v>
          </cell>
          <cell r="O1017" t="str">
            <v>펌프카(1대)</v>
          </cell>
          <cell r="P1017">
            <v>830</v>
          </cell>
          <cell r="Q1017">
            <v>1347</v>
          </cell>
          <cell r="R1017">
            <v>180</v>
          </cell>
          <cell r="S1017">
            <v>40</v>
          </cell>
          <cell r="T1017">
            <v>18</v>
          </cell>
          <cell r="U1017">
            <v>269</v>
          </cell>
          <cell r="V1017"/>
          <cell r="W1017" t="str">
            <v>박순홍</v>
          </cell>
          <cell r="X1017" t="str">
            <v>(인)</v>
          </cell>
          <cell r="Y1017" t="str">
            <v>박순홍</v>
          </cell>
          <cell r="Z1017" t="str">
            <v>(인)</v>
          </cell>
          <cell r="AA1017" t="str">
            <v>박기원</v>
          </cell>
          <cell r="AB1017" t="str">
            <v>(인)</v>
          </cell>
          <cell r="AC1017" t="str">
            <v>박상갑</v>
          </cell>
          <cell r="AD1017" t="str">
            <v>(인)</v>
          </cell>
          <cell r="AE1017">
            <v>191.6</v>
          </cell>
          <cell r="AF1017" t="str">
            <v>표준</v>
          </cell>
          <cell r="AG1017">
            <v>1</v>
          </cell>
          <cell r="AH1017">
            <v>1</v>
          </cell>
          <cell r="AI1017">
            <v>2966</v>
          </cell>
          <cell r="AJ1017">
            <v>2992</v>
          </cell>
          <cell r="AK1017">
            <v>231600</v>
          </cell>
          <cell r="AL1017">
            <v>3796</v>
          </cell>
          <cell r="AM1017">
            <v>3903</v>
          </cell>
          <cell r="AN1017">
            <v>3862</v>
          </cell>
          <cell r="AO1017">
            <v>3906</v>
          </cell>
          <cell r="AP1017">
            <v>3927</v>
          </cell>
          <cell r="AQ1017">
            <v>3908</v>
          </cell>
          <cell r="AR1017">
            <v>3792</v>
          </cell>
          <cell r="AS1017">
            <v>3897</v>
          </cell>
          <cell r="AT1017">
            <v>308200</v>
          </cell>
        </row>
        <row r="1018">
          <cell r="G1018">
            <v>2409090302</v>
          </cell>
          <cell r="H1018" t="str">
            <v>107동</v>
          </cell>
          <cell r="I1018">
            <v>240909</v>
          </cell>
          <cell r="J1018" t="str">
            <v>107동 8층 바닥</v>
          </cell>
          <cell r="K1018">
            <v>280</v>
          </cell>
          <cell r="L1018">
            <v>286</v>
          </cell>
          <cell r="M1018">
            <v>3018</v>
          </cell>
          <cell r="N1018" t="str">
            <v>대원</v>
          </cell>
          <cell r="O1018" t="str">
            <v>펌프카(1대)</v>
          </cell>
          <cell r="P1018">
            <v>830</v>
          </cell>
          <cell r="Q1018">
            <v>1347</v>
          </cell>
          <cell r="R1018">
            <v>200</v>
          </cell>
          <cell r="S1018">
            <v>47</v>
          </cell>
          <cell r="T1018">
            <v>14</v>
          </cell>
          <cell r="U1018">
            <v>261</v>
          </cell>
          <cell r="V1018"/>
          <cell r="W1018" t="str">
            <v>박순홍</v>
          </cell>
          <cell r="X1018" t="str">
            <v>(인)</v>
          </cell>
          <cell r="Y1018" t="str">
            <v>박순홍</v>
          </cell>
          <cell r="Z1018" t="str">
            <v>(인)</v>
          </cell>
          <cell r="AA1018" t="str">
            <v>박기원</v>
          </cell>
          <cell r="AB1018" t="str">
            <v>(인)</v>
          </cell>
          <cell r="AC1018" t="str">
            <v>박상갑</v>
          </cell>
          <cell r="AD1018" t="str">
            <v>(인)</v>
          </cell>
          <cell r="AE1018">
            <v>190</v>
          </cell>
          <cell r="AF1018" t="str">
            <v>표준</v>
          </cell>
          <cell r="AG1018">
            <v>2</v>
          </cell>
          <cell r="AH1018">
            <v>0</v>
          </cell>
        </row>
        <row r="1019">
          <cell r="G1019">
            <v>2409090303</v>
          </cell>
          <cell r="H1019" t="str">
            <v>107동</v>
          </cell>
          <cell r="I1019">
            <v>240909</v>
          </cell>
          <cell r="J1019" t="str">
            <v>107동 8층 바닥</v>
          </cell>
          <cell r="K1019">
            <v>280</v>
          </cell>
          <cell r="L1019">
            <v>286</v>
          </cell>
          <cell r="M1019">
            <v>3018</v>
          </cell>
          <cell r="N1019" t="str">
            <v>대원</v>
          </cell>
          <cell r="O1019" t="str">
            <v>펌프카(1대)</v>
          </cell>
          <cell r="P1019">
            <v>830</v>
          </cell>
          <cell r="Q1019">
            <v>1347</v>
          </cell>
          <cell r="R1019">
            <v>190</v>
          </cell>
          <cell r="S1019">
            <v>49</v>
          </cell>
          <cell r="T1019">
            <v>12</v>
          </cell>
          <cell r="U1019">
            <v>263</v>
          </cell>
          <cell r="V1019"/>
          <cell r="W1019" t="str">
            <v>박순홍</v>
          </cell>
          <cell r="X1019" t="str">
            <v>(인)</v>
          </cell>
          <cell r="Y1019" t="str">
            <v>박순홍</v>
          </cell>
          <cell r="Z1019" t="str">
            <v>(인)</v>
          </cell>
          <cell r="AA1019" t="str">
            <v>박기원</v>
          </cell>
          <cell r="AB1019" t="str">
            <v>(인)</v>
          </cell>
          <cell r="AC1019" t="str">
            <v>박상갑</v>
          </cell>
          <cell r="AD1019" t="str">
            <v>(인)</v>
          </cell>
          <cell r="AE1019">
            <v>187.1</v>
          </cell>
          <cell r="AF1019" t="str">
            <v>표준</v>
          </cell>
          <cell r="AG1019">
            <v>3</v>
          </cell>
          <cell r="AH1019">
            <v>0</v>
          </cell>
        </row>
        <row r="1020">
          <cell r="G1020">
            <v>2409090401</v>
          </cell>
          <cell r="H1020" t="str">
            <v>110동</v>
          </cell>
          <cell r="I1020">
            <v>240909</v>
          </cell>
          <cell r="J1020" t="str">
            <v>110동 1층 바닥</v>
          </cell>
          <cell r="K1020">
            <v>508</v>
          </cell>
          <cell r="L1020">
            <v>508</v>
          </cell>
          <cell r="M1020">
            <v>3015</v>
          </cell>
          <cell r="N1020" t="str">
            <v>신우</v>
          </cell>
          <cell r="O1020" t="str">
            <v>펌프카(1대)</v>
          </cell>
          <cell r="P1020">
            <v>855</v>
          </cell>
          <cell r="Q1020">
            <v>1745</v>
          </cell>
          <cell r="R1020">
            <v>165</v>
          </cell>
          <cell r="S1020">
            <v>48</v>
          </cell>
          <cell r="T1020">
            <v>23</v>
          </cell>
          <cell r="U1020">
            <v>252</v>
          </cell>
          <cell r="V1020"/>
          <cell r="W1020" t="str">
            <v>박순홍</v>
          </cell>
          <cell r="X1020" t="str">
            <v>(인)</v>
          </cell>
          <cell r="Y1020" t="str">
            <v>박순홍</v>
          </cell>
          <cell r="Z1020" t="str">
            <v>(인)</v>
          </cell>
          <cell r="AA1020" t="str">
            <v>박기원</v>
          </cell>
          <cell r="AB1020" t="str">
            <v>(인)</v>
          </cell>
          <cell r="AC1020" t="str">
            <v>박상갑</v>
          </cell>
          <cell r="AD1020" t="str">
            <v>(인)</v>
          </cell>
          <cell r="AE1020">
            <v>190.1</v>
          </cell>
          <cell r="AF1020" t="str">
            <v>표준</v>
          </cell>
          <cell r="AG1020">
            <v>1</v>
          </cell>
          <cell r="AH1020">
            <v>1</v>
          </cell>
          <cell r="AI1020">
            <v>2375</v>
          </cell>
          <cell r="AJ1020">
            <v>2507</v>
          </cell>
          <cell r="AK1020">
            <v>198000</v>
          </cell>
          <cell r="AL1020">
            <v>3692</v>
          </cell>
          <cell r="AM1020">
            <v>3684</v>
          </cell>
          <cell r="AN1020">
            <v>3692</v>
          </cell>
          <cell r="AO1020">
            <v>3706</v>
          </cell>
          <cell r="AP1020">
            <v>3712</v>
          </cell>
          <cell r="AQ1020">
            <v>3687</v>
          </cell>
          <cell r="AR1020">
            <v>3654</v>
          </cell>
          <cell r="AS1020">
            <v>3702</v>
          </cell>
          <cell r="AT1020">
            <v>294600</v>
          </cell>
        </row>
        <row r="1021">
          <cell r="G1021">
            <v>2409090402</v>
          </cell>
          <cell r="H1021" t="str">
            <v>110동</v>
          </cell>
          <cell r="I1021">
            <v>240909</v>
          </cell>
          <cell r="J1021" t="str">
            <v>110동 1층 바닥</v>
          </cell>
          <cell r="K1021">
            <v>508</v>
          </cell>
          <cell r="L1021">
            <v>508</v>
          </cell>
          <cell r="M1021">
            <v>3015</v>
          </cell>
          <cell r="N1021" t="str">
            <v>신우</v>
          </cell>
          <cell r="O1021" t="str">
            <v>펌프카(1대)</v>
          </cell>
          <cell r="P1021">
            <v>855</v>
          </cell>
          <cell r="Q1021">
            <v>1745</v>
          </cell>
          <cell r="R1021">
            <v>170</v>
          </cell>
          <cell r="S1021">
            <v>40</v>
          </cell>
          <cell r="T1021">
            <v>32</v>
          </cell>
          <cell r="U1021">
            <v>255</v>
          </cell>
          <cell r="V1021"/>
          <cell r="W1021" t="str">
            <v>박순홍</v>
          </cell>
          <cell r="X1021" t="str">
            <v>(인)</v>
          </cell>
          <cell r="Y1021" t="str">
            <v>박순홍</v>
          </cell>
          <cell r="Z1021" t="str">
            <v>(인)</v>
          </cell>
          <cell r="AA1021" t="str">
            <v>박기원</v>
          </cell>
          <cell r="AB1021" t="str">
            <v>(인)</v>
          </cell>
          <cell r="AC1021" t="str">
            <v>박상갑</v>
          </cell>
          <cell r="AD1021" t="str">
            <v>(인)</v>
          </cell>
          <cell r="AE1021">
            <v>192</v>
          </cell>
          <cell r="AF1021" t="str">
            <v>표준</v>
          </cell>
          <cell r="AG1021">
            <v>2</v>
          </cell>
          <cell r="AH1021">
            <v>0</v>
          </cell>
        </row>
        <row r="1022">
          <cell r="G1022">
            <v>2409090403</v>
          </cell>
          <cell r="H1022" t="str">
            <v>110동</v>
          </cell>
          <cell r="I1022">
            <v>240909</v>
          </cell>
          <cell r="J1022" t="str">
            <v>110동 1층 바닥</v>
          </cell>
          <cell r="K1022">
            <v>508</v>
          </cell>
          <cell r="L1022">
            <v>508</v>
          </cell>
          <cell r="M1022">
            <v>3015</v>
          </cell>
          <cell r="N1022" t="str">
            <v>신우</v>
          </cell>
          <cell r="O1022" t="str">
            <v>펌프카(1대)</v>
          </cell>
          <cell r="P1022">
            <v>855</v>
          </cell>
          <cell r="Q1022">
            <v>1745</v>
          </cell>
          <cell r="R1022">
            <v>170</v>
          </cell>
          <cell r="S1022">
            <v>48</v>
          </cell>
          <cell r="T1022">
            <v>38</v>
          </cell>
          <cell r="U1022">
            <v>252</v>
          </cell>
          <cell r="V1022"/>
          <cell r="W1022" t="str">
            <v>박순홍</v>
          </cell>
          <cell r="X1022" t="str">
            <v>(인)</v>
          </cell>
          <cell r="Y1022" t="str">
            <v>박순홍</v>
          </cell>
          <cell r="Z1022" t="str">
            <v>(인)</v>
          </cell>
          <cell r="AA1022" t="str">
            <v>박기원</v>
          </cell>
          <cell r="AB1022" t="str">
            <v>(인)</v>
          </cell>
          <cell r="AC1022" t="str">
            <v>박상갑</v>
          </cell>
          <cell r="AD1022" t="str">
            <v>(인)</v>
          </cell>
          <cell r="AE1022">
            <v>191.9</v>
          </cell>
          <cell r="AF1022" t="str">
            <v>표준</v>
          </cell>
          <cell r="AG1022">
            <v>3</v>
          </cell>
          <cell r="AH1022">
            <v>0</v>
          </cell>
        </row>
        <row r="1023">
          <cell r="G1023">
            <v>2409090404</v>
          </cell>
          <cell r="H1023" t="str">
            <v>110동</v>
          </cell>
          <cell r="I1023">
            <v>240909</v>
          </cell>
          <cell r="J1023" t="str">
            <v>110동 1층 바닥</v>
          </cell>
          <cell r="K1023">
            <v>508</v>
          </cell>
          <cell r="L1023">
            <v>508</v>
          </cell>
          <cell r="M1023">
            <v>3015</v>
          </cell>
          <cell r="N1023" t="str">
            <v>신우</v>
          </cell>
          <cell r="O1023" t="str">
            <v>펌프카(1대)</v>
          </cell>
          <cell r="P1023">
            <v>855</v>
          </cell>
          <cell r="Q1023">
            <v>1745</v>
          </cell>
          <cell r="R1023">
            <v>155</v>
          </cell>
          <cell r="S1023">
            <v>35</v>
          </cell>
          <cell r="T1023">
            <v>45</v>
          </cell>
          <cell r="U1023">
            <v>277</v>
          </cell>
          <cell r="V1023"/>
          <cell r="W1023" t="str">
            <v>박순홍</v>
          </cell>
          <cell r="X1023" t="str">
            <v>(인)</v>
          </cell>
          <cell r="Y1023" t="str">
            <v>박순홍</v>
          </cell>
          <cell r="Z1023" t="str">
            <v>(인)</v>
          </cell>
          <cell r="AA1023" t="str">
            <v>박기원</v>
          </cell>
          <cell r="AB1023" t="str">
            <v>(인)</v>
          </cell>
          <cell r="AC1023" t="str">
            <v>박상갑</v>
          </cell>
          <cell r="AD1023" t="str">
            <v>(인)</v>
          </cell>
          <cell r="AE1023">
            <v>190.2</v>
          </cell>
          <cell r="AF1023" t="str">
            <v>표준</v>
          </cell>
          <cell r="AG1023">
            <v>4</v>
          </cell>
          <cell r="AH1023">
            <v>1</v>
          </cell>
          <cell r="AL1023">
            <v>3707</v>
          </cell>
          <cell r="AM1023">
            <v>3419</v>
          </cell>
          <cell r="AN1023">
            <v>3592</v>
          </cell>
          <cell r="AO1023">
            <v>3506</v>
          </cell>
          <cell r="AP1023">
            <v>3672</v>
          </cell>
          <cell r="AQ1023">
            <v>3584</v>
          </cell>
          <cell r="AR1023">
            <v>3710</v>
          </cell>
          <cell r="AS1023">
            <v>3694</v>
          </cell>
          <cell r="AT1023">
            <v>294400</v>
          </cell>
        </row>
        <row r="1024">
          <cell r="G1024">
            <v>2409090405</v>
          </cell>
          <cell r="H1024" t="str">
            <v>110동</v>
          </cell>
          <cell r="I1024">
            <v>240909</v>
          </cell>
          <cell r="J1024" t="str">
            <v>110동 1층 바닥</v>
          </cell>
          <cell r="K1024">
            <v>508</v>
          </cell>
          <cell r="L1024">
            <v>508</v>
          </cell>
          <cell r="M1024">
            <v>3015</v>
          </cell>
          <cell r="N1024" t="str">
            <v>신우</v>
          </cell>
          <cell r="O1024" t="str">
            <v>펌프카(1대)</v>
          </cell>
          <cell r="P1024">
            <v>855</v>
          </cell>
          <cell r="Q1024">
            <v>1745</v>
          </cell>
          <cell r="R1024">
            <v>165</v>
          </cell>
          <cell r="S1024">
            <v>45</v>
          </cell>
          <cell r="T1024">
            <v>23</v>
          </cell>
          <cell r="U1024">
            <v>268</v>
          </cell>
          <cell r="V1024"/>
          <cell r="W1024" t="str">
            <v>박순홍</v>
          </cell>
          <cell r="X1024" t="str">
            <v>(인)</v>
          </cell>
          <cell r="Y1024" t="str">
            <v>박순홍</v>
          </cell>
          <cell r="Z1024" t="str">
            <v>(인)</v>
          </cell>
          <cell r="AA1024" t="str">
            <v>박기원</v>
          </cell>
          <cell r="AB1024" t="str">
            <v>(인)</v>
          </cell>
          <cell r="AC1024" t="str">
            <v>박상갑</v>
          </cell>
          <cell r="AD1024" t="str">
            <v>(인)</v>
          </cell>
          <cell r="AE1024">
            <v>182.2</v>
          </cell>
          <cell r="AF1024" t="str">
            <v>표준</v>
          </cell>
          <cell r="AG1024">
            <v>5</v>
          </cell>
          <cell r="AH1024">
            <v>0</v>
          </cell>
        </row>
        <row r="1025">
          <cell r="G1025">
            <v>2409090501</v>
          </cell>
          <cell r="H1025" t="str">
            <v>107동</v>
          </cell>
          <cell r="I1025">
            <v>240909</v>
          </cell>
          <cell r="J1025" t="str">
            <v xml:space="preserve"> 수영장 1차</v>
          </cell>
          <cell r="K1025">
            <v>150</v>
          </cell>
          <cell r="L1025">
            <v>150</v>
          </cell>
          <cell r="M1025">
            <v>2715</v>
          </cell>
          <cell r="N1025" t="str">
            <v>대원</v>
          </cell>
          <cell r="O1025" t="str">
            <v>펌프카(1대)</v>
          </cell>
          <cell r="P1025">
            <v>1357</v>
          </cell>
          <cell r="Q1025">
            <v>1615</v>
          </cell>
          <cell r="R1025">
            <v>165</v>
          </cell>
          <cell r="S1025">
            <v>50</v>
          </cell>
          <cell r="T1025">
            <v>27</v>
          </cell>
          <cell r="U1025">
            <v>268</v>
          </cell>
          <cell r="V1025"/>
          <cell r="W1025" t="str">
            <v>박순홍</v>
          </cell>
          <cell r="X1025" t="str">
            <v>(인)</v>
          </cell>
          <cell r="Y1025" t="str">
            <v>박순홍</v>
          </cell>
          <cell r="Z1025" t="str">
            <v>(인)</v>
          </cell>
          <cell r="AA1025" t="str">
            <v>박기원</v>
          </cell>
          <cell r="AB1025" t="str">
            <v>(인)</v>
          </cell>
          <cell r="AC1025" t="str">
            <v>박상갑</v>
          </cell>
          <cell r="AD1025" t="str">
            <v>(인)</v>
          </cell>
          <cell r="AE1025">
            <v>186.4</v>
          </cell>
          <cell r="AF1025" t="str">
            <v>표준</v>
          </cell>
          <cell r="AG1025">
            <v>1</v>
          </cell>
          <cell r="AH1025">
            <v>1</v>
          </cell>
          <cell r="AI1025">
            <v>2780</v>
          </cell>
          <cell r="AJ1025">
            <v>2707</v>
          </cell>
          <cell r="AK1025">
            <v>210000</v>
          </cell>
          <cell r="AL1025">
            <v>3496</v>
          </cell>
          <cell r="AM1025">
            <v>3468</v>
          </cell>
          <cell r="AN1025">
            <v>3374</v>
          </cell>
          <cell r="AO1025">
            <v>3406</v>
          </cell>
          <cell r="AP1025">
            <v>3407</v>
          </cell>
          <cell r="AQ1025">
            <v>3394</v>
          </cell>
          <cell r="AR1025">
            <v>3417</v>
          </cell>
          <cell r="AS1025">
            <v>3404</v>
          </cell>
          <cell r="AT1025">
            <v>270400</v>
          </cell>
        </row>
        <row r="1026">
          <cell r="G1026">
            <v>2409090502</v>
          </cell>
          <cell r="H1026" t="str">
            <v>107동</v>
          </cell>
          <cell r="I1026">
            <v>240909</v>
          </cell>
          <cell r="J1026" t="str">
            <v>수영장 1차</v>
          </cell>
          <cell r="K1026">
            <v>150</v>
          </cell>
          <cell r="L1026">
            <v>150</v>
          </cell>
          <cell r="M1026">
            <v>2715</v>
          </cell>
          <cell r="N1026" t="str">
            <v>대원</v>
          </cell>
          <cell r="O1026" t="str">
            <v>펌프카(1대)</v>
          </cell>
          <cell r="P1026">
            <v>1357</v>
          </cell>
          <cell r="Q1026">
            <v>1615</v>
          </cell>
          <cell r="R1026">
            <v>170</v>
          </cell>
          <cell r="S1026">
            <v>52</v>
          </cell>
          <cell r="T1026">
            <v>23</v>
          </cell>
          <cell r="U1026">
            <v>277</v>
          </cell>
          <cell r="V1026"/>
          <cell r="W1026" t="str">
            <v>박순홍</v>
          </cell>
          <cell r="X1026" t="str">
            <v>(인)</v>
          </cell>
          <cell r="Y1026" t="str">
            <v>박순홍</v>
          </cell>
          <cell r="Z1026" t="str">
            <v>(인)</v>
          </cell>
          <cell r="AA1026" t="str">
            <v>박기원</v>
          </cell>
          <cell r="AB1026" t="str">
            <v>(인)</v>
          </cell>
          <cell r="AC1026" t="str">
            <v>박상갑</v>
          </cell>
          <cell r="AD1026" t="str">
            <v>(인)</v>
          </cell>
          <cell r="AE1026">
            <v>189.6</v>
          </cell>
          <cell r="AF1026" t="str">
            <v>표준</v>
          </cell>
          <cell r="AG1026">
            <v>2</v>
          </cell>
          <cell r="AH1026">
            <v>0</v>
          </cell>
        </row>
        <row r="1027">
          <cell r="G1027">
            <v>2409100101</v>
          </cell>
          <cell r="H1027" t="str">
            <v>103동</v>
          </cell>
          <cell r="I1027">
            <v>240910</v>
          </cell>
          <cell r="J1027" t="str">
            <v>103동 16층 바닥</v>
          </cell>
          <cell r="K1027">
            <v>276</v>
          </cell>
          <cell r="L1027">
            <v>276</v>
          </cell>
          <cell r="M1027">
            <v>3018</v>
          </cell>
          <cell r="N1027" t="str">
            <v>대공</v>
          </cell>
          <cell r="O1027" t="str">
            <v>펌프카(1대)</v>
          </cell>
          <cell r="P1027">
            <v>759</v>
          </cell>
          <cell r="Q1027">
            <v>1323</v>
          </cell>
          <cell r="R1027">
            <v>190</v>
          </cell>
          <cell r="S1027">
            <v>50</v>
          </cell>
          <cell r="T1027">
            <v>47</v>
          </cell>
          <cell r="U1027">
            <v>254</v>
          </cell>
          <cell r="V1027"/>
          <cell r="W1027" t="str">
            <v>김광록</v>
          </cell>
          <cell r="X1027" t="str">
            <v>(인)</v>
          </cell>
          <cell r="Y1027" t="str">
            <v>박순홍</v>
          </cell>
          <cell r="Z1027" t="str">
            <v>(인)</v>
          </cell>
          <cell r="AA1027" t="str">
            <v>박기원</v>
          </cell>
          <cell r="AB1027" t="str">
            <v>(인)</v>
          </cell>
          <cell r="AC1027" t="str">
            <v>박상갑</v>
          </cell>
          <cell r="AD1027" t="str">
            <v>(인)</v>
          </cell>
          <cell r="AE1027">
            <v>189.4</v>
          </cell>
          <cell r="AF1027" t="str">
            <v>표준</v>
          </cell>
          <cell r="AG1027">
            <v>1</v>
          </cell>
          <cell r="AH1027">
            <v>1</v>
          </cell>
          <cell r="AI1027">
            <v>2750</v>
          </cell>
          <cell r="AJ1027">
            <v>2819</v>
          </cell>
          <cell r="AK1027">
            <v>222800</v>
          </cell>
          <cell r="AL1027">
            <v>3804</v>
          </cell>
          <cell r="AM1027">
            <v>3676</v>
          </cell>
          <cell r="AN1027">
            <v>3794</v>
          </cell>
          <cell r="AO1027">
            <v>3812</v>
          </cell>
          <cell r="AP1027">
            <v>3798</v>
          </cell>
          <cell r="AQ1027">
            <v>3629</v>
          </cell>
          <cell r="AR1027">
            <v>3618</v>
          </cell>
          <cell r="AS1027">
            <v>3733</v>
          </cell>
          <cell r="AT1027">
            <v>295000</v>
          </cell>
        </row>
        <row r="1028">
          <cell r="G1028">
            <v>2409100102</v>
          </cell>
          <cell r="H1028" t="str">
            <v>103동</v>
          </cell>
          <cell r="I1028">
            <v>240910</v>
          </cell>
          <cell r="J1028" t="str">
            <v>103동 16층 바닥</v>
          </cell>
          <cell r="K1028">
            <v>276</v>
          </cell>
          <cell r="L1028">
            <v>276</v>
          </cell>
          <cell r="M1028">
            <v>3018</v>
          </cell>
          <cell r="N1028" t="str">
            <v>대공</v>
          </cell>
          <cell r="O1028" t="str">
            <v>펌프카(1대)</v>
          </cell>
          <cell r="P1028">
            <v>759</v>
          </cell>
          <cell r="Q1028">
            <v>1323</v>
          </cell>
          <cell r="R1028">
            <v>195</v>
          </cell>
          <cell r="S1028">
            <v>44</v>
          </cell>
          <cell r="T1028">
            <v>48</v>
          </cell>
          <cell r="U1028">
            <v>267</v>
          </cell>
          <cell r="V1028"/>
          <cell r="W1028" t="str">
            <v>김광록</v>
          </cell>
          <cell r="X1028" t="str">
            <v>(인)</v>
          </cell>
          <cell r="Y1028" t="str">
            <v>박순홍</v>
          </cell>
          <cell r="Z1028" t="str">
            <v>(인)</v>
          </cell>
          <cell r="AA1028" t="str">
            <v>박기원</v>
          </cell>
          <cell r="AB1028" t="str">
            <v>(인)</v>
          </cell>
          <cell r="AC1028" t="str">
            <v>박상갑</v>
          </cell>
          <cell r="AD1028" t="str">
            <v>(인)</v>
          </cell>
          <cell r="AE1028">
            <v>187</v>
          </cell>
          <cell r="AF1028" t="str">
            <v>표준</v>
          </cell>
          <cell r="AG1028">
            <v>2</v>
          </cell>
          <cell r="AH1028">
            <v>0</v>
          </cell>
        </row>
        <row r="1029">
          <cell r="G1029">
            <v>2409100103</v>
          </cell>
          <cell r="H1029" t="str">
            <v>103동</v>
          </cell>
          <cell r="I1029">
            <v>240910</v>
          </cell>
          <cell r="J1029" t="str">
            <v>103동 16층 바닥</v>
          </cell>
          <cell r="K1029">
            <v>276</v>
          </cell>
          <cell r="L1029">
            <v>276</v>
          </cell>
          <cell r="M1029">
            <v>3018</v>
          </cell>
          <cell r="N1029" t="str">
            <v>대공</v>
          </cell>
          <cell r="O1029" t="str">
            <v>펌프카(1대)</v>
          </cell>
          <cell r="P1029">
            <v>759</v>
          </cell>
          <cell r="Q1029">
            <v>1323</v>
          </cell>
          <cell r="R1029">
            <v>195</v>
          </cell>
          <cell r="S1029">
            <v>50</v>
          </cell>
          <cell r="T1029">
            <v>49</v>
          </cell>
          <cell r="U1029">
            <v>264</v>
          </cell>
          <cell r="V1029"/>
          <cell r="W1029" t="str">
            <v>김광록</v>
          </cell>
          <cell r="X1029" t="str">
            <v>(인)</v>
          </cell>
          <cell r="Y1029" t="str">
            <v>박순홍</v>
          </cell>
          <cell r="Z1029" t="str">
            <v>(인)</v>
          </cell>
          <cell r="AA1029" t="str">
            <v>박기원</v>
          </cell>
          <cell r="AB1029" t="str">
            <v>(인)</v>
          </cell>
          <cell r="AC1029" t="str">
            <v>박상갑</v>
          </cell>
          <cell r="AD1029" t="str">
            <v>(인)</v>
          </cell>
          <cell r="AE1029">
            <v>191.4</v>
          </cell>
          <cell r="AF1029" t="str">
            <v>표준</v>
          </cell>
          <cell r="AG1029">
            <v>3</v>
          </cell>
          <cell r="AH1029">
            <v>0</v>
          </cell>
        </row>
        <row r="1030">
          <cell r="G1030">
            <v>2409100201</v>
          </cell>
          <cell r="H1030" t="str">
            <v>105동</v>
          </cell>
          <cell r="I1030">
            <v>240910</v>
          </cell>
          <cell r="J1030" t="str">
            <v xml:space="preserve"> 105동 주변주차장 누름 </v>
          </cell>
          <cell r="K1030">
            <v>72</v>
          </cell>
          <cell r="L1030">
            <v>72</v>
          </cell>
          <cell r="M1030">
            <v>1815</v>
          </cell>
          <cell r="N1030" t="str">
            <v>대공</v>
          </cell>
          <cell r="O1030" t="str">
            <v>펌프카(1대)</v>
          </cell>
          <cell r="P1030">
            <v>1411</v>
          </cell>
          <cell r="Q1030">
            <v>1557</v>
          </cell>
          <cell r="R1030">
            <v>160</v>
          </cell>
          <cell r="S1030">
            <v>56</v>
          </cell>
          <cell r="T1030">
            <v>20</v>
          </cell>
          <cell r="U1030">
            <v>258</v>
          </cell>
          <cell r="V1030"/>
          <cell r="W1030" t="str">
            <v>김광록</v>
          </cell>
          <cell r="X1030" t="str">
            <v>(인)</v>
          </cell>
          <cell r="Y1030" t="str">
            <v>박순홍</v>
          </cell>
          <cell r="Z1030" t="str">
            <v>(인)</v>
          </cell>
          <cell r="AA1030" t="str">
            <v>박기원</v>
          </cell>
          <cell r="AB1030" t="str">
            <v>(인)</v>
          </cell>
          <cell r="AC1030" t="str">
            <v>박상갑</v>
          </cell>
          <cell r="AD1030" t="str">
            <v>(인)</v>
          </cell>
          <cell r="AE1030">
            <v>183.4</v>
          </cell>
          <cell r="AF1030" t="str">
            <v>표준</v>
          </cell>
          <cell r="AG1030">
            <v>1</v>
          </cell>
          <cell r="AH1030">
            <v>1</v>
          </cell>
          <cell r="AI1030">
            <v>1871</v>
          </cell>
          <cell r="AJ1030">
            <v>1802</v>
          </cell>
          <cell r="AK1030">
            <v>145800</v>
          </cell>
          <cell r="AL1030">
            <v>2466</v>
          </cell>
          <cell r="AM1030">
            <v>2374</v>
          </cell>
          <cell r="AN1030">
            <v>2318</v>
          </cell>
          <cell r="AO1030">
            <v>2377</v>
          </cell>
          <cell r="AP1030">
            <v>2469</v>
          </cell>
          <cell r="AQ1030">
            <v>2361</v>
          </cell>
          <cell r="AR1030">
            <v>2412</v>
          </cell>
          <cell r="AS1030">
            <v>2485</v>
          </cell>
          <cell r="AT1030">
            <v>187000</v>
          </cell>
        </row>
        <row r="1031">
          <cell r="G1031">
            <v>2409110101</v>
          </cell>
          <cell r="H1031" t="str">
            <v>105동</v>
          </cell>
          <cell r="I1031">
            <v>240911</v>
          </cell>
          <cell r="J1031" t="str">
            <v xml:space="preserve"> 105동 주변주차장 누름 </v>
          </cell>
          <cell r="K1031">
            <v>102</v>
          </cell>
          <cell r="L1031">
            <v>102</v>
          </cell>
          <cell r="M1031">
            <v>1815</v>
          </cell>
          <cell r="N1031" t="str">
            <v>대공</v>
          </cell>
          <cell r="O1031" t="str">
            <v>펌프카(1대)</v>
          </cell>
          <cell r="P1031">
            <v>815</v>
          </cell>
          <cell r="Q1031">
            <v>1046</v>
          </cell>
          <cell r="R1031">
            <v>140</v>
          </cell>
          <cell r="S1031">
            <v>57</v>
          </cell>
          <cell r="T1031">
            <v>58</v>
          </cell>
          <cell r="U1031">
            <v>257</v>
          </cell>
          <cell r="V1031"/>
          <cell r="W1031" t="str">
            <v>김광록</v>
          </cell>
          <cell r="X1031" t="str">
            <v>(인)</v>
          </cell>
          <cell r="Y1031" t="str">
            <v>박순홍</v>
          </cell>
          <cell r="Z1031" t="str">
            <v>(인)</v>
          </cell>
          <cell r="AA1031" t="str">
            <v>박기원</v>
          </cell>
          <cell r="AB1031" t="str">
            <v>(인)</v>
          </cell>
          <cell r="AC1031" t="str">
            <v>임영구</v>
          </cell>
          <cell r="AD1031" t="str">
            <v>(인)</v>
          </cell>
          <cell r="AE1031">
            <v>173</v>
          </cell>
          <cell r="AF1031" t="str">
            <v>표준</v>
          </cell>
          <cell r="AG1031">
            <v>1</v>
          </cell>
          <cell r="AH1031">
            <v>1</v>
          </cell>
          <cell r="AI1031">
            <v>1869</v>
          </cell>
          <cell r="AJ1031">
            <v>1767</v>
          </cell>
          <cell r="AK1031">
            <v>137200</v>
          </cell>
          <cell r="AL1031">
            <v>2453</v>
          </cell>
          <cell r="AM1031">
            <v>2476</v>
          </cell>
          <cell r="AN1031">
            <v>2319</v>
          </cell>
          <cell r="AO1031">
            <v>2381</v>
          </cell>
          <cell r="AP1031">
            <v>2371</v>
          </cell>
          <cell r="AQ1031">
            <v>2463</v>
          </cell>
          <cell r="AR1031">
            <v>2419</v>
          </cell>
          <cell r="AS1031">
            <v>2342</v>
          </cell>
          <cell r="AT1031">
            <v>184200</v>
          </cell>
        </row>
        <row r="1032">
          <cell r="G1032">
            <v>2409120101</v>
          </cell>
          <cell r="H1032" t="str">
            <v>114동</v>
          </cell>
          <cell r="I1032">
            <v>240912</v>
          </cell>
          <cell r="J1032" t="str">
            <v>114동 1차</v>
          </cell>
          <cell r="K1032">
            <v>342</v>
          </cell>
          <cell r="L1032">
            <v>342</v>
          </cell>
          <cell r="M1032">
            <v>3015</v>
          </cell>
          <cell r="N1032" t="str">
            <v>대원</v>
          </cell>
          <cell r="O1032" t="str">
            <v>펌프카(1대)</v>
          </cell>
          <cell r="P1032">
            <v>730</v>
          </cell>
          <cell r="Q1032">
            <v>1354</v>
          </cell>
          <cell r="R1032">
            <v>155</v>
          </cell>
          <cell r="S1032">
            <v>48</v>
          </cell>
          <cell r="T1032">
            <v>21</v>
          </cell>
          <cell r="U1032">
            <v>236</v>
          </cell>
          <cell r="V1032"/>
          <cell r="W1032" t="str">
            <v>박순홍</v>
          </cell>
          <cell r="X1032" t="str">
            <v>(인)</v>
          </cell>
          <cell r="Y1032" t="str">
            <v>김광록</v>
          </cell>
          <cell r="Z1032" t="str">
            <v>(인)</v>
          </cell>
          <cell r="AA1032" t="str">
            <v>박기원</v>
          </cell>
          <cell r="AB1032" t="str">
            <v>(인)</v>
          </cell>
          <cell r="AC1032" t="str">
            <v>박상갑</v>
          </cell>
          <cell r="AD1032" t="str">
            <v>(인)</v>
          </cell>
          <cell r="AE1032">
            <v>187.2</v>
          </cell>
          <cell r="AF1032" t="str">
            <v>표준</v>
          </cell>
          <cell r="AG1032">
            <v>1</v>
          </cell>
          <cell r="AH1032">
            <v>1</v>
          </cell>
          <cell r="AI1032">
            <v>2790</v>
          </cell>
          <cell r="AJ1032">
            <v>2702</v>
          </cell>
          <cell r="AK1032">
            <v>210600</v>
          </cell>
          <cell r="AL1032">
            <v>3765</v>
          </cell>
          <cell r="AM1032">
            <v>3698</v>
          </cell>
          <cell r="AN1032">
            <v>3721</v>
          </cell>
          <cell r="AO1032">
            <v>3726</v>
          </cell>
          <cell r="AP1032">
            <v>3810</v>
          </cell>
          <cell r="AQ1032">
            <v>3805</v>
          </cell>
          <cell r="AR1032">
            <v>3788</v>
          </cell>
          <cell r="AS1032">
            <v>3735</v>
          </cell>
          <cell r="AT1032">
            <v>310600</v>
          </cell>
        </row>
        <row r="1033">
          <cell r="G1033">
            <v>2409120102</v>
          </cell>
          <cell r="H1033" t="str">
            <v>114동</v>
          </cell>
          <cell r="I1033">
            <v>240912</v>
          </cell>
          <cell r="J1033" t="str">
            <v>114동 1차</v>
          </cell>
          <cell r="K1033">
            <v>342</v>
          </cell>
          <cell r="L1033">
            <v>342</v>
          </cell>
          <cell r="M1033">
            <v>3015</v>
          </cell>
          <cell r="N1033" t="str">
            <v>대원</v>
          </cell>
          <cell r="O1033" t="str">
            <v>펌프카(1대)</v>
          </cell>
          <cell r="P1033">
            <v>730</v>
          </cell>
          <cell r="Q1033">
            <v>1354</v>
          </cell>
          <cell r="R1033">
            <v>165</v>
          </cell>
          <cell r="S1033">
            <v>43</v>
          </cell>
          <cell r="T1033">
            <v>36</v>
          </cell>
          <cell r="U1033">
            <v>231</v>
          </cell>
          <cell r="V1033"/>
          <cell r="W1033" t="str">
            <v>박순홍</v>
          </cell>
          <cell r="X1033" t="str">
            <v>(인)</v>
          </cell>
          <cell r="Y1033" t="str">
            <v>김광록</v>
          </cell>
          <cell r="Z1033" t="str">
            <v>(인)</v>
          </cell>
          <cell r="AA1033" t="str">
            <v>박기원</v>
          </cell>
          <cell r="AB1033" t="str">
            <v>(인)</v>
          </cell>
          <cell r="AC1033" t="str">
            <v>박상갑</v>
          </cell>
          <cell r="AD1033" t="str">
            <v>(인)</v>
          </cell>
          <cell r="AE1033">
            <v>185.1</v>
          </cell>
          <cell r="AF1033" t="str">
            <v>표준</v>
          </cell>
          <cell r="AG1033">
            <v>2</v>
          </cell>
          <cell r="AH1033">
            <v>0</v>
          </cell>
          <cell r="AI1033"/>
          <cell r="AJ1033"/>
        </row>
        <row r="1034">
          <cell r="G1034">
            <v>2409120103</v>
          </cell>
          <cell r="H1034" t="str">
            <v>114동</v>
          </cell>
          <cell r="I1034">
            <v>240912</v>
          </cell>
          <cell r="J1034" t="str">
            <v>114동 1차</v>
          </cell>
          <cell r="K1034">
            <v>342</v>
          </cell>
          <cell r="L1034">
            <v>342</v>
          </cell>
          <cell r="M1034">
            <v>3015</v>
          </cell>
          <cell r="N1034" t="str">
            <v>대원</v>
          </cell>
          <cell r="O1034" t="str">
            <v>펌프카(1대)</v>
          </cell>
          <cell r="P1034">
            <v>730</v>
          </cell>
          <cell r="Q1034">
            <v>1354</v>
          </cell>
          <cell r="R1034">
            <v>170</v>
          </cell>
          <cell r="S1034">
            <v>46</v>
          </cell>
          <cell r="T1034">
            <v>29</v>
          </cell>
          <cell r="U1034">
            <v>241</v>
          </cell>
          <cell r="V1034"/>
          <cell r="W1034" t="str">
            <v>박순홍</v>
          </cell>
          <cell r="X1034" t="str">
            <v>(인)</v>
          </cell>
          <cell r="Y1034" t="str">
            <v>김광록</v>
          </cell>
          <cell r="Z1034" t="str">
            <v>(인)</v>
          </cell>
          <cell r="AA1034" t="str">
            <v>박기원</v>
          </cell>
          <cell r="AB1034" t="str">
            <v>(인)</v>
          </cell>
          <cell r="AC1034" t="str">
            <v>박상갑</v>
          </cell>
          <cell r="AD1034" t="str">
            <v>(인)</v>
          </cell>
          <cell r="AE1034">
            <v>190.2</v>
          </cell>
          <cell r="AF1034" t="str">
            <v>표준</v>
          </cell>
          <cell r="AG1034">
            <v>3</v>
          </cell>
          <cell r="AH1034">
            <v>0</v>
          </cell>
        </row>
        <row r="1035">
          <cell r="G1035">
            <v>2409120201</v>
          </cell>
          <cell r="H1035" t="str">
            <v>114동</v>
          </cell>
          <cell r="I1035">
            <v>240912</v>
          </cell>
          <cell r="J1035" t="str">
            <v>114동 1차</v>
          </cell>
          <cell r="K1035">
            <v>246</v>
          </cell>
          <cell r="L1035">
            <v>246</v>
          </cell>
          <cell r="M1035">
            <v>3015</v>
          </cell>
          <cell r="N1035" t="str">
            <v>용호</v>
          </cell>
          <cell r="O1035" t="str">
            <v>펌프카(1대)</v>
          </cell>
          <cell r="P1035">
            <v>738</v>
          </cell>
          <cell r="Q1035">
            <v>1524</v>
          </cell>
          <cell r="R1035">
            <v>165</v>
          </cell>
          <cell r="S1035">
            <v>42</v>
          </cell>
          <cell r="T1035">
            <v>24</v>
          </cell>
          <cell r="U1035">
            <v>232</v>
          </cell>
          <cell r="V1035"/>
          <cell r="W1035" t="str">
            <v>박순홍</v>
          </cell>
          <cell r="X1035" t="str">
            <v>(인)</v>
          </cell>
          <cell r="Y1035" t="str">
            <v>김광록</v>
          </cell>
          <cell r="Z1035" t="str">
            <v>(인)</v>
          </cell>
          <cell r="AA1035" t="str">
            <v>박기원</v>
          </cell>
          <cell r="AB1035" t="str">
            <v>(인)</v>
          </cell>
          <cell r="AC1035" t="str">
            <v>박상갑</v>
          </cell>
          <cell r="AD1035" t="str">
            <v>(인)</v>
          </cell>
          <cell r="AE1035">
            <v>186.3</v>
          </cell>
          <cell r="AF1035" t="str">
            <v>표준</v>
          </cell>
          <cell r="AG1035">
            <v>1</v>
          </cell>
          <cell r="AH1035">
            <v>1</v>
          </cell>
          <cell r="AI1035">
            <v>2785</v>
          </cell>
          <cell r="AJ1035">
            <v>2774</v>
          </cell>
          <cell r="AK1035">
            <v>223200</v>
          </cell>
          <cell r="AL1035">
            <v>3763</v>
          </cell>
          <cell r="AM1035">
            <v>3694</v>
          </cell>
          <cell r="AN1035">
            <v>3815</v>
          </cell>
          <cell r="AO1035">
            <v>3719</v>
          </cell>
          <cell r="AP1035">
            <v>3648</v>
          </cell>
          <cell r="AQ1035">
            <v>3739</v>
          </cell>
          <cell r="AR1035">
            <v>3638</v>
          </cell>
          <cell r="AS1035">
            <v>3685</v>
          </cell>
          <cell r="AT1035">
            <v>301400</v>
          </cell>
        </row>
        <row r="1036">
          <cell r="G1036">
            <v>2409120202</v>
          </cell>
          <cell r="H1036" t="str">
            <v>114동</v>
          </cell>
          <cell r="I1036">
            <v>240912</v>
          </cell>
          <cell r="J1036" t="str">
            <v>114동 1차</v>
          </cell>
          <cell r="K1036">
            <v>246</v>
          </cell>
          <cell r="L1036">
            <v>246</v>
          </cell>
          <cell r="M1036">
            <v>3015</v>
          </cell>
          <cell r="N1036" t="str">
            <v>용호</v>
          </cell>
          <cell r="O1036" t="str">
            <v>펌프카(1대)</v>
          </cell>
          <cell r="P1036">
            <v>738</v>
          </cell>
          <cell r="Q1036">
            <v>1524</v>
          </cell>
          <cell r="R1036">
            <v>160</v>
          </cell>
          <cell r="S1036">
            <v>46</v>
          </cell>
          <cell r="T1036">
            <v>50</v>
          </cell>
          <cell r="U1036">
            <v>240</v>
          </cell>
          <cell r="V1036"/>
          <cell r="W1036" t="str">
            <v>박순홍</v>
          </cell>
          <cell r="X1036" t="str">
            <v>(인)</v>
          </cell>
          <cell r="Y1036" t="str">
            <v>김광록</v>
          </cell>
          <cell r="Z1036" t="str">
            <v>(인)</v>
          </cell>
          <cell r="AA1036" t="str">
            <v>박기원</v>
          </cell>
          <cell r="AB1036" t="str">
            <v>(인)</v>
          </cell>
          <cell r="AC1036" t="str">
            <v>박상갑</v>
          </cell>
          <cell r="AD1036" t="str">
            <v>(인)</v>
          </cell>
          <cell r="AE1036">
            <v>191.3</v>
          </cell>
          <cell r="AF1036" t="str">
            <v>표준</v>
          </cell>
          <cell r="AG1036">
            <v>2</v>
          </cell>
          <cell r="AH1036">
            <v>0</v>
          </cell>
        </row>
        <row r="1037">
          <cell r="G1037">
            <v>2409120203</v>
          </cell>
          <cell r="H1037" t="str">
            <v>114동</v>
          </cell>
          <cell r="I1037">
            <v>240912</v>
          </cell>
          <cell r="J1037" t="str">
            <v>114동 1차</v>
          </cell>
          <cell r="K1037">
            <v>246</v>
          </cell>
          <cell r="L1037">
            <v>246</v>
          </cell>
          <cell r="M1037">
            <v>3015</v>
          </cell>
          <cell r="N1037" t="str">
            <v>용호</v>
          </cell>
          <cell r="O1037" t="str">
            <v>펌프카(1대)</v>
          </cell>
          <cell r="P1037">
            <v>738</v>
          </cell>
          <cell r="Q1037">
            <v>1524</v>
          </cell>
          <cell r="R1037">
            <v>170</v>
          </cell>
          <cell r="S1037">
            <v>48</v>
          </cell>
          <cell r="T1037">
            <v>63</v>
          </cell>
          <cell r="U1037">
            <v>235</v>
          </cell>
          <cell r="V1037"/>
          <cell r="W1037" t="str">
            <v>박순홍</v>
          </cell>
          <cell r="X1037" t="str">
            <v>(인)</v>
          </cell>
          <cell r="Y1037" t="str">
            <v>김광록</v>
          </cell>
          <cell r="Z1037" t="str">
            <v>(인)</v>
          </cell>
          <cell r="AA1037" t="str">
            <v>박기원</v>
          </cell>
          <cell r="AB1037" t="str">
            <v>(인)</v>
          </cell>
          <cell r="AC1037" t="str">
            <v>박상갑</v>
          </cell>
          <cell r="AD1037" t="str">
            <v>(인)</v>
          </cell>
          <cell r="AE1037">
            <v>189.2</v>
          </cell>
          <cell r="AF1037" t="str">
            <v>표준</v>
          </cell>
          <cell r="AG1037">
            <v>3</v>
          </cell>
          <cell r="AH1037">
            <v>0</v>
          </cell>
        </row>
        <row r="1038">
          <cell r="G1038">
            <v>2409120301</v>
          </cell>
          <cell r="H1038" t="str">
            <v>114동</v>
          </cell>
          <cell r="I1038">
            <v>240912</v>
          </cell>
          <cell r="J1038" t="str">
            <v xml:space="preserve"> 114동 1차 </v>
          </cell>
          <cell r="K1038">
            <v>150</v>
          </cell>
          <cell r="L1038">
            <v>150</v>
          </cell>
          <cell r="M1038">
            <v>2715</v>
          </cell>
          <cell r="N1038" t="str">
            <v>대원</v>
          </cell>
          <cell r="O1038" t="str">
            <v>펌프카(1대)</v>
          </cell>
          <cell r="P1038">
            <v>1147</v>
          </cell>
          <cell r="Q1038">
            <v>1518</v>
          </cell>
          <cell r="R1038">
            <v>155</v>
          </cell>
          <cell r="S1038">
            <v>48</v>
          </cell>
          <cell r="T1038">
            <v>21</v>
          </cell>
          <cell r="U1038">
            <v>236</v>
          </cell>
          <cell r="V1038"/>
          <cell r="W1038" t="str">
            <v>박순홍</v>
          </cell>
          <cell r="X1038" t="str">
            <v>(인)</v>
          </cell>
          <cell r="Y1038" t="str">
            <v>김광록</v>
          </cell>
          <cell r="Z1038" t="str">
            <v>(인)</v>
          </cell>
          <cell r="AA1038" t="str">
            <v>박기원</v>
          </cell>
          <cell r="AB1038" t="str">
            <v>(인)</v>
          </cell>
          <cell r="AC1038" t="str">
            <v>박상갑</v>
          </cell>
          <cell r="AD1038" t="str">
            <v>(인)</v>
          </cell>
          <cell r="AE1038">
            <v>187.2</v>
          </cell>
          <cell r="AF1038" t="str">
            <v>표준</v>
          </cell>
          <cell r="AG1038">
            <v>1</v>
          </cell>
          <cell r="AH1038">
            <v>1</v>
          </cell>
          <cell r="AI1038">
            <v>2403</v>
          </cell>
          <cell r="AJ1038">
            <v>2317</v>
          </cell>
          <cell r="AK1038">
            <v>185600</v>
          </cell>
          <cell r="AL1038">
            <v>3386</v>
          </cell>
          <cell r="AM1038">
            <v>3508</v>
          </cell>
          <cell r="AN1038">
            <v>3491</v>
          </cell>
          <cell r="AO1038">
            <v>3319</v>
          </cell>
          <cell r="AP1038">
            <v>3463</v>
          </cell>
          <cell r="AQ1038">
            <v>3325</v>
          </cell>
          <cell r="AR1038">
            <v>3365</v>
          </cell>
          <cell r="AS1038">
            <v>3417</v>
          </cell>
          <cell r="AT1038">
            <v>272600</v>
          </cell>
        </row>
        <row r="1039">
          <cell r="G1039">
            <v>2409120302</v>
          </cell>
          <cell r="H1039" t="str">
            <v>114동</v>
          </cell>
          <cell r="I1039">
            <v>240912</v>
          </cell>
          <cell r="J1039" t="str">
            <v>114동 1차</v>
          </cell>
          <cell r="K1039">
            <v>150</v>
          </cell>
          <cell r="L1039">
            <v>150</v>
          </cell>
          <cell r="M1039">
            <v>2715</v>
          </cell>
          <cell r="N1039" t="str">
            <v>대원</v>
          </cell>
          <cell r="O1039" t="str">
            <v>펌프카(1대)</v>
          </cell>
          <cell r="P1039">
            <v>1147</v>
          </cell>
          <cell r="Q1039">
            <v>1518</v>
          </cell>
          <cell r="R1039">
            <v>165</v>
          </cell>
          <cell r="S1039">
            <v>47</v>
          </cell>
          <cell r="T1039">
            <v>32</v>
          </cell>
          <cell r="U1039">
            <v>254</v>
          </cell>
          <cell r="V1039"/>
          <cell r="W1039" t="str">
            <v>박순홍</v>
          </cell>
          <cell r="X1039" t="str">
            <v>(인)</v>
          </cell>
          <cell r="Y1039" t="str">
            <v>김광록</v>
          </cell>
          <cell r="Z1039" t="str">
            <v>(인)</v>
          </cell>
          <cell r="AA1039" t="str">
            <v>박기원</v>
          </cell>
          <cell r="AB1039" t="str">
            <v>(인)</v>
          </cell>
          <cell r="AC1039" t="str">
            <v>박상갑</v>
          </cell>
          <cell r="AD1039" t="str">
            <v>(인)</v>
          </cell>
          <cell r="AE1039">
            <v>189.3</v>
          </cell>
          <cell r="AF1039" t="str">
            <v>표준</v>
          </cell>
          <cell r="AG1039">
            <v>2</v>
          </cell>
          <cell r="AH1039">
            <v>0</v>
          </cell>
        </row>
        <row r="1040">
          <cell r="G1040">
            <v>2409120401</v>
          </cell>
          <cell r="H1040" t="str">
            <v>114동</v>
          </cell>
          <cell r="I1040">
            <v>240912</v>
          </cell>
          <cell r="J1040" t="str">
            <v xml:space="preserve"> 114동 1차 </v>
          </cell>
          <cell r="K1040">
            <v>192</v>
          </cell>
          <cell r="L1040">
            <v>192</v>
          </cell>
          <cell r="M1040">
            <v>2715</v>
          </cell>
          <cell r="N1040" t="str">
            <v>용호</v>
          </cell>
          <cell r="O1040" t="str">
            <v>펌프카(1대)</v>
          </cell>
          <cell r="P1040">
            <v>1113</v>
          </cell>
          <cell r="Q1040">
            <v>1543</v>
          </cell>
          <cell r="R1040">
            <v>165</v>
          </cell>
          <cell r="S1040">
            <v>50</v>
          </cell>
          <cell r="T1040">
            <v>21</v>
          </cell>
          <cell r="U1040">
            <v>273</v>
          </cell>
          <cell r="V1040"/>
          <cell r="W1040" t="str">
            <v>박순홍</v>
          </cell>
          <cell r="X1040" t="str">
            <v>(인)</v>
          </cell>
          <cell r="Y1040" t="str">
            <v>김광록</v>
          </cell>
          <cell r="Z1040" t="str">
            <v>(인)</v>
          </cell>
          <cell r="AA1040" t="str">
            <v>박기원</v>
          </cell>
          <cell r="AB1040" t="str">
            <v>(인)</v>
          </cell>
          <cell r="AC1040" t="str">
            <v>박상갑</v>
          </cell>
          <cell r="AD1040" t="str">
            <v>(인)</v>
          </cell>
          <cell r="AE1040">
            <v>187.3</v>
          </cell>
          <cell r="AF1040" t="str">
            <v>표준</v>
          </cell>
          <cell r="AG1040">
            <v>1</v>
          </cell>
          <cell r="AH1040">
            <v>1</v>
          </cell>
          <cell r="AI1040">
            <v>2393</v>
          </cell>
          <cell r="AJ1040">
            <v>2392</v>
          </cell>
          <cell r="AK1040">
            <v>191000</v>
          </cell>
          <cell r="AL1040">
            <v>3364</v>
          </cell>
          <cell r="AM1040">
            <v>3508</v>
          </cell>
          <cell r="AN1040">
            <v>3483</v>
          </cell>
          <cell r="AO1040">
            <v>3315</v>
          </cell>
          <cell r="AP1040">
            <v>3472</v>
          </cell>
          <cell r="AQ1040">
            <v>3438</v>
          </cell>
          <cell r="AR1040">
            <v>3365</v>
          </cell>
          <cell r="AS1040">
            <v>3402</v>
          </cell>
          <cell r="AT1040">
            <v>264800</v>
          </cell>
        </row>
        <row r="1041">
          <cell r="G1041">
            <v>2409120402</v>
          </cell>
          <cell r="H1041" t="str">
            <v>114동</v>
          </cell>
          <cell r="I1041">
            <v>240912</v>
          </cell>
          <cell r="J1041" t="str">
            <v>114동 1차</v>
          </cell>
          <cell r="K1041">
            <v>192</v>
          </cell>
          <cell r="L1041">
            <v>192</v>
          </cell>
          <cell r="M1041">
            <v>2715</v>
          </cell>
          <cell r="N1041" t="str">
            <v>용호</v>
          </cell>
          <cell r="O1041" t="str">
            <v>펌프카(1대)</v>
          </cell>
          <cell r="P1041">
            <v>1113</v>
          </cell>
          <cell r="Q1041">
            <v>1543</v>
          </cell>
          <cell r="R1041">
            <v>170</v>
          </cell>
          <cell r="S1041">
            <v>48</v>
          </cell>
          <cell r="T1041">
            <v>28</v>
          </cell>
          <cell r="U1041">
            <v>243</v>
          </cell>
          <cell r="V1041"/>
          <cell r="W1041" t="str">
            <v>박순홍</v>
          </cell>
          <cell r="X1041" t="str">
            <v>(인)</v>
          </cell>
          <cell r="Y1041" t="str">
            <v>김광록</v>
          </cell>
          <cell r="Z1041" t="str">
            <v>(인)</v>
          </cell>
          <cell r="AA1041" t="str">
            <v>박기원</v>
          </cell>
          <cell r="AB1041" t="str">
            <v>(인)</v>
          </cell>
          <cell r="AC1041" t="str">
            <v>박상갑</v>
          </cell>
          <cell r="AD1041" t="str">
            <v>(인)</v>
          </cell>
          <cell r="AE1041">
            <v>190.6</v>
          </cell>
          <cell r="AF1041" t="str">
            <v>표준</v>
          </cell>
          <cell r="AG1041">
            <v>2</v>
          </cell>
          <cell r="AH1041">
            <v>0</v>
          </cell>
        </row>
        <row r="1042">
          <cell r="G1042">
            <v>2409130101</v>
          </cell>
          <cell r="H1042" t="str">
            <v>116동</v>
          </cell>
          <cell r="I1042">
            <v>240913</v>
          </cell>
          <cell r="J1042" t="str">
            <v>116동 1차</v>
          </cell>
          <cell r="K1042">
            <v>378</v>
          </cell>
          <cell r="L1042">
            <v>378</v>
          </cell>
          <cell r="M1042">
            <v>3015</v>
          </cell>
          <cell r="N1042" t="str">
            <v>영진</v>
          </cell>
          <cell r="O1042" t="str">
            <v>펌프카(1대)</v>
          </cell>
          <cell r="P1042">
            <v>730</v>
          </cell>
          <cell r="Q1042">
            <v>1335</v>
          </cell>
          <cell r="R1042">
            <v>160</v>
          </cell>
          <cell r="S1042">
            <v>48</v>
          </cell>
          <cell r="T1042">
            <v>34</v>
          </cell>
          <cell r="U1042">
            <v>189</v>
          </cell>
          <cell r="V1042"/>
          <cell r="W1042" t="str">
            <v>김광록</v>
          </cell>
          <cell r="X1042" t="str">
            <v>(인)</v>
          </cell>
          <cell r="Y1042" t="str">
            <v>김광록</v>
          </cell>
          <cell r="Z1042" t="str">
            <v>(인)</v>
          </cell>
          <cell r="AA1042" t="str">
            <v>박기원</v>
          </cell>
          <cell r="AB1042" t="str">
            <v>(인)</v>
          </cell>
          <cell r="AC1042" t="str">
            <v>박상갑</v>
          </cell>
          <cell r="AD1042" t="str">
            <v>(인)</v>
          </cell>
          <cell r="AE1042">
            <v>173.6</v>
          </cell>
          <cell r="AF1042" t="str">
            <v>표준</v>
          </cell>
          <cell r="AG1042">
            <v>1</v>
          </cell>
          <cell r="AH1042">
            <v>1</v>
          </cell>
          <cell r="AI1042">
            <v>2678</v>
          </cell>
          <cell r="AJ1042">
            <v>2604</v>
          </cell>
          <cell r="AK1042">
            <v>204400</v>
          </cell>
          <cell r="AL1042">
            <v>3626</v>
          </cell>
          <cell r="AM1042">
            <v>3491</v>
          </cell>
          <cell r="AN1042">
            <v>3582</v>
          </cell>
          <cell r="AO1042">
            <v>3494</v>
          </cell>
          <cell r="AP1042">
            <v>3586</v>
          </cell>
          <cell r="AQ1042">
            <v>3612</v>
          </cell>
          <cell r="AR1042">
            <v>3630</v>
          </cell>
          <cell r="AS1042">
            <v>3612</v>
          </cell>
          <cell r="AT1042">
            <v>287400</v>
          </cell>
        </row>
        <row r="1043">
          <cell r="G1043">
            <v>2409130102</v>
          </cell>
          <cell r="H1043" t="str">
            <v>116동</v>
          </cell>
          <cell r="I1043">
            <v>240913</v>
          </cell>
          <cell r="J1043" t="str">
            <v>116동 1차</v>
          </cell>
          <cell r="K1043">
            <v>378</v>
          </cell>
          <cell r="L1043">
            <v>378</v>
          </cell>
          <cell r="M1043">
            <v>3015</v>
          </cell>
          <cell r="N1043" t="str">
            <v>영진</v>
          </cell>
          <cell r="O1043" t="str">
            <v>펌프카(1대)</v>
          </cell>
          <cell r="P1043">
            <v>730</v>
          </cell>
          <cell r="Q1043">
            <v>1335</v>
          </cell>
          <cell r="R1043">
            <v>175</v>
          </cell>
          <cell r="S1043">
            <v>50</v>
          </cell>
          <cell r="T1043">
            <v>14</v>
          </cell>
          <cell r="U1043">
            <v>180</v>
          </cell>
          <cell r="V1043"/>
          <cell r="W1043" t="str">
            <v>김광록</v>
          </cell>
          <cell r="X1043" t="str">
            <v>(인)</v>
          </cell>
          <cell r="Y1043" t="str">
            <v>김광록</v>
          </cell>
          <cell r="Z1043" t="str">
            <v>(인)</v>
          </cell>
          <cell r="AA1043" t="str">
            <v>박기원</v>
          </cell>
          <cell r="AB1043" t="str">
            <v>(인)</v>
          </cell>
          <cell r="AC1043" t="str">
            <v>박상갑</v>
          </cell>
          <cell r="AD1043" t="str">
            <v>(인)</v>
          </cell>
          <cell r="AE1043">
            <v>174.3</v>
          </cell>
          <cell r="AF1043" t="str">
            <v>표준</v>
          </cell>
          <cell r="AG1043">
            <v>2</v>
          </cell>
          <cell r="AH1043">
            <v>0</v>
          </cell>
        </row>
        <row r="1044">
          <cell r="G1044">
            <v>2409130103</v>
          </cell>
          <cell r="H1044" t="str">
            <v>116동</v>
          </cell>
          <cell r="I1044">
            <v>240913</v>
          </cell>
          <cell r="J1044" t="str">
            <v>116동 1차</v>
          </cell>
          <cell r="K1044">
            <v>378</v>
          </cell>
          <cell r="L1044">
            <v>378</v>
          </cell>
          <cell r="M1044">
            <v>3015</v>
          </cell>
          <cell r="N1044" t="str">
            <v>영진</v>
          </cell>
          <cell r="O1044" t="str">
            <v>펌프카(1대)</v>
          </cell>
          <cell r="P1044">
            <v>730</v>
          </cell>
          <cell r="Q1044">
            <v>1335</v>
          </cell>
          <cell r="R1044">
            <v>175</v>
          </cell>
          <cell r="S1044">
            <v>36</v>
          </cell>
          <cell r="T1044">
            <v>38</v>
          </cell>
          <cell r="U1044">
            <v>204</v>
          </cell>
          <cell r="V1044"/>
          <cell r="W1044" t="str">
            <v>김광록</v>
          </cell>
          <cell r="X1044" t="str">
            <v>(인)</v>
          </cell>
          <cell r="Y1044" t="str">
            <v>김광록</v>
          </cell>
          <cell r="Z1044" t="str">
            <v>(인)</v>
          </cell>
          <cell r="AA1044" t="str">
            <v>박기원</v>
          </cell>
          <cell r="AB1044" t="str">
            <v>(인)</v>
          </cell>
          <cell r="AC1044" t="str">
            <v>박상갑</v>
          </cell>
          <cell r="AD1044" t="str">
            <v>(인)</v>
          </cell>
          <cell r="AE1044">
            <v>174.6</v>
          </cell>
          <cell r="AF1044" t="str">
            <v>표준</v>
          </cell>
          <cell r="AG1044">
            <v>3</v>
          </cell>
          <cell r="AH1044">
            <v>0</v>
          </cell>
          <cell r="AI1044"/>
          <cell r="AJ1044"/>
        </row>
        <row r="1045">
          <cell r="G1045">
            <v>2409130104</v>
          </cell>
          <cell r="H1045" t="str">
            <v>116동</v>
          </cell>
          <cell r="I1045">
            <v>240913</v>
          </cell>
          <cell r="J1045" t="str">
            <v>116동 1차</v>
          </cell>
          <cell r="K1045">
            <v>378</v>
          </cell>
          <cell r="L1045">
            <v>378</v>
          </cell>
          <cell r="M1045">
            <v>3015</v>
          </cell>
          <cell r="N1045" t="str">
            <v>영진</v>
          </cell>
          <cell r="O1045" t="str">
            <v>펌프카(1대)</v>
          </cell>
          <cell r="P1045">
            <v>730</v>
          </cell>
          <cell r="Q1045">
            <v>1335</v>
          </cell>
          <cell r="R1045">
            <v>165</v>
          </cell>
          <cell r="S1045">
            <v>46</v>
          </cell>
          <cell r="T1045">
            <v>43</v>
          </cell>
          <cell r="U1045">
            <v>192</v>
          </cell>
          <cell r="V1045"/>
          <cell r="W1045" t="str">
            <v>김광록</v>
          </cell>
          <cell r="X1045" t="str">
            <v>(인)</v>
          </cell>
          <cell r="Y1045" t="str">
            <v>김광록</v>
          </cell>
          <cell r="Z1045" t="str">
            <v>(인)</v>
          </cell>
          <cell r="AA1045" t="str">
            <v>박기원</v>
          </cell>
          <cell r="AB1045" t="str">
            <v>(인)</v>
          </cell>
          <cell r="AC1045" t="str">
            <v>박상갑</v>
          </cell>
          <cell r="AD1045" t="str">
            <v>(인)</v>
          </cell>
          <cell r="AE1045">
            <v>176.1</v>
          </cell>
          <cell r="AF1045" t="str">
            <v>표준</v>
          </cell>
          <cell r="AG1045">
            <v>4</v>
          </cell>
          <cell r="AH1045">
            <v>1</v>
          </cell>
          <cell r="AL1045">
            <v>3875</v>
          </cell>
          <cell r="AM1045">
            <v>3638</v>
          </cell>
          <cell r="AN1045">
            <v>3519</v>
          </cell>
          <cell r="AO1045">
            <v>3613</v>
          </cell>
          <cell r="AP1045">
            <v>3627</v>
          </cell>
          <cell r="AQ1045">
            <v>3419</v>
          </cell>
          <cell r="AR1045">
            <v>3502</v>
          </cell>
          <cell r="AS1045">
            <v>3604</v>
          </cell>
          <cell r="AT1045">
            <v>294000</v>
          </cell>
        </row>
        <row r="1046">
          <cell r="G1046">
            <v>2409130201</v>
          </cell>
          <cell r="H1046" t="str">
            <v>116동</v>
          </cell>
          <cell r="I1046">
            <v>240913</v>
          </cell>
          <cell r="J1046" t="str">
            <v>116동 1차</v>
          </cell>
          <cell r="K1046">
            <v>42</v>
          </cell>
          <cell r="L1046">
            <v>42</v>
          </cell>
          <cell r="M1046">
            <v>2715</v>
          </cell>
          <cell r="N1046" t="str">
            <v>영진</v>
          </cell>
          <cell r="O1046" t="str">
            <v>펌프카(1대)</v>
          </cell>
          <cell r="P1046">
            <v>1158</v>
          </cell>
          <cell r="Q1046">
            <v>1325</v>
          </cell>
          <cell r="R1046">
            <v>165</v>
          </cell>
          <cell r="S1046">
            <v>52</v>
          </cell>
          <cell r="T1046">
            <v>24</v>
          </cell>
          <cell r="U1046">
            <v>257</v>
          </cell>
          <cell r="V1046"/>
          <cell r="W1046" t="str">
            <v>김광록</v>
          </cell>
          <cell r="X1046" t="str">
            <v>(인)</v>
          </cell>
          <cell r="Y1046" t="str">
            <v>김광록</v>
          </cell>
          <cell r="Z1046" t="str">
            <v>(인)</v>
          </cell>
          <cell r="AA1046" t="str">
            <v>박기원</v>
          </cell>
          <cell r="AB1046" t="str">
            <v>(인)</v>
          </cell>
          <cell r="AC1046" t="str">
            <v>박상갑</v>
          </cell>
          <cell r="AD1046" t="str">
            <v>(인)</v>
          </cell>
          <cell r="AE1046">
            <v>175.8</v>
          </cell>
          <cell r="AF1046" t="str">
            <v>표준</v>
          </cell>
          <cell r="AG1046">
            <v>1</v>
          </cell>
          <cell r="AH1046">
            <v>1</v>
          </cell>
          <cell r="AI1046">
            <v>2414</v>
          </cell>
          <cell r="AJ1046">
            <v>2372</v>
          </cell>
          <cell r="AK1046">
            <v>183400</v>
          </cell>
          <cell r="AL1046">
            <v>3346</v>
          </cell>
          <cell r="AM1046">
            <v>3307</v>
          </cell>
          <cell r="AN1046">
            <v>3227</v>
          </cell>
          <cell r="AO1046">
            <v>3264</v>
          </cell>
          <cell r="AP1046">
            <v>3304</v>
          </cell>
          <cell r="AQ1046">
            <v>3319</v>
          </cell>
          <cell r="AR1046">
            <v>3162</v>
          </cell>
          <cell r="AS1046">
            <v>3198</v>
          </cell>
          <cell r="AT1046">
            <v>246000</v>
          </cell>
        </row>
        <row r="1047">
          <cell r="G1047">
            <v>2409130301</v>
          </cell>
          <cell r="H1047" t="str">
            <v>113동</v>
          </cell>
          <cell r="I1047">
            <v>240913</v>
          </cell>
          <cell r="J1047" t="str">
            <v>수영장 2차</v>
          </cell>
          <cell r="K1047">
            <v>330</v>
          </cell>
          <cell r="L1047">
            <v>330</v>
          </cell>
          <cell r="M1047">
            <v>2715</v>
          </cell>
          <cell r="N1047" t="str">
            <v>대공</v>
          </cell>
          <cell r="O1047" t="str">
            <v>펌프카(1대)</v>
          </cell>
          <cell r="P1047">
            <v>747</v>
          </cell>
          <cell r="Q1047">
            <v>1224</v>
          </cell>
          <cell r="R1047">
            <v>155</v>
          </cell>
          <cell r="S1047">
            <v>46</v>
          </cell>
          <cell r="T1047">
            <v>20</v>
          </cell>
          <cell r="U1047">
            <v>246</v>
          </cell>
          <cell r="V1047"/>
          <cell r="W1047" t="str">
            <v>김광록</v>
          </cell>
          <cell r="X1047" t="str">
            <v>(인)</v>
          </cell>
          <cell r="Y1047" t="str">
            <v>김광록</v>
          </cell>
          <cell r="Z1047" t="str">
            <v>(인)</v>
          </cell>
          <cell r="AA1047" t="str">
            <v>박기원</v>
          </cell>
          <cell r="AB1047" t="str">
            <v>(인)</v>
          </cell>
          <cell r="AC1047" t="str">
            <v>박상갑</v>
          </cell>
          <cell r="AD1047" t="str">
            <v>(인)</v>
          </cell>
          <cell r="AE1047">
            <v>171.9</v>
          </cell>
          <cell r="AF1047" t="str">
            <v>표준</v>
          </cell>
          <cell r="AG1047">
            <v>1</v>
          </cell>
          <cell r="AH1047">
            <v>1</v>
          </cell>
          <cell r="AI1047">
            <v>2510</v>
          </cell>
          <cell r="AJ1047">
            <v>2490</v>
          </cell>
          <cell r="AK1047">
            <v>197800</v>
          </cell>
          <cell r="AL1047">
            <v>3628</v>
          </cell>
          <cell r="AM1047">
            <v>3649</v>
          </cell>
          <cell r="AN1047">
            <v>3562</v>
          </cell>
          <cell r="AO1047">
            <v>3632</v>
          </cell>
          <cell r="AP1047">
            <v>3519</v>
          </cell>
          <cell r="AQ1047">
            <v>3607</v>
          </cell>
          <cell r="AR1047">
            <v>3608</v>
          </cell>
          <cell r="AS1047">
            <v>3577</v>
          </cell>
          <cell r="AT1047">
            <v>289000</v>
          </cell>
        </row>
        <row r="1048">
          <cell r="G1048">
            <v>2409130302</v>
          </cell>
          <cell r="H1048" t="str">
            <v>113동</v>
          </cell>
          <cell r="I1048">
            <v>240913</v>
          </cell>
          <cell r="J1048" t="str">
            <v>수영장 2차</v>
          </cell>
          <cell r="K1048">
            <v>330</v>
          </cell>
          <cell r="L1048">
            <v>330</v>
          </cell>
          <cell r="M1048">
            <v>2715</v>
          </cell>
          <cell r="N1048" t="str">
            <v>대공</v>
          </cell>
          <cell r="O1048" t="str">
            <v>펌프카(1대)</v>
          </cell>
          <cell r="P1048">
            <v>747</v>
          </cell>
          <cell r="Q1048">
            <v>1224</v>
          </cell>
          <cell r="R1048">
            <v>155</v>
          </cell>
          <cell r="S1048">
            <v>51</v>
          </cell>
          <cell r="T1048">
            <v>38</v>
          </cell>
          <cell r="U1048">
            <v>245</v>
          </cell>
          <cell r="V1048"/>
          <cell r="W1048" t="str">
            <v>김광록</v>
          </cell>
          <cell r="X1048" t="str">
            <v>(인)</v>
          </cell>
          <cell r="Y1048" t="str">
            <v>김광록</v>
          </cell>
          <cell r="Z1048" t="str">
            <v>(인)</v>
          </cell>
          <cell r="AA1048" t="str">
            <v>박기원</v>
          </cell>
          <cell r="AB1048" t="str">
            <v>(인)</v>
          </cell>
          <cell r="AC1048" t="str">
            <v>박상갑</v>
          </cell>
          <cell r="AD1048" t="str">
            <v>(인)</v>
          </cell>
          <cell r="AE1048">
            <v>172.5</v>
          </cell>
          <cell r="AF1048" t="str">
            <v>표준</v>
          </cell>
          <cell r="AG1048">
            <v>2</v>
          </cell>
          <cell r="AH1048">
            <v>0</v>
          </cell>
        </row>
        <row r="1049">
          <cell r="G1049">
            <v>2409130303</v>
          </cell>
          <cell r="H1049" t="str">
            <v>113동</v>
          </cell>
          <cell r="I1049">
            <v>240913</v>
          </cell>
          <cell r="J1049" t="str">
            <v>수영장 2차</v>
          </cell>
          <cell r="K1049">
            <v>330</v>
          </cell>
          <cell r="L1049">
            <v>330</v>
          </cell>
          <cell r="M1049">
            <v>2715</v>
          </cell>
          <cell r="N1049" t="str">
            <v>대공</v>
          </cell>
          <cell r="O1049" t="str">
            <v>펌프카(1대)</v>
          </cell>
          <cell r="P1049">
            <v>747</v>
          </cell>
          <cell r="Q1049">
            <v>1224</v>
          </cell>
          <cell r="R1049">
            <v>170</v>
          </cell>
          <cell r="S1049">
            <v>52</v>
          </cell>
          <cell r="T1049">
            <v>14</v>
          </cell>
          <cell r="U1049">
            <v>261</v>
          </cell>
          <cell r="V1049"/>
          <cell r="W1049" t="str">
            <v>김광록</v>
          </cell>
          <cell r="X1049" t="str">
            <v>(인)</v>
          </cell>
          <cell r="Y1049" t="str">
            <v>김광록</v>
          </cell>
          <cell r="Z1049" t="str">
            <v>(인)</v>
          </cell>
          <cell r="AA1049" t="str">
            <v>박기원</v>
          </cell>
          <cell r="AB1049" t="str">
            <v>(인)</v>
          </cell>
          <cell r="AC1049" t="str">
            <v>박상갑</v>
          </cell>
          <cell r="AD1049" t="str">
            <v>(인)</v>
          </cell>
          <cell r="AE1049">
            <v>173</v>
          </cell>
          <cell r="AF1049" t="str">
            <v>표준</v>
          </cell>
          <cell r="AG1049">
            <v>3</v>
          </cell>
          <cell r="AH1049">
            <v>0</v>
          </cell>
        </row>
        <row r="1050">
          <cell r="G1050">
            <v>2409130401</v>
          </cell>
          <cell r="H1050" t="str">
            <v>111동</v>
          </cell>
          <cell r="I1050">
            <v>240913</v>
          </cell>
          <cell r="J1050" t="str">
            <v>111동 주변주차장 누름</v>
          </cell>
          <cell r="K1050">
            <v>90</v>
          </cell>
          <cell r="L1050">
            <v>90</v>
          </cell>
          <cell r="M1050">
            <v>1815</v>
          </cell>
          <cell r="N1050" t="str">
            <v>대공</v>
          </cell>
          <cell r="O1050" t="str">
            <v>펌프카(1대)</v>
          </cell>
          <cell r="P1050">
            <v>1406</v>
          </cell>
          <cell r="Q1050">
            <v>1614</v>
          </cell>
          <cell r="R1050">
            <v>160</v>
          </cell>
          <cell r="S1050">
            <v>41</v>
          </cell>
          <cell r="T1050">
            <v>43</v>
          </cell>
          <cell r="U1050">
            <v>235</v>
          </cell>
          <cell r="V1050"/>
          <cell r="W1050" t="str">
            <v>김광록</v>
          </cell>
          <cell r="X1050" t="str">
            <v>(인)</v>
          </cell>
          <cell r="Y1050" t="str">
            <v>김광록</v>
          </cell>
          <cell r="Z1050" t="str">
            <v>(인)</v>
          </cell>
          <cell r="AA1050" t="str">
            <v>박기원</v>
          </cell>
          <cell r="AB1050" t="str">
            <v>(인)</v>
          </cell>
          <cell r="AC1050" t="str">
            <v>박상갑</v>
          </cell>
          <cell r="AD1050" t="str">
            <v>(인)</v>
          </cell>
          <cell r="AE1050">
            <v>177.2</v>
          </cell>
          <cell r="AF1050" t="str">
            <v>표준</v>
          </cell>
          <cell r="AG1050">
            <v>1</v>
          </cell>
          <cell r="AH1050">
            <v>1</v>
          </cell>
          <cell r="AI1050">
            <v>1846</v>
          </cell>
          <cell r="AJ1050">
            <v>1870</v>
          </cell>
          <cell r="AK1050">
            <v>147200</v>
          </cell>
          <cell r="AL1050">
            <v>2398</v>
          </cell>
          <cell r="AM1050">
            <v>2327</v>
          </cell>
          <cell r="AN1050">
            <v>2294</v>
          </cell>
          <cell r="AO1050">
            <v>2362</v>
          </cell>
          <cell r="AP1050">
            <v>2319</v>
          </cell>
          <cell r="AQ1050">
            <v>2402</v>
          </cell>
          <cell r="AR1050">
            <v>2377</v>
          </cell>
          <cell r="AS1050">
            <v>2364</v>
          </cell>
          <cell r="AT1050">
            <v>187200</v>
          </cell>
        </row>
        <row r="1051">
          <cell r="G1051">
            <v>2409190101</v>
          </cell>
          <cell r="H1051" t="str">
            <v>101동</v>
          </cell>
          <cell r="I1051">
            <v>240919</v>
          </cell>
          <cell r="J1051" t="str">
            <v>101동 4층 바닥</v>
          </cell>
          <cell r="K1051">
            <v>291</v>
          </cell>
          <cell r="L1051">
            <v>291</v>
          </cell>
          <cell r="M1051">
            <v>3018</v>
          </cell>
          <cell r="N1051" t="str">
            <v>영진</v>
          </cell>
          <cell r="O1051" t="str">
            <v>펌프카(1대)</v>
          </cell>
          <cell r="P1051">
            <v>1305</v>
          </cell>
          <cell r="Q1051">
            <v>1710</v>
          </cell>
          <cell r="R1051">
            <v>180</v>
          </cell>
          <cell r="S1051">
            <v>40</v>
          </cell>
          <cell r="T1051">
            <v>39</v>
          </cell>
          <cell r="U1051">
            <v>272</v>
          </cell>
          <cell r="V1051"/>
          <cell r="W1051" t="str">
            <v>박순홍</v>
          </cell>
          <cell r="X1051" t="str">
            <v>(인)</v>
          </cell>
          <cell r="Y1051" t="str">
            <v>박순홍</v>
          </cell>
          <cell r="Z1051" t="str">
            <v>(인)</v>
          </cell>
          <cell r="AA1051" t="str">
            <v>박상갑</v>
          </cell>
          <cell r="AB1051" t="str">
            <v>(인)</v>
          </cell>
          <cell r="AC1051" t="str">
            <v>박기원</v>
          </cell>
          <cell r="AD1051" t="str">
            <v>(인)</v>
          </cell>
          <cell r="AE1051">
            <v>186.6</v>
          </cell>
          <cell r="AF1051" t="str">
            <v>표준</v>
          </cell>
          <cell r="AG1051">
            <v>1</v>
          </cell>
          <cell r="AH1051">
            <v>1</v>
          </cell>
        </row>
        <row r="1052">
          <cell r="G1052">
            <v>2409190102</v>
          </cell>
          <cell r="H1052" t="str">
            <v>101동</v>
          </cell>
          <cell r="I1052">
            <v>240919</v>
          </cell>
          <cell r="J1052" t="str">
            <v>101동 4층 바닥</v>
          </cell>
          <cell r="K1052">
            <v>291</v>
          </cell>
          <cell r="L1052">
            <v>291</v>
          </cell>
          <cell r="M1052">
            <v>3018</v>
          </cell>
          <cell r="N1052" t="str">
            <v>영진</v>
          </cell>
          <cell r="O1052" t="str">
            <v>펌프카(1대)</v>
          </cell>
          <cell r="P1052">
            <v>1305</v>
          </cell>
          <cell r="Q1052">
            <v>1710</v>
          </cell>
          <cell r="R1052">
            <v>185</v>
          </cell>
          <cell r="S1052">
            <v>47</v>
          </cell>
          <cell r="T1052">
            <v>46</v>
          </cell>
          <cell r="U1052">
            <v>274</v>
          </cell>
          <cell r="V1052"/>
          <cell r="W1052" t="str">
            <v>박순홍</v>
          </cell>
          <cell r="X1052" t="str">
            <v>(인)</v>
          </cell>
          <cell r="Y1052" t="str">
            <v>박순홍</v>
          </cell>
          <cell r="Z1052" t="str">
            <v>(인)</v>
          </cell>
          <cell r="AA1052" t="str">
            <v>박상갑</v>
          </cell>
          <cell r="AB1052" t="str">
            <v>(인)</v>
          </cell>
          <cell r="AC1052" t="str">
            <v>박기원</v>
          </cell>
          <cell r="AD1052" t="str">
            <v>(인)</v>
          </cell>
          <cell r="AE1052">
            <v>189.3</v>
          </cell>
          <cell r="AF1052" t="str">
            <v>표준</v>
          </cell>
          <cell r="AG1052">
            <v>2</v>
          </cell>
          <cell r="AH1052">
            <v>0</v>
          </cell>
        </row>
        <row r="1053">
          <cell r="G1053">
            <v>2409190103</v>
          </cell>
          <cell r="H1053" t="str">
            <v>101동</v>
          </cell>
          <cell r="I1053">
            <v>240919</v>
          </cell>
          <cell r="J1053" t="str">
            <v>101동 4층 바닥</v>
          </cell>
          <cell r="K1053">
            <v>291</v>
          </cell>
          <cell r="L1053">
            <v>291</v>
          </cell>
          <cell r="M1053">
            <v>3018</v>
          </cell>
          <cell r="N1053" t="str">
            <v>영진</v>
          </cell>
          <cell r="O1053" t="str">
            <v>펌프카(1대)</v>
          </cell>
          <cell r="P1053">
            <v>1305</v>
          </cell>
          <cell r="Q1053">
            <v>1710</v>
          </cell>
          <cell r="R1053">
            <v>190</v>
          </cell>
          <cell r="S1053">
            <v>50</v>
          </cell>
          <cell r="T1053">
            <v>48</v>
          </cell>
          <cell r="U1053">
            <v>265</v>
          </cell>
          <cell r="V1053"/>
          <cell r="W1053" t="str">
            <v>박순홍</v>
          </cell>
          <cell r="X1053" t="str">
            <v>(인)</v>
          </cell>
          <cell r="Y1053" t="str">
            <v>박순홍</v>
          </cell>
          <cell r="Z1053" t="str">
            <v>(인)</v>
          </cell>
          <cell r="AA1053" t="str">
            <v>박상갑</v>
          </cell>
          <cell r="AB1053" t="str">
            <v>(인)</v>
          </cell>
          <cell r="AC1053" t="str">
            <v>박기원</v>
          </cell>
          <cell r="AD1053" t="str">
            <v>(인)</v>
          </cell>
          <cell r="AE1053">
            <v>180.9</v>
          </cell>
          <cell r="AF1053" t="str">
            <v>표준</v>
          </cell>
          <cell r="AG1053">
            <v>3</v>
          </cell>
          <cell r="AH1053">
            <v>0</v>
          </cell>
        </row>
        <row r="1054">
          <cell r="G1054">
            <v>2409190201</v>
          </cell>
          <cell r="H1054" t="str">
            <v>113동</v>
          </cell>
          <cell r="I1054">
            <v>240919</v>
          </cell>
          <cell r="J1054" t="str">
            <v>113동 5층 바닥</v>
          </cell>
          <cell r="K1054">
            <v>342</v>
          </cell>
          <cell r="L1054">
            <v>342</v>
          </cell>
          <cell r="M1054">
            <v>3018</v>
          </cell>
          <cell r="N1054" t="str">
            <v>영진</v>
          </cell>
          <cell r="O1054" t="str">
            <v>펌프카(1대)</v>
          </cell>
          <cell r="P1054">
            <v>746</v>
          </cell>
          <cell r="Q1054">
            <v>1155</v>
          </cell>
          <cell r="R1054">
            <v>175</v>
          </cell>
          <cell r="S1054">
            <v>50</v>
          </cell>
          <cell r="T1054">
            <v>29</v>
          </cell>
          <cell r="U1054">
            <v>266</v>
          </cell>
          <cell r="V1054"/>
          <cell r="W1054" t="str">
            <v>박순홍</v>
          </cell>
          <cell r="X1054" t="str">
            <v>(인)</v>
          </cell>
          <cell r="Y1054" t="str">
            <v>박순홍</v>
          </cell>
          <cell r="Z1054" t="str">
            <v>(인)</v>
          </cell>
          <cell r="AA1054" t="str">
            <v>박상갑</v>
          </cell>
          <cell r="AB1054" t="str">
            <v>(인)</v>
          </cell>
          <cell r="AC1054" t="str">
            <v>박기원</v>
          </cell>
          <cell r="AD1054" t="str">
            <v>(인)</v>
          </cell>
          <cell r="AE1054">
            <v>187.4</v>
          </cell>
          <cell r="AF1054" t="str">
            <v>표준</v>
          </cell>
          <cell r="AG1054">
            <v>1</v>
          </cell>
          <cell r="AH1054">
            <v>1</v>
          </cell>
        </row>
        <row r="1055">
          <cell r="G1055">
            <v>2409190202</v>
          </cell>
          <cell r="H1055" t="str">
            <v>113동</v>
          </cell>
          <cell r="I1055">
            <v>240919</v>
          </cell>
          <cell r="J1055" t="str">
            <v>113동 5층 바닥</v>
          </cell>
          <cell r="K1055">
            <v>342</v>
          </cell>
          <cell r="L1055">
            <v>342</v>
          </cell>
          <cell r="M1055">
            <v>3018</v>
          </cell>
          <cell r="N1055" t="str">
            <v>영진</v>
          </cell>
          <cell r="O1055" t="str">
            <v>펌프카(1대)</v>
          </cell>
          <cell r="P1055">
            <v>746</v>
          </cell>
          <cell r="Q1055">
            <v>1155</v>
          </cell>
          <cell r="R1055">
            <v>190</v>
          </cell>
          <cell r="S1055">
            <v>51</v>
          </cell>
          <cell r="T1055">
            <v>34</v>
          </cell>
          <cell r="U1055">
            <v>272</v>
          </cell>
          <cell r="V1055"/>
          <cell r="W1055" t="str">
            <v>박순홍</v>
          </cell>
          <cell r="X1055" t="str">
            <v>(인)</v>
          </cell>
          <cell r="Y1055" t="str">
            <v>박순홍</v>
          </cell>
          <cell r="Z1055" t="str">
            <v>(인)</v>
          </cell>
          <cell r="AA1055" t="str">
            <v>박상갑</v>
          </cell>
          <cell r="AB1055" t="str">
            <v>(인)</v>
          </cell>
          <cell r="AC1055" t="str">
            <v>박기원</v>
          </cell>
          <cell r="AD1055" t="str">
            <v>(인)</v>
          </cell>
          <cell r="AE1055">
            <v>190.2</v>
          </cell>
          <cell r="AF1055" t="str">
            <v>표준</v>
          </cell>
          <cell r="AG1055">
            <v>2</v>
          </cell>
          <cell r="AH1055">
            <v>0</v>
          </cell>
        </row>
        <row r="1056">
          <cell r="G1056">
            <v>2409190203</v>
          </cell>
          <cell r="H1056" t="str">
            <v>113동</v>
          </cell>
          <cell r="I1056">
            <v>240919</v>
          </cell>
          <cell r="J1056" t="str">
            <v>113동 5층 바닥</v>
          </cell>
          <cell r="K1056">
            <v>342</v>
          </cell>
          <cell r="L1056">
            <v>342</v>
          </cell>
          <cell r="M1056">
            <v>3018</v>
          </cell>
          <cell r="N1056" t="str">
            <v>영진</v>
          </cell>
          <cell r="O1056" t="str">
            <v>펌프카(1대)</v>
          </cell>
          <cell r="P1056">
            <v>746</v>
          </cell>
          <cell r="Q1056">
            <v>1155</v>
          </cell>
          <cell r="R1056">
            <v>195</v>
          </cell>
          <cell r="S1056">
            <v>52</v>
          </cell>
          <cell r="T1056">
            <v>64</v>
          </cell>
          <cell r="U1056">
            <v>269</v>
          </cell>
          <cell r="V1056"/>
          <cell r="W1056" t="str">
            <v>박순홍</v>
          </cell>
          <cell r="X1056" t="str">
            <v>(인)</v>
          </cell>
          <cell r="Y1056" t="str">
            <v>박순홍</v>
          </cell>
          <cell r="Z1056" t="str">
            <v>(인)</v>
          </cell>
          <cell r="AA1056" t="str">
            <v>박상갑</v>
          </cell>
          <cell r="AB1056" t="str">
            <v>(인)</v>
          </cell>
          <cell r="AC1056" t="str">
            <v>박기원</v>
          </cell>
          <cell r="AD1056" t="str">
            <v>(인)</v>
          </cell>
          <cell r="AE1056">
            <v>187.2</v>
          </cell>
          <cell r="AF1056" t="str">
            <v>표준</v>
          </cell>
          <cell r="AG1056">
            <v>3</v>
          </cell>
          <cell r="AH1056">
            <v>0</v>
          </cell>
        </row>
        <row r="1057">
          <cell r="G1057">
            <v>2409190301</v>
          </cell>
          <cell r="H1057" t="str">
            <v>106동</v>
          </cell>
          <cell r="I1057">
            <v>240919</v>
          </cell>
          <cell r="J1057" t="str">
            <v>106동 13층 바닥</v>
          </cell>
          <cell r="K1057">
            <v>282</v>
          </cell>
          <cell r="L1057">
            <v>282</v>
          </cell>
          <cell r="M1057">
            <v>3018</v>
          </cell>
          <cell r="N1057" t="str">
            <v>대원</v>
          </cell>
          <cell r="O1057" t="str">
            <v>펌프카(1대)</v>
          </cell>
          <cell r="P1057">
            <v>750</v>
          </cell>
          <cell r="Q1057">
            <v>1151</v>
          </cell>
          <cell r="R1057">
            <v>180</v>
          </cell>
          <cell r="S1057">
            <v>42</v>
          </cell>
          <cell r="T1057">
            <v>30</v>
          </cell>
          <cell r="U1057">
            <v>271</v>
          </cell>
          <cell r="V1057"/>
          <cell r="W1057" t="str">
            <v>박순홍</v>
          </cell>
          <cell r="X1057" t="str">
            <v>(인)</v>
          </cell>
          <cell r="Y1057" t="str">
            <v>박순홍</v>
          </cell>
          <cell r="Z1057" t="str">
            <v>(인)</v>
          </cell>
          <cell r="AA1057" t="str">
            <v>박상갑</v>
          </cell>
          <cell r="AB1057" t="str">
            <v>(인)</v>
          </cell>
          <cell r="AC1057" t="str">
            <v>박기원</v>
          </cell>
          <cell r="AD1057" t="str">
            <v>(인)</v>
          </cell>
          <cell r="AE1057">
            <v>189.4</v>
          </cell>
          <cell r="AF1057" t="str">
            <v>표준</v>
          </cell>
          <cell r="AG1057">
            <v>1</v>
          </cell>
          <cell r="AH1057">
            <v>1</v>
          </cell>
        </row>
        <row r="1058">
          <cell r="G1058">
            <v>2409190302</v>
          </cell>
          <cell r="H1058" t="str">
            <v>106동</v>
          </cell>
          <cell r="I1058">
            <v>240919</v>
          </cell>
          <cell r="J1058" t="str">
            <v>106동 13층 바닥</v>
          </cell>
          <cell r="K1058">
            <v>282</v>
          </cell>
          <cell r="L1058">
            <v>282</v>
          </cell>
          <cell r="M1058">
            <v>3018</v>
          </cell>
          <cell r="N1058" t="str">
            <v>대원</v>
          </cell>
          <cell r="O1058" t="str">
            <v>펌프카(1대)</v>
          </cell>
          <cell r="P1058">
            <v>750</v>
          </cell>
          <cell r="Q1058">
            <v>1151</v>
          </cell>
          <cell r="R1058">
            <v>195</v>
          </cell>
          <cell r="S1058">
            <v>47</v>
          </cell>
          <cell r="T1058">
            <v>28</v>
          </cell>
          <cell r="U1058">
            <v>273</v>
          </cell>
          <cell r="V1058"/>
          <cell r="W1058" t="str">
            <v>박순홍</v>
          </cell>
          <cell r="X1058" t="str">
            <v>(인)</v>
          </cell>
          <cell r="Y1058" t="str">
            <v>박순홍</v>
          </cell>
          <cell r="Z1058" t="str">
            <v>(인)</v>
          </cell>
          <cell r="AA1058" t="str">
            <v>박상갑</v>
          </cell>
          <cell r="AB1058" t="str">
            <v>(인)</v>
          </cell>
          <cell r="AC1058" t="str">
            <v>박기원</v>
          </cell>
          <cell r="AD1058" t="str">
            <v>(인)</v>
          </cell>
          <cell r="AE1058">
            <v>198.2</v>
          </cell>
          <cell r="AF1058" t="str">
            <v>표준</v>
          </cell>
          <cell r="AG1058">
            <v>2</v>
          </cell>
          <cell r="AH1058">
            <v>0</v>
          </cell>
        </row>
        <row r="1059">
          <cell r="G1059">
            <v>2409190303</v>
          </cell>
          <cell r="H1059" t="str">
            <v>106동</v>
          </cell>
          <cell r="I1059">
            <v>240919</v>
          </cell>
          <cell r="J1059" t="str">
            <v>106동 13층 바닥</v>
          </cell>
          <cell r="K1059">
            <v>282</v>
          </cell>
          <cell r="L1059">
            <v>282</v>
          </cell>
          <cell r="M1059">
            <v>3018</v>
          </cell>
          <cell r="N1059" t="str">
            <v>대원</v>
          </cell>
          <cell r="O1059" t="str">
            <v>펌프카(1대)</v>
          </cell>
          <cell r="P1059">
            <v>750</v>
          </cell>
          <cell r="Q1059">
            <v>1151</v>
          </cell>
          <cell r="R1059">
            <v>200</v>
          </cell>
          <cell r="S1059">
            <v>51</v>
          </cell>
          <cell r="T1059">
            <v>30</v>
          </cell>
          <cell r="U1059">
            <v>269</v>
          </cell>
          <cell r="V1059"/>
          <cell r="W1059" t="str">
            <v>박순홍</v>
          </cell>
          <cell r="X1059" t="str">
            <v>(인)</v>
          </cell>
          <cell r="Y1059" t="str">
            <v>박순홍</v>
          </cell>
          <cell r="Z1059" t="str">
            <v>(인)</v>
          </cell>
          <cell r="AA1059" t="str">
            <v>박상갑</v>
          </cell>
          <cell r="AB1059" t="str">
            <v>(인)</v>
          </cell>
          <cell r="AC1059" t="str">
            <v>박기원</v>
          </cell>
          <cell r="AD1059" t="str">
            <v>(인)</v>
          </cell>
          <cell r="AE1059">
            <v>185.4</v>
          </cell>
          <cell r="AF1059" t="str">
            <v>표준</v>
          </cell>
          <cell r="AG1059">
            <v>3</v>
          </cell>
          <cell r="AH1059">
            <v>0</v>
          </cell>
        </row>
        <row r="1060">
          <cell r="G1060">
            <v>2409190401</v>
          </cell>
          <cell r="H1060" t="str">
            <v>105동</v>
          </cell>
          <cell r="I1060">
            <v>240919</v>
          </cell>
          <cell r="J1060" t="str">
            <v>105동 15층 바닥</v>
          </cell>
          <cell r="K1060">
            <v>274</v>
          </cell>
          <cell r="L1060">
            <v>274</v>
          </cell>
          <cell r="M1060">
            <v>3018</v>
          </cell>
          <cell r="N1060" t="str">
            <v>대원</v>
          </cell>
          <cell r="O1060" t="str">
            <v>펌프카(1대)</v>
          </cell>
          <cell r="P1060">
            <v>1243</v>
          </cell>
          <cell r="Q1060">
            <v>1608</v>
          </cell>
          <cell r="R1060">
            <v>170</v>
          </cell>
          <cell r="S1060">
            <v>50</v>
          </cell>
          <cell r="T1060">
            <v>50</v>
          </cell>
          <cell r="U1060">
            <v>275</v>
          </cell>
          <cell r="V1060"/>
          <cell r="W1060" t="str">
            <v>박순홍</v>
          </cell>
          <cell r="X1060" t="str">
            <v>(인)</v>
          </cell>
          <cell r="Y1060" t="str">
            <v>박순홍</v>
          </cell>
          <cell r="Z1060" t="str">
            <v>(인)</v>
          </cell>
          <cell r="AA1060" t="str">
            <v>박상갑</v>
          </cell>
          <cell r="AB1060" t="str">
            <v>(인)</v>
          </cell>
          <cell r="AC1060" t="str">
            <v>박기원</v>
          </cell>
          <cell r="AD1060" t="str">
            <v>(인)</v>
          </cell>
          <cell r="AE1060">
            <v>187.4</v>
          </cell>
          <cell r="AF1060" t="str">
            <v>표준</v>
          </cell>
          <cell r="AG1060">
            <v>1</v>
          </cell>
          <cell r="AH1060">
            <v>1</v>
          </cell>
        </row>
        <row r="1061">
          <cell r="G1061">
            <v>2409190402</v>
          </cell>
          <cell r="H1061" t="str">
            <v>105동</v>
          </cell>
          <cell r="I1061">
            <v>240919</v>
          </cell>
          <cell r="J1061" t="str">
            <v>105동 15층 바닥</v>
          </cell>
          <cell r="K1061">
            <v>274</v>
          </cell>
          <cell r="L1061">
            <v>274</v>
          </cell>
          <cell r="M1061">
            <v>3018</v>
          </cell>
          <cell r="N1061" t="str">
            <v>대원</v>
          </cell>
          <cell r="O1061" t="str">
            <v>펌프카(1대)</v>
          </cell>
          <cell r="P1061">
            <v>1243</v>
          </cell>
          <cell r="Q1061">
            <v>1608</v>
          </cell>
          <cell r="R1061">
            <v>185</v>
          </cell>
          <cell r="S1061">
            <v>48</v>
          </cell>
          <cell r="T1061">
            <v>53</v>
          </cell>
          <cell r="U1061">
            <v>274</v>
          </cell>
          <cell r="V1061"/>
          <cell r="W1061" t="str">
            <v>박순홍</v>
          </cell>
          <cell r="X1061" t="str">
            <v>(인)</v>
          </cell>
          <cell r="Y1061" t="str">
            <v>박순홍</v>
          </cell>
          <cell r="Z1061" t="str">
            <v>(인)</v>
          </cell>
          <cell r="AA1061" t="str">
            <v>박상갑</v>
          </cell>
          <cell r="AB1061" t="str">
            <v>(인)</v>
          </cell>
          <cell r="AC1061" t="str">
            <v>박기원</v>
          </cell>
          <cell r="AD1061" t="str">
            <v>(인)</v>
          </cell>
          <cell r="AE1061">
            <v>190.7</v>
          </cell>
          <cell r="AF1061" t="str">
            <v>표준</v>
          </cell>
          <cell r="AG1061">
            <v>2</v>
          </cell>
          <cell r="AH1061">
            <v>0</v>
          </cell>
        </row>
        <row r="1062">
          <cell r="G1062">
            <v>2409190403</v>
          </cell>
          <cell r="H1062" t="str">
            <v>105동</v>
          </cell>
          <cell r="I1062">
            <v>240919</v>
          </cell>
          <cell r="J1062" t="str">
            <v>105동 15층 바닥</v>
          </cell>
          <cell r="K1062">
            <v>274</v>
          </cell>
          <cell r="L1062">
            <v>274</v>
          </cell>
          <cell r="M1062">
            <v>3018</v>
          </cell>
          <cell r="N1062" t="str">
            <v>대원</v>
          </cell>
          <cell r="O1062" t="str">
            <v>펌프카(1대)</v>
          </cell>
          <cell r="P1062">
            <v>1243</v>
          </cell>
          <cell r="Q1062">
            <v>1608</v>
          </cell>
          <cell r="R1062">
            <v>190</v>
          </cell>
          <cell r="S1062">
            <v>52</v>
          </cell>
          <cell r="T1062">
            <v>34</v>
          </cell>
          <cell r="U1062">
            <v>270</v>
          </cell>
          <cell r="V1062"/>
          <cell r="W1062" t="str">
            <v>박순홍</v>
          </cell>
          <cell r="X1062" t="str">
            <v>(인)</v>
          </cell>
          <cell r="Y1062" t="str">
            <v>박순홍</v>
          </cell>
          <cell r="Z1062" t="str">
            <v>(인)</v>
          </cell>
          <cell r="AA1062" t="str">
            <v>박상갑</v>
          </cell>
          <cell r="AB1062" t="str">
            <v>(인)</v>
          </cell>
          <cell r="AC1062" t="str">
            <v>박기원</v>
          </cell>
          <cell r="AD1062" t="str">
            <v>(인)</v>
          </cell>
          <cell r="AE1062">
            <v>189.8</v>
          </cell>
          <cell r="AF1062" t="str">
            <v>표준</v>
          </cell>
          <cell r="AG1062">
            <v>3</v>
          </cell>
          <cell r="AH1062">
            <v>0</v>
          </cell>
        </row>
        <row r="1063">
          <cell r="G1063">
            <v>2409200101</v>
          </cell>
          <cell r="H1063" t="str">
            <v>102동</v>
          </cell>
          <cell r="I1063">
            <v>240920</v>
          </cell>
          <cell r="J1063" t="str">
            <v>102동 7층 바닥</v>
          </cell>
          <cell r="K1063">
            <v>280</v>
          </cell>
          <cell r="L1063">
            <v>280</v>
          </cell>
          <cell r="M1063">
            <v>3018</v>
          </cell>
          <cell r="N1063" t="str">
            <v>대공</v>
          </cell>
          <cell r="O1063" t="str">
            <v>펌프카(1대)</v>
          </cell>
          <cell r="P1063">
            <v>811</v>
          </cell>
          <cell r="Q1063">
            <v>1228</v>
          </cell>
          <cell r="R1063">
            <v>170</v>
          </cell>
          <cell r="S1063">
            <v>51</v>
          </cell>
          <cell r="T1063">
            <v>43</v>
          </cell>
          <cell r="U1063">
            <v>231</v>
          </cell>
          <cell r="V1063"/>
          <cell r="W1063" t="str">
            <v>박순홍</v>
          </cell>
          <cell r="X1063" t="str">
            <v>(인)</v>
          </cell>
          <cell r="Y1063" t="str">
            <v>김광록</v>
          </cell>
          <cell r="Z1063" t="str">
            <v>(인)</v>
          </cell>
          <cell r="AA1063" t="str">
            <v>박상갑</v>
          </cell>
          <cell r="AB1063" t="str">
            <v>(인)</v>
          </cell>
          <cell r="AC1063" t="str">
            <v>박기원</v>
          </cell>
          <cell r="AD1063" t="str">
            <v>(인)</v>
          </cell>
          <cell r="AE1063">
            <v>186.4</v>
          </cell>
          <cell r="AF1063" t="str">
            <v>표준</v>
          </cell>
          <cell r="AG1063">
            <v>1</v>
          </cell>
          <cell r="AH1063">
            <v>1</v>
          </cell>
          <cell r="AI1063">
            <v>2829</v>
          </cell>
          <cell r="AJ1063">
            <v>2863</v>
          </cell>
          <cell r="AK1063">
            <v>226800</v>
          </cell>
          <cell r="AL1063">
            <v>3728</v>
          </cell>
          <cell r="AM1063">
            <v>3697</v>
          </cell>
          <cell r="AN1063">
            <v>3804</v>
          </cell>
          <cell r="AO1063">
            <v>3762</v>
          </cell>
          <cell r="AP1063">
            <v>3738</v>
          </cell>
          <cell r="AQ1063">
            <v>3810</v>
          </cell>
          <cell r="AR1063">
            <v>3758</v>
          </cell>
          <cell r="AS1063">
            <v>3806</v>
          </cell>
          <cell r="AT1063">
            <v>291000</v>
          </cell>
        </row>
        <row r="1064">
          <cell r="G1064">
            <v>2409200102</v>
          </cell>
          <cell r="H1064" t="str">
            <v>102동</v>
          </cell>
          <cell r="I1064">
            <v>240920</v>
          </cell>
          <cell r="J1064" t="str">
            <v>102동 7층 바닥</v>
          </cell>
          <cell r="K1064">
            <v>280</v>
          </cell>
          <cell r="L1064">
            <v>280</v>
          </cell>
          <cell r="M1064">
            <v>3018</v>
          </cell>
          <cell r="N1064" t="str">
            <v>대공</v>
          </cell>
          <cell r="O1064" t="str">
            <v>펌프카(1대)</v>
          </cell>
          <cell r="P1064">
            <v>811</v>
          </cell>
          <cell r="Q1064">
            <v>1228</v>
          </cell>
          <cell r="R1064">
            <v>180</v>
          </cell>
          <cell r="S1064">
            <v>40</v>
          </cell>
          <cell r="T1064">
            <v>33</v>
          </cell>
          <cell r="U1064">
            <v>256</v>
          </cell>
          <cell r="V1064"/>
          <cell r="W1064" t="str">
            <v>박순홍</v>
          </cell>
          <cell r="X1064" t="str">
            <v>(인)</v>
          </cell>
          <cell r="Y1064" t="str">
            <v>김광록</v>
          </cell>
          <cell r="Z1064" t="str">
            <v>(인)</v>
          </cell>
          <cell r="AA1064" t="str">
            <v>박상갑</v>
          </cell>
          <cell r="AB1064" t="str">
            <v>(인)</v>
          </cell>
          <cell r="AC1064" t="str">
            <v>박기원</v>
          </cell>
          <cell r="AD1064" t="str">
            <v>(인)</v>
          </cell>
          <cell r="AE1064">
            <v>190.4</v>
          </cell>
          <cell r="AF1064" t="str">
            <v>표준</v>
          </cell>
          <cell r="AG1064">
            <v>2</v>
          </cell>
          <cell r="AH1064">
            <v>0</v>
          </cell>
        </row>
        <row r="1065">
          <cell r="G1065">
            <v>2409200103</v>
          </cell>
          <cell r="H1065" t="str">
            <v>102동</v>
          </cell>
          <cell r="I1065">
            <v>240920</v>
          </cell>
          <cell r="J1065" t="str">
            <v>102동 7층 바닥</v>
          </cell>
          <cell r="K1065">
            <v>280</v>
          </cell>
          <cell r="L1065">
            <v>280</v>
          </cell>
          <cell r="M1065">
            <v>3018</v>
          </cell>
          <cell r="N1065" t="str">
            <v>대공</v>
          </cell>
          <cell r="O1065" t="str">
            <v>펌프카(1대)</v>
          </cell>
          <cell r="P1065">
            <v>811</v>
          </cell>
          <cell r="Q1065">
            <v>1228</v>
          </cell>
          <cell r="R1065">
            <v>200</v>
          </cell>
          <cell r="S1065">
            <v>45</v>
          </cell>
          <cell r="T1065">
            <v>30</v>
          </cell>
          <cell r="U1065">
            <v>252</v>
          </cell>
          <cell r="V1065"/>
          <cell r="W1065" t="str">
            <v>박순홍</v>
          </cell>
          <cell r="X1065" t="str">
            <v>(인)</v>
          </cell>
          <cell r="Y1065" t="str">
            <v>김광록</v>
          </cell>
          <cell r="Z1065" t="str">
            <v>(인)</v>
          </cell>
          <cell r="AA1065" t="str">
            <v>박상갑</v>
          </cell>
          <cell r="AB1065" t="str">
            <v>(인)</v>
          </cell>
          <cell r="AC1065" t="str">
            <v>박기원</v>
          </cell>
          <cell r="AD1065" t="str">
            <v>(인)</v>
          </cell>
          <cell r="AE1065">
            <v>191.4</v>
          </cell>
          <cell r="AF1065" t="str">
            <v>표준</v>
          </cell>
          <cell r="AG1065">
            <v>3</v>
          </cell>
          <cell r="AH1065">
            <v>0</v>
          </cell>
        </row>
        <row r="1066">
          <cell r="G1066">
            <v>2409200201</v>
          </cell>
          <cell r="H1066" t="str">
            <v>110동</v>
          </cell>
          <cell r="I1066">
            <v>240920</v>
          </cell>
          <cell r="J1066" t="str">
            <v>110동 주변주차장(B-3)</v>
          </cell>
          <cell r="K1066">
            <v>120</v>
          </cell>
          <cell r="L1066">
            <v>120</v>
          </cell>
          <cell r="M1066">
            <v>2715</v>
          </cell>
          <cell r="N1066" t="str">
            <v>대성</v>
          </cell>
          <cell r="O1066" t="str">
            <v>펌프카(1대)</v>
          </cell>
          <cell r="P1066">
            <v>804</v>
          </cell>
          <cell r="Q1066">
            <v>1008</v>
          </cell>
          <cell r="R1066">
            <v>150</v>
          </cell>
          <cell r="S1066">
            <v>41</v>
          </cell>
          <cell r="T1066">
            <v>74</v>
          </cell>
          <cell r="U1066">
            <v>243</v>
          </cell>
          <cell r="V1066"/>
          <cell r="W1066" t="str">
            <v>박순홍</v>
          </cell>
          <cell r="X1066" t="str">
            <v>(인)</v>
          </cell>
          <cell r="Y1066" t="str">
            <v>김광록</v>
          </cell>
          <cell r="Z1066" t="str">
            <v>(인)</v>
          </cell>
          <cell r="AA1066" t="str">
            <v>박상갑</v>
          </cell>
          <cell r="AB1066" t="str">
            <v>(인)</v>
          </cell>
          <cell r="AC1066" t="str">
            <v>박기원</v>
          </cell>
          <cell r="AD1066" t="str">
            <v>(인)</v>
          </cell>
          <cell r="AE1066">
            <v>189.3</v>
          </cell>
          <cell r="AF1066" t="str">
            <v>표준</v>
          </cell>
          <cell r="AG1066">
            <v>1</v>
          </cell>
          <cell r="AH1066">
            <v>1</v>
          </cell>
          <cell r="AI1066">
            <v>2439</v>
          </cell>
          <cell r="AJ1066">
            <v>2376</v>
          </cell>
          <cell r="AK1066">
            <v>187800</v>
          </cell>
          <cell r="AL1066">
            <v>3321</v>
          </cell>
          <cell r="AM1066">
            <v>3389</v>
          </cell>
          <cell r="AN1066">
            <v>3267</v>
          </cell>
          <cell r="AO1066">
            <v>3284</v>
          </cell>
          <cell r="AP1066">
            <v>3468</v>
          </cell>
          <cell r="AQ1066">
            <v>3366</v>
          </cell>
          <cell r="AR1066">
            <v>3269</v>
          </cell>
          <cell r="AS1066">
            <v>3249</v>
          </cell>
          <cell r="AT1066">
            <v>248400</v>
          </cell>
        </row>
        <row r="1067">
          <cell r="G1067">
            <v>2409200301</v>
          </cell>
          <cell r="H1067" t="str">
            <v>103동, 104동</v>
          </cell>
          <cell r="I1067">
            <v>240920</v>
          </cell>
          <cell r="J1067" t="str">
            <v>103~104 사이 지하주차장 누름</v>
          </cell>
          <cell r="K1067">
            <v>110</v>
          </cell>
          <cell r="L1067">
            <v>108</v>
          </cell>
          <cell r="M1067">
            <v>1815</v>
          </cell>
          <cell r="N1067" t="str">
            <v>대공</v>
          </cell>
          <cell r="O1067" t="str">
            <v>펌프카(1대)</v>
          </cell>
          <cell r="P1067">
            <v>1140</v>
          </cell>
          <cell r="Q1067">
            <v>1320</v>
          </cell>
          <cell r="R1067">
            <v>150</v>
          </cell>
          <cell r="S1067">
            <v>45</v>
          </cell>
          <cell r="T1067">
            <v>17</v>
          </cell>
          <cell r="U1067">
            <v>231</v>
          </cell>
          <cell r="V1067"/>
          <cell r="W1067" t="str">
            <v>박순홍</v>
          </cell>
          <cell r="X1067" t="str">
            <v>(인)</v>
          </cell>
          <cell r="Y1067" t="str">
            <v>김광록</v>
          </cell>
          <cell r="Z1067" t="str">
            <v>(인)</v>
          </cell>
          <cell r="AA1067" t="str">
            <v>박상갑</v>
          </cell>
          <cell r="AB1067" t="str">
            <v>(인)</v>
          </cell>
          <cell r="AC1067" t="str">
            <v>박기원</v>
          </cell>
          <cell r="AD1067" t="str">
            <v>(인)</v>
          </cell>
          <cell r="AE1067">
            <v>174.2</v>
          </cell>
          <cell r="AF1067" t="str">
            <v>표준</v>
          </cell>
          <cell r="AG1067">
            <v>1</v>
          </cell>
          <cell r="AH1067">
            <v>1</v>
          </cell>
          <cell r="AI1067">
            <v>1566</v>
          </cell>
          <cell r="AJ1067">
            <v>1518</v>
          </cell>
          <cell r="AK1067">
            <v>131000</v>
          </cell>
          <cell r="AL1067">
            <v>2412</v>
          </cell>
          <cell r="AM1067">
            <v>2314</v>
          </cell>
          <cell r="AN1067">
            <v>2266</v>
          </cell>
          <cell r="AO1067">
            <v>2314</v>
          </cell>
          <cell r="AP1067">
            <v>2362</v>
          </cell>
          <cell r="AQ1067">
            <v>2218</v>
          </cell>
          <cell r="AR1067">
            <v>2204</v>
          </cell>
          <cell r="AS1067">
            <v>2260</v>
          </cell>
          <cell r="AT1067">
            <v>191800</v>
          </cell>
        </row>
        <row r="1068">
          <cell r="G1068">
            <v>2409230101</v>
          </cell>
          <cell r="H1068" t="str">
            <v>107동</v>
          </cell>
          <cell r="I1068">
            <v>240923</v>
          </cell>
          <cell r="J1068" t="str">
            <v>107동 9층 바닥</v>
          </cell>
          <cell r="K1068">
            <v>288</v>
          </cell>
          <cell r="L1068">
            <v>288</v>
          </cell>
          <cell r="M1068">
            <v>3018</v>
          </cell>
          <cell r="N1068" t="str">
            <v>동양</v>
          </cell>
          <cell r="O1068" t="str">
            <v>펌프카(1대)</v>
          </cell>
          <cell r="P1068">
            <v>900</v>
          </cell>
          <cell r="Q1068">
            <v>1329</v>
          </cell>
          <cell r="R1068">
            <v>190</v>
          </cell>
          <cell r="S1068">
            <v>43</v>
          </cell>
          <cell r="T1068">
            <v>37</v>
          </cell>
          <cell r="U1068">
            <v>231</v>
          </cell>
          <cell r="V1068"/>
          <cell r="W1068" t="str">
            <v>박순홍</v>
          </cell>
          <cell r="X1068" t="str">
            <v>(인)</v>
          </cell>
          <cell r="Y1068" t="str">
            <v>박순홍</v>
          </cell>
          <cell r="Z1068" t="str">
            <v>(인)</v>
          </cell>
          <cell r="AA1068" t="str">
            <v>이홍걸</v>
          </cell>
          <cell r="AB1068" t="str">
            <v>(인)</v>
          </cell>
          <cell r="AC1068" t="str">
            <v>박상갑</v>
          </cell>
          <cell r="AD1068" t="str">
            <v>(인)</v>
          </cell>
          <cell r="AE1068">
            <v>184.1</v>
          </cell>
          <cell r="AF1068" t="str">
            <v>표준</v>
          </cell>
          <cell r="AG1068">
            <v>1</v>
          </cell>
          <cell r="AH1068">
            <v>1</v>
          </cell>
          <cell r="AI1068">
            <v>2610</v>
          </cell>
          <cell r="AJ1068">
            <v>2637</v>
          </cell>
          <cell r="AK1068">
            <v>200800</v>
          </cell>
          <cell r="AL1068">
            <v>3891</v>
          </cell>
          <cell r="AM1068">
            <v>3753</v>
          </cell>
          <cell r="AN1068">
            <v>3792</v>
          </cell>
          <cell r="AO1068">
            <v>3862</v>
          </cell>
          <cell r="AP1068">
            <v>3874</v>
          </cell>
          <cell r="AQ1068">
            <v>3736</v>
          </cell>
          <cell r="AR1068">
            <v>3748</v>
          </cell>
          <cell r="AS1068">
            <v>3829</v>
          </cell>
          <cell r="AT1068">
            <v>305000</v>
          </cell>
        </row>
        <row r="1069">
          <cell r="G1069">
            <v>2409230102</v>
          </cell>
          <cell r="H1069" t="str">
            <v>107동</v>
          </cell>
          <cell r="I1069">
            <v>240923</v>
          </cell>
          <cell r="J1069" t="str">
            <v>107동 9층 바닥</v>
          </cell>
          <cell r="K1069">
            <v>288</v>
          </cell>
          <cell r="L1069">
            <v>288</v>
          </cell>
          <cell r="M1069">
            <v>3018</v>
          </cell>
          <cell r="N1069" t="str">
            <v>동양</v>
          </cell>
          <cell r="O1069" t="str">
            <v>펌프카(1대)</v>
          </cell>
          <cell r="P1069">
            <v>900</v>
          </cell>
          <cell r="Q1069">
            <v>1329</v>
          </cell>
          <cell r="R1069">
            <v>190</v>
          </cell>
          <cell r="S1069">
            <v>44</v>
          </cell>
          <cell r="T1069">
            <v>42</v>
          </cell>
          <cell r="U1069">
            <v>237</v>
          </cell>
          <cell r="V1069"/>
          <cell r="W1069" t="str">
            <v>박순홍</v>
          </cell>
          <cell r="X1069" t="str">
            <v>(인)</v>
          </cell>
          <cell r="Y1069" t="str">
            <v>박순홍</v>
          </cell>
          <cell r="Z1069" t="str">
            <v>(인)</v>
          </cell>
          <cell r="AA1069" t="str">
            <v>이홍걸</v>
          </cell>
          <cell r="AB1069" t="str">
            <v>(인)</v>
          </cell>
          <cell r="AC1069" t="str">
            <v>박상갑</v>
          </cell>
          <cell r="AD1069" t="str">
            <v>(인)</v>
          </cell>
          <cell r="AE1069">
            <v>186.2</v>
          </cell>
          <cell r="AF1069" t="str">
            <v>표준</v>
          </cell>
          <cell r="AG1069">
            <v>2</v>
          </cell>
          <cell r="AH1069">
            <v>0</v>
          </cell>
        </row>
        <row r="1070">
          <cell r="G1070">
            <v>2409230103</v>
          </cell>
          <cell r="H1070" t="str">
            <v>107동</v>
          </cell>
          <cell r="I1070">
            <v>240923</v>
          </cell>
          <cell r="J1070" t="str">
            <v>107동 9층 바닥</v>
          </cell>
          <cell r="K1070">
            <v>288</v>
          </cell>
          <cell r="L1070">
            <v>288</v>
          </cell>
          <cell r="M1070">
            <v>3018</v>
          </cell>
          <cell r="N1070" t="str">
            <v>동양</v>
          </cell>
          <cell r="O1070" t="str">
            <v>펌프카(1대)</v>
          </cell>
          <cell r="P1070">
            <v>900</v>
          </cell>
          <cell r="Q1070">
            <v>1329</v>
          </cell>
          <cell r="R1070">
            <v>190</v>
          </cell>
          <cell r="S1070">
            <v>49</v>
          </cell>
          <cell r="T1070">
            <v>61</v>
          </cell>
          <cell r="U1070">
            <v>251</v>
          </cell>
          <cell r="V1070"/>
          <cell r="W1070" t="str">
            <v>박순홍</v>
          </cell>
          <cell r="X1070" t="str">
            <v>(인)</v>
          </cell>
          <cell r="Y1070" t="str">
            <v>박순홍</v>
          </cell>
          <cell r="Z1070" t="str">
            <v>(인)</v>
          </cell>
          <cell r="AA1070" t="str">
            <v>이홍걸</v>
          </cell>
          <cell r="AB1070" t="str">
            <v>(인)</v>
          </cell>
          <cell r="AC1070" t="str">
            <v>박상갑</v>
          </cell>
          <cell r="AD1070" t="str">
            <v>(인)</v>
          </cell>
          <cell r="AE1070">
            <v>180</v>
          </cell>
          <cell r="AF1070" t="str">
            <v>표준</v>
          </cell>
          <cell r="AG1070">
            <v>3</v>
          </cell>
          <cell r="AH1070">
            <v>0</v>
          </cell>
        </row>
        <row r="1071">
          <cell r="G1071">
            <v>2409230201</v>
          </cell>
          <cell r="H1071" t="str">
            <v>116동</v>
          </cell>
          <cell r="I1071">
            <v>240923</v>
          </cell>
          <cell r="J1071" t="str">
            <v>116동 지하1층 바닥 2차</v>
          </cell>
          <cell r="K1071">
            <v>534</v>
          </cell>
          <cell r="L1071">
            <v>534</v>
          </cell>
          <cell r="M1071">
            <v>3015</v>
          </cell>
          <cell r="N1071" t="str">
            <v>대원</v>
          </cell>
          <cell r="O1071" t="str">
            <v>펌프카(1대)</v>
          </cell>
          <cell r="P1071">
            <v>756</v>
          </cell>
          <cell r="Q1071">
            <v>1528</v>
          </cell>
          <cell r="R1071">
            <v>150</v>
          </cell>
          <cell r="S1071">
            <v>42</v>
          </cell>
          <cell r="T1071">
            <v>93</v>
          </cell>
          <cell r="U1071">
            <v>247</v>
          </cell>
          <cell r="V1071"/>
          <cell r="W1071" t="str">
            <v>박순홍</v>
          </cell>
          <cell r="X1071" t="str">
            <v>(인)</v>
          </cell>
          <cell r="Y1071" t="str">
            <v>박순홍</v>
          </cell>
          <cell r="Z1071" t="str">
            <v>(인)</v>
          </cell>
          <cell r="AA1071" t="str">
            <v>이홍걸</v>
          </cell>
          <cell r="AB1071" t="str">
            <v>(인)</v>
          </cell>
          <cell r="AC1071" t="str">
            <v>박상갑</v>
          </cell>
          <cell r="AD1071" t="str">
            <v>(인)</v>
          </cell>
          <cell r="AE1071">
            <v>177.2</v>
          </cell>
          <cell r="AF1071" t="str">
            <v>표준</v>
          </cell>
          <cell r="AG1071">
            <v>1</v>
          </cell>
          <cell r="AH1071">
            <v>1</v>
          </cell>
          <cell r="AI1071">
            <v>2737</v>
          </cell>
          <cell r="AJ1071">
            <v>2720</v>
          </cell>
          <cell r="AK1071">
            <v>212600</v>
          </cell>
          <cell r="AL1071">
            <v>4028</v>
          </cell>
          <cell r="AM1071">
            <v>3949</v>
          </cell>
          <cell r="AN1071">
            <v>3929</v>
          </cell>
          <cell r="AO1071">
            <v>3964</v>
          </cell>
          <cell r="AP1071">
            <v>3927</v>
          </cell>
          <cell r="AQ1071">
            <v>4036</v>
          </cell>
          <cell r="AR1071">
            <v>3867</v>
          </cell>
          <cell r="AS1071">
            <v>3826</v>
          </cell>
          <cell r="AT1071">
            <v>305400</v>
          </cell>
        </row>
        <row r="1072">
          <cell r="G1072">
            <v>2409230202</v>
          </cell>
          <cell r="H1072" t="str">
            <v>116동</v>
          </cell>
          <cell r="I1072">
            <v>240923</v>
          </cell>
          <cell r="J1072" t="str">
            <v>116동 지하1층 바닥 2차</v>
          </cell>
          <cell r="K1072">
            <v>534</v>
          </cell>
          <cell r="L1072">
            <v>534</v>
          </cell>
          <cell r="M1072">
            <v>3015</v>
          </cell>
          <cell r="N1072" t="str">
            <v>대원</v>
          </cell>
          <cell r="O1072" t="str">
            <v>펌프카(1대)</v>
          </cell>
          <cell r="P1072">
            <v>756</v>
          </cell>
          <cell r="Q1072">
            <v>1528</v>
          </cell>
          <cell r="R1072">
            <v>155</v>
          </cell>
          <cell r="S1072">
            <v>40</v>
          </cell>
          <cell r="T1072">
            <v>93</v>
          </cell>
          <cell r="U1072">
            <v>253</v>
          </cell>
          <cell r="V1072"/>
          <cell r="W1072" t="str">
            <v>박순홍</v>
          </cell>
          <cell r="X1072" t="str">
            <v>(인)</v>
          </cell>
          <cell r="Y1072" t="str">
            <v>박순홍</v>
          </cell>
          <cell r="Z1072" t="str">
            <v>(인)</v>
          </cell>
          <cell r="AA1072" t="str">
            <v>이홍걸</v>
          </cell>
          <cell r="AB1072" t="str">
            <v>(인)</v>
          </cell>
          <cell r="AC1072" t="str">
            <v>박상갑</v>
          </cell>
          <cell r="AD1072" t="str">
            <v>(인)</v>
          </cell>
          <cell r="AE1072">
            <v>181.3</v>
          </cell>
          <cell r="AF1072" t="str">
            <v>표준</v>
          </cell>
          <cell r="AG1072">
            <v>2</v>
          </cell>
          <cell r="AH1072">
            <v>0</v>
          </cell>
        </row>
        <row r="1073">
          <cell r="G1073">
            <v>2409230203</v>
          </cell>
          <cell r="H1073" t="str">
            <v>116동</v>
          </cell>
          <cell r="I1073">
            <v>240923</v>
          </cell>
          <cell r="J1073" t="str">
            <v>116동 지하1층 바닥 2차</v>
          </cell>
          <cell r="K1073">
            <v>534</v>
          </cell>
          <cell r="L1073">
            <v>534</v>
          </cell>
          <cell r="M1073">
            <v>3015</v>
          </cell>
          <cell r="N1073" t="str">
            <v>대원</v>
          </cell>
          <cell r="O1073" t="str">
            <v>펌프카(1대)</v>
          </cell>
          <cell r="P1073">
            <v>756</v>
          </cell>
          <cell r="Q1073">
            <v>1528</v>
          </cell>
          <cell r="R1073">
            <v>160</v>
          </cell>
          <cell r="S1073">
            <v>47</v>
          </cell>
          <cell r="T1073">
            <v>91</v>
          </cell>
          <cell r="U1073">
            <v>253</v>
          </cell>
          <cell r="V1073"/>
          <cell r="W1073" t="str">
            <v>박순홍</v>
          </cell>
          <cell r="X1073" t="str">
            <v>(인)</v>
          </cell>
          <cell r="Y1073" t="str">
            <v>박순홍</v>
          </cell>
          <cell r="Z1073" t="str">
            <v>(인)</v>
          </cell>
          <cell r="AA1073" t="str">
            <v>이홍걸</v>
          </cell>
          <cell r="AB1073" t="str">
            <v>(인)</v>
          </cell>
          <cell r="AC1073" t="str">
            <v>박상갑</v>
          </cell>
          <cell r="AD1073" t="str">
            <v>(인)</v>
          </cell>
          <cell r="AE1073">
            <v>180.6</v>
          </cell>
          <cell r="AF1073" t="str">
            <v>표준</v>
          </cell>
          <cell r="AG1073">
            <v>3</v>
          </cell>
          <cell r="AH1073">
            <v>0</v>
          </cell>
        </row>
        <row r="1074">
          <cell r="G1074">
            <v>2409230204</v>
          </cell>
          <cell r="H1074" t="str">
            <v>116동</v>
          </cell>
          <cell r="I1074">
            <v>240923</v>
          </cell>
          <cell r="J1074" t="str">
            <v>116동 지하1층 바닥 2차</v>
          </cell>
          <cell r="K1074">
            <v>534</v>
          </cell>
          <cell r="L1074">
            <v>534</v>
          </cell>
          <cell r="M1074">
            <v>3015</v>
          </cell>
          <cell r="N1074" t="str">
            <v>대원</v>
          </cell>
          <cell r="O1074" t="str">
            <v>펌프카(1대)</v>
          </cell>
          <cell r="P1074">
            <v>756</v>
          </cell>
          <cell r="Q1074">
            <v>1528</v>
          </cell>
          <cell r="R1074">
            <v>155</v>
          </cell>
          <cell r="S1074">
            <v>43</v>
          </cell>
          <cell r="T1074">
            <v>53</v>
          </cell>
          <cell r="U1074">
            <v>247</v>
          </cell>
          <cell r="V1074"/>
          <cell r="W1074" t="str">
            <v>박순홍</v>
          </cell>
          <cell r="X1074" t="str">
            <v>(인)</v>
          </cell>
          <cell r="Y1074" t="str">
            <v>박순홍</v>
          </cell>
          <cell r="Z1074" t="str">
            <v>(인)</v>
          </cell>
          <cell r="AA1074" t="str">
            <v>박기원</v>
          </cell>
          <cell r="AB1074" t="str">
            <v>(인)</v>
          </cell>
          <cell r="AC1074" t="str">
            <v>박상갑</v>
          </cell>
          <cell r="AD1074" t="str">
            <v>(인)</v>
          </cell>
          <cell r="AE1074">
            <v>187.6</v>
          </cell>
          <cell r="AF1074" t="str">
            <v>표준</v>
          </cell>
          <cell r="AG1074">
            <v>4</v>
          </cell>
          <cell r="AH1074">
            <v>1</v>
          </cell>
          <cell r="AL1074">
            <v>3949</v>
          </cell>
          <cell r="AM1074">
            <v>3419</v>
          </cell>
          <cell r="AN1074">
            <v>3678</v>
          </cell>
          <cell r="AO1074">
            <v>3894</v>
          </cell>
          <cell r="AP1074">
            <v>3872</v>
          </cell>
          <cell r="AQ1074">
            <v>3729</v>
          </cell>
          <cell r="AR1074">
            <v>3536</v>
          </cell>
          <cell r="AS1074">
            <v>4014</v>
          </cell>
          <cell r="AT1074">
            <v>311600</v>
          </cell>
        </row>
        <row r="1075">
          <cell r="G1075">
            <v>2409230205</v>
          </cell>
          <cell r="H1075" t="str">
            <v>116동</v>
          </cell>
          <cell r="I1075">
            <v>240923</v>
          </cell>
          <cell r="J1075" t="str">
            <v>116동 지하1층 바닥 2차</v>
          </cell>
          <cell r="K1075">
            <v>534</v>
          </cell>
          <cell r="L1075">
            <v>534</v>
          </cell>
          <cell r="M1075">
            <v>3015</v>
          </cell>
          <cell r="N1075" t="str">
            <v>대원</v>
          </cell>
          <cell r="O1075" t="str">
            <v>펌프카(1대)</v>
          </cell>
          <cell r="P1075">
            <v>756</v>
          </cell>
          <cell r="Q1075">
            <v>1528</v>
          </cell>
          <cell r="R1075">
            <v>165</v>
          </cell>
          <cell r="S1075">
            <v>45</v>
          </cell>
          <cell r="T1075">
            <v>79</v>
          </cell>
          <cell r="U1075">
            <v>249</v>
          </cell>
          <cell r="V1075"/>
          <cell r="W1075" t="str">
            <v>박순홍</v>
          </cell>
          <cell r="X1075" t="str">
            <v>(인)</v>
          </cell>
          <cell r="Y1075" t="str">
            <v>박순홍</v>
          </cell>
          <cell r="Z1075" t="str">
            <v>(인)</v>
          </cell>
          <cell r="AA1075" t="str">
            <v>박기원</v>
          </cell>
          <cell r="AB1075" t="str">
            <v>(인)</v>
          </cell>
          <cell r="AC1075" t="str">
            <v>박상갑</v>
          </cell>
          <cell r="AD1075" t="str">
            <v>(인)</v>
          </cell>
          <cell r="AE1075">
            <v>189.4</v>
          </cell>
          <cell r="AF1075" t="str">
            <v>표준</v>
          </cell>
          <cell r="AG1075">
            <v>5</v>
          </cell>
          <cell r="AH1075">
            <v>0</v>
          </cell>
        </row>
        <row r="1076">
          <cell r="G1076">
            <v>2409230301</v>
          </cell>
          <cell r="H1076" t="str">
            <v>116동</v>
          </cell>
          <cell r="I1076">
            <v>240923</v>
          </cell>
          <cell r="J1076" t="str">
            <v>116동 지하1층 바닥 2차</v>
          </cell>
          <cell r="K1076">
            <v>108</v>
          </cell>
          <cell r="L1076">
            <v>108</v>
          </cell>
          <cell r="M1076">
            <v>2715</v>
          </cell>
          <cell r="N1076" t="str">
            <v>대원</v>
          </cell>
          <cell r="O1076" t="str">
            <v>펌프카(1대)</v>
          </cell>
          <cell r="P1076">
            <v>1445</v>
          </cell>
          <cell r="Q1076">
            <v>1659</v>
          </cell>
          <cell r="R1076">
            <v>160</v>
          </cell>
          <cell r="S1076">
            <v>47</v>
          </cell>
          <cell r="T1076">
            <v>55</v>
          </cell>
          <cell r="U1076">
            <v>245</v>
          </cell>
          <cell r="V1076"/>
          <cell r="W1076" t="str">
            <v>박순홍</v>
          </cell>
          <cell r="X1076" t="str">
            <v>(인)</v>
          </cell>
          <cell r="Y1076" t="str">
            <v>박순홍</v>
          </cell>
          <cell r="Z1076" t="str">
            <v>(인)</v>
          </cell>
          <cell r="AA1076" t="str">
            <v>박기원</v>
          </cell>
          <cell r="AB1076" t="str">
            <v>(인)</v>
          </cell>
          <cell r="AC1076" t="str">
            <v>박상갑</v>
          </cell>
          <cell r="AD1076" t="str">
            <v>(인)</v>
          </cell>
          <cell r="AE1076">
            <v>184.7</v>
          </cell>
          <cell r="AF1076" t="str">
            <v>표준</v>
          </cell>
          <cell r="AG1076">
            <v>1</v>
          </cell>
          <cell r="AH1076">
            <v>1</v>
          </cell>
          <cell r="AI1076">
            <v>2528</v>
          </cell>
          <cell r="AJ1076">
            <v>2472</v>
          </cell>
          <cell r="AK1076">
            <v>185000</v>
          </cell>
          <cell r="AL1076">
            <v>3496</v>
          </cell>
          <cell r="AM1076">
            <v>3514</v>
          </cell>
          <cell r="AN1076">
            <v>3502</v>
          </cell>
          <cell r="AO1076">
            <v>3418</v>
          </cell>
          <cell r="AP1076">
            <v>3407</v>
          </cell>
          <cell r="AQ1076">
            <v>3529</v>
          </cell>
          <cell r="AR1076">
            <v>3436</v>
          </cell>
          <cell r="AS1076">
            <v>3429</v>
          </cell>
          <cell r="AT1076">
            <v>280200</v>
          </cell>
        </row>
        <row r="1077">
          <cell r="G1077">
            <v>2409230401</v>
          </cell>
          <cell r="H1077" t="str">
            <v>101동</v>
          </cell>
          <cell r="I1077">
            <v>240923</v>
          </cell>
          <cell r="J1077" t="str">
            <v>101동 주변 휀룸</v>
          </cell>
          <cell r="K1077">
            <v>10</v>
          </cell>
          <cell r="L1077">
            <v>10</v>
          </cell>
          <cell r="M1077">
            <v>2715</v>
          </cell>
          <cell r="N1077" t="str">
            <v>동양</v>
          </cell>
          <cell r="O1077" t="str">
            <v>펌프카(1대)</v>
          </cell>
          <cell r="P1077">
            <v>1412</v>
          </cell>
          <cell r="Q1077">
            <v>1520</v>
          </cell>
          <cell r="R1077">
            <v>160</v>
          </cell>
          <cell r="S1077">
            <v>46</v>
          </cell>
          <cell r="T1077">
            <v>38</v>
          </cell>
          <cell r="U1077">
            <v>263</v>
          </cell>
          <cell r="V1077"/>
          <cell r="W1077" t="str">
            <v>박순홍</v>
          </cell>
          <cell r="X1077" t="str">
            <v>(인)</v>
          </cell>
          <cell r="Y1077" t="str">
            <v>박순홍</v>
          </cell>
          <cell r="Z1077" t="str">
            <v>(인)</v>
          </cell>
          <cell r="AA1077" t="str">
            <v>박기원</v>
          </cell>
          <cell r="AB1077" t="str">
            <v>(인)</v>
          </cell>
          <cell r="AC1077" t="str">
            <v>박상갑</v>
          </cell>
          <cell r="AD1077" t="str">
            <v>(인)</v>
          </cell>
          <cell r="AE1077">
            <v>190.4</v>
          </cell>
          <cell r="AF1077" t="str">
            <v>표준</v>
          </cell>
          <cell r="AG1077">
            <v>1</v>
          </cell>
          <cell r="AH1077">
            <v>1</v>
          </cell>
          <cell r="AI1077">
            <v>2327</v>
          </cell>
          <cell r="AJ1077">
            <v>2362</v>
          </cell>
          <cell r="AK1077">
            <v>190000</v>
          </cell>
          <cell r="AL1077">
            <v>3575</v>
          </cell>
          <cell r="AM1077">
            <v>3478</v>
          </cell>
          <cell r="AN1077">
            <v>3519</v>
          </cell>
          <cell r="AO1077">
            <v>3436</v>
          </cell>
          <cell r="AP1077">
            <v>3429</v>
          </cell>
          <cell r="AQ1077">
            <v>3502</v>
          </cell>
          <cell r="AR1077">
            <v>3418</v>
          </cell>
          <cell r="AS1077">
            <v>3467</v>
          </cell>
          <cell r="AT1077">
            <v>270400</v>
          </cell>
        </row>
        <row r="1078">
          <cell r="G1078">
            <v>2409240101</v>
          </cell>
          <cell r="H1078" t="str">
            <v>120동</v>
          </cell>
          <cell r="I1078">
            <v>240924</v>
          </cell>
          <cell r="J1078" t="str">
            <v>120동 지하1층 바닥</v>
          </cell>
          <cell r="K1078">
            <v>750</v>
          </cell>
          <cell r="L1078">
            <v>750</v>
          </cell>
          <cell r="M1078">
            <v>3015</v>
          </cell>
          <cell r="N1078" t="str">
            <v>용호</v>
          </cell>
          <cell r="O1078" t="str">
            <v>펌프카(1대)</v>
          </cell>
          <cell r="P1078">
            <v>751</v>
          </cell>
          <cell r="Q1078">
            <v>1628</v>
          </cell>
          <cell r="R1078">
            <v>160</v>
          </cell>
          <cell r="S1078">
            <v>49</v>
          </cell>
          <cell r="T1078">
            <v>56</v>
          </cell>
          <cell r="U1078">
            <v>242</v>
          </cell>
          <cell r="V1078"/>
          <cell r="W1078" t="str">
            <v>박순홍</v>
          </cell>
          <cell r="X1078" t="str">
            <v>(인)</v>
          </cell>
          <cell r="Y1078" t="str">
            <v>박순홍</v>
          </cell>
          <cell r="Z1078" t="str">
            <v>(인)</v>
          </cell>
          <cell r="AA1078" t="str">
            <v>박기원</v>
          </cell>
          <cell r="AB1078" t="str">
            <v>(인)</v>
          </cell>
          <cell r="AC1078" t="str">
            <v>박상갑</v>
          </cell>
          <cell r="AD1078" t="str">
            <v>(인)</v>
          </cell>
          <cell r="AE1078">
            <v>175.9</v>
          </cell>
          <cell r="AF1078" t="str">
            <v>표준</v>
          </cell>
          <cell r="AG1078">
            <v>1</v>
          </cell>
          <cell r="AH1078">
            <v>1</v>
          </cell>
          <cell r="AI1078">
            <v>2439</v>
          </cell>
          <cell r="AJ1078">
            <v>2477</v>
          </cell>
          <cell r="AK1078">
            <v>229000</v>
          </cell>
          <cell r="AL1078">
            <v>3729</v>
          </cell>
          <cell r="AM1078">
            <v>3788</v>
          </cell>
          <cell r="AN1078">
            <v>3862</v>
          </cell>
          <cell r="AO1078">
            <v>3926</v>
          </cell>
          <cell r="AP1078">
            <v>3714</v>
          </cell>
          <cell r="AQ1078">
            <v>3767</v>
          </cell>
          <cell r="AR1078">
            <v>3864</v>
          </cell>
          <cell r="AS1078">
            <v>3829</v>
          </cell>
          <cell r="AT1078">
            <v>294800</v>
          </cell>
        </row>
        <row r="1079">
          <cell r="G1079">
            <v>2409240102</v>
          </cell>
          <cell r="H1079" t="str">
            <v>120동</v>
          </cell>
          <cell r="I1079">
            <v>240924</v>
          </cell>
          <cell r="J1079" t="str">
            <v>120동 지하1층 바닥</v>
          </cell>
          <cell r="K1079">
            <v>750</v>
          </cell>
          <cell r="L1079">
            <v>750</v>
          </cell>
          <cell r="M1079">
            <v>3015</v>
          </cell>
          <cell r="N1079" t="str">
            <v>용호</v>
          </cell>
          <cell r="O1079" t="str">
            <v>펌프카(1대)</v>
          </cell>
          <cell r="P1079">
            <v>751</v>
          </cell>
          <cell r="Q1079">
            <v>1628</v>
          </cell>
          <cell r="R1079">
            <v>170</v>
          </cell>
          <cell r="S1079">
            <v>51</v>
          </cell>
          <cell r="T1079">
            <v>38</v>
          </cell>
          <cell r="U1079">
            <v>231</v>
          </cell>
          <cell r="V1079"/>
          <cell r="W1079" t="str">
            <v>박순홍</v>
          </cell>
          <cell r="X1079" t="str">
            <v>(인)</v>
          </cell>
          <cell r="Y1079" t="str">
            <v>박순홍</v>
          </cell>
          <cell r="Z1079" t="str">
            <v>(인)</v>
          </cell>
          <cell r="AA1079" t="str">
            <v>박기원</v>
          </cell>
          <cell r="AB1079" t="str">
            <v>(인)</v>
          </cell>
          <cell r="AC1079" t="str">
            <v>박상갑</v>
          </cell>
          <cell r="AD1079" t="str">
            <v>(인)</v>
          </cell>
          <cell r="AE1079">
            <v>177.5</v>
          </cell>
          <cell r="AF1079" t="str">
            <v>표준</v>
          </cell>
          <cell r="AG1079">
            <v>2</v>
          </cell>
          <cell r="AH1079">
            <v>0</v>
          </cell>
        </row>
        <row r="1080">
          <cell r="G1080">
            <v>2409240103</v>
          </cell>
          <cell r="H1080" t="str">
            <v>120동</v>
          </cell>
          <cell r="I1080">
            <v>240924</v>
          </cell>
          <cell r="J1080" t="str">
            <v>120동 지하1층 바닥</v>
          </cell>
          <cell r="K1080">
            <v>750</v>
          </cell>
          <cell r="L1080">
            <v>750</v>
          </cell>
          <cell r="M1080">
            <v>3015</v>
          </cell>
          <cell r="N1080" t="str">
            <v>용호</v>
          </cell>
          <cell r="O1080" t="str">
            <v>펌프카(1대)</v>
          </cell>
          <cell r="P1080">
            <v>751</v>
          </cell>
          <cell r="Q1080">
            <v>1628</v>
          </cell>
          <cell r="R1080">
            <v>170</v>
          </cell>
          <cell r="S1080">
            <v>44</v>
          </cell>
          <cell r="T1080">
            <v>46</v>
          </cell>
          <cell r="U1080">
            <v>228</v>
          </cell>
          <cell r="V1080"/>
          <cell r="W1080" t="str">
            <v>박순홍</v>
          </cell>
          <cell r="X1080" t="str">
            <v>(인)</v>
          </cell>
          <cell r="Y1080" t="str">
            <v>박순홍</v>
          </cell>
          <cell r="Z1080" t="str">
            <v>(인)</v>
          </cell>
          <cell r="AA1080" t="str">
            <v>박기원</v>
          </cell>
          <cell r="AB1080" t="str">
            <v>(인)</v>
          </cell>
          <cell r="AC1080" t="str">
            <v>박상갑</v>
          </cell>
          <cell r="AD1080" t="str">
            <v>(인)</v>
          </cell>
          <cell r="AE1080">
            <v>185.3</v>
          </cell>
          <cell r="AF1080" t="str">
            <v>표준</v>
          </cell>
          <cell r="AG1080">
            <v>3</v>
          </cell>
          <cell r="AH1080">
            <v>0</v>
          </cell>
          <cell r="AI1080"/>
          <cell r="AJ1080"/>
        </row>
        <row r="1081">
          <cell r="G1081">
            <v>2409240104</v>
          </cell>
          <cell r="H1081" t="str">
            <v>120동</v>
          </cell>
          <cell r="I1081">
            <v>240924</v>
          </cell>
          <cell r="J1081" t="str">
            <v>120동 지하1층 바닥</v>
          </cell>
          <cell r="K1081">
            <v>750</v>
          </cell>
          <cell r="L1081">
            <v>750</v>
          </cell>
          <cell r="M1081">
            <v>3015</v>
          </cell>
          <cell r="N1081" t="str">
            <v>용호</v>
          </cell>
          <cell r="O1081" t="str">
            <v>펌프카(1대)</v>
          </cell>
          <cell r="P1081">
            <v>751</v>
          </cell>
          <cell r="Q1081">
            <v>1628</v>
          </cell>
          <cell r="R1081">
            <v>165</v>
          </cell>
          <cell r="S1081">
            <v>46</v>
          </cell>
          <cell r="T1081">
            <v>64</v>
          </cell>
          <cell r="U1081">
            <v>264</v>
          </cell>
          <cell r="V1081"/>
          <cell r="W1081" t="str">
            <v>박순홍</v>
          </cell>
          <cell r="X1081" t="str">
            <v>(인)</v>
          </cell>
          <cell r="Y1081" t="str">
            <v>박순홍</v>
          </cell>
          <cell r="Z1081" t="str">
            <v>(인)</v>
          </cell>
          <cell r="AA1081" t="str">
            <v>박기원</v>
          </cell>
          <cell r="AB1081" t="str">
            <v>(인)</v>
          </cell>
          <cell r="AC1081" t="str">
            <v>박상갑</v>
          </cell>
          <cell r="AD1081" t="str">
            <v>(인)</v>
          </cell>
          <cell r="AE1081">
            <v>186.4</v>
          </cell>
          <cell r="AF1081" t="str">
            <v>표준</v>
          </cell>
          <cell r="AG1081">
            <v>4</v>
          </cell>
          <cell r="AH1081">
            <v>1</v>
          </cell>
          <cell r="AL1081">
            <v>3862</v>
          </cell>
          <cell r="AM1081">
            <v>3926</v>
          </cell>
          <cell r="AN1081">
            <v>3877</v>
          </cell>
          <cell r="AO1081">
            <v>3726</v>
          </cell>
          <cell r="AP1081">
            <v>3784</v>
          </cell>
          <cell r="AQ1081">
            <v>3936</v>
          </cell>
          <cell r="AR1081">
            <v>3927</v>
          </cell>
          <cell r="AS1081">
            <v>3820</v>
          </cell>
          <cell r="AT1081">
            <v>312600</v>
          </cell>
        </row>
        <row r="1082">
          <cell r="G1082">
            <v>2409240105</v>
          </cell>
          <cell r="H1082" t="str">
            <v>120동</v>
          </cell>
          <cell r="I1082">
            <v>240924</v>
          </cell>
          <cell r="J1082" t="str">
            <v>120동 지하1층 바닥</v>
          </cell>
          <cell r="K1082">
            <v>750</v>
          </cell>
          <cell r="L1082">
            <v>750</v>
          </cell>
          <cell r="M1082">
            <v>3015</v>
          </cell>
          <cell r="N1082" t="str">
            <v>용호</v>
          </cell>
          <cell r="O1082" t="str">
            <v>펌프카(1대)</v>
          </cell>
          <cell r="P1082">
            <v>751</v>
          </cell>
          <cell r="Q1082">
            <v>1628</v>
          </cell>
          <cell r="R1082">
            <v>170</v>
          </cell>
          <cell r="S1082">
            <v>51</v>
          </cell>
          <cell r="T1082">
            <v>68</v>
          </cell>
          <cell r="U1082">
            <v>262</v>
          </cell>
          <cell r="V1082"/>
          <cell r="W1082" t="str">
            <v>박순홍</v>
          </cell>
          <cell r="X1082" t="str">
            <v>(인)</v>
          </cell>
          <cell r="Y1082" t="str">
            <v>박순홍</v>
          </cell>
          <cell r="Z1082" t="str">
            <v>(인)</v>
          </cell>
          <cell r="AA1082" t="str">
            <v>박기원</v>
          </cell>
          <cell r="AB1082" t="str">
            <v>(인)</v>
          </cell>
          <cell r="AC1082" t="str">
            <v>박상갑</v>
          </cell>
          <cell r="AD1082" t="str">
            <v>(인)</v>
          </cell>
          <cell r="AE1082">
            <v>189.3</v>
          </cell>
          <cell r="AF1082" t="str">
            <v>표준</v>
          </cell>
          <cell r="AG1082">
            <v>5</v>
          </cell>
          <cell r="AH1082">
            <v>0</v>
          </cell>
        </row>
        <row r="1083">
          <cell r="G1083">
            <v>2409240106</v>
          </cell>
          <cell r="H1083" t="str">
            <v>120동</v>
          </cell>
          <cell r="I1083">
            <v>240924</v>
          </cell>
          <cell r="J1083" t="str">
            <v>120동 지하1층 바닥</v>
          </cell>
          <cell r="K1083">
            <v>750</v>
          </cell>
          <cell r="L1083">
            <v>750</v>
          </cell>
          <cell r="M1083">
            <v>3015</v>
          </cell>
          <cell r="N1083" t="str">
            <v>용호</v>
          </cell>
          <cell r="O1083" t="str">
            <v>펌프카(1대)</v>
          </cell>
          <cell r="P1083">
            <v>751</v>
          </cell>
          <cell r="Q1083">
            <v>1628</v>
          </cell>
          <cell r="R1083">
            <v>170</v>
          </cell>
          <cell r="S1083">
            <v>47</v>
          </cell>
          <cell r="T1083">
            <v>30</v>
          </cell>
          <cell r="U1083">
            <v>258</v>
          </cell>
          <cell r="V1083"/>
          <cell r="W1083" t="str">
            <v>박순홍</v>
          </cell>
          <cell r="X1083" t="str">
            <v>(인)</v>
          </cell>
          <cell r="Y1083" t="str">
            <v>박순홍</v>
          </cell>
          <cell r="Z1083" t="str">
            <v>(인)</v>
          </cell>
          <cell r="AA1083" t="str">
            <v>박기원</v>
          </cell>
          <cell r="AB1083" t="str">
            <v>(인)</v>
          </cell>
          <cell r="AC1083" t="str">
            <v>박상갑</v>
          </cell>
          <cell r="AD1083" t="str">
            <v>(인)</v>
          </cell>
          <cell r="AE1083">
            <v>184.3</v>
          </cell>
          <cell r="AF1083" t="str">
            <v>표준</v>
          </cell>
          <cell r="AG1083">
            <v>6</v>
          </cell>
          <cell r="AH1083">
            <v>0</v>
          </cell>
        </row>
        <row r="1084">
          <cell r="G1084">
            <v>2409240107</v>
          </cell>
          <cell r="H1084" t="str">
            <v>120동</v>
          </cell>
          <cell r="I1084">
            <v>240924</v>
          </cell>
          <cell r="J1084" t="str">
            <v>120동 지하1층 바닥</v>
          </cell>
          <cell r="K1084">
            <v>750</v>
          </cell>
          <cell r="L1084">
            <v>750</v>
          </cell>
          <cell r="M1084">
            <v>3015</v>
          </cell>
          <cell r="N1084" t="str">
            <v>용호</v>
          </cell>
          <cell r="O1084" t="str">
            <v>펌프카(1대)</v>
          </cell>
          <cell r="P1084">
            <v>751</v>
          </cell>
          <cell r="Q1084">
            <v>1628</v>
          </cell>
          <cell r="R1084">
            <v>160</v>
          </cell>
          <cell r="S1084">
            <v>42</v>
          </cell>
          <cell r="T1084">
            <v>52</v>
          </cell>
          <cell r="U1084">
            <v>242</v>
          </cell>
          <cell r="V1084"/>
          <cell r="W1084" t="str">
            <v>박순홍</v>
          </cell>
          <cell r="X1084" t="str">
            <v>(인)</v>
          </cell>
          <cell r="Y1084" t="str">
            <v>박순홍</v>
          </cell>
          <cell r="Z1084" t="str">
            <v>(인)</v>
          </cell>
          <cell r="AA1084" t="str">
            <v>박기원</v>
          </cell>
          <cell r="AB1084" t="str">
            <v>(인)</v>
          </cell>
          <cell r="AC1084" t="str">
            <v>박상갑</v>
          </cell>
          <cell r="AD1084" t="str">
            <v>(인)</v>
          </cell>
          <cell r="AE1084">
            <v>186.3</v>
          </cell>
          <cell r="AF1084" t="str">
            <v>표준</v>
          </cell>
          <cell r="AG1084">
            <v>7</v>
          </cell>
          <cell r="AH1084">
            <v>1</v>
          </cell>
          <cell r="AL1084">
            <v>3891</v>
          </cell>
          <cell r="AM1084">
            <v>3674</v>
          </cell>
          <cell r="AN1084">
            <v>3719</v>
          </cell>
          <cell r="AO1084">
            <v>3862</v>
          </cell>
          <cell r="AP1084">
            <v>3792</v>
          </cell>
          <cell r="AQ1084">
            <v>3619</v>
          </cell>
          <cell r="AR1084">
            <v>3926</v>
          </cell>
          <cell r="AS1084">
            <v>3729</v>
          </cell>
          <cell r="AT1084">
            <v>307000</v>
          </cell>
        </row>
        <row r="1085">
          <cell r="G1085">
            <v>2409240201</v>
          </cell>
          <cell r="H1085" t="str">
            <v>120동</v>
          </cell>
          <cell r="I1085">
            <v>240924</v>
          </cell>
          <cell r="J1085" t="str">
            <v>120동 주변주차장 지하1층 바닥</v>
          </cell>
          <cell r="K1085">
            <v>18</v>
          </cell>
          <cell r="L1085">
            <v>18</v>
          </cell>
          <cell r="M1085">
            <v>2715</v>
          </cell>
          <cell r="N1085" t="str">
            <v>용호</v>
          </cell>
          <cell r="O1085" t="str">
            <v>펌프카(1대)</v>
          </cell>
          <cell r="P1085">
            <v>1648</v>
          </cell>
          <cell r="Q1085">
            <v>1702</v>
          </cell>
          <cell r="R1085">
            <v>165</v>
          </cell>
          <cell r="S1085">
            <v>44</v>
          </cell>
          <cell r="T1085">
            <v>87</v>
          </cell>
          <cell r="U1085">
            <v>248</v>
          </cell>
          <cell r="V1085"/>
          <cell r="W1085" t="str">
            <v>박순홍</v>
          </cell>
          <cell r="X1085" t="str">
            <v>(인)</v>
          </cell>
          <cell r="Y1085" t="str">
            <v>박순홍</v>
          </cell>
          <cell r="Z1085" t="str">
            <v>(인)</v>
          </cell>
          <cell r="AA1085" t="str">
            <v>박기원</v>
          </cell>
          <cell r="AB1085" t="str">
            <v>(인)</v>
          </cell>
          <cell r="AC1085" t="str">
            <v>박상갑</v>
          </cell>
          <cell r="AD1085" t="str">
            <v>(인)</v>
          </cell>
          <cell r="AE1085">
            <v>189.4</v>
          </cell>
          <cell r="AF1085" t="str">
            <v>표준</v>
          </cell>
          <cell r="AG1085">
            <v>1</v>
          </cell>
          <cell r="AH1085">
            <v>1</v>
          </cell>
          <cell r="AI1085">
            <v>2816</v>
          </cell>
          <cell r="AJ1085">
            <v>2836</v>
          </cell>
          <cell r="AK1085">
            <v>199400</v>
          </cell>
          <cell r="AL1085">
            <v>3453</v>
          </cell>
          <cell r="AM1085">
            <v>3353</v>
          </cell>
          <cell r="AN1085">
            <v>3429</v>
          </cell>
          <cell r="AO1085">
            <v>3277</v>
          </cell>
          <cell r="AP1085">
            <v>3319</v>
          </cell>
          <cell r="AQ1085">
            <v>3218</v>
          </cell>
          <cell r="AR1085">
            <v>3204</v>
          </cell>
          <cell r="AS1085">
            <v>3402</v>
          </cell>
          <cell r="AT1085">
            <v>263600</v>
          </cell>
        </row>
        <row r="1086">
          <cell r="G1086">
            <v>2409250101</v>
          </cell>
          <cell r="H1086" t="str">
            <v>120동</v>
          </cell>
          <cell r="I1086">
            <v>240925</v>
          </cell>
          <cell r="J1086" t="str">
            <v>120동 주변주차장 지하1층 바닥</v>
          </cell>
          <cell r="K1086">
            <v>227</v>
          </cell>
          <cell r="L1086">
            <v>227</v>
          </cell>
          <cell r="M1086">
            <v>2715</v>
          </cell>
          <cell r="N1086" t="str">
            <v>신우</v>
          </cell>
          <cell r="O1086" t="str">
            <v>펌프카(1대)</v>
          </cell>
          <cell r="P1086">
            <v>847</v>
          </cell>
          <cell r="Q1086">
            <v>1420</v>
          </cell>
          <cell r="R1086">
            <v>140</v>
          </cell>
          <cell r="S1086">
            <v>50</v>
          </cell>
          <cell r="T1086">
            <v>48</v>
          </cell>
          <cell r="U1086">
            <v>258</v>
          </cell>
          <cell r="V1086"/>
          <cell r="W1086" t="str">
            <v>박순홍</v>
          </cell>
          <cell r="X1086" t="str">
            <v>(인)</v>
          </cell>
          <cell r="Y1086" t="str">
            <v>박순홍</v>
          </cell>
          <cell r="Z1086" t="str">
            <v>(인)</v>
          </cell>
          <cell r="AA1086" t="str">
            <v>박기원</v>
          </cell>
          <cell r="AB1086" t="str">
            <v>(인)</v>
          </cell>
          <cell r="AC1086" t="str">
            <v>박상갑</v>
          </cell>
          <cell r="AD1086" t="str">
            <v>(인)</v>
          </cell>
          <cell r="AE1086">
            <v>192.6</v>
          </cell>
          <cell r="AF1086" t="str">
            <v>표준</v>
          </cell>
          <cell r="AG1086">
            <v>1</v>
          </cell>
          <cell r="AH1086">
            <v>1</v>
          </cell>
          <cell r="AI1086">
            <v>2411</v>
          </cell>
          <cell r="AJ1086">
            <v>2406</v>
          </cell>
          <cell r="AK1086">
            <v>191000</v>
          </cell>
          <cell r="AL1086">
            <v>3381</v>
          </cell>
          <cell r="AM1086">
            <v>3509</v>
          </cell>
          <cell r="AN1086">
            <v>3219</v>
          </cell>
          <cell r="AO1086">
            <v>3217</v>
          </cell>
          <cell r="AP1086">
            <v>3321</v>
          </cell>
          <cell r="AQ1086">
            <v>3306</v>
          </cell>
          <cell r="AR1086">
            <v>3307</v>
          </cell>
          <cell r="AS1086">
            <v>3406</v>
          </cell>
          <cell r="AT1086">
            <v>266400</v>
          </cell>
        </row>
        <row r="1087">
          <cell r="G1087">
            <v>2409250102</v>
          </cell>
          <cell r="H1087" t="str">
            <v>120동</v>
          </cell>
          <cell r="I1087">
            <v>240925</v>
          </cell>
          <cell r="J1087" t="str">
            <v>120동 주변주차장 지하1층 바닥</v>
          </cell>
          <cell r="K1087">
            <v>227</v>
          </cell>
          <cell r="L1087">
            <v>227</v>
          </cell>
          <cell r="M1087">
            <v>2715</v>
          </cell>
          <cell r="N1087" t="str">
            <v>신우</v>
          </cell>
          <cell r="O1087" t="str">
            <v>펌프카(1대)</v>
          </cell>
          <cell r="P1087">
            <v>847</v>
          </cell>
          <cell r="Q1087">
            <v>1420</v>
          </cell>
          <cell r="R1087">
            <v>150</v>
          </cell>
          <cell r="S1087">
            <v>46</v>
          </cell>
          <cell r="T1087">
            <v>31</v>
          </cell>
          <cell r="U1087">
            <v>264</v>
          </cell>
          <cell r="V1087"/>
          <cell r="W1087" t="str">
            <v>박순홍</v>
          </cell>
          <cell r="X1087" t="str">
            <v>(인)</v>
          </cell>
          <cell r="Y1087" t="str">
            <v>박순홍</v>
          </cell>
          <cell r="Z1087" t="str">
            <v>(인)</v>
          </cell>
          <cell r="AA1087" t="str">
            <v>박기원</v>
          </cell>
          <cell r="AB1087" t="str">
            <v>(인)</v>
          </cell>
          <cell r="AC1087" t="str">
            <v>박상갑</v>
          </cell>
          <cell r="AD1087" t="str">
            <v>(인)</v>
          </cell>
          <cell r="AE1087">
            <v>192.4</v>
          </cell>
          <cell r="AF1087" t="str">
            <v>표준</v>
          </cell>
          <cell r="AG1087">
            <v>2</v>
          </cell>
          <cell r="AH1087">
            <v>0</v>
          </cell>
        </row>
        <row r="1088">
          <cell r="G1088">
            <v>2409260101</v>
          </cell>
          <cell r="H1088" t="str">
            <v>104동</v>
          </cell>
          <cell r="I1088">
            <v>240926</v>
          </cell>
          <cell r="J1088" t="str">
            <v>104동 지붕층 바닥</v>
          </cell>
          <cell r="K1088">
            <v>330</v>
          </cell>
          <cell r="L1088">
            <v>330</v>
          </cell>
          <cell r="M1088">
            <v>3018</v>
          </cell>
          <cell r="N1088" t="str">
            <v>대성</v>
          </cell>
          <cell r="O1088" t="str">
            <v>펌프카(1대)</v>
          </cell>
          <cell r="P1088">
            <v>941</v>
          </cell>
          <cell r="Q1088">
            <v>1500</v>
          </cell>
          <cell r="R1088">
            <v>190</v>
          </cell>
          <cell r="S1088">
            <v>51</v>
          </cell>
          <cell r="T1088">
            <v>45</v>
          </cell>
          <cell r="U1088">
            <v>245</v>
          </cell>
          <cell r="V1088"/>
          <cell r="W1088" t="str">
            <v>박순홍</v>
          </cell>
          <cell r="X1088" t="str">
            <v>(인)</v>
          </cell>
          <cell r="Y1088" t="str">
            <v>박순홍</v>
          </cell>
          <cell r="Z1088" t="str">
            <v>(인)</v>
          </cell>
          <cell r="AA1088" t="str">
            <v>박기원</v>
          </cell>
          <cell r="AB1088" t="str">
            <v>(인)</v>
          </cell>
          <cell r="AC1088" t="str">
            <v>박상갑</v>
          </cell>
          <cell r="AD1088" t="str">
            <v>(인)</v>
          </cell>
          <cell r="AE1088">
            <v>192.6</v>
          </cell>
          <cell r="AF1088" t="str">
            <v>표준</v>
          </cell>
          <cell r="AG1088">
            <v>1</v>
          </cell>
          <cell r="AH1088">
            <v>1</v>
          </cell>
          <cell r="AI1088">
            <v>2678</v>
          </cell>
          <cell r="AJ1088">
            <v>2690</v>
          </cell>
          <cell r="AK1088">
            <v>217200</v>
          </cell>
          <cell r="AL1088">
            <v>3236</v>
          </cell>
          <cell r="AM1088">
            <v>3244</v>
          </cell>
          <cell r="AN1088">
            <v>3218</v>
          </cell>
          <cell r="AO1088">
            <v>3306</v>
          </cell>
          <cell r="AP1088">
            <v>3307</v>
          </cell>
          <cell r="AQ1088">
            <v>3402</v>
          </cell>
          <cell r="AR1088">
            <v>3219</v>
          </cell>
          <cell r="AS1088">
            <v>3304</v>
          </cell>
          <cell r="AT1088">
            <v>260000</v>
          </cell>
        </row>
        <row r="1089">
          <cell r="G1089">
            <v>2409260102</v>
          </cell>
          <cell r="H1089" t="str">
            <v>104동</v>
          </cell>
          <cell r="I1089">
            <v>240926</v>
          </cell>
          <cell r="J1089" t="str">
            <v>104동 지붕층 바닥</v>
          </cell>
          <cell r="K1089">
            <v>330</v>
          </cell>
          <cell r="L1089">
            <v>330</v>
          </cell>
          <cell r="M1089">
            <v>3018</v>
          </cell>
          <cell r="N1089" t="str">
            <v>대성</v>
          </cell>
          <cell r="O1089" t="str">
            <v>펌프카(1대)</v>
          </cell>
          <cell r="P1089">
            <v>941</v>
          </cell>
          <cell r="Q1089">
            <v>1500</v>
          </cell>
          <cell r="R1089">
            <v>200</v>
          </cell>
          <cell r="S1089">
            <v>49</v>
          </cell>
          <cell r="T1089">
            <v>48</v>
          </cell>
          <cell r="U1089">
            <v>269</v>
          </cell>
          <cell r="V1089"/>
          <cell r="W1089" t="str">
            <v>박순홍</v>
          </cell>
          <cell r="X1089" t="str">
            <v>(인)</v>
          </cell>
          <cell r="Y1089" t="str">
            <v>박순홍</v>
          </cell>
          <cell r="Z1089" t="str">
            <v>(인)</v>
          </cell>
          <cell r="AA1089" t="str">
            <v>박기원</v>
          </cell>
          <cell r="AB1089" t="str">
            <v>(인)</v>
          </cell>
          <cell r="AC1089" t="str">
            <v>박상갑</v>
          </cell>
          <cell r="AD1089" t="str">
            <v>(인)</v>
          </cell>
          <cell r="AE1089">
            <v>192.4</v>
          </cell>
          <cell r="AF1089" t="str">
            <v>표준</v>
          </cell>
          <cell r="AG1089">
            <v>2</v>
          </cell>
          <cell r="AH1089">
            <v>0</v>
          </cell>
        </row>
        <row r="1090">
          <cell r="G1090">
            <v>2409260103</v>
          </cell>
          <cell r="H1090" t="str">
            <v>104동</v>
          </cell>
          <cell r="I1090">
            <v>240926</v>
          </cell>
          <cell r="J1090" t="str">
            <v>104동 지붕층 바닥</v>
          </cell>
          <cell r="K1090">
            <v>330</v>
          </cell>
          <cell r="L1090">
            <v>330</v>
          </cell>
          <cell r="M1090">
            <v>3018</v>
          </cell>
          <cell r="N1090" t="str">
            <v>대성</v>
          </cell>
          <cell r="O1090" t="str">
            <v>펌프카(1대)</v>
          </cell>
          <cell r="P1090">
            <v>941</v>
          </cell>
          <cell r="Q1090">
            <v>1500</v>
          </cell>
          <cell r="R1090">
            <v>200</v>
          </cell>
          <cell r="S1090">
            <v>45</v>
          </cell>
          <cell r="T1090">
            <v>49</v>
          </cell>
          <cell r="U1090">
            <v>268</v>
          </cell>
          <cell r="V1090"/>
          <cell r="W1090" t="str">
            <v>박순홍</v>
          </cell>
          <cell r="X1090" t="str">
            <v>(인)</v>
          </cell>
          <cell r="Y1090" t="str">
            <v>박순홍</v>
          </cell>
          <cell r="Z1090" t="str">
            <v>(인)</v>
          </cell>
          <cell r="AA1090" t="str">
            <v>박기원</v>
          </cell>
          <cell r="AB1090" t="str">
            <v>(인)</v>
          </cell>
          <cell r="AC1090" t="str">
            <v>박상갑</v>
          </cell>
          <cell r="AD1090" t="str">
            <v>(인)</v>
          </cell>
          <cell r="AE1090">
            <v>192.4</v>
          </cell>
          <cell r="AF1090" t="str">
            <v>표준</v>
          </cell>
          <cell r="AG1090">
            <v>3</v>
          </cell>
          <cell r="AH1090">
            <v>0</v>
          </cell>
        </row>
        <row r="1091">
          <cell r="G1091">
            <v>2409260201</v>
          </cell>
          <cell r="H1091" t="str">
            <v>118동</v>
          </cell>
          <cell r="I1091">
            <v>240926</v>
          </cell>
          <cell r="J1091" t="str">
            <v>118동 및 주변주차장 지하1층 바닥</v>
          </cell>
          <cell r="K1091">
            <v>360</v>
          </cell>
          <cell r="L1091">
            <v>360</v>
          </cell>
          <cell r="M1091">
            <v>3015</v>
          </cell>
          <cell r="N1091" t="str">
            <v>영진</v>
          </cell>
          <cell r="O1091" t="str">
            <v>펌프카(1대)</v>
          </cell>
          <cell r="P1091">
            <v>722</v>
          </cell>
          <cell r="Q1091">
            <v>1228</v>
          </cell>
          <cell r="R1091">
            <v>165</v>
          </cell>
          <cell r="S1091">
            <v>51</v>
          </cell>
          <cell r="T1091">
            <v>4</v>
          </cell>
          <cell r="U1091">
            <v>222</v>
          </cell>
          <cell r="V1091"/>
          <cell r="W1091" t="str">
            <v>박순홍</v>
          </cell>
          <cell r="X1091" t="str">
            <v>(인)</v>
          </cell>
          <cell r="Y1091" t="str">
            <v>박순홍</v>
          </cell>
          <cell r="Z1091" t="str">
            <v>(인)</v>
          </cell>
          <cell r="AA1091" t="str">
            <v>박기원</v>
          </cell>
          <cell r="AB1091" t="str">
            <v>(인)</v>
          </cell>
          <cell r="AC1091" t="str">
            <v>박상갑</v>
          </cell>
          <cell r="AD1091" t="str">
            <v>(인)</v>
          </cell>
          <cell r="AE1091">
            <v>171.6</v>
          </cell>
          <cell r="AF1091" t="str">
            <v>표준</v>
          </cell>
          <cell r="AG1091">
            <v>1</v>
          </cell>
          <cell r="AH1091">
            <v>1</v>
          </cell>
          <cell r="AI1091">
            <v>2841</v>
          </cell>
          <cell r="AJ1091">
            <v>2816</v>
          </cell>
          <cell r="AK1091">
            <v>216800</v>
          </cell>
          <cell r="AL1091">
            <v>3475</v>
          </cell>
          <cell r="AM1091">
            <v>3702</v>
          </cell>
          <cell r="AN1091">
            <v>3602</v>
          </cell>
          <cell r="AO1091">
            <v>3612</v>
          </cell>
          <cell r="AP1091">
            <v>3642</v>
          </cell>
          <cell r="AQ1091">
            <v>3648</v>
          </cell>
          <cell r="AR1091">
            <v>3719</v>
          </cell>
          <cell r="AS1091">
            <v>3604</v>
          </cell>
          <cell r="AT1091">
            <v>282600</v>
          </cell>
        </row>
        <row r="1092">
          <cell r="G1092">
            <v>2409260202</v>
          </cell>
          <cell r="H1092" t="str">
            <v>118동</v>
          </cell>
          <cell r="I1092">
            <v>240926</v>
          </cell>
          <cell r="J1092" t="str">
            <v>118동 및 주변주차장 지하1층 바닥</v>
          </cell>
          <cell r="K1092">
            <v>360</v>
          </cell>
          <cell r="L1092">
            <v>360</v>
          </cell>
          <cell r="M1092">
            <v>3015</v>
          </cell>
          <cell r="N1092" t="str">
            <v>영진</v>
          </cell>
          <cell r="O1092" t="str">
            <v>펌프카(1대)</v>
          </cell>
          <cell r="P1092">
            <v>722</v>
          </cell>
          <cell r="Q1092">
            <v>1228</v>
          </cell>
          <cell r="R1092">
            <v>170</v>
          </cell>
          <cell r="S1092">
            <v>49</v>
          </cell>
          <cell r="T1092">
            <v>3</v>
          </cell>
          <cell r="U1092">
            <v>224</v>
          </cell>
          <cell r="V1092"/>
          <cell r="W1092" t="str">
            <v>박순홍</v>
          </cell>
          <cell r="X1092" t="str">
            <v>(인)</v>
          </cell>
          <cell r="Y1092" t="str">
            <v>박순홍</v>
          </cell>
          <cell r="Z1092" t="str">
            <v>(인)</v>
          </cell>
          <cell r="AA1092" t="str">
            <v>박기원</v>
          </cell>
          <cell r="AB1092" t="str">
            <v>(인)</v>
          </cell>
          <cell r="AC1092" t="str">
            <v>박상갑</v>
          </cell>
          <cell r="AD1092" t="str">
            <v>(인)</v>
          </cell>
          <cell r="AE1092">
            <v>172</v>
          </cell>
          <cell r="AF1092" t="str">
            <v>표준</v>
          </cell>
          <cell r="AG1092">
            <v>2</v>
          </cell>
          <cell r="AH1092">
            <v>0</v>
          </cell>
        </row>
        <row r="1093">
          <cell r="G1093">
            <v>2409260203</v>
          </cell>
          <cell r="H1093" t="str">
            <v>118동</v>
          </cell>
          <cell r="I1093">
            <v>240926</v>
          </cell>
          <cell r="J1093" t="str">
            <v>118동 및 주변주차장 지하1층 바닥</v>
          </cell>
          <cell r="K1093">
            <v>360</v>
          </cell>
          <cell r="L1093">
            <v>360</v>
          </cell>
          <cell r="M1093">
            <v>3015</v>
          </cell>
          <cell r="N1093" t="str">
            <v>영진</v>
          </cell>
          <cell r="O1093" t="str">
            <v>펌프카(1대)</v>
          </cell>
          <cell r="P1093">
            <v>722</v>
          </cell>
          <cell r="Q1093">
            <v>1228</v>
          </cell>
          <cell r="R1093">
            <v>170</v>
          </cell>
          <cell r="S1093">
            <v>39</v>
          </cell>
          <cell r="T1093">
            <v>2</v>
          </cell>
          <cell r="U1093">
            <v>248</v>
          </cell>
          <cell r="V1093"/>
          <cell r="W1093" t="str">
            <v>박순홍</v>
          </cell>
          <cell r="X1093" t="str">
            <v>(인)</v>
          </cell>
          <cell r="Y1093" t="str">
            <v>박순홍</v>
          </cell>
          <cell r="Z1093" t="str">
            <v>(인)</v>
          </cell>
          <cell r="AA1093" t="str">
            <v>박기원</v>
          </cell>
          <cell r="AB1093" t="str">
            <v>(인)</v>
          </cell>
          <cell r="AC1093" t="str">
            <v>박상갑</v>
          </cell>
          <cell r="AD1093" t="str">
            <v>(인)</v>
          </cell>
          <cell r="AE1093">
            <v>172.5</v>
          </cell>
          <cell r="AF1093" t="str">
            <v>표준</v>
          </cell>
          <cell r="AG1093">
            <v>3</v>
          </cell>
          <cell r="AH1093">
            <v>0</v>
          </cell>
        </row>
        <row r="1094">
          <cell r="G1094">
            <v>2409260301</v>
          </cell>
          <cell r="H1094" t="str">
            <v>118동</v>
          </cell>
          <cell r="I1094">
            <v>240926</v>
          </cell>
          <cell r="J1094" t="str">
            <v>118동 및 주변주차장 지하1층 바닥</v>
          </cell>
          <cell r="K1094">
            <v>276</v>
          </cell>
          <cell r="L1094">
            <v>276</v>
          </cell>
          <cell r="M1094">
            <v>3015</v>
          </cell>
          <cell r="N1094" t="str">
            <v>대공</v>
          </cell>
          <cell r="O1094" t="str">
            <v>펌프카(1대)</v>
          </cell>
          <cell r="P1094">
            <v>753</v>
          </cell>
          <cell r="Q1094">
            <v>1150</v>
          </cell>
          <cell r="R1094">
            <v>170</v>
          </cell>
          <cell r="S1094">
            <v>44</v>
          </cell>
          <cell r="T1094">
            <v>21</v>
          </cell>
          <cell r="U1094">
            <v>211</v>
          </cell>
          <cell r="V1094"/>
          <cell r="W1094" t="str">
            <v>박순홍</v>
          </cell>
          <cell r="X1094" t="str">
            <v>(인)</v>
          </cell>
          <cell r="Y1094" t="str">
            <v>박순홍</v>
          </cell>
          <cell r="Z1094" t="str">
            <v>(인)</v>
          </cell>
          <cell r="AA1094" t="str">
            <v>박기원</v>
          </cell>
          <cell r="AB1094" t="str">
            <v>(인)</v>
          </cell>
          <cell r="AC1094" t="str">
            <v>박상갑</v>
          </cell>
          <cell r="AD1094" t="str">
            <v>(인)</v>
          </cell>
          <cell r="AE1094">
            <v>169.2</v>
          </cell>
          <cell r="AF1094" t="str">
            <v>표준</v>
          </cell>
          <cell r="AG1094">
            <v>1</v>
          </cell>
          <cell r="AH1094">
            <v>1</v>
          </cell>
          <cell r="AI1094">
            <v>2846</v>
          </cell>
          <cell r="AJ1094">
            <v>2902</v>
          </cell>
          <cell r="AK1094">
            <v>234600</v>
          </cell>
          <cell r="AL1094">
            <v>3901</v>
          </cell>
          <cell r="AM1094">
            <v>3756</v>
          </cell>
          <cell r="AN1094">
            <v>3619</v>
          </cell>
          <cell r="AO1094">
            <v>3813</v>
          </cell>
          <cell r="AP1094">
            <v>3792</v>
          </cell>
          <cell r="AQ1094">
            <v>3836</v>
          </cell>
          <cell r="AR1094">
            <v>3812</v>
          </cell>
          <cell r="AS1094">
            <v>3719</v>
          </cell>
          <cell r="AT1094">
            <v>299400</v>
          </cell>
        </row>
        <row r="1095">
          <cell r="G1095">
            <v>2409260302</v>
          </cell>
          <cell r="H1095" t="str">
            <v>118동</v>
          </cell>
          <cell r="I1095">
            <v>240926</v>
          </cell>
          <cell r="J1095" t="str">
            <v>118동 및 주변주차장 지하1층 바닥</v>
          </cell>
          <cell r="K1095">
            <v>276</v>
          </cell>
          <cell r="L1095">
            <v>276</v>
          </cell>
          <cell r="M1095">
            <v>3015</v>
          </cell>
          <cell r="N1095" t="str">
            <v>대공</v>
          </cell>
          <cell r="O1095" t="str">
            <v>펌프카(1대)</v>
          </cell>
          <cell r="P1095">
            <v>753</v>
          </cell>
          <cell r="Q1095">
            <v>1150</v>
          </cell>
          <cell r="R1095">
            <v>150</v>
          </cell>
          <cell r="S1095">
            <v>46</v>
          </cell>
          <cell r="T1095">
            <v>30</v>
          </cell>
          <cell r="U1095">
            <v>206</v>
          </cell>
          <cell r="V1095"/>
          <cell r="W1095" t="str">
            <v>박순홍</v>
          </cell>
          <cell r="X1095" t="str">
            <v>(인)</v>
          </cell>
          <cell r="Y1095" t="str">
            <v>박순홍</v>
          </cell>
          <cell r="Z1095" t="str">
            <v>(인)</v>
          </cell>
          <cell r="AA1095" t="str">
            <v>박기원</v>
          </cell>
          <cell r="AB1095" t="str">
            <v>(인)</v>
          </cell>
          <cell r="AC1095" t="str">
            <v>박상갑</v>
          </cell>
          <cell r="AD1095" t="str">
            <v>(인)</v>
          </cell>
          <cell r="AE1095">
            <v>168.6</v>
          </cell>
          <cell r="AF1095" t="str">
            <v>표준</v>
          </cell>
          <cell r="AG1095">
            <v>2</v>
          </cell>
          <cell r="AH1095">
            <v>0</v>
          </cell>
        </row>
        <row r="1096">
          <cell r="G1096">
            <v>2409260303</v>
          </cell>
          <cell r="H1096" t="str">
            <v>118동</v>
          </cell>
          <cell r="I1096">
            <v>240926</v>
          </cell>
          <cell r="J1096" t="str">
            <v>118동 및 주변주차장 지하1층 바닥</v>
          </cell>
          <cell r="K1096">
            <v>276</v>
          </cell>
          <cell r="L1096">
            <v>276</v>
          </cell>
          <cell r="M1096">
            <v>3015</v>
          </cell>
          <cell r="N1096" t="str">
            <v>대공</v>
          </cell>
          <cell r="O1096" t="str">
            <v>펌프카(1대)</v>
          </cell>
          <cell r="P1096">
            <v>753</v>
          </cell>
          <cell r="Q1096">
            <v>1150</v>
          </cell>
          <cell r="R1096">
            <v>175</v>
          </cell>
          <cell r="S1096">
            <v>47</v>
          </cell>
          <cell r="T1096">
            <v>35</v>
          </cell>
          <cell r="U1096">
            <v>227</v>
          </cell>
          <cell r="V1096"/>
          <cell r="W1096" t="str">
            <v>박순홍</v>
          </cell>
          <cell r="X1096" t="str">
            <v>(인)</v>
          </cell>
          <cell r="Y1096" t="str">
            <v>박순홍</v>
          </cell>
          <cell r="Z1096" t="str">
            <v>(인)</v>
          </cell>
          <cell r="AA1096" t="str">
            <v>박기원</v>
          </cell>
          <cell r="AB1096" t="str">
            <v>(인)</v>
          </cell>
          <cell r="AC1096" t="str">
            <v>박상갑</v>
          </cell>
          <cell r="AD1096" t="str">
            <v>(인)</v>
          </cell>
          <cell r="AE1096">
            <v>164.1</v>
          </cell>
          <cell r="AF1096" t="str">
            <v>표준</v>
          </cell>
          <cell r="AG1096">
            <v>3</v>
          </cell>
          <cell r="AH1096">
            <v>0</v>
          </cell>
        </row>
        <row r="1097">
          <cell r="G1097">
            <v>2409260401</v>
          </cell>
          <cell r="H1097" t="str">
            <v>118동</v>
          </cell>
          <cell r="I1097">
            <v>240926</v>
          </cell>
          <cell r="J1097" t="str">
            <v>118동 및 주변주차장 지하1층 바닥</v>
          </cell>
          <cell r="K1097">
            <v>222</v>
          </cell>
          <cell r="L1097">
            <v>222</v>
          </cell>
          <cell r="M1097">
            <v>2715</v>
          </cell>
          <cell r="N1097" t="str">
            <v>영진</v>
          </cell>
          <cell r="O1097" t="str">
            <v>펌프카(1대)</v>
          </cell>
          <cell r="P1097">
            <v>1220</v>
          </cell>
          <cell r="Q1097">
            <v>1515</v>
          </cell>
          <cell r="R1097">
            <v>155</v>
          </cell>
          <cell r="S1097">
            <v>47</v>
          </cell>
          <cell r="T1097">
            <v>51</v>
          </cell>
          <cell r="U1097">
            <v>281</v>
          </cell>
          <cell r="V1097"/>
          <cell r="W1097" t="str">
            <v>박순홍</v>
          </cell>
          <cell r="X1097" t="str">
            <v>(인)</v>
          </cell>
          <cell r="Y1097" t="str">
            <v>박순홍</v>
          </cell>
          <cell r="Z1097" t="str">
            <v>(인)</v>
          </cell>
          <cell r="AA1097" t="str">
            <v>박기원</v>
          </cell>
          <cell r="AB1097" t="str">
            <v>(인)</v>
          </cell>
          <cell r="AC1097" t="str">
            <v>박상갑</v>
          </cell>
          <cell r="AD1097" t="str">
            <v>(인)</v>
          </cell>
          <cell r="AE1097">
            <v>180.4</v>
          </cell>
          <cell r="AF1097" t="str">
            <v>표준</v>
          </cell>
          <cell r="AG1097">
            <v>1</v>
          </cell>
          <cell r="AH1097">
            <v>1</v>
          </cell>
          <cell r="AI1097">
            <v>2444</v>
          </cell>
          <cell r="AJ1097">
            <v>2402</v>
          </cell>
          <cell r="AK1097">
            <v>187000</v>
          </cell>
          <cell r="AL1097">
            <v>3218</v>
          </cell>
          <cell r="AM1097">
            <v>3239</v>
          </cell>
          <cell r="AN1097">
            <v>3362</v>
          </cell>
          <cell r="AO1097">
            <v>3406</v>
          </cell>
          <cell r="AP1097">
            <v>3419</v>
          </cell>
          <cell r="AQ1097">
            <v>3404</v>
          </cell>
          <cell r="AR1097">
            <v>3419</v>
          </cell>
          <cell r="AS1097">
            <v>3218</v>
          </cell>
          <cell r="AT1097">
            <v>258200</v>
          </cell>
        </row>
        <row r="1098">
          <cell r="G1098">
            <v>2409260402</v>
          </cell>
          <cell r="H1098" t="str">
            <v>118동</v>
          </cell>
          <cell r="I1098">
            <v>240926</v>
          </cell>
          <cell r="J1098" t="str">
            <v>118동 및 주변주차장 지하1층 바닥</v>
          </cell>
          <cell r="K1098">
            <v>222</v>
          </cell>
          <cell r="L1098">
            <v>222</v>
          </cell>
          <cell r="M1098">
            <v>2715</v>
          </cell>
          <cell r="N1098" t="str">
            <v>영진</v>
          </cell>
          <cell r="O1098" t="str">
            <v>펌프카(1대)</v>
          </cell>
          <cell r="P1098">
            <v>1220</v>
          </cell>
          <cell r="Q1098">
            <v>1515</v>
          </cell>
          <cell r="R1098">
            <v>175</v>
          </cell>
          <cell r="S1098">
            <v>43</v>
          </cell>
          <cell r="T1098">
            <v>55</v>
          </cell>
          <cell r="U1098">
            <v>276</v>
          </cell>
          <cell r="V1098"/>
          <cell r="W1098" t="str">
            <v>박순홍</v>
          </cell>
          <cell r="X1098" t="str">
            <v>(인)</v>
          </cell>
          <cell r="Y1098" t="str">
            <v>박순홍</v>
          </cell>
          <cell r="Z1098" t="str">
            <v>(인)</v>
          </cell>
          <cell r="AA1098" t="str">
            <v>박기원</v>
          </cell>
          <cell r="AB1098" t="str">
            <v>(인)</v>
          </cell>
          <cell r="AC1098" t="str">
            <v>박상갑</v>
          </cell>
          <cell r="AD1098" t="str">
            <v>(인)</v>
          </cell>
          <cell r="AE1098">
            <v>177.6</v>
          </cell>
          <cell r="AF1098" t="str">
            <v>표준</v>
          </cell>
          <cell r="AG1098">
            <v>2</v>
          </cell>
          <cell r="AH1098">
            <v>0</v>
          </cell>
        </row>
        <row r="1099">
          <cell r="G1099">
            <v>2409260501</v>
          </cell>
          <cell r="H1099" t="str">
            <v>118동</v>
          </cell>
          <cell r="I1099">
            <v>240926</v>
          </cell>
          <cell r="J1099" t="str">
            <v>118동 및 주변주차장 지하1층 바닥</v>
          </cell>
          <cell r="K1099">
            <v>192</v>
          </cell>
          <cell r="L1099">
            <v>192</v>
          </cell>
          <cell r="M1099">
            <v>2715</v>
          </cell>
          <cell r="N1099" t="str">
            <v>대공</v>
          </cell>
          <cell r="O1099" t="str">
            <v>펌프카(1대)</v>
          </cell>
          <cell r="P1099">
            <v>1210</v>
          </cell>
          <cell r="Q1099">
            <v>1452</v>
          </cell>
          <cell r="R1099">
            <v>140</v>
          </cell>
          <cell r="S1099">
            <v>43</v>
          </cell>
          <cell r="T1099">
            <v>36</v>
          </cell>
          <cell r="U1099">
            <v>274</v>
          </cell>
          <cell r="V1099"/>
          <cell r="W1099" t="str">
            <v>박순홍</v>
          </cell>
          <cell r="X1099" t="str">
            <v>(인)</v>
          </cell>
          <cell r="Y1099" t="str">
            <v>박순홍</v>
          </cell>
          <cell r="Z1099" t="str">
            <v>(인)</v>
          </cell>
          <cell r="AA1099" t="str">
            <v>박기원</v>
          </cell>
          <cell r="AB1099" t="str">
            <v>(인)</v>
          </cell>
          <cell r="AC1099" t="str">
            <v>박상갑</v>
          </cell>
          <cell r="AD1099" t="str">
            <v>(인)</v>
          </cell>
          <cell r="AE1099">
            <v>182.4</v>
          </cell>
          <cell r="AF1099" t="str">
            <v>표준</v>
          </cell>
          <cell r="AG1099">
            <v>1</v>
          </cell>
          <cell r="AH1099">
            <v>1</v>
          </cell>
          <cell r="AI1099">
            <v>2419</v>
          </cell>
          <cell r="AJ1099">
            <v>2487</v>
          </cell>
          <cell r="AK1099">
            <v>195000</v>
          </cell>
          <cell r="AL1099">
            <v>3483</v>
          </cell>
          <cell r="AM1099">
            <v>3432</v>
          </cell>
          <cell r="AN1099">
            <v>3419</v>
          </cell>
          <cell r="AO1099">
            <v>3506</v>
          </cell>
          <cell r="AP1099">
            <v>3419</v>
          </cell>
          <cell r="AQ1099">
            <v>3517</v>
          </cell>
          <cell r="AR1099">
            <v>3362</v>
          </cell>
          <cell r="AS1099">
            <v>3408</v>
          </cell>
          <cell r="AT1099">
            <v>271600</v>
          </cell>
        </row>
        <row r="1100">
          <cell r="G1100">
            <v>2409260502</v>
          </cell>
          <cell r="H1100" t="str">
            <v>118동</v>
          </cell>
          <cell r="I1100">
            <v>240926</v>
          </cell>
          <cell r="J1100" t="str">
            <v>118동 및 주변주차장 지하1층 바닥</v>
          </cell>
          <cell r="K1100">
            <v>192</v>
          </cell>
          <cell r="L1100">
            <v>192</v>
          </cell>
          <cell r="M1100">
            <v>2715</v>
          </cell>
          <cell r="N1100" t="str">
            <v>대공</v>
          </cell>
          <cell r="O1100" t="str">
            <v>펌프카(1대)</v>
          </cell>
          <cell r="P1100">
            <v>1210</v>
          </cell>
          <cell r="Q1100">
            <v>1452</v>
          </cell>
          <cell r="R1100">
            <v>165</v>
          </cell>
          <cell r="S1100">
            <v>44</v>
          </cell>
          <cell r="T1100">
            <v>50</v>
          </cell>
          <cell r="U1100">
            <v>267</v>
          </cell>
          <cell r="V1100"/>
          <cell r="W1100" t="str">
            <v>박순홍</v>
          </cell>
          <cell r="X1100" t="str">
            <v>(인)</v>
          </cell>
          <cell r="Y1100" t="str">
            <v>박순홍</v>
          </cell>
          <cell r="Z1100" t="str">
            <v>(인)</v>
          </cell>
          <cell r="AA1100" t="str">
            <v>박기원</v>
          </cell>
          <cell r="AB1100" t="str">
            <v>(인)</v>
          </cell>
          <cell r="AC1100" t="str">
            <v>박상갑</v>
          </cell>
          <cell r="AD1100" t="str">
            <v>(인)</v>
          </cell>
          <cell r="AE1100">
            <v>186.2</v>
          </cell>
          <cell r="AF1100" t="str">
            <v>표준</v>
          </cell>
          <cell r="AG1100">
            <v>2</v>
          </cell>
          <cell r="AH1100">
            <v>0</v>
          </cell>
        </row>
        <row r="1101">
          <cell r="G1101">
            <v>2409260601</v>
          </cell>
          <cell r="H1101" t="str">
            <v>101동</v>
          </cell>
          <cell r="I1101">
            <v>240926</v>
          </cell>
          <cell r="J1101" t="str">
            <v>101~102동 사이 휀룸</v>
          </cell>
          <cell r="K1101">
            <v>5</v>
          </cell>
          <cell r="L1101">
            <v>5</v>
          </cell>
          <cell r="M1101">
            <v>2715</v>
          </cell>
          <cell r="N1101" t="str">
            <v>대성</v>
          </cell>
          <cell r="O1101" t="str">
            <v>펌프카(1대)</v>
          </cell>
          <cell r="P1101">
            <v>1530</v>
          </cell>
          <cell r="Q1101">
            <v>1540</v>
          </cell>
          <cell r="R1101">
            <v>160</v>
          </cell>
          <cell r="S1101">
            <v>48</v>
          </cell>
          <cell r="T1101">
            <v>21</v>
          </cell>
          <cell r="U1101">
            <v>264</v>
          </cell>
          <cell r="V1101"/>
          <cell r="W1101" t="str">
            <v>박순홍</v>
          </cell>
          <cell r="X1101" t="str">
            <v>(인)</v>
          </cell>
          <cell r="Y1101" t="str">
            <v>박순홍</v>
          </cell>
          <cell r="Z1101" t="str">
            <v>(인)</v>
          </cell>
          <cell r="AA1101" t="str">
            <v>박기원</v>
          </cell>
          <cell r="AB1101" t="str">
            <v>(인)</v>
          </cell>
          <cell r="AC1101" t="str">
            <v>박상갑</v>
          </cell>
          <cell r="AD1101" t="str">
            <v>(인)</v>
          </cell>
          <cell r="AE1101">
            <v>189.6</v>
          </cell>
          <cell r="AF1101" t="str">
            <v>표준</v>
          </cell>
          <cell r="AG1101">
            <v>1</v>
          </cell>
          <cell r="AH1101">
            <v>1</v>
          </cell>
          <cell r="AI1101">
            <v>2386</v>
          </cell>
          <cell r="AJ1101">
            <v>2370</v>
          </cell>
          <cell r="AK1101">
            <v>181600</v>
          </cell>
          <cell r="AL1101">
            <v>3292</v>
          </cell>
          <cell r="AM1101">
            <v>3256</v>
          </cell>
          <cell r="AN1101">
            <v>3129</v>
          </cell>
          <cell r="AO1101">
            <v>3306</v>
          </cell>
          <cell r="AP1101">
            <v>3219</v>
          </cell>
          <cell r="AQ1101">
            <v>3304</v>
          </cell>
          <cell r="AR1101">
            <v>3219</v>
          </cell>
          <cell r="AS1101">
            <v>3172</v>
          </cell>
          <cell r="AT1101">
            <v>256000</v>
          </cell>
        </row>
        <row r="1102">
          <cell r="G1102">
            <v>2409270101</v>
          </cell>
          <cell r="H1102" t="str">
            <v>113동</v>
          </cell>
          <cell r="I1102">
            <v>240927</v>
          </cell>
          <cell r="J1102" t="str">
            <v>113동 6층 바닥</v>
          </cell>
          <cell r="K1102">
            <v>330</v>
          </cell>
          <cell r="L1102">
            <v>330</v>
          </cell>
          <cell r="M1102">
            <v>3018</v>
          </cell>
          <cell r="N1102" t="str">
            <v>한진</v>
          </cell>
          <cell r="O1102" t="str">
            <v>펌프카(1대)</v>
          </cell>
          <cell r="P1102">
            <v>745</v>
          </cell>
          <cell r="Q1102">
            <v>1352</v>
          </cell>
          <cell r="R1102">
            <v>170</v>
          </cell>
          <cell r="S1102">
            <v>46</v>
          </cell>
          <cell r="T1102">
            <v>37</v>
          </cell>
          <cell r="U1102">
            <v>231</v>
          </cell>
          <cell r="V1102"/>
          <cell r="W1102" t="str">
            <v>박순홍</v>
          </cell>
          <cell r="X1102" t="str">
            <v>(인)</v>
          </cell>
          <cell r="Y1102" t="str">
            <v>박순홍</v>
          </cell>
          <cell r="Z1102" t="str">
            <v>(인)</v>
          </cell>
          <cell r="AA1102" t="str">
            <v>박기원</v>
          </cell>
          <cell r="AB1102" t="str">
            <v>(인)</v>
          </cell>
          <cell r="AC1102" t="str">
            <v>박상갑</v>
          </cell>
          <cell r="AD1102" t="str">
            <v>(인)</v>
          </cell>
          <cell r="AE1102">
            <v>181.8</v>
          </cell>
          <cell r="AF1102" t="str">
            <v>표준</v>
          </cell>
          <cell r="AG1102">
            <v>1</v>
          </cell>
          <cell r="AH1102">
            <v>1</v>
          </cell>
          <cell r="AI1102">
            <v>2902</v>
          </cell>
          <cell r="AJ1102">
            <v>2904</v>
          </cell>
          <cell r="AK1102">
            <v>227000</v>
          </cell>
          <cell r="AL1102">
            <v>3651</v>
          </cell>
          <cell r="AM1102">
            <v>3646</v>
          </cell>
          <cell r="AN1102">
            <v>3712</v>
          </cell>
          <cell r="AO1102">
            <v>3604</v>
          </cell>
          <cell r="AP1102">
            <v>3612</v>
          </cell>
          <cell r="AQ1102">
            <v>3684</v>
          </cell>
          <cell r="AR1102">
            <v>3692</v>
          </cell>
          <cell r="AS1102">
            <v>3572</v>
          </cell>
          <cell r="AT1102">
            <v>289400</v>
          </cell>
        </row>
        <row r="1103">
          <cell r="G1103">
            <v>2409270102</v>
          </cell>
          <cell r="H1103" t="str">
            <v>113동</v>
          </cell>
          <cell r="I1103">
            <v>240927</v>
          </cell>
          <cell r="J1103" t="str">
            <v>113동 6층 바닥</v>
          </cell>
          <cell r="K1103">
            <v>330</v>
          </cell>
          <cell r="L1103">
            <v>330</v>
          </cell>
          <cell r="M1103">
            <v>3018</v>
          </cell>
          <cell r="N1103" t="str">
            <v>한진</v>
          </cell>
          <cell r="O1103" t="str">
            <v>펌프카(1대)</v>
          </cell>
          <cell r="P1103">
            <v>745</v>
          </cell>
          <cell r="Q1103">
            <v>1352</v>
          </cell>
          <cell r="R1103">
            <v>175</v>
          </cell>
          <cell r="S1103">
            <v>50</v>
          </cell>
          <cell r="T1103">
            <v>118</v>
          </cell>
          <cell r="U1103">
            <v>252</v>
          </cell>
          <cell r="V1103"/>
          <cell r="W1103" t="str">
            <v>박순홍</v>
          </cell>
          <cell r="X1103" t="str">
            <v>(인)</v>
          </cell>
          <cell r="Y1103" t="str">
            <v>박순홍</v>
          </cell>
          <cell r="Z1103" t="str">
            <v>(인)</v>
          </cell>
          <cell r="AA1103" t="str">
            <v>박기원</v>
          </cell>
          <cell r="AB1103" t="str">
            <v>(인)</v>
          </cell>
          <cell r="AC1103" t="str">
            <v>박상갑</v>
          </cell>
          <cell r="AD1103" t="str">
            <v>(인)</v>
          </cell>
          <cell r="AE1103">
            <v>183.2</v>
          </cell>
          <cell r="AF1103" t="str">
            <v>표준</v>
          </cell>
          <cell r="AG1103">
            <v>2</v>
          </cell>
          <cell r="AH1103">
            <v>0</v>
          </cell>
        </row>
        <row r="1104">
          <cell r="G1104">
            <v>2409270103</v>
          </cell>
          <cell r="H1104" t="str">
            <v>113동</v>
          </cell>
          <cell r="I1104">
            <v>240927</v>
          </cell>
          <cell r="J1104" t="str">
            <v>113동 6층 바닥</v>
          </cell>
          <cell r="K1104">
            <v>330</v>
          </cell>
          <cell r="L1104">
            <v>330</v>
          </cell>
          <cell r="M1104">
            <v>3018</v>
          </cell>
          <cell r="N1104" t="str">
            <v>한진</v>
          </cell>
          <cell r="O1104" t="str">
            <v>펌프카(1대)</v>
          </cell>
          <cell r="P1104">
            <v>745</v>
          </cell>
          <cell r="Q1104">
            <v>1352</v>
          </cell>
          <cell r="R1104">
            <v>180</v>
          </cell>
          <cell r="S1104">
            <v>49</v>
          </cell>
          <cell r="T1104">
            <v>279</v>
          </cell>
          <cell r="U1104">
            <v>246</v>
          </cell>
          <cell r="V1104"/>
          <cell r="W1104" t="str">
            <v>박순홍</v>
          </cell>
          <cell r="X1104" t="str">
            <v>(인)</v>
          </cell>
          <cell r="Y1104" t="str">
            <v>박순홍</v>
          </cell>
          <cell r="Z1104" t="str">
            <v>(인)</v>
          </cell>
          <cell r="AA1104" t="str">
            <v>박기원</v>
          </cell>
          <cell r="AB1104" t="str">
            <v>(인)</v>
          </cell>
          <cell r="AC1104" t="str">
            <v>박상갑</v>
          </cell>
          <cell r="AD1104" t="str">
            <v>(인)</v>
          </cell>
          <cell r="AE1104">
            <v>184.4</v>
          </cell>
          <cell r="AF1104" t="str">
            <v>표준</v>
          </cell>
          <cell r="AG1104">
            <v>3</v>
          </cell>
          <cell r="AH1104">
            <v>0</v>
          </cell>
        </row>
        <row r="1105">
          <cell r="G1105">
            <v>2409270201</v>
          </cell>
          <cell r="H1105" t="str">
            <v>114동</v>
          </cell>
          <cell r="I1105">
            <v>240927</v>
          </cell>
          <cell r="J1105" t="str">
            <v>전기실, 발전기실 지하1층 바닥</v>
          </cell>
          <cell r="K1105">
            <v>162</v>
          </cell>
          <cell r="L1105">
            <v>162</v>
          </cell>
          <cell r="M1105">
            <v>3015</v>
          </cell>
          <cell r="N1105" t="str">
            <v>대원</v>
          </cell>
          <cell r="O1105" t="str">
            <v>펌프카(1대)</v>
          </cell>
          <cell r="P1105">
            <v>730</v>
          </cell>
          <cell r="Q1105">
            <v>1154</v>
          </cell>
          <cell r="R1105">
            <v>170</v>
          </cell>
          <cell r="S1105">
            <v>42</v>
          </cell>
          <cell r="T1105">
            <v>11</v>
          </cell>
          <cell r="U1105">
            <v>214</v>
          </cell>
          <cell r="V1105"/>
          <cell r="W1105" t="str">
            <v>박순홍</v>
          </cell>
          <cell r="X1105" t="str">
            <v>(인)</v>
          </cell>
          <cell r="Y1105" t="str">
            <v>박순홍</v>
          </cell>
          <cell r="Z1105" t="str">
            <v>(인)</v>
          </cell>
          <cell r="AA1105" t="str">
            <v>박기원</v>
          </cell>
          <cell r="AB1105" t="str">
            <v>(인)</v>
          </cell>
          <cell r="AC1105" t="str">
            <v>박상갑</v>
          </cell>
          <cell r="AD1105" t="str">
            <v>(인)</v>
          </cell>
          <cell r="AE1105">
            <v>173.7</v>
          </cell>
          <cell r="AF1105" t="str">
            <v>표준</v>
          </cell>
          <cell r="AG1105">
            <v>1</v>
          </cell>
          <cell r="AH1105">
            <v>1</v>
          </cell>
          <cell r="AI1105">
            <v>2953</v>
          </cell>
          <cell r="AJ1105">
            <v>2869</v>
          </cell>
          <cell r="AK1105">
            <v>219200</v>
          </cell>
          <cell r="AL1105">
            <v>4115</v>
          </cell>
          <cell r="AM1105">
            <v>3995</v>
          </cell>
          <cell r="AN1105">
            <v>3872</v>
          </cell>
          <cell r="AO1105">
            <v>3926</v>
          </cell>
          <cell r="AP1105">
            <v>4036</v>
          </cell>
          <cell r="AQ1105">
            <v>4012</v>
          </cell>
          <cell r="AR1105">
            <v>3962</v>
          </cell>
          <cell r="AS1105">
            <v>3872</v>
          </cell>
          <cell r="AT1105">
            <v>302400</v>
          </cell>
        </row>
        <row r="1106">
          <cell r="G1106">
            <v>2409270202</v>
          </cell>
          <cell r="H1106" t="str">
            <v>114동</v>
          </cell>
          <cell r="I1106">
            <v>240927</v>
          </cell>
          <cell r="J1106" t="str">
            <v>전기실, 발전기실 지하1층 바닥</v>
          </cell>
          <cell r="K1106">
            <v>162</v>
          </cell>
          <cell r="L1106">
            <v>162</v>
          </cell>
          <cell r="M1106">
            <v>3015</v>
          </cell>
          <cell r="N1106" t="str">
            <v>대원</v>
          </cell>
          <cell r="O1106" t="str">
            <v>펌프카(1대)</v>
          </cell>
          <cell r="P1106">
            <v>730</v>
          </cell>
          <cell r="Q1106">
            <v>1154</v>
          </cell>
          <cell r="R1106">
            <v>160</v>
          </cell>
          <cell r="S1106">
            <v>46</v>
          </cell>
          <cell r="T1106">
            <v>35</v>
          </cell>
          <cell r="U1106">
            <v>224</v>
          </cell>
          <cell r="V1106"/>
          <cell r="W1106" t="str">
            <v>박순홍</v>
          </cell>
          <cell r="X1106" t="str">
            <v>(인)</v>
          </cell>
          <cell r="Y1106" t="str">
            <v>박순홍</v>
          </cell>
          <cell r="Z1106" t="str">
            <v>(인)</v>
          </cell>
          <cell r="AA1106" t="str">
            <v>박기원</v>
          </cell>
          <cell r="AB1106" t="str">
            <v>(인)</v>
          </cell>
          <cell r="AC1106" t="str">
            <v>박상갑</v>
          </cell>
          <cell r="AD1106" t="str">
            <v>(인)</v>
          </cell>
          <cell r="AE1106">
            <v>173.6</v>
          </cell>
          <cell r="AF1106" t="str">
            <v>표준</v>
          </cell>
          <cell r="AG1106">
            <v>2</v>
          </cell>
          <cell r="AH1106">
            <v>0</v>
          </cell>
        </row>
        <row r="1107">
          <cell r="G1107">
            <v>2409270301</v>
          </cell>
          <cell r="H1107" t="str">
            <v>114동</v>
          </cell>
          <cell r="I1107">
            <v>240927</v>
          </cell>
          <cell r="J1107" t="str">
            <v>전기실, 발전기실 지하1층 바닥</v>
          </cell>
          <cell r="K1107">
            <v>474</v>
          </cell>
          <cell r="L1107">
            <v>474</v>
          </cell>
          <cell r="M1107">
            <v>2715</v>
          </cell>
          <cell r="N1107" t="str">
            <v>대원</v>
          </cell>
          <cell r="O1107" t="str">
            <v>펌프카(1대)</v>
          </cell>
          <cell r="P1107">
            <v>848</v>
          </cell>
          <cell r="Q1107">
            <v>1549</v>
          </cell>
          <cell r="R1107">
            <v>140</v>
          </cell>
          <cell r="S1107">
            <v>49</v>
          </cell>
          <cell r="T1107">
            <v>12</v>
          </cell>
          <cell r="U1107">
            <v>226</v>
          </cell>
          <cell r="V1107"/>
          <cell r="W1107" t="str">
            <v>박순홍</v>
          </cell>
          <cell r="X1107" t="str">
            <v>(인)</v>
          </cell>
          <cell r="Y1107" t="str">
            <v>박순홍</v>
          </cell>
          <cell r="Z1107" t="str">
            <v>(인)</v>
          </cell>
          <cell r="AA1107" t="str">
            <v>박기원</v>
          </cell>
          <cell r="AB1107" t="str">
            <v>(인)</v>
          </cell>
          <cell r="AC1107" t="str">
            <v>박상갑</v>
          </cell>
          <cell r="AD1107" t="str">
            <v>(인)</v>
          </cell>
          <cell r="AE1107">
            <v>178.6</v>
          </cell>
          <cell r="AF1107" t="str">
            <v>표준</v>
          </cell>
          <cell r="AG1107">
            <v>1</v>
          </cell>
          <cell r="AH1107">
            <v>1</v>
          </cell>
          <cell r="AI1107">
            <v>2447</v>
          </cell>
          <cell r="AJ1107">
            <v>2402</v>
          </cell>
          <cell r="AK1107">
            <v>186000</v>
          </cell>
          <cell r="AL1107">
            <v>3821</v>
          </cell>
          <cell r="AM1107">
            <v>3577</v>
          </cell>
          <cell r="AN1107">
            <v>3612</v>
          </cell>
          <cell r="AO1107">
            <v>3530</v>
          </cell>
          <cell r="AP1107">
            <v>3519</v>
          </cell>
          <cell r="AQ1107">
            <v>3436</v>
          </cell>
          <cell r="AR1107">
            <v>3419</v>
          </cell>
          <cell r="AS1107">
            <v>3504</v>
          </cell>
          <cell r="AT1107">
            <v>281000</v>
          </cell>
        </row>
        <row r="1108">
          <cell r="G1108">
            <v>2409270302</v>
          </cell>
          <cell r="H1108" t="str">
            <v>114동</v>
          </cell>
          <cell r="I1108">
            <v>240927</v>
          </cell>
          <cell r="J1108" t="str">
            <v>전기실, 발전기실 지하1층 바닥</v>
          </cell>
          <cell r="K1108">
            <v>474</v>
          </cell>
          <cell r="L1108">
            <v>474</v>
          </cell>
          <cell r="M1108">
            <v>2715</v>
          </cell>
          <cell r="N1108" t="str">
            <v>대원</v>
          </cell>
          <cell r="O1108" t="str">
            <v>펌프카(1대)</v>
          </cell>
          <cell r="P1108">
            <v>848</v>
          </cell>
          <cell r="Q1108">
            <v>1549</v>
          </cell>
          <cell r="R1108">
            <v>160</v>
          </cell>
          <cell r="S1108">
            <v>40</v>
          </cell>
          <cell r="T1108">
            <v>28</v>
          </cell>
          <cell r="U1108">
            <v>239</v>
          </cell>
          <cell r="V1108"/>
          <cell r="W1108" t="str">
            <v>박순홍</v>
          </cell>
          <cell r="X1108" t="str">
            <v>(인)</v>
          </cell>
          <cell r="Y1108" t="str">
            <v>박순홍</v>
          </cell>
          <cell r="Z1108" t="str">
            <v>(인)</v>
          </cell>
          <cell r="AA1108" t="str">
            <v>박기원</v>
          </cell>
          <cell r="AB1108" t="str">
            <v>(인)</v>
          </cell>
          <cell r="AC1108" t="str">
            <v>박상갑</v>
          </cell>
          <cell r="AD1108" t="str">
            <v>(인)</v>
          </cell>
          <cell r="AE1108">
            <v>179.1</v>
          </cell>
          <cell r="AF1108" t="str">
            <v>표준</v>
          </cell>
          <cell r="AG1108">
            <v>2</v>
          </cell>
          <cell r="AH1108">
            <v>0</v>
          </cell>
        </row>
        <row r="1109">
          <cell r="G1109">
            <v>2409270303</v>
          </cell>
          <cell r="H1109" t="str">
            <v>114동</v>
          </cell>
          <cell r="I1109">
            <v>240927</v>
          </cell>
          <cell r="J1109" t="str">
            <v>전기실, 발전기실 지하1층 바닥</v>
          </cell>
          <cell r="K1109">
            <v>474</v>
          </cell>
          <cell r="L1109">
            <v>474</v>
          </cell>
          <cell r="M1109">
            <v>2715</v>
          </cell>
          <cell r="N1109" t="str">
            <v>대원</v>
          </cell>
          <cell r="O1109" t="str">
            <v>펌프카(1대)</v>
          </cell>
          <cell r="P1109">
            <v>848</v>
          </cell>
          <cell r="Q1109">
            <v>1549</v>
          </cell>
          <cell r="R1109">
            <v>160</v>
          </cell>
          <cell r="S1109">
            <v>46</v>
          </cell>
          <cell r="T1109">
            <v>38</v>
          </cell>
          <cell r="U1109">
            <v>235</v>
          </cell>
          <cell r="V1109"/>
          <cell r="W1109" t="str">
            <v>박순홍</v>
          </cell>
          <cell r="X1109" t="str">
            <v>(인)</v>
          </cell>
          <cell r="Y1109" t="str">
            <v>박순홍</v>
          </cell>
          <cell r="Z1109" t="str">
            <v>(인)</v>
          </cell>
          <cell r="AA1109" t="str">
            <v>박기원</v>
          </cell>
          <cell r="AB1109" t="str">
            <v>(인)</v>
          </cell>
          <cell r="AC1109" t="str">
            <v>박상갑</v>
          </cell>
          <cell r="AD1109" t="str">
            <v>(인)</v>
          </cell>
          <cell r="AE1109">
            <v>181.9</v>
          </cell>
          <cell r="AF1109" t="str">
            <v>표준</v>
          </cell>
          <cell r="AG1109">
            <v>3</v>
          </cell>
          <cell r="AH1109">
            <v>0</v>
          </cell>
        </row>
        <row r="1110">
          <cell r="G1110">
            <v>2409270304</v>
          </cell>
          <cell r="H1110" t="str">
            <v>114동</v>
          </cell>
          <cell r="I1110">
            <v>240927</v>
          </cell>
          <cell r="J1110" t="str">
            <v>전기실, 발전기실 지하1층 바닥</v>
          </cell>
          <cell r="K1110">
            <v>474</v>
          </cell>
          <cell r="L1110">
            <v>474</v>
          </cell>
          <cell r="M1110">
            <v>2715</v>
          </cell>
          <cell r="N1110" t="str">
            <v>대원</v>
          </cell>
          <cell r="O1110" t="str">
            <v>펌프카(1대)</v>
          </cell>
          <cell r="P1110">
            <v>848</v>
          </cell>
          <cell r="Q1110">
            <v>1549</v>
          </cell>
          <cell r="R1110">
            <v>170</v>
          </cell>
          <cell r="S1110">
            <v>50</v>
          </cell>
          <cell r="T1110">
            <v>44</v>
          </cell>
          <cell r="U1110">
            <v>248</v>
          </cell>
          <cell r="V1110"/>
          <cell r="W1110" t="str">
            <v>박순홍</v>
          </cell>
          <cell r="X1110" t="str">
            <v>(인)</v>
          </cell>
          <cell r="Y1110" t="str">
            <v>박순홍</v>
          </cell>
          <cell r="Z1110" t="str">
            <v>(인)</v>
          </cell>
          <cell r="AA1110" t="str">
            <v>박기원</v>
          </cell>
          <cell r="AB1110" t="str">
            <v>(인)</v>
          </cell>
          <cell r="AC1110" t="str">
            <v>박상갑</v>
          </cell>
          <cell r="AD1110" t="str">
            <v>(인)</v>
          </cell>
          <cell r="AE1110">
            <v>189.4</v>
          </cell>
          <cell r="AF1110" t="str">
            <v>표준</v>
          </cell>
          <cell r="AG1110">
            <v>4</v>
          </cell>
          <cell r="AH1110">
            <v>1</v>
          </cell>
          <cell r="AL1110">
            <v>3412</v>
          </cell>
          <cell r="AM1110">
            <v>3391</v>
          </cell>
          <cell r="AN1110">
            <v>3412</v>
          </cell>
          <cell r="AO1110">
            <v>3506</v>
          </cell>
          <cell r="AP1110">
            <v>3512</v>
          </cell>
          <cell r="AQ1110">
            <v>3604</v>
          </cell>
          <cell r="AR1110">
            <v>3513</v>
          </cell>
          <cell r="AS1110">
            <v>3412</v>
          </cell>
          <cell r="AT1110">
            <v>271800</v>
          </cell>
        </row>
        <row r="1111">
          <cell r="G1111">
            <v>2409270401</v>
          </cell>
          <cell r="H1111" t="str">
            <v>102동</v>
          </cell>
          <cell r="I1111">
            <v>240927</v>
          </cell>
          <cell r="J1111" t="str">
            <v>102동 주변 누름</v>
          </cell>
          <cell r="K1111">
            <v>167</v>
          </cell>
          <cell r="L1111">
            <v>167</v>
          </cell>
          <cell r="M1111">
            <v>1815</v>
          </cell>
          <cell r="N1111" t="str">
            <v>용호</v>
          </cell>
          <cell r="O1111" t="str">
            <v>펌프카(1대)</v>
          </cell>
          <cell r="P1111">
            <v>756</v>
          </cell>
          <cell r="Q1111">
            <v>1358</v>
          </cell>
          <cell r="R1111">
            <v>170</v>
          </cell>
          <cell r="S1111">
            <v>50</v>
          </cell>
          <cell r="T1111">
            <v>22</v>
          </cell>
          <cell r="U1111">
            <v>211</v>
          </cell>
          <cell r="V1111"/>
          <cell r="W1111" t="str">
            <v>박순홍</v>
          </cell>
          <cell r="X1111" t="str">
            <v>(인)</v>
          </cell>
          <cell r="Y1111" t="str">
            <v>박순홍</v>
          </cell>
          <cell r="Z1111" t="str">
            <v>(인)</v>
          </cell>
          <cell r="AA1111" t="str">
            <v>박기원</v>
          </cell>
          <cell r="AB1111" t="str">
            <v>(인)</v>
          </cell>
          <cell r="AC1111" t="str">
            <v>박상갑</v>
          </cell>
          <cell r="AD1111" t="str">
            <v>(인)</v>
          </cell>
          <cell r="AE1111">
            <v>173.7</v>
          </cell>
          <cell r="AF1111" t="str">
            <v>표준</v>
          </cell>
          <cell r="AG1111">
            <v>1</v>
          </cell>
          <cell r="AH1111">
            <v>1</v>
          </cell>
          <cell r="AI1111">
            <v>1712</v>
          </cell>
          <cell r="AJ1111">
            <v>1684</v>
          </cell>
          <cell r="AK1111">
            <v>133800</v>
          </cell>
          <cell r="AL1111">
            <v>2360</v>
          </cell>
          <cell r="AM1111">
            <v>2324</v>
          </cell>
          <cell r="AN1111">
            <v>2312</v>
          </cell>
          <cell r="AO1111">
            <v>2316</v>
          </cell>
          <cell r="AP1111">
            <v>2402</v>
          </cell>
          <cell r="AQ1111">
            <v>2279</v>
          </cell>
          <cell r="AR1111">
            <v>2302</v>
          </cell>
          <cell r="AS1111">
            <v>2204</v>
          </cell>
          <cell r="AT1111">
            <v>183800</v>
          </cell>
        </row>
        <row r="1112">
          <cell r="G1112">
            <v>2409270402</v>
          </cell>
          <cell r="H1112" t="str">
            <v>102동</v>
          </cell>
          <cell r="I1112">
            <v>240927</v>
          </cell>
          <cell r="J1112" t="str">
            <v>102동 주변 누름</v>
          </cell>
          <cell r="K1112">
            <v>167</v>
          </cell>
          <cell r="L1112">
            <v>167</v>
          </cell>
          <cell r="M1112">
            <v>1815</v>
          </cell>
          <cell r="N1112" t="str">
            <v>용호</v>
          </cell>
          <cell r="O1112" t="str">
            <v>펌프카(1대)</v>
          </cell>
          <cell r="P1112">
            <v>756</v>
          </cell>
          <cell r="Q1112">
            <v>1358</v>
          </cell>
          <cell r="R1112">
            <v>160</v>
          </cell>
          <cell r="S1112">
            <v>42</v>
          </cell>
          <cell r="T1112">
            <v>23</v>
          </cell>
          <cell r="U1112">
            <v>217</v>
          </cell>
          <cell r="V1112"/>
          <cell r="W1112" t="str">
            <v>박순홍</v>
          </cell>
          <cell r="X1112" t="str">
            <v>(인)</v>
          </cell>
          <cell r="Y1112" t="str">
            <v>박순홍</v>
          </cell>
          <cell r="Z1112" t="str">
            <v>(인)</v>
          </cell>
          <cell r="AA1112" t="str">
            <v>박기원</v>
          </cell>
          <cell r="AB1112" t="str">
            <v>(인)</v>
          </cell>
          <cell r="AC1112" t="str">
            <v>박상갑</v>
          </cell>
          <cell r="AD1112" t="str">
            <v>(인)</v>
          </cell>
          <cell r="AE1112">
            <v>173.6</v>
          </cell>
          <cell r="AF1112" t="str">
            <v>표준</v>
          </cell>
          <cell r="AG1112">
            <v>2</v>
          </cell>
          <cell r="AH1112">
            <v>0</v>
          </cell>
        </row>
        <row r="1113">
          <cell r="G1113">
            <v>2409300101</v>
          </cell>
          <cell r="H1113" t="str">
            <v>119동</v>
          </cell>
          <cell r="I1113">
            <v>240930</v>
          </cell>
          <cell r="J1113" t="str">
            <v>119동 지하2층</v>
          </cell>
          <cell r="K1113">
            <v>900</v>
          </cell>
          <cell r="L1113">
            <v>900</v>
          </cell>
          <cell r="M1113">
            <v>3015</v>
          </cell>
          <cell r="N1113" t="str">
            <v>용호</v>
          </cell>
          <cell r="O1113" t="str">
            <v>펌프카(1대)</v>
          </cell>
          <cell r="P1113">
            <v>738</v>
          </cell>
          <cell r="Q1113">
            <v>1731</v>
          </cell>
          <cell r="R1113">
            <v>160</v>
          </cell>
          <cell r="S1113">
            <v>50</v>
          </cell>
          <cell r="T1113">
            <v>29</v>
          </cell>
          <cell r="U1113">
            <v>207</v>
          </cell>
          <cell r="V1113"/>
          <cell r="W1113" t="str">
            <v>박순홍</v>
          </cell>
          <cell r="X1113" t="str">
            <v>(인)</v>
          </cell>
          <cell r="Y1113" t="str">
            <v>박순홍</v>
          </cell>
          <cell r="Z1113" t="str">
            <v>(인)</v>
          </cell>
          <cell r="AA1113" t="str">
            <v>박상갑</v>
          </cell>
          <cell r="AB1113" t="str">
            <v>(인)</v>
          </cell>
          <cell r="AC1113" t="str">
            <v>박기원</v>
          </cell>
          <cell r="AD1113" t="str">
            <v>(인)</v>
          </cell>
          <cell r="AE1113">
            <v>178.6</v>
          </cell>
          <cell r="AF1113" t="str">
            <v>표준</v>
          </cell>
          <cell r="AG1113">
            <v>1</v>
          </cell>
          <cell r="AH1113">
            <v>1</v>
          </cell>
          <cell r="AI1113">
            <v>2747</v>
          </cell>
          <cell r="AJ1113">
            <v>2711</v>
          </cell>
          <cell r="AK1113">
            <v>216800</v>
          </cell>
          <cell r="AL1113">
            <v>3796</v>
          </cell>
          <cell r="AM1113">
            <v>3944</v>
          </cell>
          <cell r="AN1113">
            <v>3844</v>
          </cell>
          <cell r="AO1113">
            <v>3767</v>
          </cell>
          <cell r="AP1113">
            <v>3864</v>
          </cell>
          <cell r="AQ1113">
            <v>3906</v>
          </cell>
          <cell r="AR1113">
            <v>3872</v>
          </cell>
          <cell r="AS1113">
            <v>3804</v>
          </cell>
          <cell r="AT1113">
            <v>310600</v>
          </cell>
        </row>
        <row r="1114">
          <cell r="G1114">
            <v>2409300102</v>
          </cell>
          <cell r="H1114" t="str">
            <v>119동</v>
          </cell>
          <cell r="I1114">
            <v>240930</v>
          </cell>
          <cell r="J1114" t="str">
            <v>119동 지하2층</v>
          </cell>
          <cell r="K1114">
            <v>900</v>
          </cell>
          <cell r="L1114">
            <v>900</v>
          </cell>
          <cell r="M1114">
            <v>3015</v>
          </cell>
          <cell r="N1114" t="str">
            <v>용호</v>
          </cell>
          <cell r="O1114" t="str">
            <v>펌프카(1대)</v>
          </cell>
          <cell r="P1114">
            <v>738</v>
          </cell>
          <cell r="Q1114">
            <v>1731</v>
          </cell>
          <cell r="R1114">
            <v>170</v>
          </cell>
          <cell r="S1114">
            <v>47</v>
          </cell>
          <cell r="T1114">
            <v>25</v>
          </cell>
          <cell r="U1114">
            <v>227</v>
          </cell>
          <cell r="V1114"/>
          <cell r="W1114" t="str">
            <v>박순홍</v>
          </cell>
          <cell r="X1114" t="str">
            <v>(인)</v>
          </cell>
          <cell r="Y1114" t="str">
            <v>박순홍</v>
          </cell>
          <cell r="Z1114" t="str">
            <v>(인)</v>
          </cell>
          <cell r="AA1114" t="str">
            <v>박상갑</v>
          </cell>
          <cell r="AB1114" t="str">
            <v>(인)</v>
          </cell>
          <cell r="AC1114" t="str">
            <v>박기원</v>
          </cell>
          <cell r="AD1114" t="str">
            <v>(인)</v>
          </cell>
          <cell r="AE1114">
            <v>179.1</v>
          </cell>
          <cell r="AF1114" t="str">
            <v>표준</v>
          </cell>
          <cell r="AG1114">
            <v>2</v>
          </cell>
          <cell r="AH1114">
            <v>0</v>
          </cell>
        </row>
        <row r="1115">
          <cell r="G1115">
            <v>2409300103</v>
          </cell>
          <cell r="H1115" t="str">
            <v>119동</v>
          </cell>
          <cell r="I1115">
            <v>240930</v>
          </cell>
          <cell r="J1115" t="str">
            <v>119동 지하2층</v>
          </cell>
          <cell r="K1115">
            <v>900</v>
          </cell>
          <cell r="L1115">
            <v>900</v>
          </cell>
          <cell r="M1115">
            <v>3015</v>
          </cell>
          <cell r="N1115" t="str">
            <v>용호</v>
          </cell>
          <cell r="O1115" t="str">
            <v>펌프카(1대)</v>
          </cell>
          <cell r="P1115">
            <v>738</v>
          </cell>
          <cell r="Q1115">
            <v>1731</v>
          </cell>
          <cell r="R1115">
            <v>160</v>
          </cell>
          <cell r="S1115">
            <v>44</v>
          </cell>
          <cell r="T1115">
            <v>39</v>
          </cell>
          <cell r="U1115">
            <v>231</v>
          </cell>
          <cell r="V1115"/>
          <cell r="W1115" t="str">
            <v>박순홍</v>
          </cell>
          <cell r="X1115" t="str">
            <v>(인)</v>
          </cell>
          <cell r="Y1115" t="str">
            <v>박순홍</v>
          </cell>
          <cell r="Z1115" t="str">
            <v>(인)</v>
          </cell>
          <cell r="AA1115" t="str">
            <v>박상갑</v>
          </cell>
          <cell r="AB1115" t="str">
            <v>(인)</v>
          </cell>
          <cell r="AC1115" t="str">
            <v>박기원</v>
          </cell>
          <cell r="AD1115" t="str">
            <v>(인)</v>
          </cell>
          <cell r="AE1115">
            <v>174.8</v>
          </cell>
          <cell r="AF1115" t="str">
            <v>표준</v>
          </cell>
          <cell r="AG1115">
            <v>3</v>
          </cell>
          <cell r="AH1115">
            <v>0</v>
          </cell>
        </row>
        <row r="1116">
          <cell r="G1116">
            <v>2409300104</v>
          </cell>
          <cell r="H1116" t="str">
            <v>119동</v>
          </cell>
          <cell r="I1116">
            <v>240930</v>
          </cell>
          <cell r="J1116" t="str">
            <v>119동 지하2층</v>
          </cell>
          <cell r="K1116">
            <v>900</v>
          </cell>
          <cell r="L1116">
            <v>900</v>
          </cell>
          <cell r="M1116">
            <v>3015</v>
          </cell>
          <cell r="N1116" t="str">
            <v>용호</v>
          </cell>
          <cell r="O1116" t="str">
            <v>펌프카(1대)</v>
          </cell>
          <cell r="P1116">
            <v>738</v>
          </cell>
          <cell r="Q1116">
            <v>1731</v>
          </cell>
          <cell r="R1116">
            <v>175</v>
          </cell>
          <cell r="S1116">
            <v>42</v>
          </cell>
          <cell r="T1116">
            <v>49</v>
          </cell>
          <cell r="U1116">
            <v>235</v>
          </cell>
          <cell r="V1116"/>
          <cell r="W1116" t="str">
            <v>박순홍</v>
          </cell>
          <cell r="X1116" t="str">
            <v>(인)</v>
          </cell>
          <cell r="Y1116" t="str">
            <v>박순홍</v>
          </cell>
          <cell r="Z1116" t="str">
            <v>(인)</v>
          </cell>
          <cell r="AA1116" t="str">
            <v>박상갑</v>
          </cell>
          <cell r="AB1116" t="str">
            <v>(인)</v>
          </cell>
          <cell r="AC1116" t="str">
            <v>박기원</v>
          </cell>
          <cell r="AD1116" t="str">
            <v>(인)</v>
          </cell>
          <cell r="AE1116">
            <v>174.2</v>
          </cell>
          <cell r="AF1116" t="str">
            <v>표준</v>
          </cell>
          <cell r="AG1116">
            <v>4</v>
          </cell>
          <cell r="AH1116">
            <v>1</v>
          </cell>
          <cell r="AL1116">
            <v>3829</v>
          </cell>
          <cell r="AM1116">
            <v>3898</v>
          </cell>
          <cell r="AN1116">
            <v>3873</v>
          </cell>
          <cell r="AO1116">
            <v>3862</v>
          </cell>
          <cell r="AP1116">
            <v>3904</v>
          </cell>
          <cell r="AQ1116">
            <v>3927</v>
          </cell>
          <cell r="AR1116">
            <v>3866</v>
          </cell>
          <cell r="AS1116">
            <v>3836</v>
          </cell>
          <cell r="AT1116">
            <v>313600</v>
          </cell>
        </row>
        <row r="1117">
          <cell r="G1117">
            <v>2409300105</v>
          </cell>
          <cell r="H1117" t="str">
            <v>119동</v>
          </cell>
          <cell r="I1117">
            <v>240930</v>
          </cell>
          <cell r="J1117" t="str">
            <v>119동 지하2층</v>
          </cell>
          <cell r="K1117">
            <v>900</v>
          </cell>
          <cell r="L1117">
            <v>900</v>
          </cell>
          <cell r="M1117">
            <v>3015</v>
          </cell>
          <cell r="N1117" t="str">
            <v>용호</v>
          </cell>
          <cell r="O1117" t="str">
            <v>펌프카(1대)</v>
          </cell>
          <cell r="P1117">
            <v>738</v>
          </cell>
          <cell r="Q1117">
            <v>1731</v>
          </cell>
          <cell r="R1117">
            <v>170</v>
          </cell>
          <cell r="S1117">
            <v>42</v>
          </cell>
          <cell r="T1117">
            <v>21</v>
          </cell>
          <cell r="U1117">
            <v>261</v>
          </cell>
          <cell r="V1117"/>
          <cell r="W1117" t="str">
            <v>박순홍</v>
          </cell>
          <cell r="X1117" t="str">
            <v>(인)</v>
          </cell>
          <cell r="Y1117" t="str">
            <v>박순홍</v>
          </cell>
          <cell r="Z1117" t="str">
            <v>(인)</v>
          </cell>
          <cell r="AA1117" t="str">
            <v>박상갑</v>
          </cell>
          <cell r="AB1117" t="str">
            <v>(인)</v>
          </cell>
          <cell r="AC1117" t="str">
            <v>박기원</v>
          </cell>
          <cell r="AD1117" t="str">
            <v>(인)</v>
          </cell>
          <cell r="AE1117">
            <v>190.8</v>
          </cell>
          <cell r="AF1117" t="str">
            <v>표준</v>
          </cell>
          <cell r="AG1117">
            <v>5</v>
          </cell>
          <cell r="AH1117">
            <v>0</v>
          </cell>
        </row>
        <row r="1118">
          <cell r="G1118">
            <v>2409300106</v>
          </cell>
          <cell r="H1118" t="str">
            <v>119동</v>
          </cell>
          <cell r="I1118">
            <v>240930</v>
          </cell>
          <cell r="J1118" t="str">
            <v>119동 지하2층</v>
          </cell>
          <cell r="K1118">
            <v>900</v>
          </cell>
          <cell r="L1118">
            <v>900</v>
          </cell>
          <cell r="M1118">
            <v>3015</v>
          </cell>
          <cell r="N1118" t="str">
            <v>용호</v>
          </cell>
          <cell r="O1118" t="str">
            <v>펌프카(1대)</v>
          </cell>
          <cell r="P1118">
            <v>738</v>
          </cell>
          <cell r="Q1118">
            <v>1731</v>
          </cell>
          <cell r="R1118">
            <v>165</v>
          </cell>
          <cell r="S1118">
            <v>40</v>
          </cell>
          <cell r="T1118">
            <v>23</v>
          </cell>
          <cell r="U1118">
            <v>270</v>
          </cell>
          <cell r="V1118"/>
          <cell r="W1118" t="str">
            <v>박순홍</v>
          </cell>
          <cell r="X1118" t="str">
            <v>(인)</v>
          </cell>
          <cell r="Y1118" t="str">
            <v>박순홍</v>
          </cell>
          <cell r="Z1118" t="str">
            <v>(인)</v>
          </cell>
          <cell r="AA1118" t="str">
            <v>박상갑</v>
          </cell>
          <cell r="AB1118" t="str">
            <v>(인)</v>
          </cell>
          <cell r="AC1118" t="str">
            <v>박기원</v>
          </cell>
          <cell r="AD1118" t="str">
            <v>(인)</v>
          </cell>
          <cell r="AE1118">
            <v>184.2</v>
          </cell>
          <cell r="AF1118" t="str">
            <v>표준</v>
          </cell>
          <cell r="AG1118">
            <v>6</v>
          </cell>
          <cell r="AH1118">
            <v>0</v>
          </cell>
        </row>
        <row r="1119">
          <cell r="G1119">
            <v>2409300107</v>
          </cell>
          <cell r="H1119" t="str">
            <v>119동</v>
          </cell>
          <cell r="I1119">
            <v>240930</v>
          </cell>
          <cell r="J1119" t="str">
            <v>119동 지하2층</v>
          </cell>
          <cell r="K1119">
            <v>900</v>
          </cell>
          <cell r="L1119">
            <v>900</v>
          </cell>
          <cell r="M1119">
            <v>3015</v>
          </cell>
          <cell r="N1119" t="str">
            <v>용호</v>
          </cell>
          <cell r="O1119" t="str">
            <v>펌프카(1대)</v>
          </cell>
          <cell r="P1119">
            <v>738</v>
          </cell>
          <cell r="Q1119">
            <v>1731</v>
          </cell>
          <cell r="R1119">
            <v>165</v>
          </cell>
          <cell r="S1119">
            <v>48</v>
          </cell>
          <cell r="T1119">
            <v>22</v>
          </cell>
          <cell r="U1119">
            <v>256</v>
          </cell>
          <cell r="V1119"/>
          <cell r="W1119" t="str">
            <v>박순홍</v>
          </cell>
          <cell r="X1119" t="str">
            <v>(인)</v>
          </cell>
          <cell r="Y1119" t="str">
            <v>박순홍</v>
          </cell>
          <cell r="Z1119" t="str">
            <v>(인)</v>
          </cell>
          <cell r="AA1119" t="str">
            <v>박상갑</v>
          </cell>
          <cell r="AB1119" t="str">
            <v>(인)</v>
          </cell>
          <cell r="AC1119" t="str">
            <v>박기원</v>
          </cell>
          <cell r="AD1119" t="str">
            <v>(인)</v>
          </cell>
          <cell r="AE1119">
            <v>189.6</v>
          </cell>
          <cell r="AF1119" t="str">
            <v>표준</v>
          </cell>
          <cell r="AG1119">
            <v>7</v>
          </cell>
          <cell r="AH1119">
            <v>1</v>
          </cell>
          <cell r="AL1119">
            <v>3913</v>
          </cell>
          <cell r="AM1119">
            <v>3796</v>
          </cell>
          <cell r="AN1119">
            <v>3794</v>
          </cell>
          <cell r="AO1119">
            <v>3819</v>
          </cell>
          <cell r="AP1119">
            <v>3930</v>
          </cell>
          <cell r="AQ1119">
            <v>3872</v>
          </cell>
          <cell r="AR1119">
            <v>3779</v>
          </cell>
          <cell r="AS1119">
            <v>3764</v>
          </cell>
          <cell r="AT1119">
            <v>301200</v>
          </cell>
        </row>
        <row r="1120">
          <cell r="G1120">
            <v>2409300108</v>
          </cell>
          <cell r="H1120" t="str">
            <v>119동</v>
          </cell>
          <cell r="I1120">
            <v>240930</v>
          </cell>
          <cell r="J1120" t="str">
            <v>119동 지하2층</v>
          </cell>
          <cell r="K1120">
            <v>900</v>
          </cell>
          <cell r="L1120">
            <v>900</v>
          </cell>
          <cell r="M1120">
            <v>3015</v>
          </cell>
          <cell r="N1120" t="str">
            <v>용호</v>
          </cell>
          <cell r="O1120" t="str">
            <v>펌프카(1대)</v>
          </cell>
          <cell r="P1120">
            <v>738</v>
          </cell>
          <cell r="Q1120">
            <v>1731</v>
          </cell>
          <cell r="R1120">
            <v>160</v>
          </cell>
          <cell r="S1120">
            <v>40</v>
          </cell>
          <cell r="T1120">
            <v>37</v>
          </cell>
          <cell r="U1120">
            <v>259</v>
          </cell>
          <cell r="V1120"/>
          <cell r="W1120" t="str">
            <v>박순홍</v>
          </cell>
          <cell r="X1120" t="str">
            <v>(인)</v>
          </cell>
          <cell r="Y1120" t="str">
            <v>박순홍</v>
          </cell>
          <cell r="Z1120" t="str">
            <v>(인)</v>
          </cell>
          <cell r="AA1120" t="str">
            <v>박상갑</v>
          </cell>
          <cell r="AB1120" t="str">
            <v>(인)</v>
          </cell>
          <cell r="AC1120" t="str">
            <v>박기원</v>
          </cell>
          <cell r="AD1120" t="str">
            <v>(인)</v>
          </cell>
          <cell r="AE1120">
            <v>182.3</v>
          </cell>
          <cell r="AF1120" t="str">
            <v>표준</v>
          </cell>
          <cell r="AG1120">
            <v>8</v>
          </cell>
          <cell r="AH1120">
            <v>0</v>
          </cell>
        </row>
        <row r="1121">
          <cell r="G1121">
            <v>2409300201</v>
          </cell>
          <cell r="H1121" t="str">
            <v>109동</v>
          </cell>
          <cell r="I1121">
            <v>240930</v>
          </cell>
          <cell r="J1121" t="str">
            <v>109동 2층 바닥</v>
          </cell>
          <cell r="K1121">
            <v>300</v>
          </cell>
          <cell r="L1121">
            <v>294</v>
          </cell>
          <cell r="M1121">
            <v>3018</v>
          </cell>
          <cell r="N1121" t="str">
            <v>영진</v>
          </cell>
          <cell r="O1121" t="str">
            <v>펌프카(1대)</v>
          </cell>
          <cell r="P1121">
            <v>825</v>
          </cell>
          <cell r="Q1121">
            <v>1205</v>
          </cell>
          <cell r="R1121">
            <v>175</v>
          </cell>
          <cell r="S1121">
            <v>44</v>
          </cell>
          <cell r="T1121">
            <v>49</v>
          </cell>
          <cell r="U1121">
            <v>205</v>
          </cell>
          <cell r="V1121"/>
          <cell r="W1121" t="str">
            <v>박순홍</v>
          </cell>
          <cell r="X1121" t="str">
            <v>(인)</v>
          </cell>
          <cell r="Y1121" t="str">
            <v>박순홍</v>
          </cell>
          <cell r="Z1121" t="str">
            <v>(인)</v>
          </cell>
          <cell r="AA1121" t="str">
            <v>박상갑</v>
          </cell>
          <cell r="AB1121" t="str">
            <v>(인)</v>
          </cell>
          <cell r="AC1121" t="str">
            <v>박기원</v>
          </cell>
          <cell r="AD1121" t="str">
            <v>(인)</v>
          </cell>
          <cell r="AE1121">
            <v>185.3</v>
          </cell>
          <cell r="AF1121" t="str">
            <v>표준</v>
          </cell>
          <cell r="AG1121">
            <v>1</v>
          </cell>
          <cell r="AH1121">
            <v>1</v>
          </cell>
          <cell r="AI1121">
            <v>2760</v>
          </cell>
          <cell r="AJ1121">
            <v>2687</v>
          </cell>
          <cell r="AK1121">
            <v>218000</v>
          </cell>
          <cell r="AL1121">
            <v>3941</v>
          </cell>
          <cell r="AM1121">
            <v>3766</v>
          </cell>
          <cell r="AN1121">
            <v>3812</v>
          </cell>
          <cell r="AO1121">
            <v>3904</v>
          </cell>
          <cell r="AP1121">
            <v>3864</v>
          </cell>
          <cell r="AQ1121">
            <v>3724</v>
          </cell>
          <cell r="AR1121">
            <v>3866</v>
          </cell>
          <cell r="AS1121">
            <v>3872</v>
          </cell>
          <cell r="AT1121">
            <v>311800</v>
          </cell>
        </row>
        <row r="1122">
          <cell r="G1122">
            <v>2409300202</v>
          </cell>
          <cell r="H1122" t="str">
            <v>109동</v>
          </cell>
          <cell r="I1122">
            <v>240930</v>
          </cell>
          <cell r="J1122" t="str">
            <v>109동 2층 바닥</v>
          </cell>
          <cell r="K1122">
            <v>300</v>
          </cell>
          <cell r="L1122">
            <v>294</v>
          </cell>
          <cell r="M1122">
            <v>3018</v>
          </cell>
          <cell r="N1122" t="str">
            <v>영진</v>
          </cell>
          <cell r="O1122" t="str">
            <v>펌프카(1대)</v>
          </cell>
          <cell r="P1122">
            <v>825</v>
          </cell>
          <cell r="Q1122">
            <v>1205</v>
          </cell>
          <cell r="R1122">
            <v>175</v>
          </cell>
          <cell r="S1122">
            <v>48</v>
          </cell>
          <cell r="T1122">
            <v>37</v>
          </cell>
          <cell r="U1122">
            <v>218</v>
          </cell>
          <cell r="V1122"/>
          <cell r="W1122" t="str">
            <v>박순홍</v>
          </cell>
          <cell r="X1122" t="str">
            <v>(인)</v>
          </cell>
          <cell r="Y1122" t="str">
            <v>박순홍</v>
          </cell>
          <cell r="Z1122" t="str">
            <v>(인)</v>
          </cell>
          <cell r="AA1122" t="str">
            <v>박상갑</v>
          </cell>
          <cell r="AB1122" t="str">
            <v>(인)</v>
          </cell>
          <cell r="AC1122" t="str">
            <v>박기원</v>
          </cell>
          <cell r="AD1122" t="str">
            <v>(인)</v>
          </cell>
          <cell r="AE1122">
            <v>183.2</v>
          </cell>
          <cell r="AF1122" t="str">
            <v>표준</v>
          </cell>
          <cell r="AG1122">
            <v>2</v>
          </cell>
          <cell r="AH1122">
            <v>0</v>
          </cell>
        </row>
        <row r="1123">
          <cell r="G1123">
            <v>2409300203</v>
          </cell>
          <cell r="H1123" t="str">
            <v>109동</v>
          </cell>
          <cell r="I1123">
            <v>240930</v>
          </cell>
          <cell r="J1123" t="str">
            <v>109동 2층 바닥</v>
          </cell>
          <cell r="K1123">
            <v>300</v>
          </cell>
          <cell r="L1123">
            <v>294</v>
          </cell>
          <cell r="M1123">
            <v>3018</v>
          </cell>
          <cell r="N1123" t="str">
            <v>영진</v>
          </cell>
          <cell r="O1123" t="str">
            <v>펌프카(1대)</v>
          </cell>
          <cell r="P1123">
            <v>825</v>
          </cell>
          <cell r="Q1123">
            <v>1205</v>
          </cell>
          <cell r="R1123">
            <v>170</v>
          </cell>
          <cell r="S1123">
            <v>42</v>
          </cell>
          <cell r="T1123">
            <v>33</v>
          </cell>
          <cell r="U1123">
            <v>256</v>
          </cell>
          <cell r="V1123"/>
          <cell r="W1123" t="str">
            <v>박순홍</v>
          </cell>
          <cell r="X1123" t="str">
            <v>(인)</v>
          </cell>
          <cell r="Y1123" t="str">
            <v>박순홍</v>
          </cell>
          <cell r="Z1123" t="str">
            <v>(인)</v>
          </cell>
          <cell r="AA1123" t="str">
            <v>박상갑</v>
          </cell>
          <cell r="AB1123" t="str">
            <v>(인)</v>
          </cell>
          <cell r="AC1123" t="str">
            <v>박기원</v>
          </cell>
          <cell r="AD1123" t="str">
            <v>(인)</v>
          </cell>
          <cell r="AE1123">
            <v>187.2</v>
          </cell>
          <cell r="AF1123" t="str">
            <v>표준</v>
          </cell>
          <cell r="AG1123">
            <v>3</v>
          </cell>
          <cell r="AH1123">
            <v>0</v>
          </cell>
        </row>
        <row r="1124">
          <cell r="G1124">
            <v>2409300301</v>
          </cell>
          <cell r="H1124" t="str">
            <v>114동</v>
          </cell>
          <cell r="I1124">
            <v>240930</v>
          </cell>
          <cell r="J1124" t="str">
            <v>114동 1층 바닥</v>
          </cell>
          <cell r="K1124">
            <v>330</v>
          </cell>
          <cell r="L1124">
            <v>330</v>
          </cell>
          <cell r="M1124">
            <v>3015</v>
          </cell>
          <cell r="N1124" t="str">
            <v>대공</v>
          </cell>
          <cell r="O1124" t="str">
            <v>펌프카(1대)</v>
          </cell>
          <cell r="P1124">
            <v>1030</v>
          </cell>
          <cell r="Q1124">
            <v>1549</v>
          </cell>
          <cell r="R1124">
            <v>170</v>
          </cell>
          <cell r="S1124">
            <v>36</v>
          </cell>
          <cell r="T1124">
            <v>28</v>
          </cell>
          <cell r="U1124">
            <v>237</v>
          </cell>
          <cell r="V1124"/>
          <cell r="W1124" t="str">
            <v>박순홍</v>
          </cell>
          <cell r="X1124" t="str">
            <v>(인)</v>
          </cell>
          <cell r="Y1124" t="str">
            <v>박순홍</v>
          </cell>
          <cell r="Z1124" t="str">
            <v>(인)</v>
          </cell>
          <cell r="AA1124" t="str">
            <v>박상갑</v>
          </cell>
          <cell r="AB1124" t="str">
            <v>(인)</v>
          </cell>
          <cell r="AC1124" t="str">
            <v>박기원</v>
          </cell>
          <cell r="AD1124" t="str">
            <v>(인)</v>
          </cell>
          <cell r="AE1124">
            <v>182.6</v>
          </cell>
          <cell r="AF1124" t="str">
            <v>표준</v>
          </cell>
          <cell r="AG1124">
            <v>1</v>
          </cell>
          <cell r="AH1124">
            <v>1</v>
          </cell>
          <cell r="AI1124">
            <v>2936</v>
          </cell>
          <cell r="AJ1124">
            <v>2890</v>
          </cell>
          <cell r="AK1124">
            <v>225000</v>
          </cell>
          <cell r="AL1124">
            <v>3766</v>
          </cell>
          <cell r="AM1124">
            <v>3862</v>
          </cell>
          <cell r="AN1124">
            <v>3846</v>
          </cell>
          <cell r="AO1124">
            <v>3929</v>
          </cell>
          <cell r="AP1124">
            <v>3833</v>
          </cell>
          <cell r="AQ1124">
            <v>3764</v>
          </cell>
          <cell r="AR1124">
            <v>3920</v>
          </cell>
          <cell r="AS1124">
            <v>3874</v>
          </cell>
          <cell r="AT1124">
            <v>298800</v>
          </cell>
        </row>
        <row r="1125">
          <cell r="G1125">
            <v>2409300302</v>
          </cell>
          <cell r="H1125" t="str">
            <v>114동</v>
          </cell>
          <cell r="I1125">
            <v>240930</v>
          </cell>
          <cell r="J1125" t="str">
            <v>114동 1층 바닥</v>
          </cell>
          <cell r="K1125">
            <v>330</v>
          </cell>
          <cell r="L1125">
            <v>330</v>
          </cell>
          <cell r="M1125">
            <v>3015</v>
          </cell>
          <cell r="N1125" t="str">
            <v>대공</v>
          </cell>
          <cell r="O1125" t="str">
            <v>펌프카(1대)</v>
          </cell>
          <cell r="P1125">
            <v>1030</v>
          </cell>
          <cell r="Q1125">
            <v>1549</v>
          </cell>
          <cell r="R1125">
            <v>175</v>
          </cell>
          <cell r="S1125">
            <v>42</v>
          </cell>
          <cell r="T1125">
            <v>30</v>
          </cell>
          <cell r="U1125">
            <v>268</v>
          </cell>
          <cell r="V1125"/>
          <cell r="W1125" t="str">
            <v>박순홍</v>
          </cell>
          <cell r="X1125" t="str">
            <v>(인)</v>
          </cell>
          <cell r="Y1125" t="str">
            <v>박순홍</v>
          </cell>
          <cell r="Z1125" t="str">
            <v>(인)</v>
          </cell>
          <cell r="AA1125" t="str">
            <v>박상갑</v>
          </cell>
          <cell r="AB1125" t="str">
            <v>(인)</v>
          </cell>
          <cell r="AC1125" t="str">
            <v>박기원</v>
          </cell>
          <cell r="AD1125" t="str">
            <v>(인)</v>
          </cell>
          <cell r="AE1125">
            <v>181.8</v>
          </cell>
          <cell r="AF1125" t="str">
            <v>표준</v>
          </cell>
          <cell r="AG1125">
            <v>2</v>
          </cell>
          <cell r="AH1125">
            <v>0</v>
          </cell>
        </row>
        <row r="1126">
          <cell r="G1126">
            <v>2409300303</v>
          </cell>
          <cell r="H1126" t="str">
            <v>114동</v>
          </cell>
          <cell r="I1126">
            <v>240930</v>
          </cell>
          <cell r="J1126" t="str">
            <v>114동 1층 바닥</v>
          </cell>
          <cell r="K1126">
            <v>330</v>
          </cell>
          <cell r="L1126">
            <v>330</v>
          </cell>
          <cell r="M1126">
            <v>3015</v>
          </cell>
          <cell r="N1126" t="str">
            <v>대공</v>
          </cell>
          <cell r="O1126" t="str">
            <v>펌프카(1대)</v>
          </cell>
          <cell r="P1126">
            <v>1030</v>
          </cell>
          <cell r="Q1126">
            <v>1549</v>
          </cell>
          <cell r="R1126">
            <v>175</v>
          </cell>
          <cell r="S1126">
            <v>47</v>
          </cell>
          <cell r="T1126">
            <v>32</v>
          </cell>
          <cell r="U1126">
            <v>260</v>
          </cell>
          <cell r="V1126"/>
          <cell r="W1126" t="str">
            <v>박순홍</v>
          </cell>
          <cell r="X1126" t="str">
            <v>(인)</v>
          </cell>
          <cell r="Y1126" t="str">
            <v>박순홍</v>
          </cell>
          <cell r="Z1126" t="str">
            <v>(인)</v>
          </cell>
          <cell r="AA1126" t="str">
            <v>박상갑</v>
          </cell>
          <cell r="AB1126" t="str">
            <v>(인)</v>
          </cell>
          <cell r="AC1126" t="str">
            <v>박기원</v>
          </cell>
          <cell r="AD1126" t="str">
            <v>(인)</v>
          </cell>
          <cell r="AE1126">
            <v>184.4</v>
          </cell>
          <cell r="AF1126" t="str">
            <v>표준</v>
          </cell>
          <cell r="AG1126">
            <v>3</v>
          </cell>
          <cell r="AH1126">
            <v>0</v>
          </cell>
        </row>
        <row r="1127">
          <cell r="G1127">
            <v>2409300401</v>
          </cell>
          <cell r="H1127" t="str">
            <v>101동</v>
          </cell>
          <cell r="I1127">
            <v>240930</v>
          </cell>
          <cell r="J1127" t="str">
            <v>101동 5층 바닥</v>
          </cell>
          <cell r="K1127">
            <v>280</v>
          </cell>
          <cell r="L1127">
            <v>274</v>
          </cell>
          <cell r="M1127">
            <v>3018</v>
          </cell>
          <cell r="N1127" t="str">
            <v>영진</v>
          </cell>
          <cell r="O1127" t="str">
            <v>펌프카(1대)</v>
          </cell>
          <cell r="P1127">
            <v>1310</v>
          </cell>
          <cell r="Q1127">
            <v>1728</v>
          </cell>
          <cell r="R1127">
            <v>190</v>
          </cell>
          <cell r="S1127">
            <v>50</v>
          </cell>
          <cell r="T1127">
            <v>28</v>
          </cell>
          <cell r="U1127">
            <v>247</v>
          </cell>
          <cell r="V1127"/>
          <cell r="W1127" t="str">
            <v>박순홍</v>
          </cell>
          <cell r="X1127" t="str">
            <v>(인)</v>
          </cell>
          <cell r="Y1127" t="str">
            <v>박순홍</v>
          </cell>
          <cell r="Z1127" t="str">
            <v>(인)</v>
          </cell>
          <cell r="AA1127" t="str">
            <v>박상갑</v>
          </cell>
          <cell r="AB1127" t="str">
            <v>(인)</v>
          </cell>
          <cell r="AC1127" t="str">
            <v>박기원</v>
          </cell>
          <cell r="AD1127" t="str">
            <v>(인)</v>
          </cell>
          <cell r="AE1127">
            <v>186.4</v>
          </cell>
          <cell r="AF1127" t="str">
            <v>표준</v>
          </cell>
          <cell r="AG1127">
            <v>1</v>
          </cell>
          <cell r="AH1127">
            <v>1</v>
          </cell>
          <cell r="AI1127">
            <v>2765</v>
          </cell>
          <cell r="AJ1127">
            <v>2712</v>
          </cell>
          <cell r="AK1127">
            <v>220200</v>
          </cell>
          <cell r="AL1127">
            <v>4219</v>
          </cell>
          <cell r="AM1127">
            <v>4168</v>
          </cell>
          <cell r="AN1127">
            <v>4094</v>
          </cell>
          <cell r="AO1127">
            <v>4039</v>
          </cell>
          <cell r="AP1127">
            <v>4129</v>
          </cell>
          <cell r="AQ1127">
            <v>4084</v>
          </cell>
          <cell r="AR1127">
            <v>4066</v>
          </cell>
          <cell r="AS1127">
            <v>4072</v>
          </cell>
          <cell r="AT1127">
            <v>332000</v>
          </cell>
        </row>
        <row r="1128">
          <cell r="G1128">
            <v>2409300402</v>
          </cell>
          <cell r="H1128" t="str">
            <v>101동</v>
          </cell>
          <cell r="I1128">
            <v>240930</v>
          </cell>
          <cell r="J1128" t="str">
            <v>101동 5층 바닥</v>
          </cell>
          <cell r="K1128">
            <v>280</v>
          </cell>
          <cell r="L1128">
            <v>274</v>
          </cell>
          <cell r="M1128">
            <v>3018</v>
          </cell>
          <cell r="N1128" t="str">
            <v>영진</v>
          </cell>
          <cell r="O1128" t="str">
            <v>펌프카(1대)</v>
          </cell>
          <cell r="P1128">
            <v>1310</v>
          </cell>
          <cell r="Q1128">
            <v>1728</v>
          </cell>
          <cell r="R1128">
            <v>175</v>
          </cell>
          <cell r="S1128">
            <v>46</v>
          </cell>
          <cell r="T1128">
            <v>41</v>
          </cell>
          <cell r="U1128">
            <v>274</v>
          </cell>
          <cell r="V1128"/>
          <cell r="W1128" t="str">
            <v>박순홍</v>
          </cell>
          <cell r="X1128" t="str">
            <v>(인)</v>
          </cell>
          <cell r="Y1128" t="str">
            <v>박순홍</v>
          </cell>
          <cell r="Z1128" t="str">
            <v>(인)</v>
          </cell>
          <cell r="AA1128" t="str">
            <v>박상갑</v>
          </cell>
          <cell r="AB1128" t="str">
            <v>(인)</v>
          </cell>
          <cell r="AC1128" t="str">
            <v>박기원</v>
          </cell>
          <cell r="AD1128" t="str">
            <v>(인)</v>
          </cell>
          <cell r="AE1128">
            <v>187.2</v>
          </cell>
          <cell r="AF1128" t="str">
            <v>표준</v>
          </cell>
          <cell r="AG1128">
            <v>2</v>
          </cell>
          <cell r="AH1128">
            <v>0</v>
          </cell>
        </row>
        <row r="1129">
          <cell r="G1129">
            <v>2409300403</v>
          </cell>
          <cell r="H1129" t="str">
            <v>101동</v>
          </cell>
          <cell r="I1129">
            <v>240930</v>
          </cell>
          <cell r="J1129" t="str">
            <v>101동 5층 바닥</v>
          </cell>
          <cell r="K1129">
            <v>280</v>
          </cell>
          <cell r="L1129">
            <v>274</v>
          </cell>
          <cell r="M1129">
            <v>3018</v>
          </cell>
          <cell r="N1129" t="str">
            <v>영진</v>
          </cell>
          <cell r="O1129" t="str">
            <v>펌프카(1대)</v>
          </cell>
          <cell r="P1129">
            <v>1310</v>
          </cell>
          <cell r="Q1129">
            <v>1728</v>
          </cell>
          <cell r="R1129">
            <v>200</v>
          </cell>
          <cell r="S1129">
            <v>46</v>
          </cell>
          <cell r="T1129">
            <v>83</v>
          </cell>
          <cell r="U1129">
            <v>274</v>
          </cell>
          <cell r="V1129"/>
          <cell r="W1129" t="str">
            <v>박순홍</v>
          </cell>
          <cell r="X1129" t="str">
            <v>(인)</v>
          </cell>
          <cell r="Y1129" t="str">
            <v>박순홍</v>
          </cell>
          <cell r="Z1129" t="str">
            <v>(인)</v>
          </cell>
          <cell r="AA1129" t="str">
            <v>박상갑</v>
          </cell>
          <cell r="AB1129" t="str">
            <v>(인)</v>
          </cell>
          <cell r="AC1129" t="str">
            <v>박기원</v>
          </cell>
          <cell r="AD1129" t="str">
            <v>(인)</v>
          </cell>
          <cell r="AE1129">
            <v>190.2</v>
          </cell>
          <cell r="AF1129" t="str">
            <v>표준</v>
          </cell>
          <cell r="AG1129">
            <v>3</v>
          </cell>
          <cell r="AH1129">
            <v>0</v>
          </cell>
        </row>
        <row r="1130">
          <cell r="G1130">
            <v>2410010101</v>
          </cell>
          <cell r="H1130" t="str">
            <v>111동</v>
          </cell>
          <cell r="I1130">
            <v>241001</v>
          </cell>
          <cell r="J1130" t="str">
            <v>111동 3층 바닥</v>
          </cell>
          <cell r="K1130">
            <v>297</v>
          </cell>
          <cell r="L1130">
            <v>297</v>
          </cell>
          <cell r="M1130">
            <v>3018</v>
          </cell>
          <cell r="N1130" t="str">
            <v>대공</v>
          </cell>
          <cell r="O1130" t="str">
            <v>펌프카(1대)</v>
          </cell>
          <cell r="P1130">
            <v>750</v>
          </cell>
          <cell r="Q1130">
            <v>1315</v>
          </cell>
          <cell r="R1130">
            <v>170</v>
          </cell>
          <cell r="S1130">
            <v>40</v>
          </cell>
          <cell r="T1130">
            <v>54</v>
          </cell>
          <cell r="U1130">
            <v>235</v>
          </cell>
          <cell r="V1130"/>
          <cell r="W1130" t="str">
            <v>박순홍</v>
          </cell>
          <cell r="X1130" t="str">
            <v>(인)</v>
          </cell>
          <cell r="Y1130" t="str">
            <v>박순홍</v>
          </cell>
          <cell r="Z1130" t="str">
            <v>(인)</v>
          </cell>
          <cell r="AA1130" t="str">
            <v>이홍걸</v>
          </cell>
          <cell r="AB1130" t="str">
            <v>(인)</v>
          </cell>
          <cell r="AC1130" t="str">
            <v>박기원</v>
          </cell>
          <cell r="AD1130" t="str">
            <v>(인)</v>
          </cell>
          <cell r="AE1130">
            <v>183.1</v>
          </cell>
          <cell r="AF1130" t="str">
            <v>표준</v>
          </cell>
          <cell r="AG1130">
            <v>1</v>
          </cell>
          <cell r="AH1130">
            <v>1</v>
          </cell>
          <cell r="AI1130">
            <v>2588</v>
          </cell>
          <cell r="AJ1130">
            <v>2612</v>
          </cell>
          <cell r="AK1130">
            <v>201600</v>
          </cell>
          <cell r="AL1130">
            <v>3855</v>
          </cell>
          <cell r="AM1130">
            <v>3784</v>
          </cell>
          <cell r="AN1130">
            <v>3806</v>
          </cell>
          <cell r="AO1130">
            <v>3806</v>
          </cell>
          <cell r="AP1130">
            <v>3906</v>
          </cell>
          <cell r="AQ1130">
            <v>3812</v>
          </cell>
          <cell r="AR1130">
            <v>3906</v>
          </cell>
          <cell r="AS1130">
            <v>3806</v>
          </cell>
          <cell r="AT1130">
            <v>298800</v>
          </cell>
        </row>
        <row r="1131">
          <cell r="G1131">
            <v>2410010102</v>
          </cell>
          <cell r="H1131" t="str">
            <v>111동</v>
          </cell>
          <cell r="I1131">
            <v>241001</v>
          </cell>
          <cell r="J1131" t="str">
            <v>111동 3층 바닥</v>
          </cell>
          <cell r="K1131">
            <v>297</v>
          </cell>
          <cell r="L1131">
            <v>297</v>
          </cell>
          <cell r="M1131">
            <v>3018</v>
          </cell>
          <cell r="N1131" t="str">
            <v>대공</v>
          </cell>
          <cell r="O1131" t="str">
            <v>펌프카(1대)</v>
          </cell>
          <cell r="P1131">
            <v>750</v>
          </cell>
          <cell r="Q1131">
            <v>1315</v>
          </cell>
          <cell r="R1131">
            <v>180</v>
          </cell>
          <cell r="S1131">
            <v>41</v>
          </cell>
          <cell r="T1131">
            <v>56</v>
          </cell>
          <cell r="U1131">
            <v>243</v>
          </cell>
          <cell r="V1131"/>
          <cell r="W1131" t="str">
            <v>박순홍</v>
          </cell>
          <cell r="X1131" t="str">
            <v>(인)</v>
          </cell>
          <cell r="Y1131" t="str">
            <v>박순홍</v>
          </cell>
          <cell r="Z1131" t="str">
            <v>(인)</v>
          </cell>
          <cell r="AA1131" t="str">
            <v>이홍걸</v>
          </cell>
          <cell r="AB1131" t="str">
            <v>(인)</v>
          </cell>
          <cell r="AC1131" t="str">
            <v>박기원</v>
          </cell>
          <cell r="AD1131" t="str">
            <v>(인)</v>
          </cell>
          <cell r="AE1131">
            <v>185.2</v>
          </cell>
          <cell r="AF1131" t="str">
            <v>표준</v>
          </cell>
          <cell r="AG1131">
            <v>2</v>
          </cell>
          <cell r="AH1131">
            <v>0</v>
          </cell>
        </row>
        <row r="1132">
          <cell r="G1132">
            <v>2410010103</v>
          </cell>
          <cell r="H1132" t="str">
            <v>111동</v>
          </cell>
          <cell r="I1132">
            <v>241001</v>
          </cell>
          <cell r="J1132" t="str">
            <v>111동 3층 바닥</v>
          </cell>
          <cell r="K1132">
            <v>297</v>
          </cell>
          <cell r="L1132">
            <v>297</v>
          </cell>
          <cell r="M1132">
            <v>3018</v>
          </cell>
          <cell r="N1132" t="str">
            <v>대공</v>
          </cell>
          <cell r="O1132" t="str">
            <v>펌프카(1대)</v>
          </cell>
          <cell r="P1132">
            <v>750</v>
          </cell>
          <cell r="Q1132">
            <v>1315</v>
          </cell>
          <cell r="R1132">
            <v>190</v>
          </cell>
          <cell r="S1132">
            <v>50</v>
          </cell>
          <cell r="T1132">
            <v>65</v>
          </cell>
          <cell r="U1132">
            <v>229</v>
          </cell>
          <cell r="V1132"/>
          <cell r="W1132" t="str">
            <v>박순홍</v>
          </cell>
          <cell r="X1132" t="str">
            <v>(인)</v>
          </cell>
          <cell r="Y1132" t="str">
            <v>박순홍</v>
          </cell>
          <cell r="Z1132" t="str">
            <v>(인)</v>
          </cell>
          <cell r="AA1132" t="str">
            <v>이홍걸</v>
          </cell>
          <cell r="AB1132" t="str">
            <v>(인)</v>
          </cell>
          <cell r="AC1132" t="str">
            <v>박기원</v>
          </cell>
          <cell r="AD1132" t="str">
            <v>(인)</v>
          </cell>
          <cell r="AE1132">
            <v>174.7</v>
          </cell>
          <cell r="AF1132" t="str">
            <v>표준</v>
          </cell>
          <cell r="AG1132">
            <v>3</v>
          </cell>
          <cell r="AH1132">
            <v>0</v>
          </cell>
        </row>
        <row r="1133">
          <cell r="G1133">
            <v>2410010201</v>
          </cell>
          <cell r="H1133" t="str">
            <v>107동</v>
          </cell>
          <cell r="I1133">
            <v>241001</v>
          </cell>
          <cell r="J1133" t="str">
            <v>107동 10층 바닥</v>
          </cell>
          <cell r="K1133">
            <v>288</v>
          </cell>
          <cell r="L1133">
            <v>288</v>
          </cell>
          <cell r="M1133">
            <v>3018</v>
          </cell>
          <cell r="N1133" t="str">
            <v>대원</v>
          </cell>
          <cell r="O1133" t="str">
            <v>펌프카(1대)</v>
          </cell>
          <cell r="P1133">
            <v>1140</v>
          </cell>
          <cell r="Q1133">
            <v>1626</v>
          </cell>
          <cell r="R1133">
            <v>190</v>
          </cell>
          <cell r="S1133">
            <v>38</v>
          </cell>
          <cell r="T1133">
            <v>54</v>
          </cell>
          <cell r="U1133">
            <v>263</v>
          </cell>
          <cell r="V1133"/>
          <cell r="W1133" t="str">
            <v>박순홍</v>
          </cell>
          <cell r="X1133" t="str">
            <v>(인)</v>
          </cell>
          <cell r="Y1133" t="str">
            <v>박순홍</v>
          </cell>
          <cell r="Z1133" t="str">
            <v>(인)</v>
          </cell>
          <cell r="AA1133" t="str">
            <v>이홍걸</v>
          </cell>
          <cell r="AB1133" t="str">
            <v>(인)</v>
          </cell>
          <cell r="AC1133" t="str">
            <v>박기원</v>
          </cell>
          <cell r="AD1133" t="str">
            <v>(인)</v>
          </cell>
          <cell r="AE1133">
            <v>183.6</v>
          </cell>
          <cell r="AF1133" t="str">
            <v>표준</v>
          </cell>
          <cell r="AG1133">
            <v>1</v>
          </cell>
          <cell r="AH1133">
            <v>1</v>
          </cell>
          <cell r="AI1133">
            <v>2631</v>
          </cell>
          <cell r="AJ1133">
            <v>2612</v>
          </cell>
          <cell r="AK1133">
            <v>209200</v>
          </cell>
          <cell r="AL1133">
            <v>3768</v>
          </cell>
          <cell r="AM1133">
            <v>3735</v>
          </cell>
          <cell r="AN1133">
            <v>3862</v>
          </cell>
          <cell r="AO1133">
            <v>3930</v>
          </cell>
          <cell r="AP1133">
            <v>3862</v>
          </cell>
          <cell r="AQ1133">
            <v>3794</v>
          </cell>
          <cell r="AR1133">
            <v>3814</v>
          </cell>
          <cell r="AS1133">
            <v>3906</v>
          </cell>
          <cell r="AT1133">
            <v>300600</v>
          </cell>
        </row>
        <row r="1134">
          <cell r="G1134">
            <v>2410010202</v>
          </cell>
          <cell r="H1134" t="str">
            <v>107동</v>
          </cell>
          <cell r="I1134">
            <v>241001</v>
          </cell>
          <cell r="J1134" t="str">
            <v>107동 10층 바닥</v>
          </cell>
          <cell r="K1134">
            <v>288</v>
          </cell>
          <cell r="L1134">
            <v>288</v>
          </cell>
          <cell r="M1134">
            <v>3018</v>
          </cell>
          <cell r="N1134" t="str">
            <v>대원</v>
          </cell>
          <cell r="O1134" t="str">
            <v>펌프카(1대)</v>
          </cell>
          <cell r="P1134">
            <v>1140</v>
          </cell>
          <cell r="Q1134">
            <v>1626</v>
          </cell>
          <cell r="R1134">
            <v>195</v>
          </cell>
          <cell r="S1134">
            <v>40</v>
          </cell>
          <cell r="T1134">
            <v>56</v>
          </cell>
          <cell r="U1134">
            <v>257</v>
          </cell>
          <cell r="V1134"/>
          <cell r="W1134" t="str">
            <v>박순홍</v>
          </cell>
          <cell r="X1134" t="str">
            <v>(인)</v>
          </cell>
          <cell r="Y1134" t="str">
            <v>박순홍</v>
          </cell>
          <cell r="Z1134" t="str">
            <v>(인)</v>
          </cell>
          <cell r="AA1134" t="str">
            <v>이홍걸</v>
          </cell>
          <cell r="AB1134" t="str">
            <v>(인)</v>
          </cell>
          <cell r="AC1134" t="str">
            <v>박기원</v>
          </cell>
          <cell r="AD1134" t="str">
            <v>(인)</v>
          </cell>
          <cell r="AE1134">
            <v>176.8</v>
          </cell>
          <cell r="AF1134" t="str">
            <v>표준</v>
          </cell>
          <cell r="AG1134">
            <v>2</v>
          </cell>
          <cell r="AH1134">
            <v>0</v>
          </cell>
        </row>
        <row r="1135">
          <cell r="G1135">
            <v>2410010203</v>
          </cell>
          <cell r="H1135" t="str">
            <v>107동</v>
          </cell>
          <cell r="I1135">
            <v>241001</v>
          </cell>
          <cell r="J1135" t="str">
            <v>107동 10층 바닥</v>
          </cell>
          <cell r="K1135">
            <v>288</v>
          </cell>
          <cell r="L1135">
            <v>288</v>
          </cell>
          <cell r="M1135">
            <v>3018</v>
          </cell>
          <cell r="N1135" t="str">
            <v>대원</v>
          </cell>
          <cell r="O1135" t="str">
            <v>펌프카(1대)</v>
          </cell>
          <cell r="P1135">
            <v>1140</v>
          </cell>
          <cell r="Q1135">
            <v>1626</v>
          </cell>
          <cell r="R1135">
            <v>200</v>
          </cell>
          <cell r="S1135">
            <v>46</v>
          </cell>
          <cell r="T1135">
            <v>69</v>
          </cell>
          <cell r="U1135">
            <v>255</v>
          </cell>
          <cell r="V1135"/>
          <cell r="W1135" t="str">
            <v>박순홍</v>
          </cell>
          <cell r="X1135" t="str">
            <v>(인)</v>
          </cell>
          <cell r="Y1135" t="str">
            <v>박순홍</v>
          </cell>
          <cell r="Z1135" t="str">
            <v>(인)</v>
          </cell>
          <cell r="AA1135" t="str">
            <v>이홍걸</v>
          </cell>
          <cell r="AB1135" t="str">
            <v>(인)</v>
          </cell>
          <cell r="AC1135" t="str">
            <v>박기원</v>
          </cell>
          <cell r="AD1135" t="str">
            <v>(인)</v>
          </cell>
          <cell r="AE1135">
            <v>172.8</v>
          </cell>
          <cell r="AF1135" t="str">
            <v>표준</v>
          </cell>
          <cell r="AG1135">
            <v>3</v>
          </cell>
          <cell r="AH1135">
            <v>0</v>
          </cell>
        </row>
        <row r="1136">
          <cell r="G1136">
            <v>2410010301</v>
          </cell>
          <cell r="H1136" t="str">
            <v>117동</v>
          </cell>
          <cell r="I1136">
            <v>241001</v>
          </cell>
          <cell r="J1136" t="str">
            <v>117동 지하 2층 2차</v>
          </cell>
          <cell r="K1136">
            <v>300</v>
          </cell>
          <cell r="L1136">
            <v>300</v>
          </cell>
          <cell r="M1136">
            <v>3015</v>
          </cell>
          <cell r="N1136" t="str">
            <v>신우</v>
          </cell>
          <cell r="O1136" t="str">
            <v>펌프카(1대)</v>
          </cell>
          <cell r="P1136">
            <v>740</v>
          </cell>
          <cell r="Q1136">
            <v>1411</v>
          </cell>
          <cell r="R1136">
            <v>140</v>
          </cell>
          <cell r="S1136">
            <v>48</v>
          </cell>
          <cell r="T1136">
            <v>51</v>
          </cell>
          <cell r="U1136">
            <v>232</v>
          </cell>
          <cell r="V1136"/>
          <cell r="W1136" t="str">
            <v>박순홍</v>
          </cell>
          <cell r="X1136" t="str">
            <v>(인)</v>
          </cell>
          <cell r="Y1136" t="str">
            <v>박순홍</v>
          </cell>
          <cell r="Z1136" t="str">
            <v>(인)</v>
          </cell>
          <cell r="AA1136" t="str">
            <v>이홍걸</v>
          </cell>
          <cell r="AB1136" t="str">
            <v>(인)</v>
          </cell>
          <cell r="AC1136" t="str">
            <v>박기원</v>
          </cell>
          <cell r="AD1136" t="str">
            <v>(인)</v>
          </cell>
          <cell r="AE1136">
            <v>192.6</v>
          </cell>
          <cell r="AF1136" t="str">
            <v>표준</v>
          </cell>
          <cell r="AG1136">
            <v>1</v>
          </cell>
          <cell r="AH1136">
            <v>1</v>
          </cell>
          <cell r="AI1136">
            <v>2520</v>
          </cell>
          <cell r="AJ1136">
            <v>2512</v>
          </cell>
          <cell r="AK1136">
            <v>194000</v>
          </cell>
          <cell r="AL1136">
            <v>3706</v>
          </cell>
          <cell r="AM1136">
            <v>3834</v>
          </cell>
          <cell r="AN1136">
            <v>3612</v>
          </cell>
          <cell r="AO1136">
            <v>3730</v>
          </cell>
          <cell r="AP1136">
            <v>3629</v>
          </cell>
          <cell r="AQ1136">
            <v>3824</v>
          </cell>
          <cell r="AR1136">
            <v>3716</v>
          </cell>
          <cell r="AS1136">
            <v>3834</v>
          </cell>
          <cell r="AT1136">
            <v>298400</v>
          </cell>
        </row>
        <row r="1137">
          <cell r="G1137">
            <v>2410010302</v>
          </cell>
          <cell r="H1137" t="str">
            <v>117동</v>
          </cell>
          <cell r="I1137">
            <v>241001</v>
          </cell>
          <cell r="J1137" t="str">
            <v>117동 지하 2층 2차</v>
          </cell>
          <cell r="K1137">
            <v>300</v>
          </cell>
          <cell r="L1137">
            <v>300</v>
          </cell>
          <cell r="M1137">
            <v>3015</v>
          </cell>
          <cell r="N1137" t="str">
            <v>신우</v>
          </cell>
          <cell r="O1137" t="str">
            <v>펌프카(1대)</v>
          </cell>
          <cell r="P1137">
            <v>740</v>
          </cell>
          <cell r="Q1137">
            <v>1411</v>
          </cell>
          <cell r="R1137">
            <v>150</v>
          </cell>
          <cell r="S1137">
            <v>50</v>
          </cell>
          <cell r="T1137">
            <v>48</v>
          </cell>
          <cell r="U1137">
            <v>240</v>
          </cell>
          <cell r="V1137"/>
          <cell r="W1137" t="str">
            <v>박순홍</v>
          </cell>
          <cell r="X1137" t="str">
            <v>(인)</v>
          </cell>
          <cell r="Y1137" t="str">
            <v>박순홍</v>
          </cell>
          <cell r="Z1137" t="str">
            <v>(인)</v>
          </cell>
          <cell r="AA1137" t="str">
            <v>이홍걸</v>
          </cell>
          <cell r="AB1137" t="str">
            <v>(인)</v>
          </cell>
          <cell r="AC1137" t="str">
            <v>박기원</v>
          </cell>
          <cell r="AD1137" t="str">
            <v>(인)</v>
          </cell>
          <cell r="AE1137">
            <v>178.6</v>
          </cell>
          <cell r="AF1137" t="str">
            <v>표준</v>
          </cell>
          <cell r="AG1137">
            <v>2</v>
          </cell>
          <cell r="AH1137">
            <v>0</v>
          </cell>
        </row>
        <row r="1138">
          <cell r="G1138">
            <v>2410010303</v>
          </cell>
          <cell r="H1138" t="str">
            <v>117동</v>
          </cell>
          <cell r="I1138">
            <v>241001</v>
          </cell>
          <cell r="J1138" t="str">
            <v>117동 지하 2층 2차</v>
          </cell>
          <cell r="K1138">
            <v>300</v>
          </cell>
          <cell r="L1138">
            <v>300</v>
          </cell>
          <cell r="M1138">
            <v>3015</v>
          </cell>
          <cell r="N1138" t="str">
            <v>신우</v>
          </cell>
          <cell r="O1138" t="str">
            <v>펌프카(1대)</v>
          </cell>
          <cell r="P1138">
            <v>740</v>
          </cell>
          <cell r="Q1138">
            <v>1411</v>
          </cell>
          <cell r="R1138">
            <v>165</v>
          </cell>
          <cell r="S1138">
            <v>41</v>
          </cell>
          <cell r="T1138">
            <v>43</v>
          </cell>
          <cell r="U1138">
            <v>243</v>
          </cell>
          <cell r="V1138"/>
          <cell r="W1138" t="str">
            <v>박순홍</v>
          </cell>
          <cell r="X1138" t="str">
            <v>(인)</v>
          </cell>
          <cell r="Y1138" t="str">
            <v>박순홍</v>
          </cell>
          <cell r="Z1138" t="str">
            <v>(인)</v>
          </cell>
          <cell r="AA1138" t="str">
            <v>이홍걸</v>
          </cell>
          <cell r="AB1138" t="str">
            <v>(인)</v>
          </cell>
          <cell r="AC1138" t="str">
            <v>박기원</v>
          </cell>
          <cell r="AD1138" t="str">
            <v>(인)</v>
          </cell>
          <cell r="AE1138">
            <v>179.8</v>
          </cell>
          <cell r="AF1138" t="str">
            <v>표준</v>
          </cell>
          <cell r="AG1138">
            <v>3</v>
          </cell>
          <cell r="AH1138">
            <v>0</v>
          </cell>
        </row>
        <row r="1139">
          <cell r="G1139">
            <v>2410010401</v>
          </cell>
          <cell r="H1139" t="str">
            <v>117동</v>
          </cell>
          <cell r="I1139">
            <v>241001</v>
          </cell>
          <cell r="J1139" t="str">
            <v>117동 지하 2층 2차</v>
          </cell>
          <cell r="K1139">
            <v>534</v>
          </cell>
          <cell r="L1139">
            <v>534</v>
          </cell>
          <cell r="M1139">
            <v>3015</v>
          </cell>
          <cell r="N1139" t="str">
            <v>영진</v>
          </cell>
          <cell r="O1139" t="str">
            <v>펌프카(1대)</v>
          </cell>
          <cell r="P1139">
            <v>732</v>
          </cell>
          <cell r="Q1139">
            <v>1519</v>
          </cell>
          <cell r="R1139">
            <v>145</v>
          </cell>
          <cell r="S1139">
            <v>45</v>
          </cell>
          <cell r="T1139">
            <v>21</v>
          </cell>
          <cell r="U1139">
            <v>246</v>
          </cell>
          <cell r="V1139"/>
          <cell r="W1139" t="str">
            <v>박순홍</v>
          </cell>
          <cell r="X1139" t="str">
            <v>(인)</v>
          </cell>
          <cell r="Y1139" t="str">
            <v>박순홍</v>
          </cell>
          <cell r="Z1139" t="str">
            <v>(인)</v>
          </cell>
          <cell r="AA1139" t="str">
            <v>이홍걸</v>
          </cell>
          <cell r="AB1139" t="str">
            <v>(인)</v>
          </cell>
          <cell r="AC1139" t="str">
            <v>박기원</v>
          </cell>
          <cell r="AD1139" t="str">
            <v>(인)</v>
          </cell>
          <cell r="AE1139">
            <v>182.4</v>
          </cell>
          <cell r="AF1139" t="str">
            <v>표준</v>
          </cell>
          <cell r="AG1139">
            <v>1</v>
          </cell>
          <cell r="AH1139">
            <v>1</v>
          </cell>
          <cell r="AI1139">
            <v>2582</v>
          </cell>
          <cell r="AJ1139">
            <v>2611</v>
          </cell>
          <cell r="AK1139">
            <v>207400</v>
          </cell>
          <cell r="AL1139">
            <v>3824</v>
          </cell>
          <cell r="AM1139">
            <v>3672</v>
          </cell>
          <cell r="AN1139">
            <v>3790</v>
          </cell>
          <cell r="AO1139">
            <v>3642</v>
          </cell>
          <cell r="AP1139">
            <v>3794</v>
          </cell>
          <cell r="AQ1139">
            <v>3706</v>
          </cell>
          <cell r="AR1139">
            <v>3688</v>
          </cell>
          <cell r="AS1139">
            <v>3704</v>
          </cell>
          <cell r="AT1139">
            <v>291800</v>
          </cell>
        </row>
        <row r="1140">
          <cell r="G1140">
            <v>2410010402</v>
          </cell>
          <cell r="H1140" t="str">
            <v>117동</v>
          </cell>
          <cell r="I1140">
            <v>241001</v>
          </cell>
          <cell r="J1140" t="str">
            <v>117동 지하 2층 2차</v>
          </cell>
          <cell r="K1140">
            <v>534</v>
          </cell>
          <cell r="L1140">
            <v>534</v>
          </cell>
          <cell r="M1140">
            <v>3015</v>
          </cell>
          <cell r="N1140" t="str">
            <v>영진</v>
          </cell>
          <cell r="O1140" t="str">
            <v>펌프카(1대)</v>
          </cell>
          <cell r="P1140">
            <v>732</v>
          </cell>
          <cell r="Q1140">
            <v>1519</v>
          </cell>
          <cell r="R1140">
            <v>150</v>
          </cell>
          <cell r="S1140">
            <v>42</v>
          </cell>
          <cell r="T1140">
            <v>27</v>
          </cell>
          <cell r="U1140">
            <v>253</v>
          </cell>
          <cell r="V1140"/>
          <cell r="W1140" t="str">
            <v>박순홍</v>
          </cell>
          <cell r="X1140" t="str">
            <v>(인)</v>
          </cell>
          <cell r="Y1140" t="str">
            <v>박순홍</v>
          </cell>
          <cell r="Z1140" t="str">
            <v>(인)</v>
          </cell>
          <cell r="AA1140" t="str">
            <v>이홍걸</v>
          </cell>
          <cell r="AB1140" t="str">
            <v>(인)</v>
          </cell>
          <cell r="AC1140" t="str">
            <v>박기원</v>
          </cell>
          <cell r="AD1140" t="str">
            <v>(인)</v>
          </cell>
          <cell r="AE1140">
            <v>176.3</v>
          </cell>
          <cell r="AF1140" t="str">
            <v>표준</v>
          </cell>
          <cell r="AG1140">
            <v>2</v>
          </cell>
          <cell r="AH1140">
            <v>0</v>
          </cell>
        </row>
        <row r="1141">
          <cell r="G1141">
            <v>2410010403</v>
          </cell>
          <cell r="H1141" t="str">
            <v>117동</v>
          </cell>
          <cell r="I1141">
            <v>241001</v>
          </cell>
          <cell r="J1141" t="str">
            <v>117동 지하 2층 2차</v>
          </cell>
          <cell r="K1141">
            <v>534</v>
          </cell>
          <cell r="L1141">
            <v>534</v>
          </cell>
          <cell r="M1141">
            <v>3015</v>
          </cell>
          <cell r="N1141" t="str">
            <v>영진</v>
          </cell>
          <cell r="O1141" t="str">
            <v>펌프카(1대)</v>
          </cell>
          <cell r="P1141">
            <v>732</v>
          </cell>
          <cell r="Q1141">
            <v>1519</v>
          </cell>
          <cell r="R1141">
            <v>170</v>
          </cell>
          <cell r="S1141">
            <v>44</v>
          </cell>
          <cell r="T1141">
            <v>32</v>
          </cell>
          <cell r="U1141">
            <v>265</v>
          </cell>
          <cell r="V1141"/>
          <cell r="W1141" t="str">
            <v>박순홍</v>
          </cell>
          <cell r="X1141" t="str">
            <v>(인)</v>
          </cell>
          <cell r="Y1141" t="str">
            <v>박순홍</v>
          </cell>
          <cell r="Z1141" t="str">
            <v>(인)</v>
          </cell>
          <cell r="AA1141" t="str">
            <v>이홍걸</v>
          </cell>
          <cell r="AB1141" t="str">
            <v>(인)</v>
          </cell>
          <cell r="AC1141" t="str">
            <v>박기원</v>
          </cell>
          <cell r="AD1141" t="str">
            <v>(인)</v>
          </cell>
          <cell r="AE1141">
            <v>175.4</v>
          </cell>
          <cell r="AF1141" t="str">
            <v>표준</v>
          </cell>
          <cell r="AG1141">
            <v>3</v>
          </cell>
          <cell r="AH1141">
            <v>0</v>
          </cell>
        </row>
        <row r="1142">
          <cell r="G1142">
            <v>2410010404</v>
          </cell>
          <cell r="H1142" t="str">
            <v>117동</v>
          </cell>
          <cell r="I1142">
            <v>241001</v>
          </cell>
          <cell r="J1142" t="str">
            <v>117동 지하 2층 2차</v>
          </cell>
          <cell r="K1142">
            <v>534</v>
          </cell>
          <cell r="L1142">
            <v>534</v>
          </cell>
          <cell r="M1142">
            <v>3015</v>
          </cell>
          <cell r="N1142" t="str">
            <v>영진</v>
          </cell>
          <cell r="O1142" t="str">
            <v>펌프카(1대)</v>
          </cell>
          <cell r="P1142">
            <v>732</v>
          </cell>
          <cell r="Q1142">
            <v>1519</v>
          </cell>
          <cell r="R1142">
            <v>175</v>
          </cell>
          <cell r="S1142">
            <v>44</v>
          </cell>
          <cell r="T1142">
            <v>31</v>
          </cell>
          <cell r="U1142">
            <v>262</v>
          </cell>
          <cell r="V1142"/>
          <cell r="W1142" t="str">
            <v>박순홍</v>
          </cell>
          <cell r="X1142" t="str">
            <v>(인)</v>
          </cell>
          <cell r="Y1142" t="str">
            <v>박순홍</v>
          </cell>
          <cell r="Z1142" t="str">
            <v>(인)</v>
          </cell>
          <cell r="AA1142" t="str">
            <v>이홍걸</v>
          </cell>
          <cell r="AB1142" t="str">
            <v>(인)</v>
          </cell>
          <cell r="AC1142" t="str">
            <v>박기원</v>
          </cell>
          <cell r="AD1142" t="str">
            <v>(인)</v>
          </cell>
          <cell r="AE1142">
            <v>169.7</v>
          </cell>
          <cell r="AF1142" t="str">
            <v>표준</v>
          </cell>
          <cell r="AG1142">
            <v>4</v>
          </cell>
          <cell r="AH1142">
            <v>1</v>
          </cell>
          <cell r="AL1142">
            <v>3702</v>
          </cell>
          <cell r="AM1142">
            <v>3911</v>
          </cell>
          <cell r="AN1142">
            <v>3872</v>
          </cell>
          <cell r="AO1142">
            <v>3906</v>
          </cell>
          <cell r="AP1142">
            <v>3804</v>
          </cell>
          <cell r="AQ1142">
            <v>3712</v>
          </cell>
          <cell r="AR1142">
            <v>3612</v>
          </cell>
          <cell r="AS1142">
            <v>3608</v>
          </cell>
          <cell r="AT1142">
            <v>287800</v>
          </cell>
        </row>
        <row r="1143">
          <cell r="G1143">
            <v>2410010405</v>
          </cell>
          <cell r="H1143" t="str">
            <v>117동</v>
          </cell>
          <cell r="I1143">
            <v>241001</v>
          </cell>
          <cell r="J1143" t="str">
            <v>117동 지하 2층 2차</v>
          </cell>
          <cell r="K1143">
            <v>534</v>
          </cell>
          <cell r="L1143">
            <v>534</v>
          </cell>
          <cell r="M1143">
            <v>3015</v>
          </cell>
          <cell r="N1143" t="str">
            <v>영진</v>
          </cell>
          <cell r="O1143" t="str">
            <v>펌프카(1대)</v>
          </cell>
          <cell r="P1143">
            <v>732</v>
          </cell>
          <cell r="Q1143">
            <v>1519</v>
          </cell>
          <cell r="R1143">
            <v>160</v>
          </cell>
          <cell r="S1143">
            <v>46</v>
          </cell>
          <cell r="T1143">
            <v>53</v>
          </cell>
          <cell r="U1143">
            <v>227</v>
          </cell>
          <cell r="V1143"/>
          <cell r="W1143" t="str">
            <v>박순홍</v>
          </cell>
          <cell r="X1143" t="str">
            <v>(인)</v>
          </cell>
          <cell r="Y1143" t="str">
            <v>박순홍</v>
          </cell>
          <cell r="Z1143" t="str">
            <v>(인)</v>
          </cell>
          <cell r="AA1143" t="str">
            <v>이홍걸</v>
          </cell>
          <cell r="AB1143" t="str">
            <v>(인)</v>
          </cell>
          <cell r="AC1143" t="str">
            <v>박기원</v>
          </cell>
          <cell r="AD1143" t="str">
            <v>(인)</v>
          </cell>
          <cell r="AE1143">
            <v>180.1</v>
          </cell>
          <cell r="AF1143" t="str">
            <v>표준</v>
          </cell>
          <cell r="AG1143">
            <v>5</v>
          </cell>
          <cell r="AH1143">
            <v>0</v>
          </cell>
        </row>
        <row r="1144">
          <cell r="G1144">
            <v>2410010501</v>
          </cell>
          <cell r="H1144" t="str">
            <v>117동</v>
          </cell>
          <cell r="I1144">
            <v>241001</v>
          </cell>
          <cell r="J1144" t="str">
            <v>117동 지하 2층 2차</v>
          </cell>
          <cell r="K1144">
            <v>60</v>
          </cell>
          <cell r="L1144">
            <v>60</v>
          </cell>
          <cell r="M1144">
            <v>2715</v>
          </cell>
          <cell r="N1144" t="str">
            <v>영진</v>
          </cell>
          <cell r="O1144" t="str">
            <v>펌프카(1대)</v>
          </cell>
          <cell r="P1144">
            <v>1314</v>
          </cell>
          <cell r="Q1144">
            <v>1530</v>
          </cell>
          <cell r="R1144">
            <v>175</v>
          </cell>
          <cell r="S1144">
            <v>48</v>
          </cell>
          <cell r="T1144">
            <v>28</v>
          </cell>
          <cell r="U1144">
            <v>259</v>
          </cell>
          <cell r="V1144"/>
          <cell r="W1144" t="str">
            <v>박순홍</v>
          </cell>
          <cell r="X1144" t="str">
            <v>(인)</v>
          </cell>
          <cell r="Y1144" t="str">
            <v>박순홍</v>
          </cell>
          <cell r="Z1144" t="str">
            <v>(인)</v>
          </cell>
          <cell r="AA1144" t="str">
            <v>이홍걸</v>
          </cell>
          <cell r="AB1144" t="str">
            <v>(인)</v>
          </cell>
          <cell r="AC1144" t="str">
            <v>박기원</v>
          </cell>
          <cell r="AD1144" t="str">
            <v>(인)</v>
          </cell>
          <cell r="AE1144">
            <v>177.4</v>
          </cell>
          <cell r="AF1144" t="str">
            <v>표준</v>
          </cell>
          <cell r="AG1144">
            <v>1</v>
          </cell>
          <cell r="AH1144">
            <v>1</v>
          </cell>
          <cell r="AI1144">
            <v>2384</v>
          </cell>
          <cell r="AJ1144">
            <v>2411</v>
          </cell>
          <cell r="AK1144">
            <v>188200</v>
          </cell>
          <cell r="AL1144">
            <v>3180</v>
          </cell>
          <cell r="AM1144">
            <v>3287</v>
          </cell>
          <cell r="AN1144">
            <v>3219</v>
          </cell>
          <cell r="AO1144">
            <v>3306</v>
          </cell>
          <cell r="AP1144">
            <v>3219</v>
          </cell>
          <cell r="AQ1144">
            <v>3214</v>
          </cell>
          <cell r="AR1144">
            <v>3164</v>
          </cell>
          <cell r="AS1144">
            <v>3190</v>
          </cell>
          <cell r="AT1144">
            <v>250600</v>
          </cell>
        </row>
        <row r="1145">
          <cell r="G1145">
            <v>2410010601</v>
          </cell>
          <cell r="H1145" t="str">
            <v>109동</v>
          </cell>
          <cell r="I1145">
            <v>241001</v>
          </cell>
          <cell r="J1145" t="str">
            <v>109동 주변주차장</v>
          </cell>
          <cell r="K1145">
            <v>102</v>
          </cell>
          <cell r="L1145">
            <v>102</v>
          </cell>
          <cell r="M1145">
            <v>2715</v>
          </cell>
          <cell r="N1145" t="str">
            <v>대원</v>
          </cell>
          <cell r="O1145" t="str">
            <v>펌프카(1대)</v>
          </cell>
          <cell r="P1145">
            <v>915</v>
          </cell>
          <cell r="Q1145">
            <v>1116</v>
          </cell>
          <cell r="R1145">
            <v>155</v>
          </cell>
          <cell r="S1145">
            <v>38</v>
          </cell>
          <cell r="T1145">
            <v>26</v>
          </cell>
          <cell r="U1145">
            <v>255</v>
          </cell>
          <cell r="V1145"/>
          <cell r="W1145" t="str">
            <v>박순홍</v>
          </cell>
          <cell r="X1145" t="str">
            <v>(인)</v>
          </cell>
          <cell r="Y1145" t="str">
            <v>박순홍</v>
          </cell>
          <cell r="Z1145" t="str">
            <v>(인)</v>
          </cell>
          <cell r="AA1145" t="str">
            <v>이홍걸</v>
          </cell>
          <cell r="AB1145" t="str">
            <v>(인)</v>
          </cell>
          <cell r="AC1145" t="str">
            <v>박기원</v>
          </cell>
          <cell r="AD1145" t="str">
            <v>(인)</v>
          </cell>
          <cell r="AE1145">
            <v>172.2</v>
          </cell>
          <cell r="AF1145" t="str">
            <v>표준</v>
          </cell>
          <cell r="AG1145">
            <v>1</v>
          </cell>
          <cell r="AH1145">
            <v>1</v>
          </cell>
          <cell r="AI1145">
            <v>2239</v>
          </cell>
          <cell r="AJ1145">
            <v>2218</v>
          </cell>
          <cell r="AK1145">
            <v>168600</v>
          </cell>
          <cell r="AL1145">
            <v>3320</v>
          </cell>
          <cell r="AM1145">
            <v>3351</v>
          </cell>
          <cell r="AN1145">
            <v>3402</v>
          </cell>
          <cell r="AO1145">
            <v>3319</v>
          </cell>
          <cell r="AP1145">
            <v>3298</v>
          </cell>
          <cell r="AQ1145">
            <v>3304</v>
          </cell>
          <cell r="AR1145">
            <v>3319</v>
          </cell>
          <cell r="AS1145">
            <v>3287</v>
          </cell>
          <cell r="AT1145">
            <v>264400</v>
          </cell>
        </row>
        <row r="1146">
          <cell r="G1146">
            <v>2410010701</v>
          </cell>
          <cell r="H1146" t="str">
            <v>근생</v>
          </cell>
          <cell r="I1146">
            <v>241001</v>
          </cell>
          <cell r="J1146" t="str">
            <v>근생기초</v>
          </cell>
          <cell r="K1146">
            <v>100</v>
          </cell>
          <cell r="L1146">
            <v>100</v>
          </cell>
          <cell r="M1146">
            <v>2415</v>
          </cell>
          <cell r="N1146" t="str">
            <v>대원</v>
          </cell>
          <cell r="O1146" t="str">
            <v>펌프카(1대)</v>
          </cell>
          <cell r="P1146">
            <v>750</v>
          </cell>
          <cell r="Q1146">
            <v>1352</v>
          </cell>
          <cell r="R1146">
            <v>150</v>
          </cell>
          <cell r="S1146">
            <v>35</v>
          </cell>
          <cell r="T1146">
            <v>19</v>
          </cell>
          <cell r="U1146">
            <v>247</v>
          </cell>
          <cell r="V1146"/>
          <cell r="W1146" t="str">
            <v>박순홍</v>
          </cell>
          <cell r="X1146" t="str">
            <v>(인)</v>
          </cell>
          <cell r="Y1146" t="str">
            <v>박순홍</v>
          </cell>
          <cell r="Z1146" t="str">
            <v>(인)</v>
          </cell>
          <cell r="AA1146" t="str">
            <v>이홍걸</v>
          </cell>
          <cell r="AB1146" t="str">
            <v>(인)</v>
          </cell>
          <cell r="AC1146" t="str">
            <v>박기원</v>
          </cell>
          <cell r="AD1146" t="str">
            <v>(인)</v>
          </cell>
          <cell r="AE1146">
            <v>176.6</v>
          </cell>
          <cell r="AF1146" t="str">
            <v>표준</v>
          </cell>
          <cell r="AG1146">
            <v>1</v>
          </cell>
          <cell r="AH1146">
            <v>1</v>
          </cell>
          <cell r="AI1146">
            <v>1924</v>
          </cell>
          <cell r="AJ1146">
            <v>1936</v>
          </cell>
          <cell r="AK1146">
            <v>153600</v>
          </cell>
          <cell r="AL1146">
            <v>3022</v>
          </cell>
          <cell r="AM1146">
            <v>3037</v>
          </cell>
          <cell r="AN1146">
            <v>3068</v>
          </cell>
          <cell r="AO1146">
            <v>3094</v>
          </cell>
          <cell r="AP1146">
            <v>3166</v>
          </cell>
          <cell r="AQ1146">
            <v>3077</v>
          </cell>
          <cell r="AR1146">
            <v>3168</v>
          </cell>
          <cell r="AS1146">
            <v>3084</v>
          </cell>
          <cell r="AT1146">
            <v>246800</v>
          </cell>
        </row>
        <row r="1147">
          <cell r="G1147">
            <v>2410010801</v>
          </cell>
          <cell r="H1147" t="str">
            <v>103동</v>
          </cell>
          <cell r="I1147">
            <v>241001</v>
          </cell>
          <cell r="J1147" t="str">
            <v>103~104동 주변 주차장 누름</v>
          </cell>
          <cell r="K1147">
            <v>135</v>
          </cell>
          <cell r="L1147">
            <v>135</v>
          </cell>
          <cell r="M1147">
            <v>1815</v>
          </cell>
          <cell r="N1147" t="str">
            <v>대공</v>
          </cell>
          <cell r="O1147" t="str">
            <v>펌프카(1대)</v>
          </cell>
          <cell r="P1147">
            <v>1405</v>
          </cell>
          <cell r="Q1147">
            <v>1615</v>
          </cell>
          <cell r="R1147">
            <v>170</v>
          </cell>
          <cell r="S1147">
            <v>49</v>
          </cell>
          <cell r="T1147">
            <v>32</v>
          </cell>
          <cell r="U1147">
            <v>259</v>
          </cell>
          <cell r="V1147"/>
          <cell r="W1147" t="str">
            <v>박순홍</v>
          </cell>
          <cell r="X1147" t="str">
            <v>(인)</v>
          </cell>
          <cell r="Y1147" t="str">
            <v>박순홍</v>
          </cell>
          <cell r="Z1147" t="str">
            <v>(인)</v>
          </cell>
          <cell r="AA1147" t="str">
            <v>이홍걸</v>
          </cell>
          <cell r="AB1147" t="str">
            <v>(인)</v>
          </cell>
          <cell r="AC1147" t="str">
            <v>박기원</v>
          </cell>
          <cell r="AD1147" t="str">
            <v>(인)</v>
          </cell>
          <cell r="AE1147">
            <v>177.7</v>
          </cell>
          <cell r="AF1147" t="str">
            <v>표준</v>
          </cell>
          <cell r="AG1147">
            <v>1</v>
          </cell>
          <cell r="AH1147">
            <v>1</v>
          </cell>
          <cell r="AI1147">
            <v>1701</v>
          </cell>
          <cell r="AJ1147">
            <v>1652</v>
          </cell>
          <cell r="AK1147">
            <v>133400</v>
          </cell>
          <cell r="AL1147">
            <v>2203</v>
          </cell>
          <cell r="AM1147">
            <v>2324</v>
          </cell>
          <cell r="AN1147">
            <v>2306</v>
          </cell>
          <cell r="AO1147">
            <v>2216</v>
          </cell>
          <cell r="AP1147">
            <v>2304</v>
          </cell>
          <cell r="AQ1147">
            <v>2316</v>
          </cell>
          <cell r="AR1147">
            <v>2306</v>
          </cell>
          <cell r="AS1147">
            <v>2218</v>
          </cell>
          <cell r="AT1147">
            <v>179400</v>
          </cell>
        </row>
        <row r="1148">
          <cell r="G1148">
            <v>2410010802</v>
          </cell>
          <cell r="H1148" t="str">
            <v>103동</v>
          </cell>
          <cell r="I1148">
            <v>241001</v>
          </cell>
          <cell r="J1148" t="str">
            <v>103~104동 주변 주차장 누름</v>
          </cell>
          <cell r="K1148">
            <v>135</v>
          </cell>
          <cell r="L1148">
            <v>135</v>
          </cell>
          <cell r="M1148">
            <v>1815</v>
          </cell>
          <cell r="N1148" t="str">
            <v>대공</v>
          </cell>
          <cell r="O1148" t="str">
            <v>펌프카(1대)</v>
          </cell>
          <cell r="P1148">
            <v>1405</v>
          </cell>
          <cell r="Q1148">
            <v>1615</v>
          </cell>
          <cell r="R1148">
            <v>165</v>
          </cell>
          <cell r="S1148">
            <v>43</v>
          </cell>
          <cell r="T1148">
            <v>80</v>
          </cell>
          <cell r="U1148">
            <v>248</v>
          </cell>
          <cell r="V1148"/>
          <cell r="W1148" t="str">
            <v>박순홍</v>
          </cell>
          <cell r="X1148" t="str">
            <v>(인)</v>
          </cell>
          <cell r="Y1148" t="str">
            <v>박순홍</v>
          </cell>
          <cell r="Z1148" t="str">
            <v>(인)</v>
          </cell>
          <cell r="AA1148" t="str">
            <v>이홍걸</v>
          </cell>
          <cell r="AB1148" t="str">
            <v>(인)</v>
          </cell>
          <cell r="AC1148" t="str">
            <v>박기원</v>
          </cell>
          <cell r="AD1148" t="str">
            <v>(인)</v>
          </cell>
          <cell r="AE1148">
            <v>170.1</v>
          </cell>
          <cell r="AF1148" t="str">
            <v>표준</v>
          </cell>
          <cell r="AG1148">
            <v>2</v>
          </cell>
          <cell r="AH1148">
            <v>0</v>
          </cell>
        </row>
        <row r="1149">
          <cell r="G1149">
            <v>2410010901</v>
          </cell>
          <cell r="H1149" t="str">
            <v>116동</v>
          </cell>
          <cell r="I1149">
            <v>241001</v>
          </cell>
          <cell r="J1149" t="str">
            <v>N구간 버림</v>
          </cell>
          <cell r="K1149">
            <v>214</v>
          </cell>
          <cell r="L1149">
            <v>214</v>
          </cell>
          <cell r="M1149">
            <v>1812</v>
          </cell>
          <cell r="N1149" t="str">
            <v>용호</v>
          </cell>
          <cell r="O1149" t="str">
            <v>펌프카(1대)</v>
          </cell>
          <cell r="P1149">
            <v>1400</v>
          </cell>
          <cell r="Q1149">
            <v>1657</v>
          </cell>
          <cell r="R1149">
            <v>140</v>
          </cell>
          <cell r="S1149">
            <v>49</v>
          </cell>
          <cell r="T1149">
            <v>67</v>
          </cell>
          <cell r="U1149">
            <v>247</v>
          </cell>
          <cell r="V1149"/>
          <cell r="W1149" t="str">
            <v>박순홍</v>
          </cell>
          <cell r="X1149" t="str">
            <v>(인)</v>
          </cell>
          <cell r="Y1149" t="str">
            <v>박순홍</v>
          </cell>
          <cell r="Z1149" t="str">
            <v>(인)</v>
          </cell>
          <cell r="AA1149" t="str">
            <v>이홍걸</v>
          </cell>
          <cell r="AB1149" t="str">
            <v>(인)</v>
          </cell>
          <cell r="AC1149" t="str">
            <v>박기원</v>
          </cell>
          <cell r="AD1149" t="str">
            <v>(인)</v>
          </cell>
          <cell r="AE1149">
            <v>173.9</v>
          </cell>
          <cell r="AF1149" t="str">
            <v>표준</v>
          </cell>
          <cell r="AG1149">
            <v>1</v>
          </cell>
          <cell r="AH1149">
            <v>1</v>
          </cell>
          <cell r="AI1149">
            <v>1610</v>
          </cell>
          <cell r="AJ1149">
            <v>1622</v>
          </cell>
          <cell r="AK1149">
            <v>123800</v>
          </cell>
          <cell r="AL1149">
            <v>2274</v>
          </cell>
          <cell r="AM1149">
            <v>2230</v>
          </cell>
          <cell r="AN1149">
            <v>2206</v>
          </cell>
          <cell r="AO1149">
            <v>2310</v>
          </cell>
          <cell r="AP1149">
            <v>2276</v>
          </cell>
          <cell r="AQ1149">
            <v>2214</v>
          </cell>
          <cell r="AR1149">
            <v>2306</v>
          </cell>
          <cell r="AS1149">
            <v>2172</v>
          </cell>
          <cell r="AT1149">
            <v>170000</v>
          </cell>
        </row>
        <row r="1150">
          <cell r="G1150">
            <v>2410010902</v>
          </cell>
          <cell r="H1150" t="str">
            <v>116동</v>
          </cell>
          <cell r="I1150">
            <v>241001</v>
          </cell>
          <cell r="J1150" t="str">
            <v>N구간 버림</v>
          </cell>
          <cell r="K1150">
            <v>214</v>
          </cell>
          <cell r="L1150">
            <v>214</v>
          </cell>
          <cell r="M1150">
            <v>1812</v>
          </cell>
          <cell r="N1150" t="str">
            <v>용호</v>
          </cell>
          <cell r="O1150" t="str">
            <v>펌프카(1대)</v>
          </cell>
          <cell r="P1150">
            <v>1400</v>
          </cell>
          <cell r="Q1150">
            <v>1657</v>
          </cell>
          <cell r="R1150">
            <v>140</v>
          </cell>
          <cell r="S1150">
            <v>45</v>
          </cell>
          <cell r="T1150">
            <v>29</v>
          </cell>
          <cell r="U1150">
            <v>236</v>
          </cell>
          <cell r="V1150"/>
          <cell r="W1150" t="str">
            <v>박순홍</v>
          </cell>
          <cell r="X1150" t="str">
            <v>(인)</v>
          </cell>
          <cell r="Y1150" t="str">
            <v>박순홍</v>
          </cell>
          <cell r="Z1150" t="str">
            <v>(인)</v>
          </cell>
          <cell r="AA1150" t="str">
            <v>이홍걸</v>
          </cell>
          <cell r="AB1150" t="str">
            <v>(인)</v>
          </cell>
          <cell r="AC1150" t="str">
            <v>박기원</v>
          </cell>
          <cell r="AD1150" t="str">
            <v>(인)</v>
          </cell>
          <cell r="AE1150">
            <v>178.4</v>
          </cell>
          <cell r="AF1150" t="str">
            <v>표준</v>
          </cell>
          <cell r="AG1150">
            <v>2</v>
          </cell>
          <cell r="AH1150">
            <v>0</v>
          </cell>
        </row>
        <row r="1151">
          <cell r="G1151">
            <v>2410030101</v>
          </cell>
          <cell r="H1151" t="str">
            <v>102동</v>
          </cell>
          <cell r="I1151">
            <v>241003</v>
          </cell>
          <cell r="J1151" t="str">
            <v>102동 8층 바닥</v>
          </cell>
          <cell r="K1151">
            <v>281</v>
          </cell>
          <cell r="L1151">
            <v>281</v>
          </cell>
          <cell r="M1151">
            <v>3018</v>
          </cell>
          <cell r="N1151" t="str">
            <v>동양</v>
          </cell>
          <cell r="O1151" t="str">
            <v>펌프카(1대)</v>
          </cell>
          <cell r="P1151">
            <v>822</v>
          </cell>
          <cell r="Q1151">
            <v>1220</v>
          </cell>
          <cell r="R1151">
            <v>190</v>
          </cell>
          <cell r="S1151">
            <v>45</v>
          </cell>
          <cell r="T1151">
            <v>14</v>
          </cell>
          <cell r="U1151">
            <v>258</v>
          </cell>
          <cell r="V1151"/>
          <cell r="W1151" t="str">
            <v>박순홍</v>
          </cell>
          <cell r="X1151" t="str">
            <v>(인)</v>
          </cell>
          <cell r="Y1151" t="str">
            <v>김광록</v>
          </cell>
          <cell r="Z1151" t="str">
            <v>(인)</v>
          </cell>
          <cell r="AA1151" t="str">
            <v>최상옥</v>
          </cell>
          <cell r="AB1151" t="str">
            <v>(인)</v>
          </cell>
          <cell r="AC1151" t="str">
            <v>박기원</v>
          </cell>
          <cell r="AD1151" t="str">
            <v>(인)</v>
          </cell>
          <cell r="AE1151">
            <v>182.6</v>
          </cell>
          <cell r="AF1151" t="str">
            <v>표준</v>
          </cell>
          <cell r="AG1151">
            <v>1</v>
          </cell>
          <cell r="AH1151">
            <v>1</v>
          </cell>
          <cell r="AI1151">
            <v>2531</v>
          </cell>
          <cell r="AJ1151">
            <v>2671</v>
          </cell>
          <cell r="AK1151">
            <v>190800</v>
          </cell>
          <cell r="AL1151">
            <v>3672</v>
          </cell>
          <cell r="AM1151">
            <v>3542</v>
          </cell>
          <cell r="AN1151">
            <v>3618</v>
          </cell>
          <cell r="AO1151">
            <v>3509</v>
          </cell>
          <cell r="AP1151">
            <v>3638</v>
          </cell>
          <cell r="AQ1151">
            <v>3764</v>
          </cell>
          <cell r="AR1151">
            <v>3745</v>
          </cell>
          <cell r="AS1151">
            <v>3649</v>
          </cell>
          <cell r="AT1151">
            <v>284000</v>
          </cell>
        </row>
        <row r="1152">
          <cell r="G1152">
            <v>2410030102</v>
          </cell>
          <cell r="H1152" t="str">
            <v>102동</v>
          </cell>
          <cell r="I1152">
            <v>241003</v>
          </cell>
          <cell r="J1152" t="str">
            <v>102동 8층 바닥</v>
          </cell>
          <cell r="K1152">
            <v>281</v>
          </cell>
          <cell r="L1152">
            <v>281</v>
          </cell>
          <cell r="M1152">
            <v>3018</v>
          </cell>
          <cell r="N1152" t="str">
            <v>동양</v>
          </cell>
          <cell r="O1152" t="str">
            <v>펌프카(1대)</v>
          </cell>
          <cell r="P1152">
            <v>822</v>
          </cell>
          <cell r="Q1152">
            <v>1220</v>
          </cell>
          <cell r="R1152">
            <v>190</v>
          </cell>
          <cell r="S1152">
            <v>50</v>
          </cell>
          <cell r="T1152">
            <v>30</v>
          </cell>
          <cell r="U1152">
            <v>265</v>
          </cell>
          <cell r="V1152"/>
          <cell r="W1152" t="str">
            <v>박순홍</v>
          </cell>
          <cell r="X1152" t="str">
            <v>(인)</v>
          </cell>
          <cell r="Y1152" t="str">
            <v>김광록</v>
          </cell>
          <cell r="Z1152" t="str">
            <v>(인)</v>
          </cell>
          <cell r="AA1152" t="str">
            <v>최상옥</v>
          </cell>
          <cell r="AB1152" t="str">
            <v>(인)</v>
          </cell>
          <cell r="AC1152" t="str">
            <v>박기원</v>
          </cell>
          <cell r="AD1152" t="str">
            <v>(인)</v>
          </cell>
          <cell r="AE1152">
            <v>186.3</v>
          </cell>
          <cell r="AF1152" t="str">
            <v>표준</v>
          </cell>
          <cell r="AG1152">
            <v>2</v>
          </cell>
          <cell r="AH1152">
            <v>0</v>
          </cell>
        </row>
        <row r="1153">
          <cell r="G1153">
            <v>2410030103</v>
          </cell>
          <cell r="H1153" t="str">
            <v>102동</v>
          </cell>
          <cell r="I1153">
            <v>241003</v>
          </cell>
          <cell r="J1153" t="str">
            <v>102동 8층 바닥</v>
          </cell>
          <cell r="K1153">
            <v>281</v>
          </cell>
          <cell r="L1153">
            <v>281</v>
          </cell>
          <cell r="M1153">
            <v>3018</v>
          </cell>
          <cell r="N1153" t="str">
            <v>동양</v>
          </cell>
          <cell r="O1153" t="str">
            <v>펌프카(1대)</v>
          </cell>
          <cell r="P1153">
            <v>822</v>
          </cell>
          <cell r="Q1153">
            <v>1220</v>
          </cell>
          <cell r="R1153">
            <v>180</v>
          </cell>
          <cell r="S1153">
            <v>42</v>
          </cell>
          <cell r="T1153">
            <v>49</v>
          </cell>
          <cell r="U1153">
            <v>256</v>
          </cell>
          <cell r="V1153"/>
          <cell r="W1153" t="str">
            <v>박순홍</v>
          </cell>
          <cell r="X1153" t="str">
            <v>(인)</v>
          </cell>
          <cell r="Y1153" t="str">
            <v>김광록</v>
          </cell>
          <cell r="Z1153" t="str">
            <v>(인)</v>
          </cell>
          <cell r="AA1153" t="str">
            <v>최상옥</v>
          </cell>
          <cell r="AB1153" t="str">
            <v>(인)</v>
          </cell>
          <cell r="AC1153" t="str">
            <v>박기원</v>
          </cell>
          <cell r="AD1153" t="str">
            <v>(인)</v>
          </cell>
          <cell r="AE1153">
            <v>181.8</v>
          </cell>
          <cell r="AF1153" t="str">
            <v>표준</v>
          </cell>
          <cell r="AG1153">
            <v>3</v>
          </cell>
          <cell r="AH1153">
            <v>0</v>
          </cell>
        </row>
        <row r="1154">
          <cell r="G1154">
            <v>2410040101</v>
          </cell>
          <cell r="H1154" t="str">
            <v>119동</v>
          </cell>
          <cell r="I1154">
            <v>241004</v>
          </cell>
          <cell r="J1154" t="str">
            <v>119동 주변주차장</v>
          </cell>
          <cell r="K1154">
            <v>152</v>
          </cell>
          <cell r="L1154">
            <v>152</v>
          </cell>
          <cell r="M1154">
            <v>2715</v>
          </cell>
          <cell r="N1154" t="str">
            <v>용호</v>
          </cell>
          <cell r="O1154" t="str">
            <v>펌프카(1대)</v>
          </cell>
          <cell r="P1154">
            <v>916</v>
          </cell>
          <cell r="Q1154">
            <v>1215</v>
          </cell>
          <cell r="R1154">
            <v>155</v>
          </cell>
          <cell r="S1154">
            <v>40</v>
          </cell>
          <cell r="T1154">
            <v>15</v>
          </cell>
          <cell r="U1154">
            <v>242</v>
          </cell>
          <cell r="V1154"/>
          <cell r="W1154" t="str">
            <v>박순홍</v>
          </cell>
          <cell r="X1154" t="str">
            <v>(인)</v>
          </cell>
          <cell r="Y1154" t="str">
            <v>박순홍</v>
          </cell>
          <cell r="Z1154" t="str">
            <v>(인)</v>
          </cell>
          <cell r="AA1154" t="str">
            <v>박상갑</v>
          </cell>
          <cell r="AB1154" t="str">
            <v>(인)</v>
          </cell>
          <cell r="AC1154" t="str">
            <v>박기원</v>
          </cell>
          <cell r="AD1154" t="str">
            <v>(인)</v>
          </cell>
          <cell r="AE1154">
            <v>187.4</v>
          </cell>
          <cell r="AF1154" t="str">
            <v>표준</v>
          </cell>
          <cell r="AG1154">
            <v>1</v>
          </cell>
          <cell r="AH1154">
            <v>1</v>
          </cell>
          <cell r="AI1154">
            <v>2561</v>
          </cell>
          <cell r="AJ1154">
            <v>2572</v>
          </cell>
          <cell r="AK1154">
            <v>207600</v>
          </cell>
          <cell r="AL1154">
            <v>3277</v>
          </cell>
          <cell r="AM1154">
            <v>3292</v>
          </cell>
          <cell r="AN1154">
            <v>3294</v>
          </cell>
          <cell r="AO1154">
            <v>3306</v>
          </cell>
          <cell r="AP1154">
            <v>3412</v>
          </cell>
          <cell r="AQ1154">
            <v>3362</v>
          </cell>
          <cell r="AR1154">
            <v>3394</v>
          </cell>
          <cell r="AS1154">
            <v>3372</v>
          </cell>
          <cell r="AT1154">
            <v>259800</v>
          </cell>
        </row>
        <row r="1155">
          <cell r="G1155">
            <v>2410040102</v>
          </cell>
          <cell r="H1155" t="str">
            <v>119동</v>
          </cell>
          <cell r="I1155">
            <v>241004</v>
          </cell>
          <cell r="J1155" t="str">
            <v>119동 주변주차장</v>
          </cell>
          <cell r="K1155">
            <v>152</v>
          </cell>
          <cell r="L1155">
            <v>152</v>
          </cell>
          <cell r="M1155">
            <v>2715</v>
          </cell>
          <cell r="N1155" t="str">
            <v>용호</v>
          </cell>
          <cell r="O1155" t="str">
            <v>펌프카(1대)</v>
          </cell>
          <cell r="P1155">
            <v>916</v>
          </cell>
          <cell r="Q1155">
            <v>1215</v>
          </cell>
          <cell r="R1155">
            <v>160</v>
          </cell>
          <cell r="S1155">
            <v>46</v>
          </cell>
          <cell r="T1155">
            <v>11</v>
          </cell>
          <cell r="U1155">
            <v>251</v>
          </cell>
          <cell r="V1155"/>
          <cell r="W1155" t="str">
            <v>박순홍</v>
          </cell>
          <cell r="X1155" t="str">
            <v>(인)</v>
          </cell>
          <cell r="Y1155" t="str">
            <v>박순홍</v>
          </cell>
          <cell r="Z1155" t="str">
            <v>(인)</v>
          </cell>
          <cell r="AA1155" t="str">
            <v>박상갑</v>
          </cell>
          <cell r="AB1155" t="str">
            <v>(인)</v>
          </cell>
          <cell r="AC1155" t="str">
            <v>박기원</v>
          </cell>
          <cell r="AD1155" t="str">
            <v>(인)</v>
          </cell>
          <cell r="AE1155">
            <v>186</v>
          </cell>
          <cell r="AF1155" t="str">
            <v>표준</v>
          </cell>
          <cell r="AG1155">
            <v>2</v>
          </cell>
          <cell r="AH1155">
            <v>0</v>
          </cell>
        </row>
        <row r="1156">
          <cell r="G1156">
            <v>2410070101</v>
          </cell>
          <cell r="H1156" t="str">
            <v>113동</v>
          </cell>
          <cell r="I1156">
            <v>241007</v>
          </cell>
          <cell r="J1156" t="str">
            <v>113동 7층 바닥</v>
          </cell>
          <cell r="K1156">
            <v>346</v>
          </cell>
          <cell r="L1156">
            <v>346</v>
          </cell>
          <cell r="M1156">
            <v>3018</v>
          </cell>
          <cell r="N1156" t="str">
            <v>쌍용</v>
          </cell>
          <cell r="O1156" t="str">
            <v>펌프카(1대)</v>
          </cell>
          <cell r="P1156">
            <v>1124</v>
          </cell>
          <cell r="Q1156">
            <v>1705</v>
          </cell>
          <cell r="R1156">
            <v>180</v>
          </cell>
          <cell r="S1156">
            <v>40</v>
          </cell>
          <cell r="T1156">
            <v>18</v>
          </cell>
          <cell r="U1156">
            <v>240</v>
          </cell>
          <cell r="V1156"/>
          <cell r="W1156" t="str">
            <v>박순홍</v>
          </cell>
          <cell r="X1156" t="str">
            <v>(인)</v>
          </cell>
          <cell r="Y1156" t="str">
            <v>박순홍</v>
          </cell>
          <cell r="Z1156" t="str">
            <v>(인)</v>
          </cell>
          <cell r="AA1156" t="str">
            <v>박상갑</v>
          </cell>
          <cell r="AB1156" t="str">
            <v>(인)</v>
          </cell>
          <cell r="AC1156" t="str">
            <v>박상갑</v>
          </cell>
          <cell r="AD1156" t="str">
            <v>(인)</v>
          </cell>
          <cell r="AE1156">
            <v>189.4</v>
          </cell>
          <cell r="AF1156" t="str">
            <v>표준</v>
          </cell>
          <cell r="AG1156">
            <v>1</v>
          </cell>
          <cell r="AH1156">
            <v>1</v>
          </cell>
          <cell r="AI1156">
            <v>2719</v>
          </cell>
          <cell r="AJ1156">
            <v>2733</v>
          </cell>
          <cell r="AK1156">
            <v>210200</v>
          </cell>
          <cell r="AL1156">
            <v>3506</v>
          </cell>
          <cell r="AM1156">
            <v>3823</v>
          </cell>
          <cell r="AN1156">
            <v>3602</v>
          </cell>
          <cell r="AO1156">
            <v>3508</v>
          </cell>
          <cell r="AP1156">
            <v>3619</v>
          </cell>
          <cell r="AQ1156">
            <v>3784</v>
          </cell>
          <cell r="AR1156">
            <v>3634</v>
          </cell>
          <cell r="AS1156">
            <v>3629</v>
          </cell>
          <cell r="AT1156">
            <v>289400</v>
          </cell>
        </row>
        <row r="1157">
          <cell r="G1157">
            <v>2410070102</v>
          </cell>
          <cell r="H1157" t="str">
            <v>113동</v>
          </cell>
          <cell r="I1157">
            <v>241007</v>
          </cell>
          <cell r="J1157" t="str">
            <v>113동 7층 바닥</v>
          </cell>
          <cell r="K1157">
            <v>346</v>
          </cell>
          <cell r="L1157">
            <v>346</v>
          </cell>
          <cell r="M1157">
            <v>3018</v>
          </cell>
          <cell r="N1157" t="str">
            <v>쌍용</v>
          </cell>
          <cell r="O1157" t="str">
            <v>펌프카(1대)</v>
          </cell>
          <cell r="P1157">
            <v>1124</v>
          </cell>
          <cell r="Q1157">
            <v>1705</v>
          </cell>
          <cell r="R1157">
            <v>190</v>
          </cell>
          <cell r="S1157">
            <v>47</v>
          </cell>
          <cell r="T1157">
            <v>55</v>
          </cell>
          <cell r="U1157">
            <v>256</v>
          </cell>
          <cell r="V1157"/>
          <cell r="W1157" t="str">
            <v>박순홍</v>
          </cell>
          <cell r="X1157" t="str">
            <v>(인)</v>
          </cell>
          <cell r="Y1157" t="str">
            <v>박순홍</v>
          </cell>
          <cell r="Z1157" t="str">
            <v>(인)</v>
          </cell>
          <cell r="AA1157" t="str">
            <v>박상갑</v>
          </cell>
          <cell r="AB1157" t="str">
            <v>(인)</v>
          </cell>
          <cell r="AC1157" t="str">
            <v>박상갑</v>
          </cell>
          <cell r="AD1157" t="str">
            <v>(인)</v>
          </cell>
          <cell r="AE1157">
            <v>191.6</v>
          </cell>
          <cell r="AF1157" t="str">
            <v>표준</v>
          </cell>
          <cell r="AG1157">
            <v>2</v>
          </cell>
          <cell r="AH1157">
            <v>0</v>
          </cell>
        </row>
        <row r="1158">
          <cell r="G1158">
            <v>2410070103</v>
          </cell>
          <cell r="H1158" t="str">
            <v>113동</v>
          </cell>
          <cell r="I1158">
            <v>241007</v>
          </cell>
          <cell r="J1158" t="str">
            <v>113동 7층 바닥</v>
          </cell>
          <cell r="K1158">
            <v>346</v>
          </cell>
          <cell r="L1158">
            <v>346</v>
          </cell>
          <cell r="M1158">
            <v>3018</v>
          </cell>
          <cell r="N1158" t="str">
            <v>쌍용</v>
          </cell>
          <cell r="O1158" t="str">
            <v>펌프카(1대)</v>
          </cell>
          <cell r="P1158">
            <v>1124</v>
          </cell>
          <cell r="Q1158">
            <v>1705</v>
          </cell>
          <cell r="R1158">
            <v>190</v>
          </cell>
          <cell r="S1158">
            <v>49</v>
          </cell>
          <cell r="T1158">
            <v>62</v>
          </cell>
          <cell r="U1158">
            <v>264</v>
          </cell>
          <cell r="V1158"/>
          <cell r="W1158" t="str">
            <v>박순홍</v>
          </cell>
          <cell r="X1158" t="str">
            <v>(인)</v>
          </cell>
          <cell r="Y1158" t="str">
            <v>박순홍</v>
          </cell>
          <cell r="Z1158" t="str">
            <v>(인)</v>
          </cell>
          <cell r="AA1158" t="str">
            <v>박상갑</v>
          </cell>
          <cell r="AB1158" t="str">
            <v>(인)</v>
          </cell>
          <cell r="AC1158" t="str">
            <v>박상갑</v>
          </cell>
          <cell r="AD1158" t="str">
            <v>(인)</v>
          </cell>
          <cell r="AE1158">
            <v>192.6</v>
          </cell>
          <cell r="AF1158" t="str">
            <v>표준</v>
          </cell>
          <cell r="AG1158">
            <v>3</v>
          </cell>
          <cell r="AH1158">
            <v>0</v>
          </cell>
        </row>
        <row r="1159">
          <cell r="G1159">
            <v>2410070201</v>
          </cell>
          <cell r="H1159" t="str">
            <v>101동</v>
          </cell>
          <cell r="I1159">
            <v>241007</v>
          </cell>
          <cell r="J1159" t="str">
            <v>101동 6층 바닥</v>
          </cell>
          <cell r="K1159">
            <v>276</v>
          </cell>
          <cell r="L1159">
            <v>276</v>
          </cell>
          <cell r="M1159">
            <v>3018</v>
          </cell>
          <cell r="N1159" t="str">
            <v>대원</v>
          </cell>
          <cell r="O1159" t="str">
            <v>펌프카(1대)</v>
          </cell>
          <cell r="P1159">
            <v>1039</v>
          </cell>
          <cell r="Q1159">
            <v>1405</v>
          </cell>
          <cell r="R1159">
            <v>190</v>
          </cell>
          <cell r="S1159">
            <v>40</v>
          </cell>
          <cell r="T1159">
            <v>43</v>
          </cell>
          <cell r="U1159">
            <v>215</v>
          </cell>
          <cell r="V1159"/>
          <cell r="W1159" t="str">
            <v>박순홍</v>
          </cell>
          <cell r="X1159" t="str">
            <v>(인)</v>
          </cell>
          <cell r="Y1159" t="str">
            <v>박순홍</v>
          </cell>
          <cell r="Z1159" t="str">
            <v>(인)</v>
          </cell>
          <cell r="AA1159" t="str">
            <v>박상갑</v>
          </cell>
          <cell r="AB1159" t="str">
            <v>(인)</v>
          </cell>
          <cell r="AC1159" t="str">
            <v>박상갑</v>
          </cell>
          <cell r="AD1159" t="str">
            <v>(인)</v>
          </cell>
          <cell r="AE1159">
            <v>183.5</v>
          </cell>
          <cell r="AF1159" t="str">
            <v>표준</v>
          </cell>
          <cell r="AG1159">
            <v>1</v>
          </cell>
          <cell r="AH1159">
            <v>1</v>
          </cell>
          <cell r="AI1159">
            <v>2724</v>
          </cell>
          <cell r="AJ1159">
            <v>2688</v>
          </cell>
          <cell r="AK1159">
            <v>216800</v>
          </cell>
          <cell r="AL1159">
            <v>3761</v>
          </cell>
          <cell r="AM1159">
            <v>3804</v>
          </cell>
          <cell r="AN1159">
            <v>3902</v>
          </cell>
          <cell r="AO1159">
            <v>3929</v>
          </cell>
          <cell r="AP1159">
            <v>3864</v>
          </cell>
          <cell r="AQ1159">
            <v>3909</v>
          </cell>
          <cell r="AR1159">
            <v>4013</v>
          </cell>
          <cell r="AS1159">
            <v>3929</v>
          </cell>
          <cell r="AT1159">
            <v>303800</v>
          </cell>
        </row>
        <row r="1160">
          <cell r="G1160">
            <v>2410070202</v>
          </cell>
          <cell r="H1160" t="str">
            <v>101동</v>
          </cell>
          <cell r="I1160">
            <v>241007</v>
          </cell>
          <cell r="J1160" t="str">
            <v>101동 6층 바닥</v>
          </cell>
          <cell r="K1160">
            <v>276</v>
          </cell>
          <cell r="L1160">
            <v>276</v>
          </cell>
          <cell r="M1160">
            <v>3018</v>
          </cell>
          <cell r="N1160" t="str">
            <v>대원</v>
          </cell>
          <cell r="O1160" t="str">
            <v>펌프카(1대)</v>
          </cell>
          <cell r="P1160">
            <v>1039</v>
          </cell>
          <cell r="Q1160">
            <v>1405</v>
          </cell>
          <cell r="R1160">
            <v>200</v>
          </cell>
          <cell r="S1160">
            <v>45</v>
          </cell>
          <cell r="T1160">
            <v>48</v>
          </cell>
          <cell r="U1160">
            <v>245</v>
          </cell>
          <cell r="V1160"/>
          <cell r="W1160" t="str">
            <v>박순홍</v>
          </cell>
          <cell r="X1160" t="str">
            <v>(인)</v>
          </cell>
          <cell r="Y1160" t="str">
            <v>박순홍</v>
          </cell>
          <cell r="Z1160" t="str">
            <v>(인)</v>
          </cell>
          <cell r="AA1160" t="str">
            <v>박상갑</v>
          </cell>
          <cell r="AB1160" t="str">
            <v>(인)</v>
          </cell>
          <cell r="AC1160" t="str">
            <v>박상갑</v>
          </cell>
          <cell r="AD1160" t="str">
            <v>(인)</v>
          </cell>
          <cell r="AE1160">
            <v>184.2</v>
          </cell>
          <cell r="AF1160" t="str">
            <v>표준</v>
          </cell>
          <cell r="AG1160">
            <v>2</v>
          </cell>
          <cell r="AH1160">
            <v>0</v>
          </cell>
        </row>
        <row r="1161">
          <cell r="G1161">
            <v>2410070203</v>
          </cell>
          <cell r="H1161" t="str">
            <v>101동</v>
          </cell>
          <cell r="I1161">
            <v>241007</v>
          </cell>
          <cell r="J1161" t="str">
            <v>101동 6층 바닥</v>
          </cell>
          <cell r="K1161">
            <v>276</v>
          </cell>
          <cell r="L1161">
            <v>276</v>
          </cell>
          <cell r="M1161">
            <v>3018</v>
          </cell>
          <cell r="N1161" t="str">
            <v>대원</v>
          </cell>
          <cell r="O1161" t="str">
            <v>펌프카(1대)</v>
          </cell>
          <cell r="P1161">
            <v>1039</v>
          </cell>
          <cell r="Q1161">
            <v>1405</v>
          </cell>
          <cell r="R1161">
            <v>200</v>
          </cell>
          <cell r="S1161">
            <v>50</v>
          </cell>
          <cell r="T1161">
            <v>46</v>
          </cell>
          <cell r="U1161">
            <v>216</v>
          </cell>
          <cell r="V1161"/>
          <cell r="W1161" t="str">
            <v>박순홍</v>
          </cell>
          <cell r="X1161" t="str">
            <v>(인)</v>
          </cell>
          <cell r="Y1161" t="str">
            <v>박순홍</v>
          </cell>
          <cell r="Z1161" t="str">
            <v>(인)</v>
          </cell>
          <cell r="AA1161" t="str">
            <v>박상갑</v>
          </cell>
          <cell r="AB1161" t="str">
            <v>(인)</v>
          </cell>
          <cell r="AC1161" t="str">
            <v>박상갑</v>
          </cell>
          <cell r="AD1161" t="str">
            <v>(인)</v>
          </cell>
          <cell r="AE1161">
            <v>180.5</v>
          </cell>
          <cell r="AF1161" t="str">
            <v>표준</v>
          </cell>
          <cell r="AG1161">
            <v>3</v>
          </cell>
          <cell r="AH1161">
            <v>0</v>
          </cell>
        </row>
        <row r="1162">
          <cell r="G1162">
            <v>2410070301</v>
          </cell>
          <cell r="H1162" t="str">
            <v>110동</v>
          </cell>
          <cell r="I1162">
            <v>241007</v>
          </cell>
          <cell r="J1162" t="str">
            <v>110동 2층 바닥</v>
          </cell>
          <cell r="K1162">
            <v>288</v>
          </cell>
          <cell r="L1162">
            <v>288</v>
          </cell>
          <cell r="M1162">
            <v>3018</v>
          </cell>
          <cell r="N1162" t="str">
            <v>대공</v>
          </cell>
          <cell r="O1162" t="str">
            <v>펌프카(1대)</v>
          </cell>
          <cell r="P1162">
            <v>1033</v>
          </cell>
          <cell r="Q1162">
            <v>1445</v>
          </cell>
          <cell r="R1162">
            <v>180</v>
          </cell>
          <cell r="S1162">
            <v>52</v>
          </cell>
          <cell r="T1162">
            <v>8</v>
          </cell>
          <cell r="U1162">
            <v>244</v>
          </cell>
          <cell r="V1162"/>
          <cell r="W1162" t="str">
            <v>박순홍</v>
          </cell>
          <cell r="X1162" t="str">
            <v>(인)</v>
          </cell>
          <cell r="Y1162" t="str">
            <v>박순홍</v>
          </cell>
          <cell r="Z1162" t="str">
            <v>(인)</v>
          </cell>
          <cell r="AA1162" t="str">
            <v>박상갑</v>
          </cell>
          <cell r="AB1162" t="str">
            <v>(인)</v>
          </cell>
          <cell r="AC1162" t="str">
            <v>박상갑</v>
          </cell>
          <cell r="AD1162" t="str">
            <v>(인)</v>
          </cell>
          <cell r="AE1162">
            <v>178.6</v>
          </cell>
          <cell r="AF1162" t="str">
            <v>표준</v>
          </cell>
          <cell r="AG1162">
            <v>1</v>
          </cell>
          <cell r="AH1162">
            <v>1</v>
          </cell>
          <cell r="AI1162">
            <v>2723</v>
          </cell>
          <cell r="AJ1162">
            <v>2649</v>
          </cell>
          <cell r="AK1162">
            <v>212200</v>
          </cell>
          <cell r="AL1162">
            <v>3865</v>
          </cell>
          <cell r="AM1162">
            <v>3822</v>
          </cell>
          <cell r="AN1162">
            <v>3906</v>
          </cell>
          <cell r="AO1162">
            <v>3706</v>
          </cell>
          <cell r="AP1162">
            <v>3819</v>
          </cell>
          <cell r="AQ1162">
            <v>3920</v>
          </cell>
          <cell r="AR1162">
            <v>3866</v>
          </cell>
          <cell r="AS1162">
            <v>3919</v>
          </cell>
          <cell r="AT1162">
            <v>294200</v>
          </cell>
        </row>
        <row r="1163">
          <cell r="G1163">
            <v>2410070302</v>
          </cell>
          <cell r="H1163" t="str">
            <v>110동</v>
          </cell>
          <cell r="I1163">
            <v>241007</v>
          </cell>
          <cell r="J1163" t="str">
            <v>110동 2층 바닥</v>
          </cell>
          <cell r="K1163">
            <v>288</v>
          </cell>
          <cell r="L1163">
            <v>288</v>
          </cell>
          <cell r="M1163">
            <v>3018</v>
          </cell>
          <cell r="N1163" t="str">
            <v>대공</v>
          </cell>
          <cell r="O1163" t="str">
            <v>펌프카(1대)</v>
          </cell>
          <cell r="P1163">
            <v>1033</v>
          </cell>
          <cell r="Q1163">
            <v>1445</v>
          </cell>
          <cell r="R1163">
            <v>185</v>
          </cell>
          <cell r="S1163">
            <v>44</v>
          </cell>
          <cell r="T1163">
            <v>34</v>
          </cell>
          <cell r="U1163">
            <v>241</v>
          </cell>
          <cell r="V1163"/>
          <cell r="W1163" t="str">
            <v>박순홍</v>
          </cell>
          <cell r="X1163" t="str">
            <v>(인)</v>
          </cell>
          <cell r="Y1163" t="str">
            <v>박순홍</v>
          </cell>
          <cell r="Z1163" t="str">
            <v>(인)</v>
          </cell>
          <cell r="AA1163" t="str">
            <v>박상갑</v>
          </cell>
          <cell r="AB1163" t="str">
            <v>(인)</v>
          </cell>
          <cell r="AC1163" t="str">
            <v>박상갑</v>
          </cell>
          <cell r="AD1163" t="str">
            <v>(인)</v>
          </cell>
          <cell r="AE1163">
            <v>179.1</v>
          </cell>
          <cell r="AF1163" t="str">
            <v>표준</v>
          </cell>
          <cell r="AG1163">
            <v>2</v>
          </cell>
          <cell r="AH1163">
            <v>0</v>
          </cell>
        </row>
        <row r="1164">
          <cell r="G1164">
            <v>2410070303</v>
          </cell>
          <cell r="H1164" t="str">
            <v>110동</v>
          </cell>
          <cell r="I1164">
            <v>241007</v>
          </cell>
          <cell r="J1164" t="str">
            <v>110동 2층 바닥</v>
          </cell>
          <cell r="K1164">
            <v>288</v>
          </cell>
          <cell r="L1164">
            <v>288</v>
          </cell>
          <cell r="M1164">
            <v>3018</v>
          </cell>
          <cell r="N1164" t="str">
            <v>대공</v>
          </cell>
          <cell r="O1164" t="str">
            <v>펌프카(1대)</v>
          </cell>
          <cell r="P1164">
            <v>1033</v>
          </cell>
          <cell r="Q1164">
            <v>1445</v>
          </cell>
          <cell r="R1164">
            <v>200</v>
          </cell>
          <cell r="S1164">
            <v>48</v>
          </cell>
          <cell r="T1164">
            <v>42</v>
          </cell>
          <cell r="U1164">
            <v>246</v>
          </cell>
          <cell r="V1164"/>
          <cell r="W1164" t="str">
            <v>박순홍</v>
          </cell>
          <cell r="X1164" t="str">
            <v>(인)</v>
          </cell>
          <cell r="Y1164" t="str">
            <v>박순홍</v>
          </cell>
          <cell r="Z1164" t="str">
            <v>(인)</v>
          </cell>
          <cell r="AA1164" t="str">
            <v>박상갑</v>
          </cell>
          <cell r="AB1164" t="str">
            <v>(인)</v>
          </cell>
          <cell r="AC1164" t="str">
            <v>박상갑</v>
          </cell>
          <cell r="AD1164" t="str">
            <v>(인)</v>
          </cell>
          <cell r="AE1164">
            <v>184</v>
          </cell>
          <cell r="AF1164" t="str">
            <v>표준</v>
          </cell>
          <cell r="AG1164">
            <v>3</v>
          </cell>
          <cell r="AH1164">
            <v>0</v>
          </cell>
        </row>
        <row r="1165">
          <cell r="G1165">
            <v>2410080101</v>
          </cell>
          <cell r="H1165" t="str">
            <v>115동</v>
          </cell>
          <cell r="I1165">
            <v>241008</v>
          </cell>
          <cell r="J1165" t="str">
            <v>115동 지하1층 1차 바닥</v>
          </cell>
          <cell r="K1165">
            <v>306</v>
          </cell>
          <cell r="L1165">
            <v>306</v>
          </cell>
          <cell r="M1165">
            <v>3015</v>
          </cell>
          <cell r="N1165" t="str">
            <v>영진</v>
          </cell>
          <cell r="O1165" t="str">
            <v>펌프카(1대)</v>
          </cell>
          <cell r="P1165">
            <v>745</v>
          </cell>
          <cell r="Q1165">
            <v>1320</v>
          </cell>
          <cell r="R1165">
            <v>160</v>
          </cell>
          <cell r="S1165">
            <v>36</v>
          </cell>
          <cell r="T1165">
            <v>18</v>
          </cell>
          <cell r="U1165">
            <v>226</v>
          </cell>
          <cell r="V1165"/>
          <cell r="W1165" t="str">
            <v>김광록</v>
          </cell>
          <cell r="X1165" t="str">
            <v>(인)</v>
          </cell>
          <cell r="Y1165" t="str">
            <v>박순홍</v>
          </cell>
          <cell r="Z1165" t="str">
            <v>(인)</v>
          </cell>
          <cell r="AA1165" t="str">
            <v>박상갑</v>
          </cell>
          <cell r="AB1165" t="str">
            <v>(인)</v>
          </cell>
          <cell r="AC1165" t="str">
            <v>박상갑</v>
          </cell>
          <cell r="AD1165" t="str">
            <v>(인)</v>
          </cell>
          <cell r="AE1165">
            <v>181.6</v>
          </cell>
          <cell r="AF1165" t="str">
            <v>표준</v>
          </cell>
          <cell r="AG1165">
            <v>1</v>
          </cell>
          <cell r="AH1165">
            <v>1</v>
          </cell>
          <cell r="AI1165">
            <v>2742</v>
          </cell>
          <cell r="AJ1165">
            <v>2719</v>
          </cell>
          <cell r="AK1165">
            <v>216600</v>
          </cell>
          <cell r="AL1165">
            <v>3789</v>
          </cell>
          <cell r="AM1165">
            <v>3814</v>
          </cell>
          <cell r="AN1165">
            <v>3810</v>
          </cell>
          <cell r="AO1165">
            <v>3712</v>
          </cell>
          <cell r="AP1165">
            <v>3704</v>
          </cell>
          <cell r="AQ1165">
            <v>3806</v>
          </cell>
          <cell r="AR1165">
            <v>3714</v>
          </cell>
          <cell r="AS1165">
            <v>3734</v>
          </cell>
          <cell r="AT1165">
            <v>256800</v>
          </cell>
        </row>
        <row r="1166">
          <cell r="G1166">
            <v>2410080102</v>
          </cell>
          <cell r="H1166" t="str">
            <v>115동</v>
          </cell>
          <cell r="I1166">
            <v>241008</v>
          </cell>
          <cell r="J1166" t="str">
            <v>115동 지하1층 1차 바닥</v>
          </cell>
          <cell r="K1166">
            <v>306</v>
          </cell>
          <cell r="L1166">
            <v>306</v>
          </cell>
          <cell r="M1166">
            <v>3015</v>
          </cell>
          <cell r="N1166" t="str">
            <v>영진</v>
          </cell>
          <cell r="O1166" t="str">
            <v>펌프카(1대)</v>
          </cell>
          <cell r="P1166">
            <v>745</v>
          </cell>
          <cell r="Q1166">
            <v>1320</v>
          </cell>
          <cell r="R1166">
            <v>170</v>
          </cell>
          <cell r="S1166">
            <v>38</v>
          </cell>
          <cell r="T1166">
            <v>45</v>
          </cell>
          <cell r="U1166">
            <v>234</v>
          </cell>
          <cell r="V1166"/>
          <cell r="W1166" t="str">
            <v>김광록</v>
          </cell>
          <cell r="X1166" t="str">
            <v>(인)</v>
          </cell>
          <cell r="Y1166" t="str">
            <v>박순홍</v>
          </cell>
          <cell r="Z1166" t="str">
            <v>(인)</v>
          </cell>
          <cell r="AA1166" t="str">
            <v>박상갑</v>
          </cell>
          <cell r="AB1166" t="str">
            <v>(인)</v>
          </cell>
          <cell r="AC1166" t="str">
            <v>박상갑</v>
          </cell>
          <cell r="AD1166" t="str">
            <v>(인)</v>
          </cell>
          <cell r="AE1166">
            <v>186.6</v>
          </cell>
          <cell r="AF1166" t="str">
            <v>표준</v>
          </cell>
          <cell r="AG1166">
            <v>2</v>
          </cell>
          <cell r="AH1166">
            <v>0</v>
          </cell>
        </row>
        <row r="1167">
          <cell r="G1167">
            <v>2410080103</v>
          </cell>
          <cell r="H1167" t="str">
            <v>115동</v>
          </cell>
          <cell r="I1167">
            <v>241008</v>
          </cell>
          <cell r="J1167" t="str">
            <v>115동 지하1층 1차 바닥</v>
          </cell>
          <cell r="K1167">
            <v>306</v>
          </cell>
          <cell r="L1167">
            <v>306</v>
          </cell>
          <cell r="M1167">
            <v>3015</v>
          </cell>
          <cell r="N1167" t="str">
            <v>영진</v>
          </cell>
          <cell r="O1167" t="str">
            <v>펌프카(1대)</v>
          </cell>
          <cell r="P1167">
            <v>745</v>
          </cell>
          <cell r="Q1167">
            <v>1320</v>
          </cell>
          <cell r="R1167">
            <v>165</v>
          </cell>
          <cell r="S1167">
            <v>49</v>
          </cell>
          <cell r="T1167">
            <v>42</v>
          </cell>
          <cell r="U1167">
            <v>216</v>
          </cell>
          <cell r="V1167"/>
          <cell r="W1167" t="str">
            <v>김광록</v>
          </cell>
          <cell r="X1167" t="str">
            <v>(인)</v>
          </cell>
          <cell r="Y1167" t="str">
            <v>박순홍</v>
          </cell>
          <cell r="Z1167" t="str">
            <v>(인)</v>
          </cell>
          <cell r="AA1167" t="str">
            <v>박상갑</v>
          </cell>
          <cell r="AB1167" t="str">
            <v>(인)</v>
          </cell>
          <cell r="AC1167" t="str">
            <v>박상갑</v>
          </cell>
          <cell r="AD1167" t="str">
            <v>(인)</v>
          </cell>
          <cell r="AE1167">
            <v>172.6</v>
          </cell>
          <cell r="AF1167" t="str">
            <v>표준</v>
          </cell>
          <cell r="AG1167">
            <v>3</v>
          </cell>
          <cell r="AH1167">
            <v>0</v>
          </cell>
        </row>
        <row r="1168">
          <cell r="G1168">
            <v>2410080201</v>
          </cell>
          <cell r="H1168" t="str">
            <v>115동</v>
          </cell>
          <cell r="I1168">
            <v>241008</v>
          </cell>
          <cell r="J1168" t="str">
            <v>115동 지하1층 1차 바닥</v>
          </cell>
          <cell r="K1168">
            <v>246</v>
          </cell>
          <cell r="L1168">
            <v>246</v>
          </cell>
          <cell r="M1168">
            <v>3015</v>
          </cell>
          <cell r="N1168" t="str">
            <v>용호</v>
          </cell>
          <cell r="O1168" t="str">
            <v>펌프카(1대)</v>
          </cell>
          <cell r="P1168">
            <v>758</v>
          </cell>
          <cell r="Q1168">
            <v>1218</v>
          </cell>
          <cell r="R1168">
            <v>160</v>
          </cell>
          <cell r="S1168">
            <v>54</v>
          </cell>
          <cell r="T1168">
            <v>41</v>
          </cell>
          <cell r="U1168">
            <v>234</v>
          </cell>
          <cell r="V1168"/>
          <cell r="W1168" t="str">
            <v>김광록</v>
          </cell>
          <cell r="X1168" t="str">
            <v>(인)</v>
          </cell>
          <cell r="Y1168" t="str">
            <v>박순홍</v>
          </cell>
          <cell r="Z1168" t="str">
            <v>(인)</v>
          </cell>
          <cell r="AA1168" t="str">
            <v>박상갑</v>
          </cell>
          <cell r="AB1168" t="str">
            <v>(인)</v>
          </cell>
          <cell r="AC1168" t="str">
            <v>박상갑</v>
          </cell>
          <cell r="AD1168" t="str">
            <v>(인)</v>
          </cell>
          <cell r="AE1168">
            <v>173</v>
          </cell>
          <cell r="AF1168" t="str">
            <v>표준</v>
          </cell>
          <cell r="AG1168">
            <v>1</v>
          </cell>
          <cell r="AH1168">
            <v>1</v>
          </cell>
          <cell r="AI1168">
            <v>2892</v>
          </cell>
          <cell r="AJ1168">
            <v>2786</v>
          </cell>
          <cell r="AK1168">
            <v>227600</v>
          </cell>
          <cell r="AL1168">
            <v>3916</v>
          </cell>
          <cell r="AM1168">
            <v>3883</v>
          </cell>
          <cell r="AN1168">
            <v>3920</v>
          </cell>
          <cell r="AO1168">
            <v>3862</v>
          </cell>
          <cell r="AP1168">
            <v>3910</v>
          </cell>
          <cell r="AQ1168">
            <v>3876</v>
          </cell>
          <cell r="AR1168">
            <v>3920</v>
          </cell>
          <cell r="AS1168">
            <v>3933</v>
          </cell>
          <cell r="AT1168">
            <v>304000</v>
          </cell>
        </row>
        <row r="1169">
          <cell r="G1169">
            <v>2410080202</v>
          </cell>
          <cell r="H1169" t="str">
            <v>115동</v>
          </cell>
          <cell r="I1169">
            <v>241008</v>
          </cell>
          <cell r="J1169" t="str">
            <v>115동 지하1층 1차 바닥</v>
          </cell>
          <cell r="K1169">
            <v>246</v>
          </cell>
          <cell r="L1169">
            <v>246</v>
          </cell>
          <cell r="M1169">
            <v>3015</v>
          </cell>
          <cell r="N1169" t="str">
            <v>용호</v>
          </cell>
          <cell r="O1169" t="str">
            <v>펌프카(1대)</v>
          </cell>
          <cell r="P1169">
            <v>758</v>
          </cell>
          <cell r="Q1169">
            <v>1218</v>
          </cell>
          <cell r="R1169">
            <v>170</v>
          </cell>
          <cell r="S1169">
            <v>43</v>
          </cell>
          <cell r="T1169">
            <v>49</v>
          </cell>
          <cell r="U1169">
            <v>197</v>
          </cell>
          <cell r="V1169"/>
          <cell r="W1169" t="str">
            <v>김광록</v>
          </cell>
          <cell r="X1169" t="str">
            <v>(인)</v>
          </cell>
          <cell r="Y1169" t="str">
            <v>박순홍</v>
          </cell>
          <cell r="Z1169" t="str">
            <v>(인)</v>
          </cell>
          <cell r="AA1169" t="str">
            <v>박상갑</v>
          </cell>
          <cell r="AB1169" t="str">
            <v>(인)</v>
          </cell>
          <cell r="AC1169" t="str">
            <v>박상갑</v>
          </cell>
          <cell r="AD1169" t="str">
            <v>(인)</v>
          </cell>
          <cell r="AE1169">
            <v>173.7</v>
          </cell>
          <cell r="AF1169" t="str">
            <v>표준</v>
          </cell>
          <cell r="AG1169">
            <v>2</v>
          </cell>
          <cell r="AH1169">
            <v>0</v>
          </cell>
          <cell r="AI1169"/>
          <cell r="AJ1169"/>
        </row>
        <row r="1170">
          <cell r="G1170">
            <v>2410080203</v>
          </cell>
          <cell r="H1170" t="str">
            <v>115동</v>
          </cell>
          <cell r="I1170">
            <v>241008</v>
          </cell>
          <cell r="J1170" t="str">
            <v>115동 지하1층 1차 바닥</v>
          </cell>
          <cell r="K1170">
            <v>246</v>
          </cell>
          <cell r="L1170">
            <v>246</v>
          </cell>
          <cell r="M1170">
            <v>3015</v>
          </cell>
          <cell r="N1170" t="str">
            <v>용호</v>
          </cell>
          <cell r="O1170" t="str">
            <v>펌프카(1대)</v>
          </cell>
          <cell r="P1170">
            <v>758</v>
          </cell>
          <cell r="Q1170">
            <v>1218</v>
          </cell>
          <cell r="R1170">
            <v>170</v>
          </cell>
          <cell r="S1170">
            <v>39</v>
          </cell>
          <cell r="T1170">
            <v>44</v>
          </cell>
          <cell r="U1170">
            <v>239</v>
          </cell>
          <cell r="V1170"/>
          <cell r="W1170" t="str">
            <v>김광록</v>
          </cell>
          <cell r="X1170" t="str">
            <v>(인)</v>
          </cell>
          <cell r="Y1170" t="str">
            <v>박순홍</v>
          </cell>
          <cell r="Z1170" t="str">
            <v>(인)</v>
          </cell>
          <cell r="AA1170" t="str">
            <v>박상갑</v>
          </cell>
          <cell r="AB1170" t="str">
            <v>(인)</v>
          </cell>
          <cell r="AC1170" t="str">
            <v>박상갑</v>
          </cell>
          <cell r="AD1170" t="str">
            <v>(인)</v>
          </cell>
          <cell r="AE1170">
            <v>172.6</v>
          </cell>
          <cell r="AF1170" t="str">
            <v>표준</v>
          </cell>
          <cell r="AG1170">
            <v>3</v>
          </cell>
          <cell r="AH1170">
            <v>0</v>
          </cell>
        </row>
        <row r="1171">
          <cell r="G1171">
            <v>2410080301</v>
          </cell>
          <cell r="H1171" t="str">
            <v>115동</v>
          </cell>
          <cell r="I1171">
            <v>241008</v>
          </cell>
          <cell r="J1171" t="str">
            <v>115동 지하1층 1차 바닥</v>
          </cell>
          <cell r="K1171">
            <v>177</v>
          </cell>
          <cell r="L1171">
            <v>177</v>
          </cell>
          <cell r="M1171">
            <v>2715</v>
          </cell>
          <cell r="N1171" t="str">
            <v>영진</v>
          </cell>
          <cell r="O1171" t="str">
            <v>펌프카(1대)</v>
          </cell>
          <cell r="P1171">
            <v>1155</v>
          </cell>
          <cell r="Q1171">
            <v>1435</v>
          </cell>
          <cell r="R1171">
            <v>170</v>
          </cell>
          <cell r="S1171">
            <v>39</v>
          </cell>
          <cell r="T1171">
            <v>19</v>
          </cell>
          <cell r="U1171">
            <v>203</v>
          </cell>
          <cell r="V1171"/>
          <cell r="W1171" t="str">
            <v>김광록</v>
          </cell>
          <cell r="X1171" t="str">
            <v>(인)</v>
          </cell>
          <cell r="Y1171" t="str">
            <v>박순홍</v>
          </cell>
          <cell r="Z1171" t="str">
            <v>(인)</v>
          </cell>
          <cell r="AA1171" t="str">
            <v>박상갑</v>
          </cell>
          <cell r="AB1171" t="str">
            <v>(인)</v>
          </cell>
          <cell r="AC1171" t="str">
            <v>박상갑</v>
          </cell>
          <cell r="AD1171" t="str">
            <v>(인)</v>
          </cell>
          <cell r="AE1171">
            <v>174.2</v>
          </cell>
          <cell r="AF1171" t="str">
            <v>표준</v>
          </cell>
          <cell r="AG1171">
            <v>1</v>
          </cell>
          <cell r="AH1171">
            <v>1</v>
          </cell>
          <cell r="AI1171">
            <v>2403</v>
          </cell>
          <cell r="AJ1171">
            <v>2402</v>
          </cell>
          <cell r="AK1171">
            <v>189400</v>
          </cell>
          <cell r="AL1171">
            <v>3264</v>
          </cell>
          <cell r="AM1171">
            <v>3330</v>
          </cell>
          <cell r="AN1171">
            <v>3219</v>
          </cell>
          <cell r="AO1171">
            <v>3304</v>
          </cell>
          <cell r="AP1171">
            <v>3329</v>
          </cell>
          <cell r="AQ1171">
            <v>3319</v>
          </cell>
          <cell r="AR1171">
            <v>3244</v>
          </cell>
          <cell r="AS1171">
            <v>3316</v>
          </cell>
          <cell r="AT1171">
            <v>264800</v>
          </cell>
        </row>
        <row r="1172">
          <cell r="G1172">
            <v>2410080302</v>
          </cell>
          <cell r="H1172" t="str">
            <v>115동</v>
          </cell>
          <cell r="I1172">
            <v>241008</v>
          </cell>
          <cell r="J1172" t="str">
            <v>115동 지하1층 1차 바닥</v>
          </cell>
          <cell r="K1172">
            <v>177</v>
          </cell>
          <cell r="L1172">
            <v>177</v>
          </cell>
          <cell r="M1172">
            <v>2715</v>
          </cell>
          <cell r="N1172" t="str">
            <v>영진</v>
          </cell>
          <cell r="O1172" t="str">
            <v>펌프카(1대)</v>
          </cell>
          <cell r="P1172">
            <v>1155</v>
          </cell>
          <cell r="Q1172">
            <v>1435</v>
          </cell>
          <cell r="R1172">
            <v>170</v>
          </cell>
          <cell r="S1172">
            <v>44</v>
          </cell>
          <cell r="T1172">
            <v>14</v>
          </cell>
          <cell r="U1172">
            <v>207</v>
          </cell>
          <cell r="V1172"/>
          <cell r="W1172" t="str">
            <v>김광록</v>
          </cell>
          <cell r="X1172" t="str">
            <v>(인)</v>
          </cell>
          <cell r="Y1172" t="str">
            <v>박순홍</v>
          </cell>
          <cell r="Z1172" t="str">
            <v>(인)</v>
          </cell>
          <cell r="AA1172" t="str">
            <v>박상갑</v>
          </cell>
          <cell r="AB1172" t="str">
            <v>(인)</v>
          </cell>
          <cell r="AC1172" t="str">
            <v>박상갑</v>
          </cell>
          <cell r="AD1172" t="str">
            <v>(인)</v>
          </cell>
          <cell r="AE1172">
            <v>174.8</v>
          </cell>
          <cell r="AF1172" t="str">
            <v>표준</v>
          </cell>
          <cell r="AG1172">
            <v>2</v>
          </cell>
          <cell r="AH1172">
            <v>0</v>
          </cell>
        </row>
        <row r="1173">
          <cell r="G1173">
            <v>2410080401</v>
          </cell>
          <cell r="H1173" t="str">
            <v>115동</v>
          </cell>
          <cell r="I1173">
            <v>241008</v>
          </cell>
          <cell r="J1173" t="str">
            <v>115동 지하1층 1차 바닥</v>
          </cell>
          <cell r="K1173">
            <v>144</v>
          </cell>
          <cell r="L1173">
            <v>144</v>
          </cell>
          <cell r="M1173">
            <v>2715</v>
          </cell>
          <cell r="N1173" t="str">
            <v>용호</v>
          </cell>
          <cell r="O1173" t="str">
            <v>펌프카(1대)</v>
          </cell>
          <cell r="P1173">
            <v>1230</v>
          </cell>
          <cell r="Q1173">
            <v>1439</v>
          </cell>
          <cell r="R1173">
            <v>160</v>
          </cell>
          <cell r="S1173">
            <v>35</v>
          </cell>
          <cell r="T1173">
            <v>59</v>
          </cell>
          <cell r="U1173">
            <v>232</v>
          </cell>
          <cell r="V1173"/>
          <cell r="W1173" t="str">
            <v>김광록</v>
          </cell>
          <cell r="X1173" t="str">
            <v>(인)</v>
          </cell>
          <cell r="Y1173" t="str">
            <v>박순홍</v>
          </cell>
          <cell r="Z1173" t="str">
            <v>(인)</v>
          </cell>
          <cell r="AA1173" t="str">
            <v>박상갑</v>
          </cell>
          <cell r="AB1173" t="str">
            <v>(인)</v>
          </cell>
          <cell r="AC1173" t="str">
            <v>박상갑</v>
          </cell>
          <cell r="AD1173" t="str">
            <v>(인)</v>
          </cell>
          <cell r="AE1173">
            <v>174.8</v>
          </cell>
          <cell r="AF1173" t="str">
            <v>표준</v>
          </cell>
          <cell r="AG1173">
            <v>1</v>
          </cell>
          <cell r="AH1173">
            <v>1</v>
          </cell>
          <cell r="AI1173">
            <v>2523</v>
          </cell>
          <cell r="AJ1173">
            <v>2406</v>
          </cell>
          <cell r="AK1173">
            <v>191800</v>
          </cell>
          <cell r="AL1173">
            <v>3310</v>
          </cell>
          <cell r="AM1173">
            <v>3307</v>
          </cell>
          <cell r="AN1173">
            <v>3294</v>
          </cell>
          <cell r="AO1173">
            <v>3262</v>
          </cell>
          <cell r="AP1173">
            <v>3230</v>
          </cell>
          <cell r="AQ1173">
            <v>3219</v>
          </cell>
          <cell r="AR1173">
            <v>3304</v>
          </cell>
          <cell r="AS1173">
            <v>3312</v>
          </cell>
          <cell r="AT1173">
            <v>265600</v>
          </cell>
        </row>
        <row r="1174">
          <cell r="G1174">
            <v>2410080402</v>
          </cell>
          <cell r="H1174" t="str">
            <v>115동</v>
          </cell>
          <cell r="I1174">
            <v>241008</v>
          </cell>
          <cell r="J1174" t="str">
            <v>115동 지하1층 1차 바닥</v>
          </cell>
          <cell r="K1174">
            <v>144</v>
          </cell>
          <cell r="L1174">
            <v>144</v>
          </cell>
          <cell r="M1174">
            <v>2715</v>
          </cell>
          <cell r="N1174" t="str">
            <v>용호</v>
          </cell>
          <cell r="O1174" t="str">
            <v>펌프카(1대)</v>
          </cell>
          <cell r="P1174">
            <v>1230</v>
          </cell>
          <cell r="Q1174">
            <v>1439</v>
          </cell>
          <cell r="R1174">
            <v>165</v>
          </cell>
          <cell r="S1174">
            <v>44</v>
          </cell>
          <cell r="T1174">
            <v>28</v>
          </cell>
          <cell r="U1174">
            <v>228</v>
          </cell>
          <cell r="V1174"/>
          <cell r="W1174" t="str">
            <v>김광록</v>
          </cell>
          <cell r="X1174" t="str">
            <v>(인)</v>
          </cell>
          <cell r="Y1174" t="str">
            <v>박순홍</v>
          </cell>
          <cell r="Z1174" t="str">
            <v>(인)</v>
          </cell>
          <cell r="AA1174" t="str">
            <v>박상갑</v>
          </cell>
          <cell r="AB1174" t="str">
            <v>(인)</v>
          </cell>
          <cell r="AC1174" t="str">
            <v>박상갑</v>
          </cell>
          <cell r="AD1174" t="str">
            <v>(인)</v>
          </cell>
          <cell r="AE1174">
            <v>176.1</v>
          </cell>
          <cell r="AF1174" t="str">
            <v>표준</v>
          </cell>
          <cell r="AG1174">
            <v>2</v>
          </cell>
          <cell r="AH1174">
            <v>0</v>
          </cell>
        </row>
        <row r="1175">
          <cell r="G1175">
            <v>2410080501</v>
          </cell>
          <cell r="H1175" t="str">
            <v>어린이집, 113동</v>
          </cell>
          <cell r="I1175">
            <v>241008</v>
          </cell>
          <cell r="J1175" t="str">
            <v>어린이집 및 113동 파라펫</v>
          </cell>
          <cell r="K1175">
            <v>150</v>
          </cell>
          <cell r="L1175">
            <v>144</v>
          </cell>
          <cell r="M1175">
            <v>2715</v>
          </cell>
          <cell r="N1175" t="str">
            <v>대원</v>
          </cell>
          <cell r="O1175" t="str">
            <v>펌프카(1대)</v>
          </cell>
          <cell r="P1175">
            <v>820</v>
          </cell>
          <cell r="Q1175">
            <v>1430</v>
          </cell>
          <cell r="R1175">
            <v>165</v>
          </cell>
          <cell r="S1175">
            <v>48</v>
          </cell>
          <cell r="T1175">
            <v>47</v>
          </cell>
          <cell r="U1175">
            <v>218</v>
          </cell>
          <cell r="V1175"/>
          <cell r="W1175" t="str">
            <v>김광록</v>
          </cell>
          <cell r="X1175" t="str">
            <v>(인)</v>
          </cell>
          <cell r="Y1175" t="str">
            <v>박순홍</v>
          </cell>
          <cell r="Z1175" t="str">
            <v>(인)</v>
          </cell>
          <cell r="AA1175" t="str">
            <v>박상갑</v>
          </cell>
          <cell r="AB1175" t="str">
            <v>(인)</v>
          </cell>
          <cell r="AC1175" t="str">
            <v>박상갑</v>
          </cell>
          <cell r="AD1175" t="str">
            <v>(인)</v>
          </cell>
          <cell r="AE1175">
            <v>181.9</v>
          </cell>
          <cell r="AF1175" t="str">
            <v>표준</v>
          </cell>
          <cell r="AG1175">
            <v>1</v>
          </cell>
          <cell r="AH1175">
            <v>1</v>
          </cell>
          <cell r="AI1175">
            <v>2556</v>
          </cell>
          <cell r="AJ1175">
            <v>2496</v>
          </cell>
          <cell r="AK1175">
            <v>197800</v>
          </cell>
          <cell r="AL1175">
            <v>3379</v>
          </cell>
          <cell r="AM1175">
            <v>3351</v>
          </cell>
          <cell r="AN1175">
            <v>3319</v>
          </cell>
          <cell r="AO1175">
            <v>3486</v>
          </cell>
          <cell r="AP1175">
            <v>3419</v>
          </cell>
          <cell r="AQ1175">
            <v>3233</v>
          </cell>
          <cell r="AR1175">
            <v>3266</v>
          </cell>
          <cell r="AS1175">
            <v>3304</v>
          </cell>
          <cell r="AT1175">
            <v>256800</v>
          </cell>
        </row>
        <row r="1176">
          <cell r="G1176">
            <v>2410080502</v>
          </cell>
          <cell r="H1176" t="str">
            <v>어린이집, 113동</v>
          </cell>
          <cell r="I1176">
            <v>241008</v>
          </cell>
          <cell r="J1176" t="str">
            <v>어린이집 및 113동 파라펫</v>
          </cell>
          <cell r="K1176">
            <v>150</v>
          </cell>
          <cell r="L1176">
            <v>144</v>
          </cell>
          <cell r="M1176">
            <v>2715</v>
          </cell>
          <cell r="N1176" t="str">
            <v>대원</v>
          </cell>
          <cell r="O1176" t="str">
            <v>펌프카(1대)</v>
          </cell>
          <cell r="P1176">
            <v>820</v>
          </cell>
          <cell r="Q1176">
            <v>1430</v>
          </cell>
          <cell r="R1176">
            <v>170</v>
          </cell>
          <cell r="S1176">
            <v>41</v>
          </cell>
          <cell r="T1176">
            <v>48</v>
          </cell>
          <cell r="U1176">
            <v>223</v>
          </cell>
          <cell r="V1176"/>
          <cell r="W1176" t="str">
            <v>김광록</v>
          </cell>
          <cell r="X1176" t="str">
            <v>(인)</v>
          </cell>
          <cell r="Y1176" t="str">
            <v>박순홍</v>
          </cell>
          <cell r="Z1176" t="str">
            <v>(인)</v>
          </cell>
          <cell r="AA1176" t="str">
            <v>박상갑</v>
          </cell>
          <cell r="AB1176" t="str">
            <v>(인)</v>
          </cell>
          <cell r="AC1176" t="str">
            <v>박상갑</v>
          </cell>
          <cell r="AD1176" t="str">
            <v>(인)</v>
          </cell>
          <cell r="AE1176">
            <v>181.8</v>
          </cell>
          <cell r="AF1176" t="str">
            <v>표준</v>
          </cell>
          <cell r="AG1176">
            <v>2</v>
          </cell>
          <cell r="AH1176">
            <v>0</v>
          </cell>
        </row>
        <row r="1177">
          <cell r="G1177">
            <v>2410080601</v>
          </cell>
          <cell r="H1177" t="str">
            <v>116동</v>
          </cell>
          <cell r="I1177">
            <v>241008</v>
          </cell>
          <cell r="J1177" t="str">
            <v>N구간 기초</v>
          </cell>
          <cell r="K1177">
            <v>252</v>
          </cell>
          <cell r="L1177">
            <v>252</v>
          </cell>
          <cell r="M1177">
            <v>2715</v>
          </cell>
          <cell r="N1177" t="str">
            <v>동양</v>
          </cell>
          <cell r="O1177" t="str">
            <v>펌프카(1대)</v>
          </cell>
          <cell r="P1177">
            <v>935</v>
          </cell>
          <cell r="Q1177">
            <v>1308</v>
          </cell>
          <cell r="R1177">
            <v>165</v>
          </cell>
          <cell r="S1177">
            <v>42</v>
          </cell>
          <cell r="T1177">
            <v>44</v>
          </cell>
          <cell r="U1177">
            <v>227</v>
          </cell>
          <cell r="V1177"/>
          <cell r="W1177" t="str">
            <v>김광록</v>
          </cell>
          <cell r="X1177" t="str">
            <v>(인)</v>
          </cell>
          <cell r="Y1177" t="str">
            <v>박순홍</v>
          </cell>
          <cell r="Z1177" t="str">
            <v>(인)</v>
          </cell>
          <cell r="AA1177" t="str">
            <v>박상갑</v>
          </cell>
          <cell r="AB1177" t="str">
            <v>(인)</v>
          </cell>
          <cell r="AC1177" t="str">
            <v>박상갑</v>
          </cell>
          <cell r="AD1177" t="str">
            <v>(인)</v>
          </cell>
          <cell r="AE1177">
            <v>180.5</v>
          </cell>
          <cell r="AF1177" t="str">
            <v>표준</v>
          </cell>
          <cell r="AG1177">
            <v>1</v>
          </cell>
          <cell r="AH1177">
            <v>1</v>
          </cell>
          <cell r="AI1177">
            <v>2724</v>
          </cell>
          <cell r="AJ1177">
            <v>2690</v>
          </cell>
          <cell r="AK1177">
            <v>211200</v>
          </cell>
          <cell r="AL1177">
            <v>3468</v>
          </cell>
          <cell r="AM1177">
            <v>3384</v>
          </cell>
          <cell r="AN1177">
            <v>3329</v>
          </cell>
          <cell r="AO1177">
            <v>3406</v>
          </cell>
          <cell r="AP1177">
            <v>3429</v>
          </cell>
          <cell r="AQ1177">
            <v>3819</v>
          </cell>
          <cell r="AR1177">
            <v>3412</v>
          </cell>
          <cell r="AS1177">
            <v>3306</v>
          </cell>
          <cell r="AT1177">
            <v>270800</v>
          </cell>
        </row>
        <row r="1178">
          <cell r="G1178">
            <v>2410080602</v>
          </cell>
          <cell r="H1178" t="str">
            <v>116동</v>
          </cell>
          <cell r="I1178">
            <v>241008</v>
          </cell>
          <cell r="J1178" t="str">
            <v>N구간 기초</v>
          </cell>
          <cell r="K1178">
            <v>252</v>
          </cell>
          <cell r="L1178">
            <v>252</v>
          </cell>
          <cell r="M1178">
            <v>2715</v>
          </cell>
          <cell r="N1178" t="str">
            <v>동양</v>
          </cell>
          <cell r="O1178" t="str">
            <v>펌프카(1대)</v>
          </cell>
          <cell r="P1178">
            <v>935</v>
          </cell>
          <cell r="Q1178">
            <v>1308</v>
          </cell>
          <cell r="R1178">
            <v>170</v>
          </cell>
          <cell r="S1178">
            <v>45</v>
          </cell>
          <cell r="T1178">
            <v>22</v>
          </cell>
          <cell r="U1178">
            <v>223</v>
          </cell>
          <cell r="V1178"/>
          <cell r="W1178" t="str">
            <v>김광록</v>
          </cell>
          <cell r="X1178" t="str">
            <v>(인)</v>
          </cell>
          <cell r="Y1178" t="str">
            <v>박순홍</v>
          </cell>
          <cell r="Z1178" t="str">
            <v>(인)</v>
          </cell>
          <cell r="AA1178" t="str">
            <v>박상갑</v>
          </cell>
          <cell r="AB1178" t="str">
            <v>(인)</v>
          </cell>
          <cell r="AC1178" t="str">
            <v>박상갑</v>
          </cell>
          <cell r="AD1178" t="str">
            <v>(인)</v>
          </cell>
          <cell r="AE1178">
            <v>185.5</v>
          </cell>
          <cell r="AF1178" t="str">
            <v>표준</v>
          </cell>
          <cell r="AG1178">
            <v>2</v>
          </cell>
          <cell r="AH1178">
            <v>0</v>
          </cell>
        </row>
        <row r="1179">
          <cell r="G1179">
            <v>2410080603</v>
          </cell>
          <cell r="H1179" t="str">
            <v>116동</v>
          </cell>
          <cell r="I1179">
            <v>241008</v>
          </cell>
          <cell r="J1179" t="str">
            <v>N구간 기초</v>
          </cell>
          <cell r="K1179">
            <v>252</v>
          </cell>
          <cell r="L1179">
            <v>252</v>
          </cell>
          <cell r="M1179">
            <v>2715</v>
          </cell>
          <cell r="N1179" t="str">
            <v>동양</v>
          </cell>
          <cell r="O1179" t="str">
            <v>펌프카(1대)</v>
          </cell>
          <cell r="P1179">
            <v>935</v>
          </cell>
          <cell r="Q1179">
            <v>1308</v>
          </cell>
          <cell r="R1179">
            <v>170</v>
          </cell>
          <cell r="S1179">
            <v>40</v>
          </cell>
          <cell r="T1179">
            <v>20</v>
          </cell>
          <cell r="U1179">
            <v>246</v>
          </cell>
          <cell r="V1179"/>
          <cell r="W1179" t="str">
            <v>김광록</v>
          </cell>
          <cell r="X1179" t="str">
            <v>(인)</v>
          </cell>
          <cell r="Y1179" t="str">
            <v>박순홍</v>
          </cell>
          <cell r="Z1179" t="str">
            <v>(인)</v>
          </cell>
          <cell r="AA1179" t="str">
            <v>박상갑</v>
          </cell>
          <cell r="AB1179" t="str">
            <v>(인)</v>
          </cell>
          <cell r="AC1179" t="str">
            <v>박상갑</v>
          </cell>
          <cell r="AD1179" t="str">
            <v>(인)</v>
          </cell>
          <cell r="AE1179">
            <v>186.6</v>
          </cell>
          <cell r="AF1179" t="str">
            <v>표준</v>
          </cell>
          <cell r="AG1179">
            <v>3</v>
          </cell>
          <cell r="AH1179">
            <v>0</v>
          </cell>
        </row>
        <row r="1180">
          <cell r="G1180">
            <v>2410090101</v>
          </cell>
          <cell r="H1180" t="str">
            <v>111동</v>
          </cell>
          <cell r="I1180">
            <v>241009</v>
          </cell>
          <cell r="J1180" t="str">
            <v>111동 4층 바닥</v>
          </cell>
          <cell r="K1180">
            <v>294</v>
          </cell>
          <cell r="L1180">
            <v>294</v>
          </cell>
          <cell r="M1180">
            <v>3018</v>
          </cell>
          <cell r="N1180" t="str">
            <v>대공</v>
          </cell>
          <cell r="O1180" t="str">
            <v>펌프카(1대)</v>
          </cell>
          <cell r="P1180">
            <v>821</v>
          </cell>
          <cell r="Q1180">
            <v>1215</v>
          </cell>
          <cell r="R1180">
            <v>185</v>
          </cell>
          <cell r="S1180">
            <v>50</v>
          </cell>
          <cell r="T1180">
            <v>40</v>
          </cell>
          <cell r="U1180">
            <v>243</v>
          </cell>
          <cell r="V1180"/>
          <cell r="W1180" t="str">
            <v>김광록</v>
          </cell>
          <cell r="X1180" t="str">
            <v>(인)</v>
          </cell>
          <cell r="Y1180" t="str">
            <v>박순홍</v>
          </cell>
          <cell r="Z1180" t="str">
            <v>(인)</v>
          </cell>
          <cell r="AA1180" t="str">
            <v>임영구</v>
          </cell>
          <cell r="AB1180" t="str">
            <v>(인)</v>
          </cell>
          <cell r="AC1180" t="str">
            <v>박상갑</v>
          </cell>
          <cell r="AD1180" t="str">
            <v>(인)</v>
          </cell>
          <cell r="AE1180">
            <v>175.9</v>
          </cell>
          <cell r="AF1180" t="str">
            <v>표준</v>
          </cell>
          <cell r="AG1180">
            <v>1</v>
          </cell>
          <cell r="AH1180">
            <v>1</v>
          </cell>
          <cell r="AI1180">
            <v>2811</v>
          </cell>
          <cell r="AJ1180">
            <v>2836</v>
          </cell>
          <cell r="AK1180">
            <v>219800</v>
          </cell>
          <cell r="AL1180">
            <v>3883</v>
          </cell>
          <cell r="AM1180">
            <v>3896</v>
          </cell>
          <cell r="AN1180">
            <v>3906</v>
          </cell>
          <cell r="AO1180">
            <v>3864</v>
          </cell>
          <cell r="AP1180">
            <v>3916</v>
          </cell>
          <cell r="AQ1180">
            <v>3930</v>
          </cell>
          <cell r="AR1180">
            <v>3927</v>
          </cell>
          <cell r="AS1180">
            <v>3862</v>
          </cell>
          <cell r="AT1180">
            <v>321800</v>
          </cell>
        </row>
        <row r="1181">
          <cell r="G1181">
            <v>2410090102</v>
          </cell>
          <cell r="H1181" t="str">
            <v>111동</v>
          </cell>
          <cell r="I1181">
            <v>241009</v>
          </cell>
          <cell r="J1181" t="str">
            <v>111동 4층 바닥</v>
          </cell>
          <cell r="K1181">
            <v>294</v>
          </cell>
          <cell r="L1181">
            <v>294</v>
          </cell>
          <cell r="M1181">
            <v>3018</v>
          </cell>
          <cell r="N1181" t="str">
            <v>대공</v>
          </cell>
          <cell r="O1181" t="str">
            <v>펌프카(1대)</v>
          </cell>
          <cell r="P1181">
            <v>821</v>
          </cell>
          <cell r="Q1181">
            <v>1215</v>
          </cell>
          <cell r="R1181">
            <v>185</v>
          </cell>
          <cell r="S1181">
            <v>48</v>
          </cell>
          <cell r="T1181">
            <v>27</v>
          </cell>
          <cell r="U1181">
            <v>187</v>
          </cell>
          <cell r="V1181"/>
          <cell r="W1181" t="str">
            <v>김광록</v>
          </cell>
          <cell r="X1181" t="str">
            <v>(인)</v>
          </cell>
          <cell r="Y1181" t="str">
            <v>박순홍</v>
          </cell>
          <cell r="Z1181" t="str">
            <v>(인)</v>
          </cell>
          <cell r="AA1181" t="str">
            <v>임영구</v>
          </cell>
          <cell r="AB1181" t="str">
            <v>(인)</v>
          </cell>
          <cell r="AC1181" t="str">
            <v>박상갑</v>
          </cell>
          <cell r="AD1181" t="str">
            <v>(인)</v>
          </cell>
          <cell r="AE1181">
            <v>177.5</v>
          </cell>
          <cell r="AF1181" t="str">
            <v>표준</v>
          </cell>
          <cell r="AG1181">
            <v>2</v>
          </cell>
          <cell r="AH1181">
            <v>0</v>
          </cell>
        </row>
        <row r="1182">
          <cell r="G1182">
            <v>2410090103</v>
          </cell>
          <cell r="H1182" t="str">
            <v>111동</v>
          </cell>
          <cell r="I1182">
            <v>241009</v>
          </cell>
          <cell r="J1182" t="str">
            <v>111동 4층 바닥</v>
          </cell>
          <cell r="K1182">
            <v>294</v>
          </cell>
          <cell r="L1182">
            <v>294</v>
          </cell>
          <cell r="M1182">
            <v>3018</v>
          </cell>
          <cell r="N1182" t="str">
            <v>대공</v>
          </cell>
          <cell r="O1182" t="str">
            <v>펌프카(1대)</v>
          </cell>
          <cell r="P1182">
            <v>821</v>
          </cell>
          <cell r="Q1182">
            <v>1215</v>
          </cell>
          <cell r="R1182">
            <v>190</v>
          </cell>
          <cell r="S1182">
            <v>50</v>
          </cell>
          <cell r="T1182">
            <v>21</v>
          </cell>
          <cell r="U1182">
            <v>242</v>
          </cell>
          <cell r="V1182"/>
          <cell r="W1182" t="str">
            <v>김광록</v>
          </cell>
          <cell r="X1182" t="str">
            <v>(인)</v>
          </cell>
          <cell r="Y1182" t="str">
            <v>박순홍</v>
          </cell>
          <cell r="Z1182" t="str">
            <v>(인)</v>
          </cell>
          <cell r="AA1182" t="str">
            <v>임영구</v>
          </cell>
          <cell r="AB1182" t="str">
            <v>(인)</v>
          </cell>
          <cell r="AC1182" t="str">
            <v>박상갑</v>
          </cell>
          <cell r="AD1182" t="str">
            <v>(인)</v>
          </cell>
          <cell r="AE1182">
            <v>178.3</v>
          </cell>
          <cell r="AF1182" t="str">
            <v>표준</v>
          </cell>
          <cell r="AG1182">
            <v>3</v>
          </cell>
          <cell r="AH1182">
            <v>0</v>
          </cell>
        </row>
        <row r="1183">
          <cell r="G1183">
            <v>2410090201</v>
          </cell>
          <cell r="H1183" t="str">
            <v>111동</v>
          </cell>
          <cell r="I1183">
            <v>241009</v>
          </cell>
          <cell r="J1183" t="str">
            <v>111동 주변주차장 누름</v>
          </cell>
          <cell r="K1183">
            <v>126</v>
          </cell>
          <cell r="L1183">
            <v>126</v>
          </cell>
          <cell r="M1183">
            <v>1815</v>
          </cell>
          <cell r="N1183" t="str">
            <v>대공</v>
          </cell>
          <cell r="O1183" t="str">
            <v>펌프카(1대)</v>
          </cell>
          <cell r="P1183">
            <v>1332</v>
          </cell>
          <cell r="Q1183">
            <v>1606</v>
          </cell>
          <cell r="R1183">
            <v>140</v>
          </cell>
          <cell r="S1183">
            <v>55</v>
          </cell>
          <cell r="T1183">
            <v>18</v>
          </cell>
          <cell r="U1183">
            <v>242</v>
          </cell>
          <cell r="V1183"/>
          <cell r="W1183" t="str">
            <v>김광록</v>
          </cell>
          <cell r="X1183" t="str">
            <v>(인)</v>
          </cell>
          <cell r="Y1183" t="str">
            <v>박순홍</v>
          </cell>
          <cell r="Z1183" t="str">
            <v>(인)</v>
          </cell>
          <cell r="AA1183" t="str">
            <v>임영구</v>
          </cell>
          <cell r="AB1183" t="str">
            <v>(인)</v>
          </cell>
          <cell r="AC1183" t="str">
            <v>박상갑</v>
          </cell>
          <cell r="AD1183" t="str">
            <v>(인)</v>
          </cell>
          <cell r="AE1183">
            <v>174.2</v>
          </cell>
          <cell r="AF1183" t="str">
            <v>표준</v>
          </cell>
          <cell r="AG1183">
            <v>1</v>
          </cell>
          <cell r="AH1183">
            <v>1</v>
          </cell>
          <cell r="AI1183">
            <v>1459</v>
          </cell>
          <cell r="AJ1183">
            <v>1532</v>
          </cell>
          <cell r="AK1183">
            <v>131000</v>
          </cell>
          <cell r="AL1183">
            <v>2289</v>
          </cell>
          <cell r="AM1183">
            <v>2296</v>
          </cell>
          <cell r="AN1183">
            <v>2306</v>
          </cell>
          <cell r="AO1183">
            <v>2312</v>
          </cell>
          <cell r="AP1183">
            <v>2306</v>
          </cell>
          <cell r="AQ1183">
            <v>2217</v>
          </cell>
          <cell r="AR1183">
            <v>2306</v>
          </cell>
          <cell r="AS1183">
            <v>2319</v>
          </cell>
          <cell r="AT1183">
            <v>186800</v>
          </cell>
        </row>
        <row r="1184">
          <cell r="G1184">
            <v>2410090202</v>
          </cell>
          <cell r="H1184" t="str">
            <v>111동</v>
          </cell>
          <cell r="I1184">
            <v>241009</v>
          </cell>
          <cell r="J1184" t="str">
            <v>111동 주변주차장 누름</v>
          </cell>
          <cell r="K1184">
            <v>126</v>
          </cell>
          <cell r="L1184">
            <v>126</v>
          </cell>
          <cell r="M1184">
            <v>1815</v>
          </cell>
          <cell r="N1184" t="str">
            <v>대공</v>
          </cell>
          <cell r="O1184" t="str">
            <v>펌프카(1대)</v>
          </cell>
          <cell r="P1184">
            <v>1332</v>
          </cell>
          <cell r="Q1184">
            <v>1606</v>
          </cell>
          <cell r="R1184">
            <v>150</v>
          </cell>
          <cell r="S1184">
            <v>48</v>
          </cell>
          <cell r="T1184">
            <v>36</v>
          </cell>
          <cell r="U1184">
            <v>202</v>
          </cell>
          <cell r="V1184"/>
          <cell r="W1184" t="str">
            <v>김광록</v>
          </cell>
          <cell r="X1184" t="str">
            <v>(인)</v>
          </cell>
          <cell r="Y1184" t="str">
            <v>박순홍</v>
          </cell>
          <cell r="Z1184" t="str">
            <v>(인)</v>
          </cell>
          <cell r="AA1184" t="str">
            <v>임영구</v>
          </cell>
          <cell r="AB1184" t="str">
            <v>(인)</v>
          </cell>
          <cell r="AC1184" t="str">
            <v>박상갑</v>
          </cell>
          <cell r="AD1184" t="str">
            <v>(인)</v>
          </cell>
          <cell r="AE1184">
            <v>172.6</v>
          </cell>
          <cell r="AF1184" t="str">
            <v>표준</v>
          </cell>
          <cell r="AG1184">
            <v>2</v>
          </cell>
          <cell r="AH1184">
            <v>0</v>
          </cell>
        </row>
        <row r="1185">
          <cell r="G1185">
            <v>2410100101</v>
          </cell>
          <cell r="H1185" t="str">
            <v>106동</v>
          </cell>
          <cell r="I1185">
            <v>241010</v>
          </cell>
          <cell r="J1185" t="str">
            <v>106동 지붕층 바닥</v>
          </cell>
          <cell r="K1185">
            <v>312</v>
          </cell>
          <cell r="L1185">
            <v>312</v>
          </cell>
          <cell r="M1185">
            <v>3018</v>
          </cell>
          <cell r="N1185" t="str">
            <v>대원</v>
          </cell>
          <cell r="O1185" t="str">
            <v>펌프카(1대)</v>
          </cell>
          <cell r="P1185">
            <v>835</v>
          </cell>
          <cell r="Q1185">
            <v>1355</v>
          </cell>
          <cell r="R1185">
            <v>190</v>
          </cell>
          <cell r="S1185">
            <v>46</v>
          </cell>
          <cell r="T1185">
            <v>29</v>
          </cell>
          <cell r="U1185">
            <v>223</v>
          </cell>
          <cell r="V1185"/>
          <cell r="W1185" t="str">
            <v>김광록</v>
          </cell>
          <cell r="X1185" t="str">
            <v>(인)</v>
          </cell>
          <cell r="Y1185" t="str">
            <v>박순홍</v>
          </cell>
          <cell r="Z1185" t="str">
            <v>(인)</v>
          </cell>
          <cell r="AA1185" t="str">
            <v>임영구</v>
          </cell>
          <cell r="AB1185" t="str">
            <v>(인)</v>
          </cell>
          <cell r="AC1185" t="str">
            <v>박상갑</v>
          </cell>
          <cell r="AD1185" t="str">
            <v>(인)</v>
          </cell>
          <cell r="AE1185">
            <v>177.2</v>
          </cell>
          <cell r="AF1185" t="str">
            <v>표준</v>
          </cell>
          <cell r="AG1185">
            <v>1</v>
          </cell>
          <cell r="AH1185">
            <v>1</v>
          </cell>
          <cell r="AI1185">
            <v>2714</v>
          </cell>
          <cell r="AJ1185">
            <v>2816</v>
          </cell>
          <cell r="AK1185">
            <v>227200</v>
          </cell>
          <cell r="AL1185">
            <v>3936</v>
          </cell>
          <cell r="AM1185">
            <v>3829</v>
          </cell>
          <cell r="AN1185">
            <v>3906</v>
          </cell>
          <cell r="AO1185">
            <v>3929</v>
          </cell>
          <cell r="AP1185">
            <v>3967</v>
          </cell>
          <cell r="AQ1185">
            <v>3830</v>
          </cell>
          <cell r="AR1185">
            <v>3926</v>
          </cell>
          <cell r="AS1185">
            <v>4034</v>
          </cell>
          <cell r="AT1185">
            <v>300800</v>
          </cell>
        </row>
        <row r="1186">
          <cell r="G1186">
            <v>2410100102</v>
          </cell>
          <cell r="H1186" t="str">
            <v>106동</v>
          </cell>
          <cell r="I1186">
            <v>241010</v>
          </cell>
          <cell r="J1186" t="str">
            <v>106동 지붕층 바닥</v>
          </cell>
          <cell r="K1186">
            <v>312</v>
          </cell>
          <cell r="L1186">
            <v>312</v>
          </cell>
          <cell r="M1186">
            <v>3018</v>
          </cell>
          <cell r="N1186" t="str">
            <v>대원</v>
          </cell>
          <cell r="O1186" t="str">
            <v>펌프카(1대)</v>
          </cell>
          <cell r="P1186">
            <v>835</v>
          </cell>
          <cell r="Q1186">
            <v>1355</v>
          </cell>
          <cell r="R1186">
            <v>190</v>
          </cell>
          <cell r="S1186">
            <v>40</v>
          </cell>
          <cell r="T1186">
            <v>41</v>
          </cell>
          <cell r="U1186">
            <v>226</v>
          </cell>
          <cell r="V1186"/>
          <cell r="W1186" t="str">
            <v>김광록</v>
          </cell>
          <cell r="X1186" t="str">
            <v>(인)</v>
          </cell>
          <cell r="Y1186" t="str">
            <v>박순홍</v>
          </cell>
          <cell r="Z1186" t="str">
            <v>(인)</v>
          </cell>
          <cell r="AA1186" t="str">
            <v>임영구</v>
          </cell>
          <cell r="AB1186" t="str">
            <v>(인)</v>
          </cell>
          <cell r="AC1186" t="str">
            <v>박상갑</v>
          </cell>
          <cell r="AD1186" t="str">
            <v>(인)</v>
          </cell>
          <cell r="AE1186">
            <v>175.9</v>
          </cell>
          <cell r="AF1186" t="str">
            <v>표준</v>
          </cell>
          <cell r="AG1186">
            <v>2</v>
          </cell>
          <cell r="AH1186">
            <v>0</v>
          </cell>
        </row>
        <row r="1187">
          <cell r="G1187">
            <v>2410100103</v>
          </cell>
          <cell r="H1187" t="str">
            <v>106동</v>
          </cell>
          <cell r="I1187">
            <v>241010</v>
          </cell>
          <cell r="J1187" t="str">
            <v>106동 지붕층 바닥</v>
          </cell>
          <cell r="K1187">
            <v>312</v>
          </cell>
          <cell r="L1187">
            <v>312</v>
          </cell>
          <cell r="M1187">
            <v>3018</v>
          </cell>
          <cell r="N1187" t="str">
            <v>대원</v>
          </cell>
          <cell r="O1187" t="str">
            <v>펌프카(1대)</v>
          </cell>
          <cell r="P1187">
            <v>835</v>
          </cell>
          <cell r="Q1187">
            <v>1355</v>
          </cell>
          <cell r="R1187">
            <v>195</v>
          </cell>
          <cell r="S1187">
            <v>46</v>
          </cell>
          <cell r="T1187">
            <v>15</v>
          </cell>
          <cell r="U1187">
            <v>232</v>
          </cell>
          <cell r="V1187"/>
          <cell r="W1187" t="str">
            <v>김광록</v>
          </cell>
          <cell r="X1187" t="str">
            <v>(인)</v>
          </cell>
          <cell r="Y1187" t="str">
            <v>박순홍</v>
          </cell>
          <cell r="Z1187" t="str">
            <v>(인)</v>
          </cell>
          <cell r="AA1187" t="str">
            <v>임영구</v>
          </cell>
          <cell r="AB1187" t="str">
            <v>(인)</v>
          </cell>
          <cell r="AC1187" t="str">
            <v>박상갑</v>
          </cell>
          <cell r="AD1187" t="str">
            <v>(인)</v>
          </cell>
          <cell r="AE1187">
            <v>177.5</v>
          </cell>
          <cell r="AF1187" t="str">
            <v>표준</v>
          </cell>
          <cell r="AG1187">
            <v>3</v>
          </cell>
          <cell r="AH1187">
            <v>0</v>
          </cell>
        </row>
        <row r="1188">
          <cell r="G1188">
            <v>2410110101</v>
          </cell>
          <cell r="H1188" t="str">
            <v>107동</v>
          </cell>
          <cell r="I1188">
            <v>241011</v>
          </cell>
          <cell r="J1188" t="str">
            <v>107동 11층 바닥</v>
          </cell>
          <cell r="K1188">
            <v>288</v>
          </cell>
          <cell r="L1188">
            <v>288</v>
          </cell>
          <cell r="M1188">
            <v>3018</v>
          </cell>
          <cell r="N1188" t="str">
            <v>대원</v>
          </cell>
          <cell r="O1188" t="str">
            <v>펌프카(1대)</v>
          </cell>
          <cell r="P1188">
            <v>902</v>
          </cell>
          <cell r="Q1188">
            <v>1253</v>
          </cell>
          <cell r="R1188">
            <v>180</v>
          </cell>
          <cell r="S1188">
            <v>50</v>
          </cell>
          <cell r="T1188">
            <v>36</v>
          </cell>
          <cell r="U1188">
            <v>267</v>
          </cell>
          <cell r="V1188"/>
          <cell r="W1188" t="str">
            <v>김광록</v>
          </cell>
          <cell r="X1188" t="str">
            <v>(인)</v>
          </cell>
          <cell r="Y1188" t="str">
            <v>김광록</v>
          </cell>
          <cell r="Z1188" t="str">
            <v>(인)</v>
          </cell>
          <cell r="AA1188" t="str">
            <v>박기원</v>
          </cell>
          <cell r="AB1188" t="str">
            <v>(인)</v>
          </cell>
          <cell r="AC1188" t="str">
            <v>박상갑</v>
          </cell>
          <cell r="AD1188" t="str">
            <v>(인)</v>
          </cell>
          <cell r="AE1188">
            <v>178.3</v>
          </cell>
          <cell r="AF1188" t="str">
            <v>표준</v>
          </cell>
          <cell r="AG1188">
            <v>1</v>
          </cell>
          <cell r="AH1188">
            <v>1</v>
          </cell>
          <cell r="AI1188">
            <v>2767</v>
          </cell>
          <cell r="AJ1188">
            <v>2849</v>
          </cell>
          <cell r="AK1188">
            <v>225600</v>
          </cell>
          <cell r="AL1188">
            <v>3718</v>
          </cell>
          <cell r="AM1188">
            <v>3637</v>
          </cell>
          <cell r="AN1188">
            <v>3619</v>
          </cell>
          <cell r="AO1188">
            <v>3624</v>
          </cell>
          <cell r="AP1188">
            <v>3630</v>
          </cell>
          <cell r="AQ1188">
            <v>3572</v>
          </cell>
          <cell r="AR1188">
            <v>3590</v>
          </cell>
          <cell r="AS1188">
            <v>3514</v>
          </cell>
          <cell r="AT1188">
            <v>270000</v>
          </cell>
        </row>
        <row r="1189">
          <cell r="G1189">
            <v>2410110102</v>
          </cell>
          <cell r="H1189" t="str">
            <v>107동</v>
          </cell>
          <cell r="I1189">
            <v>241011</v>
          </cell>
          <cell r="J1189" t="str">
            <v>107동 11층 바닥</v>
          </cell>
          <cell r="K1189">
            <v>288</v>
          </cell>
          <cell r="L1189">
            <v>288</v>
          </cell>
          <cell r="M1189">
            <v>3018</v>
          </cell>
          <cell r="N1189" t="str">
            <v>대원</v>
          </cell>
          <cell r="O1189" t="str">
            <v>펌프카(1대)</v>
          </cell>
          <cell r="P1189">
            <v>902</v>
          </cell>
          <cell r="Q1189">
            <v>1253</v>
          </cell>
          <cell r="R1189">
            <v>185</v>
          </cell>
          <cell r="S1189">
            <v>48</v>
          </cell>
          <cell r="T1189">
            <v>22</v>
          </cell>
          <cell r="U1189">
            <v>246</v>
          </cell>
          <cell r="V1189"/>
          <cell r="W1189" t="str">
            <v>김광록</v>
          </cell>
          <cell r="X1189" t="str">
            <v>(인)</v>
          </cell>
          <cell r="Y1189" t="str">
            <v>김광록</v>
          </cell>
          <cell r="Z1189" t="str">
            <v>(인)</v>
          </cell>
          <cell r="AA1189" t="str">
            <v>박기원</v>
          </cell>
          <cell r="AB1189" t="str">
            <v>(인)</v>
          </cell>
          <cell r="AC1189" t="str">
            <v>박상갑</v>
          </cell>
          <cell r="AD1189" t="str">
            <v>(인)</v>
          </cell>
          <cell r="AE1189">
            <v>185.3</v>
          </cell>
          <cell r="AF1189" t="str">
            <v>표준</v>
          </cell>
          <cell r="AG1189">
            <v>2</v>
          </cell>
          <cell r="AH1189">
            <v>0</v>
          </cell>
        </row>
        <row r="1190">
          <cell r="G1190">
            <v>2410110103</v>
          </cell>
          <cell r="H1190" t="str">
            <v>107동</v>
          </cell>
          <cell r="I1190">
            <v>241011</v>
          </cell>
          <cell r="J1190" t="str">
            <v>107동 11층 바닥</v>
          </cell>
          <cell r="K1190">
            <v>288</v>
          </cell>
          <cell r="L1190">
            <v>288</v>
          </cell>
          <cell r="M1190">
            <v>3018</v>
          </cell>
          <cell r="N1190" t="str">
            <v>대원</v>
          </cell>
          <cell r="O1190" t="str">
            <v>펌프카(1대)</v>
          </cell>
          <cell r="P1190">
            <v>902</v>
          </cell>
          <cell r="Q1190">
            <v>1253</v>
          </cell>
          <cell r="R1190">
            <v>190</v>
          </cell>
          <cell r="S1190">
            <v>45</v>
          </cell>
          <cell r="T1190">
            <v>28</v>
          </cell>
          <cell r="U1190">
            <v>225</v>
          </cell>
          <cell r="V1190"/>
          <cell r="W1190" t="str">
            <v>김광록</v>
          </cell>
          <cell r="X1190" t="str">
            <v>(인)</v>
          </cell>
          <cell r="Y1190" t="str">
            <v>김광록</v>
          </cell>
          <cell r="Z1190" t="str">
            <v>(인)</v>
          </cell>
          <cell r="AA1190" t="str">
            <v>박기원</v>
          </cell>
          <cell r="AB1190" t="str">
            <v>(인)</v>
          </cell>
          <cell r="AC1190" t="str">
            <v>박상갑</v>
          </cell>
          <cell r="AD1190" t="str">
            <v>(인)</v>
          </cell>
          <cell r="AE1190">
            <v>184.5</v>
          </cell>
          <cell r="AF1190" t="str">
            <v>표준</v>
          </cell>
          <cell r="AG1190">
            <v>3</v>
          </cell>
          <cell r="AH1190">
            <v>0</v>
          </cell>
        </row>
        <row r="1191">
          <cell r="G1191">
            <v>2410110201</v>
          </cell>
          <cell r="H1191" t="str">
            <v>101동</v>
          </cell>
          <cell r="I1191">
            <v>241011</v>
          </cell>
          <cell r="J1191" t="str">
            <v>101동 주변주차장 누름</v>
          </cell>
          <cell r="K1191">
            <v>174</v>
          </cell>
          <cell r="L1191">
            <v>174</v>
          </cell>
          <cell r="M1191">
            <v>1815</v>
          </cell>
          <cell r="N1191" t="str">
            <v>용호</v>
          </cell>
          <cell r="O1191" t="str">
            <v>펌프카(1대)</v>
          </cell>
          <cell r="P1191">
            <v>1355</v>
          </cell>
          <cell r="Q1191">
            <v>1647</v>
          </cell>
          <cell r="R1191">
            <v>155</v>
          </cell>
          <cell r="S1191">
            <v>37</v>
          </cell>
          <cell r="T1191">
            <v>33</v>
          </cell>
          <cell r="U1191">
            <v>253</v>
          </cell>
          <cell r="V1191"/>
          <cell r="W1191" t="str">
            <v>김광록</v>
          </cell>
          <cell r="X1191" t="str">
            <v>(인)</v>
          </cell>
          <cell r="Y1191" t="str">
            <v>김광록</v>
          </cell>
          <cell r="Z1191" t="str">
            <v>(인)</v>
          </cell>
          <cell r="AA1191" t="str">
            <v>박기원</v>
          </cell>
          <cell r="AB1191" t="str">
            <v>(인)</v>
          </cell>
          <cell r="AC1191" t="str">
            <v>박상갑</v>
          </cell>
          <cell r="AD1191" t="str">
            <v>(인)</v>
          </cell>
          <cell r="AE1191">
            <v>179.8</v>
          </cell>
          <cell r="AF1191" t="str">
            <v>표준</v>
          </cell>
          <cell r="AG1191">
            <v>1</v>
          </cell>
          <cell r="AH1191">
            <v>1</v>
          </cell>
          <cell r="AI1191">
            <v>1687</v>
          </cell>
          <cell r="AJ1191">
            <v>1757</v>
          </cell>
          <cell r="AK1191">
            <v>135800</v>
          </cell>
          <cell r="AL1191">
            <v>2318</v>
          </cell>
          <cell r="AM1191">
            <v>2466</v>
          </cell>
          <cell r="AN1191">
            <v>2417</v>
          </cell>
          <cell r="AO1191">
            <v>2368</v>
          </cell>
          <cell r="AP1191">
            <v>2372</v>
          </cell>
          <cell r="AQ1191">
            <v>2516</v>
          </cell>
          <cell r="AR1191">
            <v>2449</v>
          </cell>
          <cell r="AS1191">
            <v>2429</v>
          </cell>
          <cell r="AT1191">
            <v>187200</v>
          </cell>
        </row>
        <row r="1192">
          <cell r="G1192">
            <v>2410110202</v>
          </cell>
          <cell r="H1192" t="str">
            <v>101동</v>
          </cell>
          <cell r="I1192">
            <v>241011</v>
          </cell>
          <cell r="J1192" t="str">
            <v>101동 주변주차장 누름</v>
          </cell>
          <cell r="K1192">
            <v>174</v>
          </cell>
          <cell r="L1192">
            <v>174</v>
          </cell>
          <cell r="M1192">
            <v>1815</v>
          </cell>
          <cell r="N1192" t="str">
            <v>용호</v>
          </cell>
          <cell r="O1192" t="str">
            <v>펌프카(1대)</v>
          </cell>
          <cell r="P1192">
            <v>1355</v>
          </cell>
          <cell r="Q1192">
            <v>1647</v>
          </cell>
          <cell r="R1192">
            <v>160</v>
          </cell>
          <cell r="S1192">
            <v>41</v>
          </cell>
          <cell r="T1192">
            <v>53</v>
          </cell>
          <cell r="U1192">
            <v>264</v>
          </cell>
          <cell r="V1192"/>
          <cell r="W1192" t="str">
            <v>김광록</v>
          </cell>
          <cell r="X1192" t="str">
            <v>(인)</v>
          </cell>
          <cell r="Y1192" t="str">
            <v>김광록</v>
          </cell>
          <cell r="Z1192" t="str">
            <v>(인)</v>
          </cell>
          <cell r="AA1192" t="str">
            <v>박기원</v>
          </cell>
          <cell r="AB1192" t="str">
            <v>(인)</v>
          </cell>
          <cell r="AC1192" t="str">
            <v>박상갑</v>
          </cell>
          <cell r="AD1192" t="str">
            <v>(인)</v>
          </cell>
          <cell r="AE1192">
            <v>180.5</v>
          </cell>
          <cell r="AF1192" t="str">
            <v>표준</v>
          </cell>
          <cell r="AG1192">
            <v>2</v>
          </cell>
          <cell r="AH1192">
            <v>0</v>
          </cell>
        </row>
        <row r="1193">
          <cell r="G1193">
            <v>2410140101</v>
          </cell>
          <cell r="H1193" t="str">
            <v>101동</v>
          </cell>
          <cell r="I1193">
            <v>241014</v>
          </cell>
          <cell r="J1193" t="str">
            <v>101동 7층 바닥</v>
          </cell>
          <cell r="K1193">
            <v>279</v>
          </cell>
          <cell r="L1193">
            <v>279</v>
          </cell>
          <cell r="M1193">
            <v>3018</v>
          </cell>
          <cell r="N1193" t="str">
            <v>용호</v>
          </cell>
          <cell r="O1193" t="str">
            <v>펌프카(1대)</v>
          </cell>
          <cell r="P1193">
            <v>830</v>
          </cell>
          <cell r="Q1193">
            <v>1235</v>
          </cell>
          <cell r="R1193">
            <v>180</v>
          </cell>
          <cell r="S1193">
            <v>39</v>
          </cell>
          <cell r="T1193">
            <v>32</v>
          </cell>
          <cell r="U1193">
            <v>233</v>
          </cell>
          <cell r="V1193"/>
          <cell r="W1193" t="str">
            <v>박순홍</v>
          </cell>
          <cell r="X1193" t="str">
            <v>(인)</v>
          </cell>
          <cell r="Y1193" t="str">
            <v>박순홍</v>
          </cell>
          <cell r="Z1193" t="str">
            <v>(인)</v>
          </cell>
          <cell r="AA1193" t="str">
            <v>이홍걸</v>
          </cell>
          <cell r="AB1193" t="str">
            <v>(인)</v>
          </cell>
          <cell r="AC1193" t="str">
            <v>박기원</v>
          </cell>
          <cell r="AD1193" t="str">
            <v>(인)</v>
          </cell>
          <cell r="AE1193">
            <v>177.2</v>
          </cell>
          <cell r="AF1193" t="str">
            <v>표준</v>
          </cell>
          <cell r="AG1193">
            <v>1</v>
          </cell>
          <cell r="AH1193">
            <v>1</v>
          </cell>
          <cell r="AI1193">
            <v>2716</v>
          </cell>
          <cell r="AJ1193">
            <v>2764</v>
          </cell>
          <cell r="AK1193">
            <v>220400</v>
          </cell>
          <cell r="AL1193">
            <v>3781</v>
          </cell>
          <cell r="AM1193">
            <v>3806</v>
          </cell>
          <cell r="AN1193">
            <v>3906</v>
          </cell>
          <cell r="AO1193">
            <v>3807</v>
          </cell>
          <cell r="AP1193">
            <v>3929</v>
          </cell>
          <cell r="AQ1193">
            <v>3906</v>
          </cell>
          <cell r="AR1193">
            <v>4004</v>
          </cell>
          <cell r="AS1193">
            <v>3826</v>
          </cell>
          <cell r="AT1193">
            <v>312800</v>
          </cell>
        </row>
        <row r="1194">
          <cell r="G1194">
            <v>2410140102</v>
          </cell>
          <cell r="H1194" t="str">
            <v>101동</v>
          </cell>
          <cell r="I1194">
            <v>241014</v>
          </cell>
          <cell r="J1194" t="str">
            <v>101동 7층 바닥</v>
          </cell>
          <cell r="K1194">
            <v>279</v>
          </cell>
          <cell r="L1194">
            <v>279</v>
          </cell>
          <cell r="M1194">
            <v>3018</v>
          </cell>
          <cell r="N1194" t="str">
            <v>용호</v>
          </cell>
          <cell r="O1194" t="str">
            <v>펌프카(1대)</v>
          </cell>
          <cell r="P1194">
            <v>830</v>
          </cell>
          <cell r="Q1194">
            <v>1235</v>
          </cell>
          <cell r="R1194">
            <v>190</v>
          </cell>
          <cell r="S1194">
            <v>42</v>
          </cell>
          <cell r="T1194">
            <v>20</v>
          </cell>
          <cell r="U1194">
            <v>228</v>
          </cell>
          <cell r="V1194"/>
          <cell r="W1194" t="str">
            <v>박순홍</v>
          </cell>
          <cell r="X1194" t="str">
            <v>(인)</v>
          </cell>
          <cell r="Y1194" t="str">
            <v>박순홍</v>
          </cell>
          <cell r="Z1194" t="str">
            <v>(인)</v>
          </cell>
          <cell r="AA1194" t="str">
            <v>이홍걸</v>
          </cell>
          <cell r="AB1194" t="str">
            <v>(인)</v>
          </cell>
          <cell r="AC1194" t="str">
            <v>박기원</v>
          </cell>
          <cell r="AD1194" t="str">
            <v>(인)</v>
          </cell>
          <cell r="AE1194">
            <v>175.9</v>
          </cell>
          <cell r="AF1194" t="str">
            <v>표준</v>
          </cell>
          <cell r="AG1194">
            <v>2</v>
          </cell>
          <cell r="AH1194">
            <v>0</v>
          </cell>
        </row>
        <row r="1195">
          <cell r="G1195">
            <v>2410140103</v>
          </cell>
          <cell r="H1195" t="str">
            <v>101동</v>
          </cell>
          <cell r="I1195">
            <v>241014</v>
          </cell>
          <cell r="J1195" t="str">
            <v>101동 7층 바닥</v>
          </cell>
          <cell r="K1195">
            <v>279</v>
          </cell>
          <cell r="L1195">
            <v>279</v>
          </cell>
          <cell r="M1195">
            <v>3018</v>
          </cell>
          <cell r="N1195" t="str">
            <v>용호</v>
          </cell>
          <cell r="O1195" t="str">
            <v>펌프카(1대)</v>
          </cell>
          <cell r="P1195">
            <v>830</v>
          </cell>
          <cell r="Q1195">
            <v>1235</v>
          </cell>
          <cell r="R1195">
            <v>195</v>
          </cell>
          <cell r="S1195">
            <v>43</v>
          </cell>
          <cell r="T1195">
            <v>14</v>
          </cell>
          <cell r="U1195">
            <v>234</v>
          </cell>
          <cell r="V1195"/>
          <cell r="W1195" t="str">
            <v>박순홍</v>
          </cell>
          <cell r="X1195" t="str">
            <v>(인)</v>
          </cell>
          <cell r="Y1195" t="str">
            <v>박순홍</v>
          </cell>
          <cell r="Z1195" t="str">
            <v>(인)</v>
          </cell>
          <cell r="AA1195" t="str">
            <v>이홍걸</v>
          </cell>
          <cell r="AB1195" t="str">
            <v>(인)</v>
          </cell>
          <cell r="AC1195" t="str">
            <v>박기원</v>
          </cell>
          <cell r="AD1195" t="str">
            <v>(인)</v>
          </cell>
          <cell r="AE1195">
            <v>177.5</v>
          </cell>
          <cell r="AF1195" t="str">
            <v>표준</v>
          </cell>
          <cell r="AG1195">
            <v>3</v>
          </cell>
          <cell r="AH1195">
            <v>0</v>
          </cell>
        </row>
        <row r="1196">
          <cell r="G1196">
            <v>2410140201</v>
          </cell>
          <cell r="H1196" t="str">
            <v>102동</v>
          </cell>
          <cell r="I1196">
            <v>241014</v>
          </cell>
          <cell r="J1196" t="str">
            <v>102동 9층 바닥</v>
          </cell>
          <cell r="K1196">
            <v>282</v>
          </cell>
          <cell r="L1196">
            <v>282</v>
          </cell>
          <cell r="M1196">
            <v>3018</v>
          </cell>
          <cell r="N1196" t="str">
            <v>영진</v>
          </cell>
          <cell r="O1196" t="str">
            <v>펌프카(1대)</v>
          </cell>
          <cell r="P1196">
            <v>1125</v>
          </cell>
          <cell r="Q1196">
            <v>1425</v>
          </cell>
          <cell r="R1196">
            <v>190</v>
          </cell>
          <cell r="S1196">
            <v>38</v>
          </cell>
          <cell r="T1196">
            <v>39</v>
          </cell>
          <cell r="U1196">
            <v>245</v>
          </cell>
          <cell r="V1196"/>
          <cell r="W1196" t="str">
            <v>박순홍</v>
          </cell>
          <cell r="X1196" t="str">
            <v>(인)</v>
          </cell>
          <cell r="Y1196" t="str">
            <v>박순홍</v>
          </cell>
          <cell r="Z1196" t="str">
            <v>(인)</v>
          </cell>
          <cell r="AA1196" t="str">
            <v>박기원</v>
          </cell>
          <cell r="AB1196" t="str">
            <v>(인)</v>
          </cell>
          <cell r="AC1196" t="str">
            <v>박기원</v>
          </cell>
          <cell r="AD1196" t="str">
            <v>(인)</v>
          </cell>
          <cell r="AE1196">
            <v>178.3</v>
          </cell>
          <cell r="AF1196" t="str">
            <v>표준</v>
          </cell>
          <cell r="AG1196">
            <v>1</v>
          </cell>
          <cell r="AH1196">
            <v>1</v>
          </cell>
          <cell r="AI1196">
            <v>2630</v>
          </cell>
          <cell r="AJ1196">
            <v>2762</v>
          </cell>
          <cell r="AK1196">
            <v>214400</v>
          </cell>
          <cell r="AL1196">
            <v>3753</v>
          </cell>
          <cell r="AM1196">
            <v>3826</v>
          </cell>
          <cell r="AN1196">
            <v>3888</v>
          </cell>
          <cell r="AO1196">
            <v>3836</v>
          </cell>
          <cell r="AP1196">
            <v>3794</v>
          </cell>
          <cell r="AQ1196">
            <v>3920</v>
          </cell>
          <cell r="AR1196">
            <v>3762</v>
          </cell>
          <cell r="AS1196">
            <v>3744</v>
          </cell>
          <cell r="AT1196">
            <v>312800</v>
          </cell>
        </row>
        <row r="1197">
          <cell r="G1197">
            <v>2410140202</v>
          </cell>
          <cell r="H1197" t="str">
            <v>102동</v>
          </cell>
          <cell r="I1197">
            <v>241014</v>
          </cell>
          <cell r="J1197" t="str">
            <v>102동 9층 바닥</v>
          </cell>
          <cell r="K1197">
            <v>282</v>
          </cell>
          <cell r="L1197">
            <v>282</v>
          </cell>
          <cell r="M1197">
            <v>3018</v>
          </cell>
          <cell r="N1197" t="str">
            <v>영진</v>
          </cell>
          <cell r="O1197" t="str">
            <v>펌프카(1대)</v>
          </cell>
          <cell r="P1197">
            <v>1125</v>
          </cell>
          <cell r="Q1197">
            <v>1425</v>
          </cell>
          <cell r="R1197">
            <v>200</v>
          </cell>
          <cell r="S1197">
            <v>45</v>
          </cell>
          <cell r="T1197">
            <v>34</v>
          </cell>
          <cell r="U1197">
            <v>174</v>
          </cell>
          <cell r="V1197"/>
          <cell r="W1197" t="str">
            <v>박순홍</v>
          </cell>
          <cell r="X1197" t="str">
            <v>(인)</v>
          </cell>
          <cell r="Y1197" t="str">
            <v>박순홍</v>
          </cell>
          <cell r="Z1197" t="str">
            <v>(인)</v>
          </cell>
          <cell r="AA1197" t="str">
            <v>박기원</v>
          </cell>
          <cell r="AB1197" t="str">
            <v>(인)</v>
          </cell>
          <cell r="AC1197" t="str">
            <v>박기원</v>
          </cell>
          <cell r="AD1197" t="str">
            <v>(인)</v>
          </cell>
          <cell r="AE1197">
            <v>185.3</v>
          </cell>
          <cell r="AF1197" t="str">
            <v>표준</v>
          </cell>
          <cell r="AG1197">
            <v>2</v>
          </cell>
          <cell r="AH1197">
            <v>0</v>
          </cell>
        </row>
        <row r="1198">
          <cell r="G1198">
            <v>2410140203</v>
          </cell>
          <cell r="H1198" t="str">
            <v>102동</v>
          </cell>
          <cell r="I1198">
            <v>241014</v>
          </cell>
          <cell r="J1198" t="str">
            <v>102동 9층 바닥</v>
          </cell>
          <cell r="K1198">
            <v>282</v>
          </cell>
          <cell r="L1198">
            <v>282</v>
          </cell>
          <cell r="M1198">
            <v>3018</v>
          </cell>
          <cell r="N1198" t="str">
            <v>영진</v>
          </cell>
          <cell r="O1198" t="str">
            <v>펌프카(1대)</v>
          </cell>
          <cell r="P1198">
            <v>1125</v>
          </cell>
          <cell r="Q1198">
            <v>1425</v>
          </cell>
          <cell r="R1198">
            <v>200</v>
          </cell>
          <cell r="S1198">
            <v>47</v>
          </cell>
          <cell r="T1198">
            <v>41</v>
          </cell>
          <cell r="U1198">
            <v>201</v>
          </cell>
          <cell r="V1198"/>
          <cell r="W1198" t="str">
            <v>박순홍</v>
          </cell>
          <cell r="X1198" t="str">
            <v>(인)</v>
          </cell>
          <cell r="Y1198" t="str">
            <v>박순홍</v>
          </cell>
          <cell r="Z1198" t="str">
            <v>(인)</v>
          </cell>
          <cell r="AA1198" t="str">
            <v>박기원</v>
          </cell>
          <cell r="AB1198" t="str">
            <v>(인)</v>
          </cell>
          <cell r="AC1198" t="str">
            <v>박기원</v>
          </cell>
          <cell r="AD1198" t="str">
            <v>(인)</v>
          </cell>
          <cell r="AE1198">
            <v>175.9</v>
          </cell>
          <cell r="AF1198" t="str">
            <v>표준</v>
          </cell>
          <cell r="AG1198">
            <v>3</v>
          </cell>
          <cell r="AH1198">
            <v>0</v>
          </cell>
        </row>
        <row r="1199">
          <cell r="G1199">
            <v>2410140301</v>
          </cell>
          <cell r="H1199" t="str">
            <v>113동</v>
          </cell>
          <cell r="I1199">
            <v>241014</v>
          </cell>
          <cell r="J1199" t="str">
            <v>113동 8층 바닥</v>
          </cell>
          <cell r="K1199">
            <v>330</v>
          </cell>
          <cell r="L1199">
            <v>330</v>
          </cell>
          <cell r="M1199">
            <v>3018</v>
          </cell>
          <cell r="N1199" t="str">
            <v>신우</v>
          </cell>
          <cell r="O1199" t="str">
            <v>펌프카(1대)</v>
          </cell>
          <cell r="P1199">
            <v>805</v>
          </cell>
          <cell r="Q1199">
            <v>1405</v>
          </cell>
          <cell r="R1199">
            <v>190</v>
          </cell>
          <cell r="S1199">
            <v>49</v>
          </cell>
          <cell r="T1199">
            <v>77</v>
          </cell>
          <cell r="U1199">
            <v>221</v>
          </cell>
          <cell r="V1199"/>
          <cell r="W1199" t="str">
            <v>박순홍</v>
          </cell>
          <cell r="X1199" t="str">
            <v>(인)</v>
          </cell>
          <cell r="Y1199" t="str">
            <v>박순홍</v>
          </cell>
          <cell r="Z1199" t="str">
            <v>(인)</v>
          </cell>
          <cell r="AA1199" t="str">
            <v>이홍걸</v>
          </cell>
          <cell r="AB1199" t="str">
            <v>(인)</v>
          </cell>
          <cell r="AC1199" t="str">
            <v>박기원</v>
          </cell>
          <cell r="AD1199" t="str">
            <v>(인)</v>
          </cell>
          <cell r="AE1199">
            <v>196.2</v>
          </cell>
          <cell r="AF1199" t="str">
            <v>표준</v>
          </cell>
          <cell r="AG1199">
            <v>1</v>
          </cell>
          <cell r="AH1199">
            <v>1</v>
          </cell>
          <cell r="AI1199">
            <v>2813</v>
          </cell>
          <cell r="AJ1199">
            <v>2862</v>
          </cell>
          <cell r="AK1199">
            <v>221400</v>
          </cell>
          <cell r="AL1199">
            <v>3913</v>
          </cell>
          <cell r="AM1199">
            <v>3796</v>
          </cell>
          <cell r="AN1199">
            <v>3906</v>
          </cell>
          <cell r="AO1199">
            <v>3929</v>
          </cell>
          <cell r="AP1199">
            <v>3863</v>
          </cell>
          <cell r="AQ1199">
            <v>3729</v>
          </cell>
          <cell r="AR1199">
            <v>3804</v>
          </cell>
          <cell r="AS1199">
            <v>3904</v>
          </cell>
          <cell r="AT1199">
            <v>292200</v>
          </cell>
        </row>
        <row r="1200">
          <cell r="G1200">
            <v>2410140302</v>
          </cell>
          <cell r="H1200" t="str">
            <v>113동</v>
          </cell>
          <cell r="I1200">
            <v>241014</v>
          </cell>
          <cell r="J1200" t="str">
            <v>113동 8층 바닥</v>
          </cell>
          <cell r="K1200">
            <v>330</v>
          </cell>
          <cell r="L1200">
            <v>330</v>
          </cell>
          <cell r="M1200">
            <v>3018</v>
          </cell>
          <cell r="N1200" t="str">
            <v>신우</v>
          </cell>
          <cell r="O1200" t="str">
            <v>펌프카(1대)</v>
          </cell>
          <cell r="P1200">
            <v>805</v>
          </cell>
          <cell r="Q1200">
            <v>1405</v>
          </cell>
          <cell r="R1200">
            <v>190</v>
          </cell>
          <cell r="S1200">
            <v>48</v>
          </cell>
          <cell r="T1200">
            <v>94</v>
          </cell>
          <cell r="U1200">
            <v>215</v>
          </cell>
          <cell r="V1200"/>
          <cell r="W1200" t="str">
            <v>박순홍</v>
          </cell>
          <cell r="X1200" t="str">
            <v>(인)</v>
          </cell>
          <cell r="Y1200" t="str">
            <v>박순홍</v>
          </cell>
          <cell r="Z1200" t="str">
            <v>(인)</v>
          </cell>
          <cell r="AA1200" t="str">
            <v>이홍걸</v>
          </cell>
          <cell r="AB1200" t="str">
            <v>(인)</v>
          </cell>
          <cell r="AC1200" t="str">
            <v>박기원</v>
          </cell>
          <cell r="AD1200" t="str">
            <v>(인)</v>
          </cell>
          <cell r="AE1200">
            <v>197.1</v>
          </cell>
          <cell r="AF1200" t="str">
            <v>표준</v>
          </cell>
          <cell r="AG1200">
            <v>2</v>
          </cell>
          <cell r="AH1200">
            <v>0</v>
          </cell>
        </row>
        <row r="1201">
          <cell r="G1201">
            <v>2410140303</v>
          </cell>
          <cell r="H1201" t="str">
            <v>113동</v>
          </cell>
          <cell r="I1201">
            <v>241014</v>
          </cell>
          <cell r="J1201" t="str">
            <v>113동 8층 바닥</v>
          </cell>
          <cell r="K1201">
            <v>330</v>
          </cell>
          <cell r="L1201">
            <v>330</v>
          </cell>
          <cell r="M1201">
            <v>3018</v>
          </cell>
          <cell r="N1201" t="str">
            <v>신우</v>
          </cell>
          <cell r="O1201" t="str">
            <v>펌프카(1대)</v>
          </cell>
          <cell r="P1201">
            <v>805</v>
          </cell>
          <cell r="Q1201">
            <v>1405</v>
          </cell>
          <cell r="R1201">
            <v>195</v>
          </cell>
          <cell r="S1201">
            <v>44</v>
          </cell>
          <cell r="T1201">
            <v>15</v>
          </cell>
          <cell r="U1201">
            <v>234</v>
          </cell>
          <cell r="V1201"/>
          <cell r="W1201" t="str">
            <v>박순홍</v>
          </cell>
          <cell r="X1201" t="str">
            <v>(인)</v>
          </cell>
          <cell r="Y1201" t="str">
            <v>박순홍</v>
          </cell>
          <cell r="Z1201" t="str">
            <v>(인)</v>
          </cell>
          <cell r="AA1201" t="str">
            <v>이홍걸</v>
          </cell>
          <cell r="AB1201" t="str">
            <v>(인)</v>
          </cell>
          <cell r="AC1201" t="str">
            <v>박기원</v>
          </cell>
          <cell r="AD1201" t="str">
            <v>(인)</v>
          </cell>
          <cell r="AE1201">
            <v>189.6</v>
          </cell>
          <cell r="AF1201" t="str">
            <v>표준</v>
          </cell>
          <cell r="AG1201">
            <v>3</v>
          </cell>
          <cell r="AH1201">
            <v>0</v>
          </cell>
        </row>
        <row r="1202">
          <cell r="G1202">
            <v>2410150101</v>
          </cell>
          <cell r="H1202" t="str">
            <v>109동</v>
          </cell>
          <cell r="I1202">
            <v>241015</v>
          </cell>
          <cell r="J1202" t="str">
            <v>109동 3층 바닥</v>
          </cell>
          <cell r="K1202">
            <v>294</v>
          </cell>
          <cell r="L1202">
            <v>294</v>
          </cell>
          <cell r="M1202">
            <v>3018</v>
          </cell>
          <cell r="N1202" t="str">
            <v>한진</v>
          </cell>
          <cell r="O1202" t="str">
            <v>펌프카(1대)</v>
          </cell>
          <cell r="P1202">
            <v>825</v>
          </cell>
          <cell r="Q1202">
            <v>1305</v>
          </cell>
          <cell r="R1202">
            <v>190</v>
          </cell>
          <cell r="S1202">
            <v>51</v>
          </cell>
          <cell r="T1202">
            <v>47</v>
          </cell>
          <cell r="U1202">
            <v>217</v>
          </cell>
          <cell r="V1202"/>
          <cell r="W1202" t="str">
            <v>박순홍</v>
          </cell>
          <cell r="X1202" t="str">
            <v>(인)</v>
          </cell>
          <cell r="Y1202" t="str">
            <v>김광록</v>
          </cell>
          <cell r="Z1202" t="str">
            <v>(인)</v>
          </cell>
          <cell r="AA1202" t="str">
            <v>박상갑</v>
          </cell>
          <cell r="AB1202" t="str">
            <v>(인)</v>
          </cell>
          <cell r="AC1202" t="str">
            <v>박기원</v>
          </cell>
          <cell r="AD1202" t="str">
            <v>(인)</v>
          </cell>
          <cell r="AE1202">
            <v>185.3</v>
          </cell>
          <cell r="AF1202" t="str">
            <v>표준</v>
          </cell>
          <cell r="AG1202">
            <v>1</v>
          </cell>
          <cell r="AH1202">
            <v>1</v>
          </cell>
          <cell r="AI1202">
            <v>2829</v>
          </cell>
          <cell r="AJ1202">
            <v>2804</v>
          </cell>
          <cell r="AK1202">
            <v>206200</v>
          </cell>
          <cell r="AL1202">
            <v>3860</v>
          </cell>
          <cell r="AM1202">
            <v>3600</v>
          </cell>
          <cell r="AN1202">
            <v>3731</v>
          </cell>
          <cell r="AO1202">
            <v>3862</v>
          </cell>
          <cell r="AP1202">
            <v>3738</v>
          </cell>
          <cell r="AQ1202">
            <v>3771</v>
          </cell>
          <cell r="AR1202">
            <v>3831</v>
          </cell>
          <cell r="AS1202">
            <v>3647</v>
          </cell>
          <cell r="AT1202">
            <v>293600</v>
          </cell>
        </row>
        <row r="1203">
          <cell r="G1203">
            <v>2410150102</v>
          </cell>
          <cell r="H1203" t="str">
            <v>109동</v>
          </cell>
          <cell r="I1203">
            <v>241015</v>
          </cell>
          <cell r="J1203" t="str">
            <v>109동 3층 바닥</v>
          </cell>
          <cell r="K1203">
            <v>294</v>
          </cell>
          <cell r="L1203">
            <v>294</v>
          </cell>
          <cell r="M1203">
            <v>3018</v>
          </cell>
          <cell r="N1203" t="str">
            <v>한진</v>
          </cell>
          <cell r="O1203" t="str">
            <v>펌프카(1대)</v>
          </cell>
          <cell r="P1203">
            <v>825</v>
          </cell>
          <cell r="Q1203">
            <v>1305</v>
          </cell>
          <cell r="R1203">
            <v>195</v>
          </cell>
          <cell r="S1203">
            <v>42</v>
          </cell>
          <cell r="T1203">
            <v>95</v>
          </cell>
          <cell r="U1203">
            <v>212</v>
          </cell>
          <cell r="V1203"/>
          <cell r="W1203" t="str">
            <v>박순홍</v>
          </cell>
          <cell r="X1203" t="str">
            <v>(인)</v>
          </cell>
          <cell r="Y1203" t="str">
            <v>김광록</v>
          </cell>
          <cell r="Z1203" t="str">
            <v>(인)</v>
          </cell>
          <cell r="AA1203" t="str">
            <v>박상갑</v>
          </cell>
          <cell r="AB1203" t="str">
            <v>(인)</v>
          </cell>
          <cell r="AC1203" t="str">
            <v>박기원</v>
          </cell>
          <cell r="AD1203" t="str">
            <v>(인)</v>
          </cell>
          <cell r="AE1203">
            <v>184.5</v>
          </cell>
          <cell r="AF1203" t="str">
            <v>표준</v>
          </cell>
          <cell r="AG1203">
            <v>2</v>
          </cell>
          <cell r="AH1203">
            <v>0</v>
          </cell>
        </row>
        <row r="1204">
          <cell r="G1204">
            <v>2410150103</v>
          </cell>
          <cell r="H1204" t="str">
            <v>109동</v>
          </cell>
          <cell r="I1204">
            <v>241015</v>
          </cell>
          <cell r="J1204" t="str">
            <v>109동 3층 바닥</v>
          </cell>
          <cell r="K1204">
            <v>294</v>
          </cell>
          <cell r="L1204">
            <v>294</v>
          </cell>
          <cell r="M1204">
            <v>3018</v>
          </cell>
          <cell r="N1204" t="str">
            <v>한진</v>
          </cell>
          <cell r="O1204" t="str">
            <v>펌프카(1대)</v>
          </cell>
          <cell r="P1204">
            <v>825</v>
          </cell>
          <cell r="Q1204">
            <v>1305</v>
          </cell>
          <cell r="R1204">
            <v>200</v>
          </cell>
          <cell r="S1204">
            <v>45</v>
          </cell>
          <cell r="T1204">
            <v>56</v>
          </cell>
          <cell r="U1204">
            <v>220</v>
          </cell>
          <cell r="V1204"/>
          <cell r="W1204" t="str">
            <v>박순홍</v>
          </cell>
          <cell r="X1204" t="str">
            <v>(인)</v>
          </cell>
          <cell r="Y1204" t="str">
            <v>김광록</v>
          </cell>
          <cell r="Z1204" t="str">
            <v>(인)</v>
          </cell>
          <cell r="AA1204" t="str">
            <v>박상갑</v>
          </cell>
          <cell r="AB1204" t="str">
            <v>(인)</v>
          </cell>
          <cell r="AC1204" t="str">
            <v>박기원</v>
          </cell>
          <cell r="AD1204" t="str">
            <v>(인)</v>
          </cell>
          <cell r="AE1204">
            <v>181.2</v>
          </cell>
          <cell r="AF1204" t="str">
            <v>표준</v>
          </cell>
          <cell r="AG1204">
            <v>3</v>
          </cell>
          <cell r="AH1204">
            <v>0</v>
          </cell>
        </row>
        <row r="1205">
          <cell r="G1205">
            <v>2410150201</v>
          </cell>
          <cell r="H1205" t="str">
            <v>120동</v>
          </cell>
          <cell r="I1205">
            <v>241015</v>
          </cell>
          <cell r="J1205" t="str">
            <v>120동 합벽</v>
          </cell>
          <cell r="K1205">
            <v>54</v>
          </cell>
          <cell r="L1205">
            <v>54</v>
          </cell>
          <cell r="M1205">
            <v>3015</v>
          </cell>
          <cell r="N1205" t="str">
            <v>한진</v>
          </cell>
          <cell r="O1205" t="str">
            <v>펌프카(1대)</v>
          </cell>
          <cell r="P1205">
            <v>1420</v>
          </cell>
          <cell r="Q1205">
            <v>1536</v>
          </cell>
          <cell r="R1205">
            <v>145</v>
          </cell>
          <cell r="S1205">
            <v>51</v>
          </cell>
          <cell r="T1205">
            <v>21</v>
          </cell>
          <cell r="U1205">
            <v>245</v>
          </cell>
          <cell r="V1205"/>
          <cell r="W1205" t="str">
            <v>박순홍</v>
          </cell>
          <cell r="X1205" t="str">
            <v>(인)</v>
          </cell>
          <cell r="Y1205" t="str">
            <v>김광록</v>
          </cell>
          <cell r="Z1205" t="str">
            <v>(인)</v>
          </cell>
          <cell r="AA1205" t="str">
            <v>박상갑</v>
          </cell>
          <cell r="AB1205" t="str">
            <v>(인)</v>
          </cell>
          <cell r="AC1205" t="str">
            <v>박기원</v>
          </cell>
          <cell r="AD1205" t="str">
            <v>(인)</v>
          </cell>
          <cell r="AE1205">
            <v>184.2</v>
          </cell>
          <cell r="AF1205" t="str">
            <v>표준</v>
          </cell>
          <cell r="AG1205">
            <v>1</v>
          </cell>
          <cell r="AH1205">
            <v>1</v>
          </cell>
          <cell r="AI1205">
            <v>2709</v>
          </cell>
          <cell r="AJ1205">
            <v>2701</v>
          </cell>
          <cell r="AK1205">
            <v>206200</v>
          </cell>
          <cell r="AL1205">
            <v>3642</v>
          </cell>
          <cell r="AM1205">
            <v>3619</v>
          </cell>
          <cell r="AN1205">
            <v>3747</v>
          </cell>
          <cell r="AO1205">
            <v>3781</v>
          </cell>
          <cell r="AP1205">
            <v>3698</v>
          </cell>
          <cell r="AQ1205">
            <v>3624</v>
          </cell>
          <cell r="AR1205">
            <v>3554</v>
          </cell>
          <cell r="AS1205">
            <v>3709</v>
          </cell>
          <cell r="AT1205">
            <v>291200</v>
          </cell>
        </row>
        <row r="1206">
          <cell r="G1206">
            <v>2410150301</v>
          </cell>
          <cell r="H1206" t="str">
            <v>109동</v>
          </cell>
          <cell r="I1206">
            <v>241015</v>
          </cell>
          <cell r="J1206" t="str">
            <v>109동 주변 램프</v>
          </cell>
          <cell r="K1206">
            <v>24</v>
          </cell>
          <cell r="L1206">
            <v>24</v>
          </cell>
          <cell r="M1206">
            <v>2715</v>
          </cell>
          <cell r="N1206" t="str">
            <v>한진</v>
          </cell>
          <cell r="O1206" t="str">
            <v>펌프카(1대)</v>
          </cell>
          <cell r="P1206">
            <v>1410</v>
          </cell>
          <cell r="Q1206">
            <v>1511</v>
          </cell>
          <cell r="R1206">
            <v>145</v>
          </cell>
          <cell r="S1206">
            <v>58</v>
          </cell>
          <cell r="T1206">
            <v>19</v>
          </cell>
          <cell r="U1206">
            <v>234</v>
          </cell>
          <cell r="V1206"/>
          <cell r="W1206" t="str">
            <v>박순홍</v>
          </cell>
          <cell r="X1206" t="str">
            <v>(인)</v>
          </cell>
          <cell r="Y1206" t="str">
            <v>김광록</v>
          </cell>
          <cell r="Z1206" t="str">
            <v>(인)</v>
          </cell>
          <cell r="AA1206" t="str">
            <v>박상갑</v>
          </cell>
          <cell r="AB1206" t="str">
            <v>(인)</v>
          </cell>
          <cell r="AC1206" t="str">
            <v>박기원</v>
          </cell>
          <cell r="AD1206" t="str">
            <v>(인)</v>
          </cell>
          <cell r="AE1206">
            <v>190.2</v>
          </cell>
          <cell r="AF1206" t="str">
            <v>표준</v>
          </cell>
          <cell r="AG1206">
            <v>1</v>
          </cell>
          <cell r="AH1206">
            <v>1</v>
          </cell>
          <cell r="AI1206">
            <v>2431</v>
          </cell>
          <cell r="AJ1206">
            <v>2412</v>
          </cell>
          <cell r="AK1206">
            <v>199000</v>
          </cell>
          <cell r="AL1206">
            <v>3435</v>
          </cell>
          <cell r="AM1206">
            <v>3571</v>
          </cell>
          <cell r="AN1206">
            <v>3461</v>
          </cell>
          <cell r="AO1206">
            <v>3427</v>
          </cell>
          <cell r="AP1206">
            <v>3368</v>
          </cell>
          <cell r="AQ1206">
            <v>3418</v>
          </cell>
          <cell r="AR1206">
            <v>3562</v>
          </cell>
          <cell r="AS1206">
            <v>3554</v>
          </cell>
          <cell r="AT1206">
            <v>270200</v>
          </cell>
        </row>
        <row r="1207">
          <cell r="G1207">
            <v>2410160101</v>
          </cell>
          <cell r="H1207" t="str">
            <v>111동</v>
          </cell>
          <cell r="I1207">
            <v>241016</v>
          </cell>
          <cell r="J1207" t="str">
            <v>H구간 지하1층 슬래브</v>
          </cell>
          <cell r="K1207">
            <v>520</v>
          </cell>
          <cell r="L1207">
            <v>522</v>
          </cell>
          <cell r="M1207">
            <v>2715</v>
          </cell>
          <cell r="N1207" t="str">
            <v>영진</v>
          </cell>
          <cell r="O1207" t="str">
            <v>펌프카(1대)</v>
          </cell>
          <cell r="P1207">
            <v>730</v>
          </cell>
          <cell r="Q1207">
            <v>1434</v>
          </cell>
          <cell r="R1207">
            <v>160</v>
          </cell>
          <cell r="S1207">
            <v>38</v>
          </cell>
          <cell r="T1207">
            <v>38</v>
          </cell>
          <cell r="U1207">
            <v>218</v>
          </cell>
          <cell r="V1207"/>
          <cell r="W1207" t="str">
            <v>김광록</v>
          </cell>
          <cell r="X1207" t="str">
            <v>(인)</v>
          </cell>
          <cell r="Y1207" t="str">
            <v>김광록</v>
          </cell>
          <cell r="Z1207" t="str">
            <v>(인)</v>
          </cell>
          <cell r="AA1207" t="str">
            <v>박상갑</v>
          </cell>
          <cell r="AB1207" t="str">
            <v>(인)</v>
          </cell>
          <cell r="AC1207" t="str">
            <v>박기원</v>
          </cell>
          <cell r="AD1207" t="str">
            <v>(인)</v>
          </cell>
          <cell r="AE1207">
            <v>174.2</v>
          </cell>
          <cell r="AF1207" t="str">
            <v>표준</v>
          </cell>
          <cell r="AG1207">
            <v>1</v>
          </cell>
          <cell r="AH1207">
            <v>1</v>
          </cell>
          <cell r="AI1207">
            <v>2449</v>
          </cell>
          <cell r="AJ1207">
            <v>2429</v>
          </cell>
          <cell r="AK1207">
            <v>194000</v>
          </cell>
          <cell r="AL1207">
            <v>3374</v>
          </cell>
          <cell r="AM1207">
            <v>3419</v>
          </cell>
          <cell r="AN1207">
            <v>3417</v>
          </cell>
          <cell r="AO1207">
            <v>3364</v>
          </cell>
          <cell r="AP1207">
            <v>3277</v>
          </cell>
          <cell r="AQ1207">
            <v>3479</v>
          </cell>
          <cell r="AR1207">
            <v>3385</v>
          </cell>
          <cell r="AS1207">
            <v>3386</v>
          </cell>
          <cell r="AT1207">
            <v>266800</v>
          </cell>
        </row>
        <row r="1208">
          <cell r="G1208">
            <v>2410160102</v>
          </cell>
          <cell r="H1208" t="str">
            <v>111동</v>
          </cell>
          <cell r="I1208">
            <v>241016</v>
          </cell>
          <cell r="J1208" t="str">
            <v>H구간 지하1층 슬래브</v>
          </cell>
          <cell r="K1208">
            <v>520</v>
          </cell>
          <cell r="L1208">
            <v>522</v>
          </cell>
          <cell r="M1208">
            <v>2715</v>
          </cell>
          <cell r="N1208" t="str">
            <v>영진</v>
          </cell>
          <cell r="O1208" t="str">
            <v>펌프카(1대)</v>
          </cell>
          <cell r="P1208">
            <v>730</v>
          </cell>
          <cell r="Q1208">
            <v>1434</v>
          </cell>
          <cell r="R1208">
            <v>170</v>
          </cell>
          <cell r="S1208">
            <v>40</v>
          </cell>
          <cell r="T1208">
            <v>56</v>
          </cell>
          <cell r="U1208">
            <v>224</v>
          </cell>
          <cell r="V1208"/>
          <cell r="W1208" t="str">
            <v>김광록</v>
          </cell>
          <cell r="X1208" t="str">
            <v>(인)</v>
          </cell>
          <cell r="Y1208" t="str">
            <v>김광록</v>
          </cell>
          <cell r="Z1208" t="str">
            <v>(인)</v>
          </cell>
          <cell r="AA1208" t="str">
            <v>박상갑</v>
          </cell>
          <cell r="AB1208" t="str">
            <v>(인)</v>
          </cell>
          <cell r="AC1208" t="str">
            <v>박기원</v>
          </cell>
          <cell r="AD1208" t="str">
            <v>(인)</v>
          </cell>
          <cell r="AE1208">
            <v>177.2</v>
          </cell>
          <cell r="AF1208" t="str">
            <v>표준</v>
          </cell>
          <cell r="AG1208">
            <v>2</v>
          </cell>
          <cell r="AH1208">
            <v>0</v>
          </cell>
          <cell r="AI1208"/>
          <cell r="AJ1208"/>
        </row>
        <row r="1209">
          <cell r="G1209">
            <v>2410160103</v>
          </cell>
          <cell r="H1209" t="str">
            <v>111동</v>
          </cell>
          <cell r="I1209">
            <v>241016</v>
          </cell>
          <cell r="J1209" t="str">
            <v>H구간 지하1층 슬래브</v>
          </cell>
          <cell r="K1209">
            <v>520</v>
          </cell>
          <cell r="L1209">
            <v>522</v>
          </cell>
          <cell r="M1209">
            <v>2715</v>
          </cell>
          <cell r="N1209" t="str">
            <v>영진</v>
          </cell>
          <cell r="O1209" t="str">
            <v>펌프카(1대)</v>
          </cell>
          <cell r="P1209">
            <v>730</v>
          </cell>
          <cell r="Q1209">
            <v>1434</v>
          </cell>
          <cell r="R1209">
            <v>175</v>
          </cell>
          <cell r="S1209">
            <v>41</v>
          </cell>
          <cell r="T1209">
            <v>58</v>
          </cell>
          <cell r="U1209">
            <v>215</v>
          </cell>
          <cell r="V1209"/>
          <cell r="W1209" t="str">
            <v>김광록</v>
          </cell>
          <cell r="X1209" t="str">
            <v>(인)</v>
          </cell>
          <cell r="Y1209" t="str">
            <v>김광록</v>
          </cell>
          <cell r="Z1209" t="str">
            <v>(인)</v>
          </cell>
          <cell r="AA1209" t="str">
            <v>박상갑</v>
          </cell>
          <cell r="AB1209" t="str">
            <v>(인)</v>
          </cell>
          <cell r="AC1209" t="str">
            <v>박기원</v>
          </cell>
          <cell r="AD1209" t="str">
            <v>(인)</v>
          </cell>
          <cell r="AE1209">
            <v>175.9</v>
          </cell>
          <cell r="AF1209" t="str">
            <v>표준</v>
          </cell>
          <cell r="AG1209">
            <v>3</v>
          </cell>
          <cell r="AH1209">
            <v>0</v>
          </cell>
        </row>
        <row r="1210">
          <cell r="G1210">
            <v>2410160104</v>
          </cell>
          <cell r="H1210" t="str">
            <v>111동</v>
          </cell>
          <cell r="I1210">
            <v>241016</v>
          </cell>
          <cell r="J1210" t="str">
            <v>H구간 지하1층 슬래브</v>
          </cell>
          <cell r="K1210">
            <v>520</v>
          </cell>
          <cell r="L1210">
            <v>522</v>
          </cell>
          <cell r="M1210">
            <v>2715</v>
          </cell>
          <cell r="N1210" t="str">
            <v>영진</v>
          </cell>
          <cell r="O1210" t="str">
            <v>펌프카(1대)</v>
          </cell>
          <cell r="P1210">
            <v>730</v>
          </cell>
          <cell r="Q1210">
            <v>1434</v>
          </cell>
          <cell r="R1210">
            <v>165</v>
          </cell>
          <cell r="S1210">
            <v>41</v>
          </cell>
          <cell r="T1210">
            <v>88</v>
          </cell>
          <cell r="U1210">
            <v>217</v>
          </cell>
          <cell r="V1210"/>
          <cell r="W1210" t="str">
            <v>박순홍</v>
          </cell>
          <cell r="X1210" t="str">
            <v>(인)</v>
          </cell>
          <cell r="Y1210" t="str">
            <v>김광록</v>
          </cell>
          <cell r="Z1210" t="str">
            <v>(인)</v>
          </cell>
          <cell r="AA1210" t="str">
            <v>박상갑</v>
          </cell>
          <cell r="AB1210" t="str">
            <v>(인)</v>
          </cell>
          <cell r="AC1210" t="str">
            <v>박기원</v>
          </cell>
          <cell r="AD1210" t="str">
            <v>(인)</v>
          </cell>
          <cell r="AE1210">
            <v>187.6</v>
          </cell>
          <cell r="AF1210" t="str">
            <v>표준</v>
          </cell>
          <cell r="AG1210">
            <v>4</v>
          </cell>
          <cell r="AH1210">
            <v>1</v>
          </cell>
          <cell r="AL1210">
            <v>3297</v>
          </cell>
          <cell r="AM1210">
            <v>3248</v>
          </cell>
          <cell r="AN1210">
            <v>3366</v>
          </cell>
          <cell r="AO1210">
            <v>3477</v>
          </cell>
          <cell r="AP1210">
            <v>3418</v>
          </cell>
          <cell r="AQ1210">
            <v>3361</v>
          </cell>
          <cell r="AR1210">
            <v>3391</v>
          </cell>
          <cell r="AS1210">
            <v>3256</v>
          </cell>
          <cell r="AT1210">
            <v>255400</v>
          </cell>
        </row>
        <row r="1211">
          <cell r="G1211">
            <v>2410160105</v>
          </cell>
          <cell r="H1211" t="str">
            <v>111동</v>
          </cell>
          <cell r="I1211">
            <v>241016</v>
          </cell>
          <cell r="J1211" t="str">
            <v>H구간 지하1층 슬래브</v>
          </cell>
          <cell r="K1211">
            <v>520</v>
          </cell>
          <cell r="L1211">
            <v>522</v>
          </cell>
          <cell r="M1211">
            <v>2715</v>
          </cell>
          <cell r="N1211" t="str">
            <v>영진</v>
          </cell>
          <cell r="O1211" t="str">
            <v>펌프카(1대)</v>
          </cell>
          <cell r="P1211">
            <v>730</v>
          </cell>
          <cell r="Q1211">
            <v>1434</v>
          </cell>
          <cell r="R1211">
            <v>170</v>
          </cell>
          <cell r="S1211">
            <v>45</v>
          </cell>
          <cell r="T1211">
            <v>33</v>
          </cell>
          <cell r="U1211">
            <v>205</v>
          </cell>
          <cell r="V1211"/>
          <cell r="W1211" t="str">
            <v>박순홍</v>
          </cell>
          <cell r="X1211" t="str">
            <v>(인)</v>
          </cell>
          <cell r="Y1211" t="str">
            <v>김광록</v>
          </cell>
          <cell r="Z1211" t="str">
            <v>(인)</v>
          </cell>
          <cell r="AA1211" t="str">
            <v>박상갑</v>
          </cell>
          <cell r="AB1211" t="str">
            <v>(인)</v>
          </cell>
          <cell r="AC1211" t="str">
            <v>박기원</v>
          </cell>
          <cell r="AD1211" t="str">
            <v>(인)</v>
          </cell>
          <cell r="AE1211">
            <v>183.6</v>
          </cell>
          <cell r="AF1211" t="str">
            <v>표준</v>
          </cell>
          <cell r="AG1211">
            <v>5</v>
          </cell>
          <cell r="AH1211">
            <v>0</v>
          </cell>
        </row>
        <row r="1212">
          <cell r="G1212">
            <v>2410160201</v>
          </cell>
          <cell r="H1212" t="str">
            <v>103동</v>
          </cell>
          <cell r="I1212">
            <v>241016</v>
          </cell>
          <cell r="J1212" t="str">
            <v>103동 지붕층 바닥</v>
          </cell>
          <cell r="K1212">
            <v>330</v>
          </cell>
          <cell r="L1212">
            <v>330</v>
          </cell>
          <cell r="M1212">
            <v>3018</v>
          </cell>
          <cell r="N1212" t="str">
            <v>동양</v>
          </cell>
          <cell r="O1212" t="str">
            <v>펌프카(1대)</v>
          </cell>
          <cell r="P1212">
            <v>907</v>
          </cell>
          <cell r="Q1212">
            <v>1450</v>
          </cell>
          <cell r="R1212">
            <v>185</v>
          </cell>
          <cell r="S1212">
            <v>52</v>
          </cell>
          <cell r="T1212">
            <v>36</v>
          </cell>
          <cell r="U1212">
            <v>212</v>
          </cell>
          <cell r="V1212"/>
          <cell r="W1212" t="str">
            <v>박순홍</v>
          </cell>
          <cell r="X1212" t="str">
            <v>(인)</v>
          </cell>
          <cell r="Y1212" t="str">
            <v>김광록</v>
          </cell>
          <cell r="Z1212" t="str">
            <v>(인)</v>
          </cell>
          <cell r="AA1212" t="str">
            <v>박상갑</v>
          </cell>
          <cell r="AB1212" t="str">
            <v>(인)</v>
          </cell>
          <cell r="AC1212" t="str">
            <v>박기원</v>
          </cell>
          <cell r="AD1212" t="str">
            <v>(인)</v>
          </cell>
          <cell r="AE1212">
            <v>192.4</v>
          </cell>
          <cell r="AF1212" t="str">
            <v>표준</v>
          </cell>
          <cell r="AG1212">
            <v>1</v>
          </cell>
          <cell r="AH1212">
            <v>1</v>
          </cell>
          <cell r="AI1212">
            <v>2808</v>
          </cell>
          <cell r="AJ1212">
            <v>2719</v>
          </cell>
          <cell r="AK1212">
            <v>216200</v>
          </cell>
          <cell r="AL1212">
            <v>3766</v>
          </cell>
          <cell r="AM1212">
            <v>3774</v>
          </cell>
          <cell r="AN1212">
            <v>3894</v>
          </cell>
          <cell r="AO1212">
            <v>3891</v>
          </cell>
          <cell r="AP1212">
            <v>3748</v>
          </cell>
          <cell r="AQ1212">
            <v>3761</v>
          </cell>
          <cell r="AR1212">
            <v>3692</v>
          </cell>
          <cell r="AS1212">
            <v>3847</v>
          </cell>
          <cell r="AT1212">
            <v>301200</v>
          </cell>
        </row>
        <row r="1213">
          <cell r="G1213">
            <v>2410160202</v>
          </cell>
          <cell r="H1213" t="str">
            <v>103동</v>
          </cell>
          <cell r="I1213">
            <v>241016</v>
          </cell>
          <cell r="J1213" t="str">
            <v>103동 지붕층 바닥</v>
          </cell>
          <cell r="K1213">
            <v>330</v>
          </cell>
          <cell r="L1213">
            <v>330</v>
          </cell>
          <cell r="M1213">
            <v>3018</v>
          </cell>
          <cell r="N1213" t="str">
            <v>동양</v>
          </cell>
          <cell r="O1213" t="str">
            <v>펌프카(1대)</v>
          </cell>
          <cell r="P1213">
            <v>907</v>
          </cell>
          <cell r="Q1213">
            <v>1450</v>
          </cell>
          <cell r="R1213">
            <v>180</v>
          </cell>
          <cell r="S1213">
            <v>40</v>
          </cell>
          <cell r="T1213">
            <v>42</v>
          </cell>
          <cell r="U1213">
            <v>224</v>
          </cell>
          <cell r="V1213"/>
          <cell r="W1213" t="str">
            <v>박순홍</v>
          </cell>
          <cell r="X1213" t="str">
            <v>(인)</v>
          </cell>
          <cell r="Y1213" t="str">
            <v>김광록</v>
          </cell>
          <cell r="Z1213" t="str">
            <v>(인)</v>
          </cell>
          <cell r="AA1213" t="str">
            <v>박상갑</v>
          </cell>
          <cell r="AB1213" t="str">
            <v>(인)</v>
          </cell>
          <cell r="AC1213" t="str">
            <v>박기원</v>
          </cell>
          <cell r="AD1213" t="str">
            <v>(인)</v>
          </cell>
          <cell r="AE1213">
            <v>196.4</v>
          </cell>
          <cell r="AF1213" t="str">
            <v>표준</v>
          </cell>
          <cell r="AG1213">
            <v>2</v>
          </cell>
          <cell r="AH1213">
            <v>0</v>
          </cell>
        </row>
        <row r="1214">
          <cell r="G1214">
            <v>2410160203</v>
          </cell>
          <cell r="H1214" t="str">
            <v>103동</v>
          </cell>
          <cell r="I1214">
            <v>241016</v>
          </cell>
          <cell r="J1214" t="str">
            <v>103동 지붕층 바닥</v>
          </cell>
          <cell r="K1214">
            <v>330</v>
          </cell>
          <cell r="L1214">
            <v>330</v>
          </cell>
          <cell r="M1214">
            <v>3018</v>
          </cell>
          <cell r="N1214" t="str">
            <v>동양</v>
          </cell>
          <cell r="O1214" t="str">
            <v>펌프카(1대)</v>
          </cell>
          <cell r="P1214">
            <v>907</v>
          </cell>
          <cell r="Q1214">
            <v>1450</v>
          </cell>
          <cell r="R1214">
            <v>190</v>
          </cell>
          <cell r="S1214">
            <v>49</v>
          </cell>
          <cell r="T1214">
            <v>40</v>
          </cell>
          <cell r="U1214">
            <v>238</v>
          </cell>
          <cell r="V1214"/>
          <cell r="W1214" t="str">
            <v>박순홍</v>
          </cell>
          <cell r="X1214" t="str">
            <v>(인)</v>
          </cell>
          <cell r="Y1214" t="str">
            <v>김광록</v>
          </cell>
          <cell r="Z1214" t="str">
            <v>(인)</v>
          </cell>
          <cell r="AA1214" t="str">
            <v>박상갑</v>
          </cell>
          <cell r="AB1214" t="str">
            <v>(인)</v>
          </cell>
          <cell r="AC1214" t="str">
            <v>박기원</v>
          </cell>
          <cell r="AD1214" t="str">
            <v>(인)</v>
          </cell>
          <cell r="AE1214">
            <v>197.2</v>
          </cell>
          <cell r="AF1214" t="str">
            <v>표준</v>
          </cell>
          <cell r="AG1214">
            <v>3</v>
          </cell>
          <cell r="AH1214">
            <v>0</v>
          </cell>
        </row>
        <row r="1215">
          <cell r="G1215">
            <v>2410160301</v>
          </cell>
          <cell r="H1215" t="str">
            <v>115동</v>
          </cell>
          <cell r="I1215">
            <v>241016</v>
          </cell>
          <cell r="J1215" t="str">
            <v>115동 1층 바닥</v>
          </cell>
          <cell r="K1215">
            <v>310</v>
          </cell>
          <cell r="L1215">
            <v>311</v>
          </cell>
          <cell r="M1215">
            <v>3015</v>
          </cell>
          <cell r="N1215" t="str">
            <v>용호</v>
          </cell>
          <cell r="O1215" t="str">
            <v>펌프카(1대)</v>
          </cell>
          <cell r="P1215">
            <v>925</v>
          </cell>
          <cell r="Q1215">
            <v>1542</v>
          </cell>
          <cell r="R1215">
            <v>155</v>
          </cell>
          <cell r="S1215">
            <v>44</v>
          </cell>
          <cell r="T1215">
            <v>39</v>
          </cell>
          <cell r="U1215">
            <v>230</v>
          </cell>
          <cell r="V1215"/>
          <cell r="W1215" t="str">
            <v>박순홍</v>
          </cell>
          <cell r="X1215" t="str">
            <v>(인)</v>
          </cell>
          <cell r="Y1215" t="str">
            <v>김광록</v>
          </cell>
          <cell r="Z1215" t="str">
            <v>(인)</v>
          </cell>
          <cell r="AA1215" t="str">
            <v>박상갑</v>
          </cell>
          <cell r="AB1215" t="str">
            <v>(인)</v>
          </cell>
          <cell r="AC1215" t="str">
            <v>박기원</v>
          </cell>
          <cell r="AD1215" t="str">
            <v>(인)</v>
          </cell>
          <cell r="AE1215">
            <v>186.4</v>
          </cell>
          <cell r="AF1215" t="str">
            <v>표준</v>
          </cell>
          <cell r="AG1215">
            <v>1</v>
          </cell>
          <cell r="AH1215">
            <v>1</v>
          </cell>
          <cell r="AI1215">
            <v>2813</v>
          </cell>
          <cell r="AJ1215">
            <v>2862</v>
          </cell>
          <cell r="AK1215">
            <v>229400</v>
          </cell>
          <cell r="AL1215">
            <v>3673</v>
          </cell>
          <cell r="AM1215">
            <v>3770</v>
          </cell>
          <cell r="AN1215">
            <v>3838</v>
          </cell>
          <cell r="AO1215">
            <v>3842</v>
          </cell>
          <cell r="AP1215">
            <v>3637</v>
          </cell>
          <cell r="AQ1215">
            <v>3719</v>
          </cell>
          <cell r="AR1215">
            <v>3725</v>
          </cell>
          <cell r="AS1215">
            <v>3679</v>
          </cell>
          <cell r="AT1215">
            <v>293600</v>
          </cell>
        </row>
        <row r="1216">
          <cell r="G1216">
            <v>2410160302</v>
          </cell>
          <cell r="H1216" t="str">
            <v>115동</v>
          </cell>
          <cell r="I1216">
            <v>241016</v>
          </cell>
          <cell r="J1216" t="str">
            <v>115동 1층 바닥</v>
          </cell>
          <cell r="K1216">
            <v>310</v>
          </cell>
          <cell r="L1216">
            <v>311</v>
          </cell>
          <cell r="M1216">
            <v>3015</v>
          </cell>
          <cell r="N1216" t="str">
            <v>용호</v>
          </cell>
          <cell r="O1216" t="str">
            <v>펌프카(1대)</v>
          </cell>
          <cell r="P1216">
            <v>925</v>
          </cell>
          <cell r="Q1216">
            <v>1542</v>
          </cell>
          <cell r="R1216">
            <v>170</v>
          </cell>
          <cell r="S1216">
            <v>45</v>
          </cell>
          <cell r="T1216">
            <v>41</v>
          </cell>
          <cell r="U1216">
            <v>227</v>
          </cell>
          <cell r="V1216"/>
          <cell r="W1216" t="str">
            <v>박순홍</v>
          </cell>
          <cell r="X1216" t="str">
            <v>(인)</v>
          </cell>
          <cell r="Y1216" t="str">
            <v>김광록</v>
          </cell>
          <cell r="Z1216" t="str">
            <v>(인)</v>
          </cell>
          <cell r="AA1216" t="str">
            <v>박상갑</v>
          </cell>
          <cell r="AB1216" t="str">
            <v>(인)</v>
          </cell>
          <cell r="AC1216" t="str">
            <v>박기원</v>
          </cell>
          <cell r="AD1216" t="str">
            <v>(인)</v>
          </cell>
          <cell r="AE1216">
            <v>190.1</v>
          </cell>
          <cell r="AF1216" t="str">
            <v>표준</v>
          </cell>
          <cell r="AG1216">
            <v>2</v>
          </cell>
          <cell r="AH1216">
            <v>0</v>
          </cell>
        </row>
        <row r="1217">
          <cell r="G1217">
            <v>2410160303</v>
          </cell>
          <cell r="H1217" t="str">
            <v>115동</v>
          </cell>
          <cell r="I1217">
            <v>241016</v>
          </cell>
          <cell r="J1217" t="str">
            <v>115동 1층 바닥</v>
          </cell>
          <cell r="K1217">
            <v>310</v>
          </cell>
          <cell r="L1217">
            <v>311</v>
          </cell>
          <cell r="M1217">
            <v>3015</v>
          </cell>
          <cell r="N1217" t="str">
            <v>용호</v>
          </cell>
          <cell r="O1217" t="str">
            <v>펌프카(1대)</v>
          </cell>
          <cell r="P1217">
            <v>925</v>
          </cell>
          <cell r="Q1217">
            <v>1542</v>
          </cell>
          <cell r="R1217">
            <v>170</v>
          </cell>
          <cell r="S1217">
            <v>49</v>
          </cell>
          <cell r="T1217">
            <v>61</v>
          </cell>
          <cell r="U1217">
            <v>219</v>
          </cell>
          <cell r="V1217"/>
          <cell r="W1217" t="str">
            <v>박순홍</v>
          </cell>
          <cell r="X1217" t="str">
            <v>(인)</v>
          </cell>
          <cell r="Y1217" t="str">
            <v>김광록</v>
          </cell>
          <cell r="Z1217" t="str">
            <v>(인)</v>
          </cell>
          <cell r="AA1217" t="str">
            <v>박상갑</v>
          </cell>
          <cell r="AB1217" t="str">
            <v>(인)</v>
          </cell>
          <cell r="AC1217" t="str">
            <v>박기원</v>
          </cell>
          <cell r="AD1217" t="str">
            <v>(인)</v>
          </cell>
          <cell r="AE1217">
            <v>186.9</v>
          </cell>
          <cell r="AF1217" t="str">
            <v>표준</v>
          </cell>
          <cell r="AG1217">
            <v>3</v>
          </cell>
          <cell r="AH1217">
            <v>0</v>
          </cell>
        </row>
        <row r="1218">
          <cell r="G1218">
            <v>2410160401</v>
          </cell>
          <cell r="H1218" t="str">
            <v>113동</v>
          </cell>
          <cell r="I1218">
            <v>241016</v>
          </cell>
          <cell r="J1218" t="str">
            <v>113동 주변S-1구간</v>
          </cell>
          <cell r="K1218">
            <v>50</v>
          </cell>
          <cell r="L1218">
            <v>48</v>
          </cell>
          <cell r="M1218">
            <v>2715</v>
          </cell>
          <cell r="N1218" t="str">
            <v>동양</v>
          </cell>
          <cell r="O1218" t="str">
            <v>펌프카(1대)</v>
          </cell>
          <cell r="P1218">
            <v>1513</v>
          </cell>
          <cell r="Q1218">
            <v>1640</v>
          </cell>
          <cell r="R1218">
            <v>165</v>
          </cell>
          <cell r="S1218">
            <v>44</v>
          </cell>
          <cell r="T1218">
            <v>14</v>
          </cell>
          <cell r="U1218">
            <v>231</v>
          </cell>
          <cell r="V1218"/>
          <cell r="W1218" t="str">
            <v>박순홍</v>
          </cell>
          <cell r="X1218" t="str">
            <v>(인)</v>
          </cell>
          <cell r="Y1218" t="str">
            <v>김광록</v>
          </cell>
          <cell r="Z1218" t="str">
            <v>(인)</v>
          </cell>
          <cell r="AA1218" t="str">
            <v>박상갑</v>
          </cell>
          <cell r="AB1218" t="str">
            <v>(인)</v>
          </cell>
          <cell r="AC1218" t="str">
            <v>박기원</v>
          </cell>
          <cell r="AD1218" t="str">
            <v>(인)</v>
          </cell>
          <cell r="AE1218">
            <v>186.6</v>
          </cell>
          <cell r="AF1218" t="str">
            <v>표준</v>
          </cell>
          <cell r="AG1218">
            <v>1</v>
          </cell>
          <cell r="AH1218">
            <v>1</v>
          </cell>
          <cell r="AI1218">
            <v>2253</v>
          </cell>
          <cell r="AJ1218">
            <v>2310</v>
          </cell>
          <cell r="AK1218">
            <v>191400</v>
          </cell>
          <cell r="AL1218">
            <v>3399</v>
          </cell>
          <cell r="AM1218">
            <v>3317</v>
          </cell>
          <cell r="AN1218">
            <v>3328</v>
          </cell>
          <cell r="AO1218">
            <v>3271</v>
          </cell>
          <cell r="AP1218">
            <v>3368</v>
          </cell>
          <cell r="AQ1218">
            <v>3460</v>
          </cell>
          <cell r="AR1218">
            <v>3465</v>
          </cell>
          <cell r="AS1218">
            <v>3246</v>
          </cell>
          <cell r="AT1218">
            <v>261400</v>
          </cell>
        </row>
        <row r="1219">
          <cell r="G1219">
            <v>2410170101</v>
          </cell>
          <cell r="H1219" t="str">
            <v>105동</v>
          </cell>
          <cell r="I1219">
            <v>241017</v>
          </cell>
          <cell r="J1219" t="str">
            <v>105동 지붕층 바닥</v>
          </cell>
          <cell r="K1219">
            <v>320</v>
          </cell>
          <cell r="L1219">
            <v>324</v>
          </cell>
          <cell r="M1219">
            <v>3018</v>
          </cell>
          <cell r="N1219" t="str">
            <v>대공</v>
          </cell>
          <cell r="O1219" t="str">
            <v>펌프카(1대)</v>
          </cell>
          <cell r="P1219">
            <v>837</v>
          </cell>
          <cell r="Q1219">
            <v>1514</v>
          </cell>
          <cell r="R1219">
            <v>185</v>
          </cell>
          <cell r="S1219">
            <v>50</v>
          </cell>
          <cell r="T1219">
            <v>13</v>
          </cell>
          <cell r="U1219">
            <v>201</v>
          </cell>
          <cell r="V1219"/>
          <cell r="W1219" t="str">
            <v>김광록</v>
          </cell>
          <cell r="X1219" t="str">
            <v>(인)</v>
          </cell>
          <cell r="Y1219" t="str">
            <v>김광록</v>
          </cell>
          <cell r="Z1219" t="str">
            <v>(인)</v>
          </cell>
          <cell r="AA1219" t="str">
            <v>박상갑</v>
          </cell>
          <cell r="AB1219" t="str">
            <v>(인)</v>
          </cell>
          <cell r="AC1219" t="str">
            <v>박기원</v>
          </cell>
          <cell r="AD1219" t="str">
            <v>(인)</v>
          </cell>
          <cell r="AE1219">
            <v>174.2</v>
          </cell>
          <cell r="AF1219" t="str">
            <v>표준</v>
          </cell>
          <cell r="AG1219">
            <v>1</v>
          </cell>
          <cell r="AH1219">
            <v>1</v>
          </cell>
          <cell r="AI1219">
            <v>2747</v>
          </cell>
          <cell r="AJ1219">
            <v>2706</v>
          </cell>
          <cell r="AK1219">
            <v>215000</v>
          </cell>
          <cell r="AL1219">
            <v>3770</v>
          </cell>
          <cell r="AM1219">
            <v>3766</v>
          </cell>
          <cell r="AN1219">
            <v>3819</v>
          </cell>
          <cell r="AO1219">
            <v>3639</v>
          </cell>
          <cell r="AP1219">
            <v>3827</v>
          </cell>
          <cell r="AQ1219">
            <v>3786</v>
          </cell>
          <cell r="AR1219">
            <v>3735</v>
          </cell>
          <cell r="AS1219">
            <v>3656</v>
          </cell>
          <cell r="AT1219">
            <v>309600</v>
          </cell>
        </row>
        <row r="1220">
          <cell r="G1220">
            <v>2410170102</v>
          </cell>
          <cell r="H1220" t="str">
            <v>105동</v>
          </cell>
          <cell r="I1220">
            <v>241017</v>
          </cell>
          <cell r="J1220" t="str">
            <v>105동 지붕층 바닥</v>
          </cell>
          <cell r="K1220">
            <v>320</v>
          </cell>
          <cell r="L1220">
            <v>324</v>
          </cell>
          <cell r="M1220">
            <v>3018</v>
          </cell>
          <cell r="N1220" t="str">
            <v>대공</v>
          </cell>
          <cell r="O1220" t="str">
            <v>펌프카(1대)</v>
          </cell>
          <cell r="P1220">
            <v>837</v>
          </cell>
          <cell r="Q1220">
            <v>1514</v>
          </cell>
          <cell r="R1220">
            <v>190</v>
          </cell>
          <cell r="S1220">
            <v>53</v>
          </cell>
          <cell r="T1220">
            <v>32</v>
          </cell>
          <cell r="U1220">
            <v>205</v>
          </cell>
          <cell r="V1220"/>
          <cell r="W1220" t="str">
            <v>김광록</v>
          </cell>
          <cell r="X1220" t="str">
            <v>(인)</v>
          </cell>
          <cell r="Y1220" t="str">
            <v>김광록</v>
          </cell>
          <cell r="Z1220" t="str">
            <v>(인)</v>
          </cell>
          <cell r="AA1220" t="str">
            <v>박상갑</v>
          </cell>
          <cell r="AB1220" t="str">
            <v>(인)</v>
          </cell>
          <cell r="AC1220" t="str">
            <v>박기원</v>
          </cell>
          <cell r="AD1220" t="str">
            <v>(인)</v>
          </cell>
          <cell r="AE1220">
            <v>174.8</v>
          </cell>
          <cell r="AF1220" t="str">
            <v>표준</v>
          </cell>
          <cell r="AG1220">
            <v>2</v>
          </cell>
          <cell r="AH1220">
            <v>0</v>
          </cell>
        </row>
        <row r="1221">
          <cell r="G1221">
            <v>2410170103</v>
          </cell>
          <cell r="H1221" t="str">
            <v>105동</v>
          </cell>
          <cell r="I1221">
            <v>241017</v>
          </cell>
          <cell r="J1221" t="str">
            <v>105동 지붕층 바닥</v>
          </cell>
          <cell r="K1221">
            <v>320</v>
          </cell>
          <cell r="L1221">
            <v>324</v>
          </cell>
          <cell r="M1221">
            <v>3018</v>
          </cell>
          <cell r="N1221" t="str">
            <v>대공</v>
          </cell>
          <cell r="O1221" t="str">
            <v>펌프카(1대)</v>
          </cell>
          <cell r="P1221">
            <v>837</v>
          </cell>
          <cell r="Q1221">
            <v>1514</v>
          </cell>
          <cell r="R1221">
            <v>200</v>
          </cell>
          <cell r="S1221">
            <v>48</v>
          </cell>
          <cell r="T1221">
            <v>39</v>
          </cell>
          <cell r="U1221">
            <v>208</v>
          </cell>
          <cell r="V1221"/>
          <cell r="W1221" t="str">
            <v>김광록</v>
          </cell>
          <cell r="X1221" t="str">
            <v>(인)</v>
          </cell>
          <cell r="Y1221" t="str">
            <v>김광록</v>
          </cell>
          <cell r="Z1221" t="str">
            <v>(인)</v>
          </cell>
          <cell r="AA1221" t="str">
            <v>박상갑</v>
          </cell>
          <cell r="AB1221" t="str">
            <v>(인)</v>
          </cell>
          <cell r="AC1221" t="str">
            <v>박기원</v>
          </cell>
          <cell r="AD1221" t="str">
            <v>(인)</v>
          </cell>
          <cell r="AE1221">
            <v>177.5</v>
          </cell>
          <cell r="AF1221" t="str">
            <v>표준</v>
          </cell>
          <cell r="AG1221">
            <v>3</v>
          </cell>
          <cell r="AH1221">
            <v>0</v>
          </cell>
        </row>
        <row r="1222">
          <cell r="G1222">
            <v>2410170201</v>
          </cell>
          <cell r="H1222" t="str">
            <v>111동</v>
          </cell>
          <cell r="I1222">
            <v>241017</v>
          </cell>
          <cell r="J1222" t="str">
            <v>111동 5층 바닥</v>
          </cell>
          <cell r="K1222">
            <v>280</v>
          </cell>
          <cell r="L1222">
            <v>286</v>
          </cell>
          <cell r="M1222">
            <v>3018</v>
          </cell>
          <cell r="N1222" t="str">
            <v>용호</v>
          </cell>
          <cell r="O1222" t="str">
            <v>펌프카(1대)</v>
          </cell>
          <cell r="P1222">
            <v>932</v>
          </cell>
          <cell r="Q1222">
            <v>1324</v>
          </cell>
          <cell r="R1222">
            <v>175</v>
          </cell>
          <cell r="S1222">
            <v>41</v>
          </cell>
          <cell r="T1222">
            <v>6</v>
          </cell>
          <cell r="U1222">
            <v>208</v>
          </cell>
          <cell r="V1222"/>
          <cell r="W1222" t="str">
            <v>김광록</v>
          </cell>
          <cell r="X1222" t="str">
            <v>(인)</v>
          </cell>
          <cell r="Y1222" t="str">
            <v>김광록</v>
          </cell>
          <cell r="Z1222" t="str">
            <v>(인)</v>
          </cell>
          <cell r="AA1222" t="str">
            <v>박상갑</v>
          </cell>
          <cell r="AB1222" t="str">
            <v>(인)</v>
          </cell>
          <cell r="AC1222" t="str">
            <v>박기원</v>
          </cell>
          <cell r="AD1222" t="str">
            <v>(인)</v>
          </cell>
          <cell r="AE1222">
            <v>178.6</v>
          </cell>
          <cell r="AF1222" t="str">
            <v>표준</v>
          </cell>
          <cell r="AG1222">
            <v>1</v>
          </cell>
          <cell r="AH1222">
            <v>1</v>
          </cell>
          <cell r="AI1222">
            <v>2839</v>
          </cell>
          <cell r="AJ1222">
            <v>2811</v>
          </cell>
          <cell r="AK1222">
            <v>220400</v>
          </cell>
          <cell r="AL1222">
            <v>3717</v>
          </cell>
          <cell r="AM1222">
            <v>3796</v>
          </cell>
          <cell r="AN1222">
            <v>3804</v>
          </cell>
          <cell r="AO1222">
            <v>3638</v>
          </cell>
          <cell r="AP1222">
            <v>3811</v>
          </cell>
          <cell r="AQ1222">
            <v>3784</v>
          </cell>
          <cell r="AR1222">
            <v>3637</v>
          </cell>
          <cell r="AS1222">
            <v>3786</v>
          </cell>
          <cell r="AT1222">
            <v>295400</v>
          </cell>
        </row>
        <row r="1223">
          <cell r="G1223">
            <v>2410170202</v>
          </cell>
          <cell r="H1223" t="str">
            <v>111동</v>
          </cell>
          <cell r="I1223">
            <v>241017</v>
          </cell>
          <cell r="J1223" t="str">
            <v>111동 5층 바닥</v>
          </cell>
          <cell r="K1223">
            <v>280</v>
          </cell>
          <cell r="L1223">
            <v>286</v>
          </cell>
          <cell r="M1223">
            <v>3018</v>
          </cell>
          <cell r="N1223" t="str">
            <v>용호</v>
          </cell>
          <cell r="O1223" t="str">
            <v>펌프카(1대)</v>
          </cell>
          <cell r="P1223">
            <v>932</v>
          </cell>
          <cell r="Q1223">
            <v>1324</v>
          </cell>
          <cell r="R1223">
            <v>190</v>
          </cell>
          <cell r="S1223">
            <v>43</v>
          </cell>
          <cell r="T1223">
            <v>11</v>
          </cell>
          <cell r="U1223">
            <v>211</v>
          </cell>
          <cell r="V1223"/>
          <cell r="W1223" t="str">
            <v>김광록</v>
          </cell>
          <cell r="X1223" t="str">
            <v>(인)</v>
          </cell>
          <cell r="Y1223" t="str">
            <v>김광록</v>
          </cell>
          <cell r="Z1223" t="str">
            <v>(인)</v>
          </cell>
          <cell r="AA1223" t="str">
            <v>박상갑</v>
          </cell>
          <cell r="AB1223" t="str">
            <v>(인)</v>
          </cell>
          <cell r="AC1223" t="str">
            <v>박기원</v>
          </cell>
          <cell r="AD1223" t="str">
            <v>(인)</v>
          </cell>
          <cell r="AE1223">
            <v>179.1</v>
          </cell>
          <cell r="AF1223" t="str">
            <v>표준</v>
          </cell>
          <cell r="AG1223">
            <v>2</v>
          </cell>
          <cell r="AH1223">
            <v>0</v>
          </cell>
        </row>
        <row r="1224">
          <cell r="G1224">
            <v>2410170203</v>
          </cell>
          <cell r="H1224" t="str">
            <v>111동</v>
          </cell>
          <cell r="I1224">
            <v>241017</v>
          </cell>
          <cell r="J1224" t="str">
            <v>111동 5층 바닥</v>
          </cell>
          <cell r="K1224">
            <v>280</v>
          </cell>
          <cell r="L1224">
            <v>286</v>
          </cell>
          <cell r="M1224">
            <v>3018</v>
          </cell>
          <cell r="N1224" t="str">
            <v>용호</v>
          </cell>
          <cell r="O1224" t="str">
            <v>펌프카(1대)</v>
          </cell>
          <cell r="P1224">
            <v>932</v>
          </cell>
          <cell r="Q1224">
            <v>1324</v>
          </cell>
          <cell r="R1224">
            <v>190</v>
          </cell>
          <cell r="S1224">
            <v>48</v>
          </cell>
          <cell r="T1224">
            <v>13</v>
          </cell>
          <cell r="U1224">
            <v>218</v>
          </cell>
          <cell r="V1224"/>
          <cell r="W1224" t="str">
            <v>김광록</v>
          </cell>
          <cell r="X1224" t="str">
            <v>(인)</v>
          </cell>
          <cell r="Y1224" t="str">
            <v>김광록</v>
          </cell>
          <cell r="Z1224" t="str">
            <v>(인)</v>
          </cell>
          <cell r="AA1224" t="str">
            <v>박상갑</v>
          </cell>
          <cell r="AB1224" t="str">
            <v>(인)</v>
          </cell>
          <cell r="AC1224" t="str">
            <v>박기원</v>
          </cell>
          <cell r="AD1224" t="str">
            <v>(인)</v>
          </cell>
          <cell r="AE1224">
            <v>179.5</v>
          </cell>
          <cell r="AF1224" t="str">
            <v>표준</v>
          </cell>
          <cell r="AG1224">
            <v>3</v>
          </cell>
          <cell r="AH1224">
            <v>0</v>
          </cell>
        </row>
        <row r="1225">
          <cell r="G1225">
            <v>2410180101</v>
          </cell>
          <cell r="H1225" t="str">
            <v>107동</v>
          </cell>
          <cell r="I1225">
            <v>241018</v>
          </cell>
          <cell r="J1225" t="str">
            <v>107동 12층 바닥</v>
          </cell>
          <cell r="K1225">
            <v>290</v>
          </cell>
          <cell r="L1225">
            <v>288</v>
          </cell>
          <cell r="M1225">
            <v>3018</v>
          </cell>
          <cell r="N1225" t="str">
            <v>대원</v>
          </cell>
          <cell r="O1225" t="str">
            <v>펌프카(1대)</v>
          </cell>
          <cell r="P1225">
            <v>744</v>
          </cell>
          <cell r="Q1225">
            <v>1125</v>
          </cell>
          <cell r="R1225">
            <v>180</v>
          </cell>
          <cell r="S1225">
            <v>44</v>
          </cell>
          <cell r="T1225">
            <v>37</v>
          </cell>
          <cell r="U1225">
            <v>241</v>
          </cell>
          <cell r="V1225"/>
          <cell r="W1225" t="str">
            <v>박순홍</v>
          </cell>
          <cell r="X1225" t="str">
            <v>(인)</v>
          </cell>
          <cell r="Y1225" t="str">
            <v>김광록</v>
          </cell>
          <cell r="Z1225" t="str">
            <v>(인)</v>
          </cell>
          <cell r="AA1225" t="str">
            <v>박상갑</v>
          </cell>
          <cell r="AB1225" t="str">
            <v>(인)</v>
          </cell>
          <cell r="AC1225" t="str">
            <v>박상갑</v>
          </cell>
          <cell r="AD1225" t="str">
            <v>(인)</v>
          </cell>
          <cell r="AE1225">
            <v>190.6</v>
          </cell>
          <cell r="AF1225" t="str">
            <v>표준</v>
          </cell>
          <cell r="AG1225">
            <v>1</v>
          </cell>
          <cell r="AH1225">
            <v>1</v>
          </cell>
          <cell r="AI1225">
            <v>2813</v>
          </cell>
          <cell r="AJ1225">
            <v>2804</v>
          </cell>
          <cell r="AK1225">
            <v>221600</v>
          </cell>
          <cell r="AL1225">
            <v>3698</v>
          </cell>
          <cell r="AM1225">
            <v>3726</v>
          </cell>
          <cell r="AN1225">
            <v>3677</v>
          </cell>
          <cell r="AO1225">
            <v>3659</v>
          </cell>
          <cell r="AP1225">
            <v>3761</v>
          </cell>
          <cell r="AQ1225">
            <v>3746</v>
          </cell>
          <cell r="AR1225">
            <v>3689</v>
          </cell>
          <cell r="AS1225">
            <v>3782</v>
          </cell>
          <cell r="AT1225">
            <v>286200</v>
          </cell>
        </row>
        <row r="1226">
          <cell r="G1226">
            <v>2410180102</v>
          </cell>
          <cell r="H1226" t="str">
            <v>107동</v>
          </cell>
          <cell r="I1226">
            <v>241018</v>
          </cell>
          <cell r="J1226" t="str">
            <v>107동 12층 바닥</v>
          </cell>
          <cell r="K1226">
            <v>290</v>
          </cell>
          <cell r="L1226">
            <v>288</v>
          </cell>
          <cell r="M1226">
            <v>3018</v>
          </cell>
          <cell r="N1226" t="str">
            <v>대원</v>
          </cell>
          <cell r="O1226" t="str">
            <v>펌프카(1대)</v>
          </cell>
          <cell r="P1226">
            <v>744</v>
          </cell>
          <cell r="Q1226">
            <v>1125</v>
          </cell>
          <cell r="R1226">
            <v>175</v>
          </cell>
          <cell r="S1226">
            <v>44</v>
          </cell>
          <cell r="T1226">
            <v>83</v>
          </cell>
          <cell r="U1226">
            <v>246</v>
          </cell>
          <cell r="V1226"/>
          <cell r="W1226" t="str">
            <v>박순홍</v>
          </cell>
          <cell r="X1226" t="str">
            <v>(인)</v>
          </cell>
          <cell r="Y1226" t="str">
            <v>김광록</v>
          </cell>
          <cell r="Z1226" t="str">
            <v>(인)</v>
          </cell>
          <cell r="AA1226" t="str">
            <v>박상갑</v>
          </cell>
          <cell r="AB1226" t="str">
            <v>(인)</v>
          </cell>
          <cell r="AC1226" t="str">
            <v>박상갑</v>
          </cell>
          <cell r="AD1226" t="str">
            <v>(인)</v>
          </cell>
          <cell r="AE1226">
            <v>194.6</v>
          </cell>
          <cell r="AF1226" t="str">
            <v>표준</v>
          </cell>
          <cell r="AG1226">
            <v>2</v>
          </cell>
          <cell r="AH1226">
            <v>0</v>
          </cell>
        </row>
        <row r="1227">
          <cell r="G1227">
            <v>2410180103</v>
          </cell>
          <cell r="H1227" t="str">
            <v>107동</v>
          </cell>
          <cell r="I1227">
            <v>241018</v>
          </cell>
          <cell r="J1227" t="str">
            <v>107동 12층 바닥</v>
          </cell>
          <cell r="K1227">
            <v>290</v>
          </cell>
          <cell r="L1227">
            <v>288</v>
          </cell>
          <cell r="M1227">
            <v>3018</v>
          </cell>
          <cell r="N1227" t="str">
            <v>대원</v>
          </cell>
          <cell r="O1227" t="str">
            <v>펌프카(1대)</v>
          </cell>
          <cell r="P1227">
            <v>744</v>
          </cell>
          <cell r="Q1227">
            <v>1125</v>
          </cell>
          <cell r="R1227">
            <v>185</v>
          </cell>
          <cell r="S1227">
            <v>48</v>
          </cell>
          <cell r="T1227">
            <v>94</v>
          </cell>
          <cell r="U1227">
            <v>250</v>
          </cell>
          <cell r="V1227"/>
          <cell r="W1227" t="str">
            <v>박순홍</v>
          </cell>
          <cell r="X1227" t="str">
            <v>(인)</v>
          </cell>
          <cell r="Y1227" t="str">
            <v>김광록</v>
          </cell>
          <cell r="Z1227" t="str">
            <v>(인)</v>
          </cell>
          <cell r="AA1227" t="str">
            <v>박상갑</v>
          </cell>
          <cell r="AB1227" t="str">
            <v>(인)</v>
          </cell>
          <cell r="AC1227" t="str">
            <v>박상갑</v>
          </cell>
          <cell r="AD1227" t="str">
            <v>(인)</v>
          </cell>
          <cell r="AE1227">
            <v>188.6</v>
          </cell>
          <cell r="AF1227" t="str">
            <v>표준</v>
          </cell>
          <cell r="AG1227">
            <v>3</v>
          </cell>
          <cell r="AH1227">
            <v>0</v>
          </cell>
        </row>
        <row r="1228">
          <cell r="G1228">
            <v>2410180201</v>
          </cell>
          <cell r="H1228" t="str">
            <v>114동</v>
          </cell>
          <cell r="I1228">
            <v>241018</v>
          </cell>
          <cell r="J1228" t="str">
            <v>114동 2층 바닥</v>
          </cell>
          <cell r="K1228">
            <v>300</v>
          </cell>
          <cell r="L1228">
            <v>300</v>
          </cell>
          <cell r="M1228">
            <v>3018</v>
          </cell>
          <cell r="N1228" t="str">
            <v>대원</v>
          </cell>
          <cell r="O1228" t="str">
            <v>펌프카(1대)</v>
          </cell>
          <cell r="P1228">
            <v>1003</v>
          </cell>
          <cell r="Q1228">
            <v>1444</v>
          </cell>
          <cell r="R1228">
            <v>180</v>
          </cell>
          <cell r="S1228">
            <v>34</v>
          </cell>
          <cell r="T1228">
            <v>60</v>
          </cell>
          <cell r="U1228">
            <v>225</v>
          </cell>
          <cell r="V1228"/>
          <cell r="W1228" t="str">
            <v>김광록</v>
          </cell>
          <cell r="X1228" t="str">
            <v>(인)</v>
          </cell>
          <cell r="Y1228" t="str">
            <v>김광록</v>
          </cell>
          <cell r="Z1228" t="str">
            <v>(인)</v>
          </cell>
          <cell r="AA1228" t="str">
            <v>박상갑</v>
          </cell>
          <cell r="AB1228" t="str">
            <v>(인)</v>
          </cell>
          <cell r="AC1228" t="str">
            <v>박상갑</v>
          </cell>
          <cell r="AD1228" t="str">
            <v>(인)</v>
          </cell>
          <cell r="AE1228">
            <v>183.9</v>
          </cell>
          <cell r="AF1228" t="str">
            <v>표준</v>
          </cell>
          <cell r="AG1228">
            <v>1</v>
          </cell>
          <cell r="AH1228">
            <v>1</v>
          </cell>
          <cell r="AI1228">
            <v>2762</v>
          </cell>
          <cell r="AJ1228">
            <v>2760</v>
          </cell>
          <cell r="AK1228">
            <v>216400</v>
          </cell>
          <cell r="AL1228">
            <v>3762</v>
          </cell>
          <cell r="AM1228">
            <v>3811</v>
          </cell>
          <cell r="AN1228">
            <v>3798</v>
          </cell>
          <cell r="AO1228">
            <v>3729</v>
          </cell>
          <cell r="AP1228">
            <v>3639</v>
          </cell>
          <cell r="AQ1228">
            <v>3762</v>
          </cell>
          <cell r="AR1228">
            <v>3702</v>
          </cell>
          <cell r="AS1228">
            <v>3845</v>
          </cell>
          <cell r="AT1228">
            <v>293800</v>
          </cell>
        </row>
        <row r="1229">
          <cell r="G1229">
            <v>2410180202</v>
          </cell>
          <cell r="H1229" t="str">
            <v>114동</v>
          </cell>
          <cell r="I1229">
            <v>241018</v>
          </cell>
          <cell r="J1229" t="str">
            <v>114동 2층 바닥</v>
          </cell>
          <cell r="K1229">
            <v>300</v>
          </cell>
          <cell r="L1229">
            <v>300</v>
          </cell>
          <cell r="M1229">
            <v>3018</v>
          </cell>
          <cell r="N1229" t="str">
            <v>대원</v>
          </cell>
          <cell r="O1229" t="str">
            <v>펌프카(1대)</v>
          </cell>
          <cell r="P1229">
            <v>1003</v>
          </cell>
          <cell r="Q1229">
            <v>1444</v>
          </cell>
          <cell r="R1229">
            <v>180</v>
          </cell>
          <cell r="S1229">
            <v>44</v>
          </cell>
          <cell r="T1229">
            <v>34</v>
          </cell>
          <cell r="U1229">
            <v>236</v>
          </cell>
          <cell r="V1229"/>
          <cell r="W1229" t="str">
            <v>김광록</v>
          </cell>
          <cell r="X1229" t="str">
            <v>(인)</v>
          </cell>
          <cell r="Y1229" t="str">
            <v>김광록</v>
          </cell>
          <cell r="Z1229" t="str">
            <v>(인)</v>
          </cell>
          <cell r="AA1229" t="str">
            <v>박상갑</v>
          </cell>
          <cell r="AB1229" t="str">
            <v>(인)</v>
          </cell>
          <cell r="AC1229" t="str">
            <v>박상갑</v>
          </cell>
          <cell r="AD1229" t="str">
            <v>(인)</v>
          </cell>
          <cell r="AE1229">
            <v>180</v>
          </cell>
          <cell r="AF1229" t="str">
            <v>표준</v>
          </cell>
          <cell r="AG1229">
            <v>2</v>
          </cell>
          <cell r="AH1229">
            <v>0</v>
          </cell>
        </row>
        <row r="1230">
          <cell r="G1230">
            <v>2410180203</v>
          </cell>
          <cell r="H1230" t="str">
            <v>114동</v>
          </cell>
          <cell r="I1230">
            <v>241018</v>
          </cell>
          <cell r="J1230" t="str">
            <v>114동 2층 바닥</v>
          </cell>
          <cell r="K1230">
            <v>300</v>
          </cell>
          <cell r="L1230">
            <v>300</v>
          </cell>
          <cell r="M1230">
            <v>3018</v>
          </cell>
          <cell r="N1230" t="str">
            <v>대원</v>
          </cell>
          <cell r="O1230" t="str">
            <v>펌프카(1대)</v>
          </cell>
          <cell r="P1230">
            <v>1003</v>
          </cell>
          <cell r="Q1230">
            <v>1444</v>
          </cell>
          <cell r="R1230">
            <v>190</v>
          </cell>
          <cell r="S1230">
            <v>48</v>
          </cell>
          <cell r="T1230">
            <v>51</v>
          </cell>
          <cell r="U1230">
            <v>245</v>
          </cell>
          <cell r="V1230"/>
          <cell r="W1230" t="str">
            <v>김광록</v>
          </cell>
          <cell r="X1230" t="str">
            <v>(인)</v>
          </cell>
          <cell r="Y1230" t="str">
            <v>김광록</v>
          </cell>
          <cell r="Z1230" t="str">
            <v>(인)</v>
          </cell>
          <cell r="AA1230" t="str">
            <v>박상갑</v>
          </cell>
          <cell r="AB1230" t="str">
            <v>(인)</v>
          </cell>
          <cell r="AC1230" t="str">
            <v>박상갑</v>
          </cell>
          <cell r="AD1230" t="str">
            <v>(인)</v>
          </cell>
          <cell r="AE1230">
            <v>178.1</v>
          </cell>
          <cell r="AF1230" t="str">
            <v>표준</v>
          </cell>
          <cell r="AG1230">
            <v>3</v>
          </cell>
          <cell r="AH1230">
            <v>0</v>
          </cell>
        </row>
        <row r="1231">
          <cell r="G1231">
            <v>2410180301</v>
          </cell>
          <cell r="H1231" t="str">
            <v>112동, 120동</v>
          </cell>
          <cell r="I1231">
            <v>241018</v>
          </cell>
          <cell r="J1231" t="str">
            <v>120동 합벽 및 112동 주변 H-1 램프</v>
          </cell>
          <cell r="K1231">
            <v>100</v>
          </cell>
          <cell r="L1231">
            <v>102</v>
          </cell>
          <cell r="M1231">
            <v>2715</v>
          </cell>
          <cell r="N1231" t="str">
            <v>대원</v>
          </cell>
          <cell r="O1231" t="str">
            <v>펌프카(1대)</v>
          </cell>
          <cell r="P1231">
            <v>1325</v>
          </cell>
          <cell r="Q1231">
            <v>1605</v>
          </cell>
          <cell r="R1231">
            <v>160</v>
          </cell>
          <cell r="S1231">
            <v>40</v>
          </cell>
          <cell r="T1231">
            <v>87</v>
          </cell>
          <cell r="U1231">
            <v>249</v>
          </cell>
          <cell r="V1231"/>
          <cell r="W1231" t="str">
            <v>박순홍</v>
          </cell>
          <cell r="X1231" t="str">
            <v>(인)</v>
          </cell>
          <cell r="Y1231" t="str">
            <v>김광록</v>
          </cell>
          <cell r="Z1231" t="str">
            <v>(인)</v>
          </cell>
          <cell r="AA1231" t="str">
            <v>박상갑</v>
          </cell>
          <cell r="AB1231" t="str">
            <v>(인)</v>
          </cell>
          <cell r="AC1231" t="str">
            <v>박상갑</v>
          </cell>
          <cell r="AD1231" t="str">
            <v>(인)</v>
          </cell>
          <cell r="AE1231">
            <v>179.4</v>
          </cell>
          <cell r="AF1231" t="str">
            <v>표준</v>
          </cell>
          <cell r="AG1231">
            <v>1</v>
          </cell>
          <cell r="AH1231">
            <v>1</v>
          </cell>
          <cell r="AI1231">
            <v>2388</v>
          </cell>
          <cell r="AJ1231">
            <v>2380</v>
          </cell>
          <cell r="AK1231">
            <v>187800</v>
          </cell>
          <cell r="AL1231">
            <v>3430</v>
          </cell>
          <cell r="AM1231">
            <v>3249</v>
          </cell>
          <cell r="AN1231">
            <v>3218</v>
          </cell>
          <cell r="AO1231">
            <v>3351</v>
          </cell>
          <cell r="AP1231">
            <v>3310</v>
          </cell>
          <cell r="AQ1231">
            <v>3267</v>
          </cell>
          <cell r="AR1231">
            <v>3246</v>
          </cell>
          <cell r="AS1231">
            <v>3266</v>
          </cell>
          <cell r="AT1231">
            <v>263600</v>
          </cell>
        </row>
        <row r="1232">
          <cell r="G1232">
            <v>2410210101</v>
          </cell>
          <cell r="H1232" t="str">
            <v>101동</v>
          </cell>
          <cell r="I1232">
            <v>241021</v>
          </cell>
          <cell r="J1232" t="str">
            <v>101동 8층 바닥</v>
          </cell>
          <cell r="K1232">
            <v>276</v>
          </cell>
          <cell r="L1232">
            <v>276</v>
          </cell>
          <cell r="M1232">
            <v>3018</v>
          </cell>
          <cell r="N1232" t="str">
            <v>대공</v>
          </cell>
          <cell r="O1232" t="str">
            <v>펌프카(1대)</v>
          </cell>
          <cell r="P1232">
            <v>817</v>
          </cell>
          <cell r="Q1232">
            <v>1212</v>
          </cell>
          <cell r="R1232">
            <v>170</v>
          </cell>
          <cell r="S1232">
            <v>52</v>
          </cell>
          <cell r="T1232">
            <v>43</v>
          </cell>
          <cell r="U1232">
            <v>207</v>
          </cell>
          <cell r="V1232"/>
          <cell r="W1232" t="str">
            <v>김광록</v>
          </cell>
          <cell r="X1232" t="str">
            <v>(인)</v>
          </cell>
          <cell r="Y1232" t="str">
            <v>박순홍</v>
          </cell>
          <cell r="Z1232" t="str">
            <v>(인)</v>
          </cell>
          <cell r="AA1232" t="str">
            <v>이홍걸</v>
          </cell>
          <cell r="AB1232" t="str">
            <v>(인)</v>
          </cell>
          <cell r="AC1232" t="str">
            <v>박상갑</v>
          </cell>
          <cell r="AD1232" t="str">
            <v>(인)</v>
          </cell>
          <cell r="AE1232">
            <v>181.4</v>
          </cell>
          <cell r="AF1232" t="str">
            <v>표준</v>
          </cell>
          <cell r="AG1232">
            <v>1</v>
          </cell>
          <cell r="AH1232">
            <v>1</v>
          </cell>
          <cell r="AI1232">
            <v>2938</v>
          </cell>
          <cell r="AJ1232">
            <v>2962</v>
          </cell>
          <cell r="AK1232">
            <v>229600</v>
          </cell>
          <cell r="AL1232">
            <v>3875</v>
          </cell>
          <cell r="AM1232">
            <v>3720</v>
          </cell>
          <cell r="AN1232">
            <v>3906</v>
          </cell>
          <cell r="AO1232">
            <v>3926</v>
          </cell>
          <cell r="AP1232">
            <v>3894</v>
          </cell>
          <cell r="AQ1232">
            <v>3704</v>
          </cell>
          <cell r="AR1232">
            <v>3716</v>
          </cell>
          <cell r="AS1232">
            <v>3864</v>
          </cell>
          <cell r="AT1232">
            <v>306200</v>
          </cell>
        </row>
        <row r="1233">
          <cell r="G1233">
            <v>2410210102</v>
          </cell>
          <cell r="H1233" t="str">
            <v>101동</v>
          </cell>
          <cell r="I1233">
            <v>241021</v>
          </cell>
          <cell r="J1233" t="str">
            <v>101동 8층 바닥</v>
          </cell>
          <cell r="K1233">
            <v>276</v>
          </cell>
          <cell r="L1233">
            <v>276</v>
          </cell>
          <cell r="M1233">
            <v>3018</v>
          </cell>
          <cell r="N1233" t="str">
            <v>대공</v>
          </cell>
          <cell r="O1233" t="str">
            <v>펌프카(1대)</v>
          </cell>
          <cell r="P1233">
            <v>817</v>
          </cell>
          <cell r="Q1233">
            <v>1212</v>
          </cell>
          <cell r="R1233">
            <v>180</v>
          </cell>
          <cell r="S1233">
            <v>40</v>
          </cell>
          <cell r="T1233">
            <v>19</v>
          </cell>
          <cell r="U1233">
            <v>200</v>
          </cell>
          <cell r="V1233"/>
          <cell r="W1233" t="str">
            <v>김광록</v>
          </cell>
          <cell r="X1233" t="str">
            <v>(인)</v>
          </cell>
          <cell r="Y1233" t="str">
            <v>박순홍</v>
          </cell>
          <cell r="Z1233" t="str">
            <v>(인)</v>
          </cell>
          <cell r="AA1233" t="str">
            <v>이홍걸</v>
          </cell>
          <cell r="AB1233" t="str">
            <v>(인)</v>
          </cell>
          <cell r="AC1233" t="str">
            <v>박상갑</v>
          </cell>
          <cell r="AD1233" t="str">
            <v>(인)</v>
          </cell>
          <cell r="AE1233">
            <v>179.5</v>
          </cell>
          <cell r="AF1233" t="str">
            <v>표준</v>
          </cell>
          <cell r="AG1233">
            <v>2</v>
          </cell>
          <cell r="AH1233">
            <v>0</v>
          </cell>
        </row>
        <row r="1234">
          <cell r="G1234">
            <v>2410210103</v>
          </cell>
          <cell r="H1234" t="str">
            <v>101동</v>
          </cell>
          <cell r="I1234">
            <v>241021</v>
          </cell>
          <cell r="J1234" t="str">
            <v>101동 8층 바닥</v>
          </cell>
          <cell r="K1234">
            <v>276</v>
          </cell>
          <cell r="L1234">
            <v>276</v>
          </cell>
          <cell r="M1234">
            <v>3018</v>
          </cell>
          <cell r="N1234" t="str">
            <v>대공</v>
          </cell>
          <cell r="O1234" t="str">
            <v>펌프카(1대)</v>
          </cell>
          <cell r="P1234">
            <v>817</v>
          </cell>
          <cell r="Q1234">
            <v>1212</v>
          </cell>
          <cell r="R1234">
            <v>190</v>
          </cell>
          <cell r="S1234">
            <v>45</v>
          </cell>
          <cell r="T1234">
            <v>38</v>
          </cell>
          <cell r="U1234">
            <v>223</v>
          </cell>
          <cell r="V1234"/>
          <cell r="W1234" t="str">
            <v>김광록</v>
          </cell>
          <cell r="X1234" t="str">
            <v>(인)</v>
          </cell>
          <cell r="Y1234" t="str">
            <v>박순홍</v>
          </cell>
          <cell r="Z1234" t="str">
            <v>(인)</v>
          </cell>
          <cell r="AA1234" t="str">
            <v>이홍걸</v>
          </cell>
          <cell r="AB1234" t="str">
            <v>(인)</v>
          </cell>
          <cell r="AC1234" t="str">
            <v>박상갑</v>
          </cell>
          <cell r="AD1234" t="str">
            <v>(인)</v>
          </cell>
          <cell r="AE1234">
            <v>178.6</v>
          </cell>
          <cell r="AF1234" t="str">
            <v>표준</v>
          </cell>
          <cell r="AG1234">
            <v>3</v>
          </cell>
          <cell r="AH1234">
            <v>0</v>
          </cell>
        </row>
        <row r="1235">
          <cell r="G1235">
            <v>2410210201</v>
          </cell>
          <cell r="H1235" t="str">
            <v>102동</v>
          </cell>
          <cell r="I1235">
            <v>241021</v>
          </cell>
          <cell r="J1235" t="str">
            <v>102동 10층 바닥</v>
          </cell>
          <cell r="K1235">
            <v>288</v>
          </cell>
          <cell r="L1235">
            <v>288</v>
          </cell>
          <cell r="M1235">
            <v>3018</v>
          </cell>
          <cell r="N1235" t="str">
            <v>대공</v>
          </cell>
          <cell r="O1235" t="str">
            <v>펌프카(1대)</v>
          </cell>
          <cell r="P1235">
            <v>1355</v>
          </cell>
          <cell r="Q1235">
            <v>1736</v>
          </cell>
          <cell r="R1235">
            <v>175</v>
          </cell>
          <cell r="S1235">
            <v>52</v>
          </cell>
          <cell r="T1235">
            <v>64</v>
          </cell>
          <cell r="U1235">
            <v>226</v>
          </cell>
          <cell r="V1235"/>
          <cell r="W1235" t="str">
            <v>김광록</v>
          </cell>
          <cell r="X1235" t="str">
            <v>(인)</v>
          </cell>
          <cell r="Y1235" t="str">
            <v>박순홍</v>
          </cell>
          <cell r="Z1235" t="str">
            <v>(인)</v>
          </cell>
          <cell r="AA1235" t="str">
            <v>박기원</v>
          </cell>
          <cell r="AB1235" t="str">
            <v>(인)</v>
          </cell>
          <cell r="AC1235" t="str">
            <v>박상갑</v>
          </cell>
          <cell r="AD1235" t="str">
            <v>(인)</v>
          </cell>
          <cell r="AE1235">
            <v>171.7</v>
          </cell>
          <cell r="AF1235" t="str">
            <v>표준</v>
          </cell>
          <cell r="AG1235">
            <v>1</v>
          </cell>
          <cell r="AH1235">
            <v>1</v>
          </cell>
          <cell r="AI1235">
            <v>2836</v>
          </cell>
          <cell r="AJ1235">
            <v>2830</v>
          </cell>
          <cell r="AK1235">
            <v>224800</v>
          </cell>
          <cell r="AL1235">
            <v>3883</v>
          </cell>
          <cell r="AM1235">
            <v>3929</v>
          </cell>
          <cell r="AN1235">
            <v>3906</v>
          </cell>
          <cell r="AO1235">
            <v>3926</v>
          </cell>
          <cell r="AP1235">
            <v>3888</v>
          </cell>
          <cell r="AQ1235">
            <v>3906</v>
          </cell>
          <cell r="AR1235">
            <v>3926</v>
          </cell>
          <cell r="AS1235">
            <v>4016</v>
          </cell>
          <cell r="AT1235">
            <v>305000</v>
          </cell>
        </row>
        <row r="1236">
          <cell r="G1236">
            <v>2410210202</v>
          </cell>
          <cell r="H1236" t="str">
            <v>102동</v>
          </cell>
          <cell r="I1236">
            <v>241021</v>
          </cell>
          <cell r="J1236" t="str">
            <v>102동 10층 바닥</v>
          </cell>
          <cell r="K1236">
            <v>288</v>
          </cell>
          <cell r="L1236">
            <v>288</v>
          </cell>
          <cell r="M1236">
            <v>3018</v>
          </cell>
          <cell r="N1236" t="str">
            <v>대공</v>
          </cell>
          <cell r="O1236" t="str">
            <v>펌프카(1대)</v>
          </cell>
          <cell r="P1236">
            <v>1355</v>
          </cell>
          <cell r="Q1236">
            <v>1736</v>
          </cell>
          <cell r="R1236">
            <v>190</v>
          </cell>
          <cell r="S1236">
            <v>36</v>
          </cell>
          <cell r="T1236">
            <v>72</v>
          </cell>
          <cell r="U1236">
            <v>241</v>
          </cell>
          <cell r="V1236"/>
          <cell r="W1236" t="str">
            <v>김광록</v>
          </cell>
          <cell r="X1236" t="str">
            <v>(인)</v>
          </cell>
          <cell r="Y1236" t="str">
            <v>박순홍</v>
          </cell>
          <cell r="Z1236" t="str">
            <v>(인)</v>
          </cell>
          <cell r="AA1236" t="str">
            <v>박기원</v>
          </cell>
          <cell r="AB1236" t="str">
            <v>(인)</v>
          </cell>
          <cell r="AC1236" t="str">
            <v>박상갑</v>
          </cell>
          <cell r="AD1236" t="str">
            <v>(인)</v>
          </cell>
          <cell r="AE1236">
            <v>172</v>
          </cell>
          <cell r="AF1236" t="str">
            <v>표준</v>
          </cell>
          <cell r="AG1236">
            <v>2</v>
          </cell>
          <cell r="AH1236">
            <v>0</v>
          </cell>
        </row>
        <row r="1237">
          <cell r="G1237">
            <v>2410210203</v>
          </cell>
          <cell r="H1237" t="str">
            <v>102동</v>
          </cell>
          <cell r="I1237">
            <v>241021</v>
          </cell>
          <cell r="J1237" t="str">
            <v>102동 10층 바닥</v>
          </cell>
          <cell r="K1237">
            <v>288</v>
          </cell>
          <cell r="L1237">
            <v>288</v>
          </cell>
          <cell r="M1237">
            <v>3018</v>
          </cell>
          <cell r="N1237" t="str">
            <v>대공</v>
          </cell>
          <cell r="O1237" t="str">
            <v>펌프카(1대)</v>
          </cell>
          <cell r="P1237">
            <v>1355</v>
          </cell>
          <cell r="Q1237">
            <v>1736</v>
          </cell>
          <cell r="R1237">
            <v>200</v>
          </cell>
          <cell r="S1237">
            <v>42</v>
          </cell>
          <cell r="T1237">
            <v>81</v>
          </cell>
          <cell r="U1237">
            <v>240</v>
          </cell>
          <cell r="V1237"/>
          <cell r="W1237" t="str">
            <v>김광록</v>
          </cell>
          <cell r="X1237" t="str">
            <v>(인)</v>
          </cell>
          <cell r="Y1237" t="str">
            <v>박순홍</v>
          </cell>
          <cell r="Z1237" t="str">
            <v>(인)</v>
          </cell>
          <cell r="AA1237" t="str">
            <v>박기원</v>
          </cell>
          <cell r="AB1237" t="str">
            <v>(인)</v>
          </cell>
          <cell r="AC1237" t="str">
            <v>박상갑</v>
          </cell>
          <cell r="AD1237" t="str">
            <v>(인)</v>
          </cell>
          <cell r="AE1237">
            <v>171.9</v>
          </cell>
          <cell r="AF1237" t="str">
            <v>표준</v>
          </cell>
          <cell r="AG1237">
            <v>3</v>
          </cell>
          <cell r="AH1237">
            <v>0</v>
          </cell>
        </row>
        <row r="1238">
          <cell r="G1238">
            <v>2410210301</v>
          </cell>
          <cell r="H1238" t="str">
            <v>104동</v>
          </cell>
          <cell r="I1238">
            <v>241021</v>
          </cell>
          <cell r="J1238" t="str">
            <v>104동 옥탑1 및 파라펫</v>
          </cell>
          <cell r="K1238">
            <v>42</v>
          </cell>
          <cell r="L1238">
            <v>42</v>
          </cell>
          <cell r="M1238">
            <v>3018</v>
          </cell>
          <cell r="N1238" t="str">
            <v>대공</v>
          </cell>
          <cell r="O1238" t="str">
            <v>펌프카(1대)</v>
          </cell>
          <cell r="P1238">
            <v>954</v>
          </cell>
          <cell r="Q1238">
            <v>1434</v>
          </cell>
          <cell r="R1238">
            <v>185</v>
          </cell>
          <cell r="S1238">
            <v>50</v>
          </cell>
          <cell r="T1238">
            <v>31</v>
          </cell>
          <cell r="U1238">
            <v>20.6</v>
          </cell>
          <cell r="V1238"/>
          <cell r="W1238" t="str">
            <v>김광록</v>
          </cell>
          <cell r="X1238" t="str">
            <v>(인)</v>
          </cell>
          <cell r="Y1238" t="str">
            <v>박순홍</v>
          </cell>
          <cell r="Z1238" t="str">
            <v>(인)</v>
          </cell>
          <cell r="AA1238" t="str">
            <v>박기원</v>
          </cell>
          <cell r="AB1238" t="str">
            <v>(인)</v>
          </cell>
          <cell r="AC1238" t="str">
            <v>박상갑</v>
          </cell>
          <cell r="AD1238" t="str">
            <v>(인)</v>
          </cell>
          <cell r="AE1238">
            <v>183.2</v>
          </cell>
          <cell r="AF1238" t="str">
            <v>표준</v>
          </cell>
          <cell r="AG1238">
            <v>1</v>
          </cell>
          <cell r="AH1238">
            <v>1</v>
          </cell>
          <cell r="AI1238">
            <v>2895</v>
          </cell>
          <cell r="AJ1238">
            <v>2902</v>
          </cell>
          <cell r="AK1238">
            <v>223600</v>
          </cell>
          <cell r="AL1238">
            <v>3763</v>
          </cell>
          <cell r="AM1238">
            <v>3855</v>
          </cell>
          <cell r="AN1238">
            <v>3806</v>
          </cell>
          <cell r="AO1238">
            <v>3729</v>
          </cell>
          <cell r="AP1238">
            <v>3804</v>
          </cell>
          <cell r="AQ1238">
            <v>4004</v>
          </cell>
          <cell r="AR1238">
            <v>4019</v>
          </cell>
          <cell r="AS1238">
            <v>3926</v>
          </cell>
          <cell r="AT1238">
            <v>309000</v>
          </cell>
        </row>
        <row r="1239">
          <cell r="G1239">
            <v>2410210401</v>
          </cell>
          <cell r="H1239" t="str">
            <v>110동</v>
          </cell>
          <cell r="I1239">
            <v>241021</v>
          </cell>
          <cell r="J1239" t="str">
            <v>110동 3층 바닥</v>
          </cell>
          <cell r="K1239">
            <v>285</v>
          </cell>
          <cell r="L1239">
            <v>285</v>
          </cell>
          <cell r="M1239">
            <v>3018</v>
          </cell>
          <cell r="N1239" t="str">
            <v>한진</v>
          </cell>
          <cell r="O1239" t="str">
            <v>펌프카(1대)</v>
          </cell>
          <cell r="P1239">
            <v>837</v>
          </cell>
          <cell r="Q1239">
            <v>1342</v>
          </cell>
          <cell r="R1239">
            <v>190</v>
          </cell>
          <cell r="S1239">
            <v>46</v>
          </cell>
          <cell r="T1239">
            <v>63</v>
          </cell>
          <cell r="U1239">
            <v>214</v>
          </cell>
          <cell r="V1239"/>
          <cell r="W1239" t="str">
            <v>김광록</v>
          </cell>
          <cell r="X1239" t="str">
            <v>(인)</v>
          </cell>
          <cell r="Y1239" t="str">
            <v>박순홍</v>
          </cell>
          <cell r="Z1239" t="str">
            <v>(인)</v>
          </cell>
          <cell r="AA1239" t="str">
            <v>박기원</v>
          </cell>
          <cell r="AB1239" t="str">
            <v>(인)</v>
          </cell>
          <cell r="AC1239" t="str">
            <v>박상갑</v>
          </cell>
          <cell r="AD1239" t="str">
            <v>(인)</v>
          </cell>
          <cell r="AE1239">
            <v>183.1</v>
          </cell>
          <cell r="AF1239" t="str">
            <v>표준</v>
          </cell>
          <cell r="AG1239">
            <v>1</v>
          </cell>
          <cell r="AH1239">
            <v>1</v>
          </cell>
          <cell r="AI1239">
            <v>2683</v>
          </cell>
          <cell r="AJ1239">
            <v>2687</v>
          </cell>
          <cell r="AK1239">
            <v>219400</v>
          </cell>
          <cell r="AL1239">
            <v>3817</v>
          </cell>
          <cell r="AM1239">
            <v>3913</v>
          </cell>
          <cell r="AN1239">
            <v>3819</v>
          </cell>
          <cell r="AO1239">
            <v>3936</v>
          </cell>
          <cell r="AP1239">
            <v>4034</v>
          </cell>
          <cell r="AQ1239">
            <v>3927</v>
          </cell>
          <cell r="AR1239">
            <v>3806</v>
          </cell>
          <cell r="AS1239">
            <v>3817</v>
          </cell>
          <cell r="AT1239">
            <v>302400</v>
          </cell>
        </row>
        <row r="1240">
          <cell r="G1240">
            <v>2410210402</v>
          </cell>
          <cell r="H1240" t="str">
            <v>110동</v>
          </cell>
          <cell r="I1240">
            <v>241021</v>
          </cell>
          <cell r="J1240" t="str">
            <v>110동 3층 바닥</v>
          </cell>
          <cell r="K1240">
            <v>285</v>
          </cell>
          <cell r="L1240">
            <v>285</v>
          </cell>
          <cell r="M1240">
            <v>3018</v>
          </cell>
          <cell r="N1240" t="str">
            <v>한진</v>
          </cell>
          <cell r="O1240" t="str">
            <v>펌프카(1대)</v>
          </cell>
          <cell r="P1240">
            <v>837</v>
          </cell>
          <cell r="Q1240">
            <v>1342</v>
          </cell>
          <cell r="R1240">
            <v>195</v>
          </cell>
          <cell r="S1240">
            <v>53</v>
          </cell>
          <cell r="T1240">
            <v>52</v>
          </cell>
          <cell r="U1240">
            <v>214</v>
          </cell>
          <cell r="V1240"/>
          <cell r="W1240" t="str">
            <v>김광록</v>
          </cell>
          <cell r="X1240" t="str">
            <v>(인)</v>
          </cell>
          <cell r="Y1240" t="str">
            <v>박순홍</v>
          </cell>
          <cell r="Z1240" t="str">
            <v>(인)</v>
          </cell>
          <cell r="AA1240" t="str">
            <v>박기원</v>
          </cell>
          <cell r="AB1240" t="str">
            <v>(인)</v>
          </cell>
          <cell r="AC1240" t="str">
            <v>박상갑</v>
          </cell>
          <cell r="AD1240" t="str">
            <v>(인)</v>
          </cell>
          <cell r="AE1240">
            <v>179.6</v>
          </cell>
          <cell r="AF1240" t="str">
            <v>표준</v>
          </cell>
          <cell r="AG1240">
            <v>2</v>
          </cell>
          <cell r="AH1240">
            <v>0</v>
          </cell>
        </row>
        <row r="1241">
          <cell r="G1241">
            <v>2410210403</v>
          </cell>
          <cell r="H1241" t="str">
            <v>110동</v>
          </cell>
          <cell r="I1241">
            <v>241021</v>
          </cell>
          <cell r="J1241" t="str">
            <v>110동 3층 바닥</v>
          </cell>
          <cell r="K1241">
            <v>285</v>
          </cell>
          <cell r="L1241">
            <v>285</v>
          </cell>
          <cell r="M1241">
            <v>3018</v>
          </cell>
          <cell r="N1241" t="str">
            <v>한진</v>
          </cell>
          <cell r="O1241" t="str">
            <v>펌프카(1대)</v>
          </cell>
          <cell r="P1241">
            <v>837</v>
          </cell>
          <cell r="Q1241">
            <v>1342</v>
          </cell>
          <cell r="R1241">
            <v>190</v>
          </cell>
          <cell r="S1241">
            <v>48</v>
          </cell>
          <cell r="T1241">
            <v>53</v>
          </cell>
          <cell r="U1241">
            <v>226</v>
          </cell>
          <cell r="V1241"/>
          <cell r="W1241" t="str">
            <v>김광록</v>
          </cell>
          <cell r="X1241" t="str">
            <v>(인)</v>
          </cell>
          <cell r="Y1241" t="str">
            <v>박순홍</v>
          </cell>
          <cell r="Z1241" t="str">
            <v>(인)</v>
          </cell>
          <cell r="AA1241" t="str">
            <v>박기원</v>
          </cell>
          <cell r="AB1241" t="str">
            <v>(인)</v>
          </cell>
          <cell r="AC1241" t="str">
            <v>박상갑</v>
          </cell>
          <cell r="AD1241" t="str">
            <v>(인)</v>
          </cell>
          <cell r="AE1241">
            <v>182.6</v>
          </cell>
          <cell r="AF1241" t="str">
            <v>표준</v>
          </cell>
          <cell r="AG1241">
            <v>3</v>
          </cell>
          <cell r="AH1241">
            <v>0</v>
          </cell>
        </row>
        <row r="1242">
          <cell r="G1242">
            <v>2410210501</v>
          </cell>
          <cell r="H1242" t="str">
            <v>112동</v>
          </cell>
          <cell r="I1242">
            <v>241021</v>
          </cell>
          <cell r="J1242" t="str">
            <v>112동 지하1층</v>
          </cell>
          <cell r="K1242">
            <v>290</v>
          </cell>
          <cell r="L1242">
            <v>290</v>
          </cell>
          <cell r="M1242">
            <v>3015</v>
          </cell>
          <cell r="N1242" t="str">
            <v>영진</v>
          </cell>
          <cell r="O1242" t="str">
            <v>펌프카(1대)</v>
          </cell>
          <cell r="P1242">
            <v>831</v>
          </cell>
          <cell r="Q1242">
            <v>1148</v>
          </cell>
          <cell r="R1242">
            <v>150</v>
          </cell>
          <cell r="S1242">
            <v>40</v>
          </cell>
          <cell r="T1242">
            <v>76</v>
          </cell>
          <cell r="U1242">
            <v>219</v>
          </cell>
          <cell r="V1242"/>
          <cell r="W1242" t="str">
            <v>김광록</v>
          </cell>
          <cell r="X1242" t="str">
            <v>(인)</v>
          </cell>
          <cell r="Y1242" t="str">
            <v>박순홍</v>
          </cell>
          <cell r="Z1242" t="str">
            <v>(인)</v>
          </cell>
          <cell r="AA1242" t="str">
            <v>박기원</v>
          </cell>
          <cell r="AB1242" t="str">
            <v>(인)</v>
          </cell>
          <cell r="AC1242" t="str">
            <v>박상갑</v>
          </cell>
          <cell r="AD1242" t="str">
            <v>(인)</v>
          </cell>
          <cell r="AE1242">
            <v>181.2</v>
          </cell>
          <cell r="AF1242" t="str">
            <v>표준</v>
          </cell>
          <cell r="AG1242">
            <v>1</v>
          </cell>
          <cell r="AH1242">
            <v>1</v>
          </cell>
          <cell r="AI1242">
            <v>2874</v>
          </cell>
          <cell r="AJ1242">
            <v>2782</v>
          </cell>
          <cell r="AK1242">
            <v>213000</v>
          </cell>
          <cell r="AL1242">
            <v>3656</v>
          </cell>
          <cell r="AM1242">
            <v>3669</v>
          </cell>
          <cell r="AN1242">
            <v>3684</v>
          </cell>
          <cell r="AO1242">
            <v>3712</v>
          </cell>
          <cell r="AP1242">
            <v>3694</v>
          </cell>
          <cell r="AQ1242">
            <v>3680</v>
          </cell>
          <cell r="AR1242">
            <v>3712</v>
          </cell>
          <cell r="AS1242">
            <v>3804</v>
          </cell>
          <cell r="AT1242">
            <v>287800</v>
          </cell>
        </row>
        <row r="1243">
          <cell r="G1243">
            <v>2410210502</v>
          </cell>
          <cell r="H1243" t="str">
            <v>112동</v>
          </cell>
          <cell r="I1243">
            <v>241021</v>
          </cell>
          <cell r="J1243" t="str">
            <v>112동 지하1층</v>
          </cell>
          <cell r="K1243">
            <v>290</v>
          </cell>
          <cell r="L1243">
            <v>290</v>
          </cell>
          <cell r="M1243">
            <v>3015</v>
          </cell>
          <cell r="N1243" t="str">
            <v>영진</v>
          </cell>
          <cell r="O1243" t="str">
            <v>펌프카(1대)</v>
          </cell>
          <cell r="P1243">
            <v>831</v>
          </cell>
          <cell r="Q1243">
            <v>1148</v>
          </cell>
          <cell r="R1243">
            <v>155</v>
          </cell>
          <cell r="S1243">
            <v>45</v>
          </cell>
          <cell r="T1243">
            <v>81</v>
          </cell>
          <cell r="U1243">
            <v>189</v>
          </cell>
          <cell r="V1243"/>
          <cell r="W1243" t="str">
            <v>김광록</v>
          </cell>
          <cell r="X1243" t="str">
            <v>(인)</v>
          </cell>
          <cell r="Y1243" t="str">
            <v>박순홍</v>
          </cell>
          <cell r="Z1243" t="str">
            <v>(인)</v>
          </cell>
          <cell r="AA1243" t="str">
            <v>박기원</v>
          </cell>
          <cell r="AB1243" t="str">
            <v>(인)</v>
          </cell>
          <cell r="AC1243" t="str">
            <v>박상갑</v>
          </cell>
          <cell r="AD1243" t="str">
            <v>(인)</v>
          </cell>
          <cell r="AE1243">
            <v>180.7</v>
          </cell>
          <cell r="AF1243" t="str">
            <v>표준</v>
          </cell>
          <cell r="AG1243">
            <v>2</v>
          </cell>
          <cell r="AH1243">
            <v>0</v>
          </cell>
        </row>
        <row r="1244">
          <cell r="G1244">
            <v>2410210503</v>
          </cell>
          <cell r="H1244" t="str">
            <v>112동</v>
          </cell>
          <cell r="I1244">
            <v>241021</v>
          </cell>
          <cell r="J1244" t="str">
            <v>112동 지하1층</v>
          </cell>
          <cell r="K1244">
            <v>290</v>
          </cell>
          <cell r="L1244">
            <v>290</v>
          </cell>
          <cell r="M1244">
            <v>3015</v>
          </cell>
          <cell r="N1244" t="str">
            <v>영진</v>
          </cell>
          <cell r="O1244" t="str">
            <v>펌프카(1대)</v>
          </cell>
          <cell r="P1244">
            <v>831</v>
          </cell>
          <cell r="Q1244">
            <v>1148</v>
          </cell>
          <cell r="R1244">
            <v>165</v>
          </cell>
          <cell r="S1244">
            <v>50</v>
          </cell>
          <cell r="T1244">
            <v>85</v>
          </cell>
          <cell r="U1244">
            <v>235</v>
          </cell>
          <cell r="V1244"/>
          <cell r="W1244" t="str">
            <v>김광록</v>
          </cell>
          <cell r="X1244" t="str">
            <v>(인)</v>
          </cell>
          <cell r="Y1244" t="str">
            <v>박순홍</v>
          </cell>
          <cell r="Z1244" t="str">
            <v>(인)</v>
          </cell>
          <cell r="AA1244" t="str">
            <v>박기원</v>
          </cell>
          <cell r="AB1244" t="str">
            <v>(인)</v>
          </cell>
          <cell r="AC1244" t="str">
            <v>박상갑</v>
          </cell>
          <cell r="AD1244" t="str">
            <v>(인)</v>
          </cell>
          <cell r="AE1244">
            <v>182.7</v>
          </cell>
          <cell r="AF1244" t="str">
            <v>표준</v>
          </cell>
          <cell r="AG1244">
            <v>3</v>
          </cell>
          <cell r="AH1244">
            <v>0</v>
          </cell>
        </row>
        <row r="1245">
          <cell r="G1245">
            <v>2410210601</v>
          </cell>
          <cell r="H1245" t="str">
            <v>112동</v>
          </cell>
          <cell r="I1245">
            <v>241021</v>
          </cell>
          <cell r="J1245" t="str">
            <v>112동 지하1층</v>
          </cell>
          <cell r="K1245">
            <v>354</v>
          </cell>
          <cell r="L1245">
            <v>354</v>
          </cell>
          <cell r="M1245">
            <v>2715</v>
          </cell>
          <cell r="N1245" t="str">
            <v>영진</v>
          </cell>
          <cell r="O1245" t="str">
            <v>펌프카(1대)</v>
          </cell>
          <cell r="P1245">
            <v>1236</v>
          </cell>
          <cell r="Q1245">
            <v>1647</v>
          </cell>
          <cell r="R1245">
            <v>160</v>
          </cell>
          <cell r="S1245">
            <v>45</v>
          </cell>
          <cell r="T1245">
            <v>38</v>
          </cell>
          <cell r="U1245">
            <v>202</v>
          </cell>
          <cell r="V1245"/>
          <cell r="W1245" t="str">
            <v>김광록</v>
          </cell>
          <cell r="X1245" t="str">
            <v>(인)</v>
          </cell>
          <cell r="Y1245" t="str">
            <v>박순홍</v>
          </cell>
          <cell r="Z1245" t="str">
            <v>(인)</v>
          </cell>
          <cell r="AA1245" t="str">
            <v>박기원</v>
          </cell>
          <cell r="AB1245" t="str">
            <v>(인)</v>
          </cell>
          <cell r="AC1245" t="str">
            <v>박상갑</v>
          </cell>
          <cell r="AD1245" t="str">
            <v>(인)</v>
          </cell>
          <cell r="AE1245">
            <v>181.9</v>
          </cell>
          <cell r="AF1245" t="str">
            <v>표준</v>
          </cell>
          <cell r="AG1245">
            <v>1</v>
          </cell>
          <cell r="AH1245">
            <v>1</v>
          </cell>
          <cell r="AI1245">
            <v>2403</v>
          </cell>
          <cell r="AJ1245">
            <v>2401</v>
          </cell>
          <cell r="AK1245">
            <v>183000</v>
          </cell>
          <cell r="AL1245">
            <v>3152</v>
          </cell>
          <cell r="AM1245">
            <v>3282</v>
          </cell>
          <cell r="AN1245">
            <v>3208</v>
          </cell>
          <cell r="AO1245">
            <v>3304</v>
          </cell>
          <cell r="AP1245">
            <v>3219</v>
          </cell>
          <cell r="AQ1245">
            <v>3304</v>
          </cell>
          <cell r="AR1245">
            <v>3217</v>
          </cell>
          <cell r="AS1245">
            <v>3306</v>
          </cell>
          <cell r="AT1245">
            <v>258800</v>
          </cell>
        </row>
        <row r="1246">
          <cell r="G1246">
            <v>2410210602</v>
          </cell>
          <cell r="H1246" t="str">
            <v>112동</v>
          </cell>
          <cell r="I1246">
            <v>241021</v>
          </cell>
          <cell r="J1246" t="str">
            <v>112동 지하1층</v>
          </cell>
          <cell r="K1246">
            <v>354</v>
          </cell>
          <cell r="L1246">
            <v>354</v>
          </cell>
          <cell r="M1246">
            <v>2715</v>
          </cell>
          <cell r="N1246" t="str">
            <v>영진</v>
          </cell>
          <cell r="O1246" t="str">
            <v>펌프카(1대)</v>
          </cell>
          <cell r="P1246">
            <v>1236</v>
          </cell>
          <cell r="Q1246">
            <v>1647</v>
          </cell>
          <cell r="R1246">
            <v>160</v>
          </cell>
          <cell r="S1246">
            <v>48</v>
          </cell>
          <cell r="T1246">
            <v>42</v>
          </cell>
          <cell r="U1246">
            <v>237</v>
          </cell>
          <cell r="V1246"/>
          <cell r="W1246" t="str">
            <v>김광록</v>
          </cell>
          <cell r="X1246" t="str">
            <v>(인)</v>
          </cell>
          <cell r="Y1246" t="str">
            <v>박순홍</v>
          </cell>
          <cell r="Z1246" t="str">
            <v>(인)</v>
          </cell>
          <cell r="AA1246" t="str">
            <v>박기원</v>
          </cell>
          <cell r="AB1246" t="str">
            <v>(인)</v>
          </cell>
          <cell r="AC1246" t="str">
            <v>박상갑</v>
          </cell>
          <cell r="AD1246" t="str">
            <v>(인)</v>
          </cell>
          <cell r="AE1246">
            <v>181.8</v>
          </cell>
          <cell r="AF1246" t="str">
            <v>표준</v>
          </cell>
          <cell r="AG1246">
            <v>2</v>
          </cell>
          <cell r="AH1246">
            <v>0</v>
          </cell>
        </row>
        <row r="1247">
          <cell r="G1247">
            <v>2410210603</v>
          </cell>
          <cell r="H1247" t="str">
            <v>112동</v>
          </cell>
          <cell r="I1247">
            <v>241021</v>
          </cell>
          <cell r="J1247" t="str">
            <v>112동 지하1층</v>
          </cell>
          <cell r="K1247">
            <v>354</v>
          </cell>
          <cell r="L1247">
            <v>354</v>
          </cell>
          <cell r="M1247">
            <v>2715</v>
          </cell>
          <cell r="N1247" t="str">
            <v>영진</v>
          </cell>
          <cell r="O1247" t="str">
            <v>펌프카(1대)</v>
          </cell>
          <cell r="P1247">
            <v>1236</v>
          </cell>
          <cell r="Q1247">
            <v>1647</v>
          </cell>
          <cell r="R1247">
            <v>165</v>
          </cell>
          <cell r="S1247">
            <v>50</v>
          </cell>
          <cell r="T1247">
            <v>52</v>
          </cell>
          <cell r="U1247">
            <v>190</v>
          </cell>
          <cell r="V1247"/>
          <cell r="W1247" t="str">
            <v>김광록</v>
          </cell>
          <cell r="X1247" t="str">
            <v>(인)</v>
          </cell>
          <cell r="Y1247" t="str">
            <v>박순홍</v>
          </cell>
          <cell r="Z1247" t="str">
            <v>(인)</v>
          </cell>
          <cell r="AA1247" t="str">
            <v>박기원</v>
          </cell>
          <cell r="AB1247" t="str">
            <v>(인)</v>
          </cell>
          <cell r="AC1247" t="str">
            <v>박상갑</v>
          </cell>
          <cell r="AD1247" t="str">
            <v>(인)</v>
          </cell>
          <cell r="AE1247">
            <v>183.2</v>
          </cell>
          <cell r="AF1247" t="str">
            <v>표준</v>
          </cell>
          <cell r="AG1247">
            <v>3</v>
          </cell>
          <cell r="AH1247">
            <v>0</v>
          </cell>
        </row>
        <row r="1248">
          <cell r="G1248">
            <v>2410230101</v>
          </cell>
          <cell r="H1248" t="str">
            <v>113동</v>
          </cell>
          <cell r="I1248">
            <v>241023</v>
          </cell>
          <cell r="J1248" t="str">
            <v>113동 9층 바닥</v>
          </cell>
          <cell r="K1248">
            <v>340</v>
          </cell>
          <cell r="L1248">
            <v>342</v>
          </cell>
          <cell r="M1248">
            <v>3018</v>
          </cell>
          <cell r="N1248" t="str">
            <v>대원</v>
          </cell>
          <cell r="O1248" t="str">
            <v>펌프카(1대)</v>
          </cell>
          <cell r="P1248">
            <v>752</v>
          </cell>
          <cell r="Q1248">
            <v>1208</v>
          </cell>
          <cell r="R1248">
            <v>175</v>
          </cell>
          <cell r="S1248">
            <v>53</v>
          </cell>
          <cell r="T1248">
            <v>46</v>
          </cell>
          <cell r="U1248">
            <v>203</v>
          </cell>
          <cell r="V1248"/>
          <cell r="W1248" t="str">
            <v>김광록</v>
          </cell>
          <cell r="X1248" t="str">
            <v>(인)</v>
          </cell>
          <cell r="Y1248" t="str">
            <v>박순홍</v>
          </cell>
          <cell r="Z1248" t="str">
            <v>(인)</v>
          </cell>
          <cell r="AA1248" t="str">
            <v>박기원</v>
          </cell>
          <cell r="AB1248" t="str">
            <v>(인)</v>
          </cell>
          <cell r="AC1248" t="str">
            <v>박상갑</v>
          </cell>
          <cell r="AD1248" t="str">
            <v>(인)</v>
          </cell>
          <cell r="AE1248">
            <v>183.7</v>
          </cell>
          <cell r="AF1248" t="str">
            <v>표준</v>
          </cell>
          <cell r="AG1248">
            <v>1</v>
          </cell>
          <cell r="AH1248">
            <v>1</v>
          </cell>
          <cell r="AI1248">
            <v>2806</v>
          </cell>
          <cell r="AJ1248">
            <v>2804</v>
          </cell>
          <cell r="AK1248">
            <v>221200</v>
          </cell>
          <cell r="AL1248">
            <v>3969</v>
          </cell>
          <cell r="AM1248">
            <v>3728</v>
          </cell>
          <cell r="AN1248">
            <v>3860</v>
          </cell>
          <cell r="AO1248">
            <v>3984</v>
          </cell>
          <cell r="AP1248">
            <v>3926</v>
          </cell>
          <cell r="AQ1248">
            <v>4034</v>
          </cell>
          <cell r="AR1248">
            <v>4011</v>
          </cell>
          <cell r="AS1248">
            <v>3964</v>
          </cell>
          <cell r="AT1248">
            <v>309200</v>
          </cell>
        </row>
        <row r="1249">
          <cell r="G1249">
            <v>2410230102</v>
          </cell>
          <cell r="H1249" t="str">
            <v>113동</v>
          </cell>
          <cell r="I1249">
            <v>241023</v>
          </cell>
          <cell r="J1249" t="str">
            <v>113동 9층 바닥</v>
          </cell>
          <cell r="K1249">
            <v>340</v>
          </cell>
          <cell r="L1249">
            <v>342</v>
          </cell>
          <cell r="M1249">
            <v>3018</v>
          </cell>
          <cell r="N1249" t="str">
            <v>대원</v>
          </cell>
          <cell r="O1249" t="str">
            <v>펌프카(1대)</v>
          </cell>
          <cell r="P1249">
            <v>752</v>
          </cell>
          <cell r="Q1249">
            <v>1208</v>
          </cell>
          <cell r="R1249">
            <v>180</v>
          </cell>
          <cell r="S1249">
            <v>50</v>
          </cell>
          <cell r="T1249">
            <v>26</v>
          </cell>
          <cell r="U1249">
            <v>210</v>
          </cell>
          <cell r="V1249"/>
          <cell r="W1249" t="str">
            <v>김광록</v>
          </cell>
          <cell r="X1249" t="str">
            <v>(인)</v>
          </cell>
          <cell r="Y1249" t="str">
            <v>박순홍</v>
          </cell>
          <cell r="Z1249" t="str">
            <v>(인)</v>
          </cell>
          <cell r="AA1249" t="str">
            <v>박기원</v>
          </cell>
          <cell r="AB1249" t="str">
            <v>(인)</v>
          </cell>
          <cell r="AC1249" t="str">
            <v>박상갑</v>
          </cell>
          <cell r="AD1249" t="str">
            <v>(인)</v>
          </cell>
          <cell r="AE1249">
            <v>184.4</v>
          </cell>
          <cell r="AF1249" t="str">
            <v>표준</v>
          </cell>
          <cell r="AG1249">
            <v>2</v>
          </cell>
          <cell r="AH1249">
            <v>0</v>
          </cell>
        </row>
        <row r="1250">
          <cell r="G1250">
            <v>2410230103</v>
          </cell>
          <cell r="H1250" t="str">
            <v>113동</v>
          </cell>
          <cell r="I1250">
            <v>241023</v>
          </cell>
          <cell r="J1250" t="str">
            <v>113동 9층 바닥</v>
          </cell>
          <cell r="K1250">
            <v>340</v>
          </cell>
          <cell r="L1250">
            <v>342</v>
          </cell>
          <cell r="M1250">
            <v>3018</v>
          </cell>
          <cell r="N1250" t="str">
            <v>대원</v>
          </cell>
          <cell r="O1250" t="str">
            <v>펌프카(1대)</v>
          </cell>
          <cell r="P1250">
            <v>752</v>
          </cell>
          <cell r="Q1250">
            <v>1208</v>
          </cell>
          <cell r="R1250">
            <v>200</v>
          </cell>
          <cell r="S1250">
            <v>48</v>
          </cell>
          <cell r="T1250">
            <v>25</v>
          </cell>
          <cell r="U1250">
            <v>221</v>
          </cell>
          <cell r="V1250"/>
          <cell r="W1250" t="str">
            <v>김광록</v>
          </cell>
          <cell r="X1250" t="str">
            <v>(인)</v>
          </cell>
          <cell r="Y1250" t="str">
            <v>박순홍</v>
          </cell>
          <cell r="Z1250" t="str">
            <v>(인)</v>
          </cell>
          <cell r="AA1250" t="str">
            <v>박기원</v>
          </cell>
          <cell r="AB1250" t="str">
            <v>(인)</v>
          </cell>
          <cell r="AC1250" t="str">
            <v>박상갑</v>
          </cell>
          <cell r="AD1250" t="str">
            <v>(인)</v>
          </cell>
          <cell r="AE1250">
            <v>178.6</v>
          </cell>
          <cell r="AF1250" t="str">
            <v>표준</v>
          </cell>
          <cell r="AG1250">
            <v>3</v>
          </cell>
          <cell r="AH1250">
            <v>0</v>
          </cell>
        </row>
        <row r="1251">
          <cell r="G1251">
            <v>2410230201</v>
          </cell>
          <cell r="H1251" t="str">
            <v>109동</v>
          </cell>
          <cell r="I1251">
            <v>241023</v>
          </cell>
          <cell r="J1251" t="str">
            <v>109동 4층 바닥</v>
          </cell>
          <cell r="K1251">
            <v>290</v>
          </cell>
          <cell r="L1251">
            <v>293</v>
          </cell>
          <cell r="M1251">
            <v>3018</v>
          </cell>
          <cell r="N1251" t="str">
            <v>대공</v>
          </cell>
          <cell r="O1251" t="str">
            <v>펌프카(1대)</v>
          </cell>
          <cell r="P1251">
            <v>1050</v>
          </cell>
          <cell r="Q1251">
            <v>1548</v>
          </cell>
          <cell r="R1251">
            <v>180</v>
          </cell>
          <cell r="S1251">
            <v>46</v>
          </cell>
          <cell r="T1251">
            <v>21</v>
          </cell>
          <cell r="U1251">
            <v>210</v>
          </cell>
          <cell r="V1251"/>
          <cell r="W1251" t="str">
            <v>박순홍</v>
          </cell>
          <cell r="X1251" t="str">
            <v>(인)</v>
          </cell>
          <cell r="Y1251" t="str">
            <v>박순홍</v>
          </cell>
          <cell r="Z1251" t="str">
            <v>(인)</v>
          </cell>
          <cell r="AA1251" t="str">
            <v>박기원</v>
          </cell>
          <cell r="AB1251" t="str">
            <v>(인)</v>
          </cell>
          <cell r="AC1251" t="str">
            <v>박상갑</v>
          </cell>
          <cell r="AD1251" t="str">
            <v>(인)</v>
          </cell>
          <cell r="AE1251">
            <v>187.6</v>
          </cell>
          <cell r="AF1251" t="str">
            <v>표준</v>
          </cell>
          <cell r="AG1251">
            <v>1</v>
          </cell>
          <cell r="AH1251">
            <v>1</v>
          </cell>
          <cell r="AI1251">
            <v>2722</v>
          </cell>
          <cell r="AJ1251">
            <v>2692</v>
          </cell>
          <cell r="AK1251">
            <v>210400</v>
          </cell>
          <cell r="AL1251">
            <v>3924</v>
          </cell>
          <cell r="AM1251">
            <v>3822</v>
          </cell>
          <cell r="AN1251">
            <v>3862</v>
          </cell>
          <cell r="AO1251">
            <v>3942</v>
          </cell>
          <cell r="AP1251">
            <v>3879</v>
          </cell>
          <cell r="AQ1251">
            <v>4012</v>
          </cell>
          <cell r="AR1251">
            <v>3964</v>
          </cell>
          <cell r="AS1251">
            <v>3895</v>
          </cell>
          <cell r="AT1251">
            <v>304000</v>
          </cell>
        </row>
        <row r="1252">
          <cell r="G1252">
            <v>2410230202</v>
          </cell>
          <cell r="H1252" t="str">
            <v>109동</v>
          </cell>
          <cell r="I1252">
            <v>241023</v>
          </cell>
          <cell r="J1252" t="str">
            <v>109동 4층 바닥</v>
          </cell>
          <cell r="K1252">
            <v>290</v>
          </cell>
          <cell r="L1252">
            <v>293</v>
          </cell>
          <cell r="M1252">
            <v>3018</v>
          </cell>
          <cell r="N1252" t="str">
            <v>대공</v>
          </cell>
          <cell r="O1252" t="str">
            <v>펌프카(1대)</v>
          </cell>
          <cell r="P1252">
            <v>1050</v>
          </cell>
          <cell r="Q1252">
            <v>1548</v>
          </cell>
          <cell r="R1252">
            <v>190</v>
          </cell>
          <cell r="S1252">
            <v>50</v>
          </cell>
          <cell r="T1252">
            <v>42</v>
          </cell>
          <cell r="U1252">
            <v>208</v>
          </cell>
          <cell r="V1252"/>
          <cell r="W1252" t="str">
            <v>박순홍</v>
          </cell>
          <cell r="X1252" t="str">
            <v>(인)</v>
          </cell>
          <cell r="Y1252" t="str">
            <v>박순홍</v>
          </cell>
          <cell r="Z1252" t="str">
            <v>(인)</v>
          </cell>
          <cell r="AA1252" t="str">
            <v>박기원</v>
          </cell>
          <cell r="AB1252" t="str">
            <v>(인)</v>
          </cell>
          <cell r="AC1252" t="str">
            <v>박상갑</v>
          </cell>
          <cell r="AD1252" t="str">
            <v>(인)</v>
          </cell>
          <cell r="AE1252">
            <v>190.2</v>
          </cell>
          <cell r="AF1252" t="str">
            <v>표준</v>
          </cell>
          <cell r="AG1252">
            <v>2</v>
          </cell>
          <cell r="AH1252">
            <v>0</v>
          </cell>
        </row>
        <row r="1253">
          <cell r="G1253">
            <v>2410230203</v>
          </cell>
          <cell r="H1253" t="str">
            <v>109동</v>
          </cell>
          <cell r="I1253">
            <v>241023</v>
          </cell>
          <cell r="J1253" t="str">
            <v>109동 4층 바닥</v>
          </cell>
          <cell r="K1253">
            <v>290</v>
          </cell>
          <cell r="L1253">
            <v>293</v>
          </cell>
          <cell r="M1253">
            <v>3018</v>
          </cell>
          <cell r="N1253" t="str">
            <v>대공</v>
          </cell>
          <cell r="O1253" t="str">
            <v>펌프카(1대)</v>
          </cell>
          <cell r="P1253">
            <v>1050</v>
          </cell>
          <cell r="Q1253">
            <v>1548</v>
          </cell>
          <cell r="R1253">
            <v>195</v>
          </cell>
          <cell r="S1253">
            <v>45</v>
          </cell>
          <cell r="T1253">
            <v>65</v>
          </cell>
          <cell r="U1253">
            <v>218</v>
          </cell>
          <cell r="V1253"/>
          <cell r="W1253" t="str">
            <v>박순홍</v>
          </cell>
          <cell r="X1253" t="str">
            <v>(인)</v>
          </cell>
          <cell r="Y1253" t="str">
            <v>박순홍</v>
          </cell>
          <cell r="Z1253" t="str">
            <v>(인)</v>
          </cell>
          <cell r="AA1253" t="str">
            <v>박기원</v>
          </cell>
          <cell r="AB1253" t="str">
            <v>(인)</v>
          </cell>
          <cell r="AC1253" t="str">
            <v>박상갑</v>
          </cell>
          <cell r="AD1253" t="str">
            <v>(인)</v>
          </cell>
          <cell r="AE1253">
            <v>187.6</v>
          </cell>
          <cell r="AF1253" t="str">
            <v>표준</v>
          </cell>
          <cell r="AG1253">
            <v>3</v>
          </cell>
          <cell r="AH1253">
            <v>0</v>
          </cell>
        </row>
        <row r="1254">
          <cell r="G1254">
            <v>2410230301</v>
          </cell>
          <cell r="H1254" t="str">
            <v>106동</v>
          </cell>
          <cell r="I1254">
            <v>241023</v>
          </cell>
          <cell r="J1254" t="str">
            <v>106동 지붕층 바닥</v>
          </cell>
          <cell r="K1254">
            <v>170</v>
          </cell>
          <cell r="L1254">
            <v>174</v>
          </cell>
          <cell r="M1254">
            <v>3018</v>
          </cell>
          <cell r="N1254" t="str">
            <v>대원</v>
          </cell>
          <cell r="O1254" t="str">
            <v>펌프카(1대)</v>
          </cell>
          <cell r="P1254">
            <v>1255</v>
          </cell>
          <cell r="Q1254">
            <v>1517</v>
          </cell>
          <cell r="R1254">
            <v>180</v>
          </cell>
          <cell r="S1254">
            <v>56</v>
          </cell>
          <cell r="T1254">
            <v>14</v>
          </cell>
          <cell r="U1254">
            <v>231</v>
          </cell>
          <cell r="V1254"/>
          <cell r="W1254" t="str">
            <v>박순홍</v>
          </cell>
          <cell r="X1254" t="str">
            <v>(인)</v>
          </cell>
          <cell r="Y1254" t="str">
            <v>박순홍</v>
          </cell>
          <cell r="Z1254" t="str">
            <v>(인)</v>
          </cell>
          <cell r="AA1254" t="str">
            <v>박기원</v>
          </cell>
          <cell r="AB1254" t="str">
            <v>(인)</v>
          </cell>
          <cell r="AC1254" t="str">
            <v>박상갑</v>
          </cell>
          <cell r="AD1254" t="str">
            <v>(인)</v>
          </cell>
          <cell r="AE1254">
            <v>188.6</v>
          </cell>
          <cell r="AF1254" t="str">
            <v>표준</v>
          </cell>
          <cell r="AG1254">
            <v>1</v>
          </cell>
          <cell r="AH1254">
            <v>1</v>
          </cell>
          <cell r="AI1254">
            <v>2740</v>
          </cell>
          <cell r="AJ1254">
            <v>2862</v>
          </cell>
          <cell r="AK1254">
            <v>223000</v>
          </cell>
          <cell r="AL1254">
            <v>3845</v>
          </cell>
          <cell r="AM1254">
            <v>3901</v>
          </cell>
          <cell r="AN1254">
            <v>3926</v>
          </cell>
          <cell r="AO1254">
            <v>3872</v>
          </cell>
          <cell r="AP1254">
            <v>3906</v>
          </cell>
          <cell r="AQ1254">
            <v>3984</v>
          </cell>
          <cell r="AR1254">
            <v>4012</v>
          </cell>
          <cell r="AS1254">
            <v>3872</v>
          </cell>
          <cell r="AT1254">
            <v>309600</v>
          </cell>
        </row>
        <row r="1255">
          <cell r="G1255">
            <v>2410230302</v>
          </cell>
          <cell r="H1255" t="str">
            <v>106동</v>
          </cell>
          <cell r="I1255">
            <v>241023</v>
          </cell>
          <cell r="J1255" t="str">
            <v>106동 지붕층 바닥</v>
          </cell>
          <cell r="K1255">
            <v>170</v>
          </cell>
          <cell r="L1255">
            <v>174</v>
          </cell>
          <cell r="M1255">
            <v>3018</v>
          </cell>
          <cell r="N1255" t="str">
            <v>대원</v>
          </cell>
          <cell r="O1255" t="str">
            <v>펌프카(1대)</v>
          </cell>
          <cell r="P1255">
            <v>1255</v>
          </cell>
          <cell r="Q1255">
            <v>1517</v>
          </cell>
          <cell r="R1255">
            <v>185</v>
          </cell>
          <cell r="S1255">
            <v>46</v>
          </cell>
          <cell r="T1255">
            <v>26</v>
          </cell>
          <cell r="U1255">
            <v>248</v>
          </cell>
          <cell r="V1255"/>
          <cell r="W1255" t="str">
            <v>박순홍</v>
          </cell>
          <cell r="X1255" t="str">
            <v>(인)</v>
          </cell>
          <cell r="Y1255" t="str">
            <v>박순홍</v>
          </cell>
          <cell r="Z1255" t="str">
            <v>(인)</v>
          </cell>
          <cell r="AA1255" t="str">
            <v>박기원</v>
          </cell>
          <cell r="AB1255" t="str">
            <v>(인)</v>
          </cell>
          <cell r="AC1255" t="str">
            <v>박상갑</v>
          </cell>
          <cell r="AD1255" t="str">
            <v>(인)</v>
          </cell>
          <cell r="AE1255">
            <v>188.6</v>
          </cell>
          <cell r="AF1255" t="str">
            <v>표준</v>
          </cell>
          <cell r="AG1255">
            <v>2</v>
          </cell>
          <cell r="AH1255">
            <v>0</v>
          </cell>
        </row>
        <row r="1256">
          <cell r="G1256">
            <v>2410240101</v>
          </cell>
          <cell r="H1256" t="str">
            <v>111동</v>
          </cell>
          <cell r="I1256">
            <v>241024</v>
          </cell>
          <cell r="J1256" t="str">
            <v>111동 6층 바닥</v>
          </cell>
          <cell r="K1256">
            <v>286</v>
          </cell>
          <cell r="L1256">
            <v>286</v>
          </cell>
          <cell r="M1256">
            <v>3018</v>
          </cell>
          <cell r="N1256" t="str">
            <v>용호</v>
          </cell>
          <cell r="O1256" t="str">
            <v>펌프카(1대)</v>
          </cell>
          <cell r="P1256">
            <v>855</v>
          </cell>
          <cell r="Q1256">
            <v>1250</v>
          </cell>
          <cell r="R1256">
            <v>180</v>
          </cell>
          <cell r="S1256">
            <v>49</v>
          </cell>
          <cell r="T1256">
            <v>132</v>
          </cell>
          <cell r="U1256">
            <v>185</v>
          </cell>
          <cell r="V1256"/>
          <cell r="W1256" t="str">
            <v>김광록</v>
          </cell>
          <cell r="X1256" t="str">
            <v>(인)</v>
          </cell>
          <cell r="Y1256" t="str">
            <v>박순홍</v>
          </cell>
          <cell r="Z1256" t="str">
            <v>(인)</v>
          </cell>
          <cell r="AA1256" t="str">
            <v>박기원</v>
          </cell>
          <cell r="AB1256" t="str">
            <v>(인)</v>
          </cell>
          <cell r="AC1256" t="str">
            <v>박상갑</v>
          </cell>
          <cell r="AD1256" t="str">
            <v>(인)</v>
          </cell>
          <cell r="AE1256">
            <v>181.8</v>
          </cell>
          <cell r="AF1256" t="str">
            <v>표준</v>
          </cell>
          <cell r="AG1256">
            <v>1</v>
          </cell>
          <cell r="AH1256">
            <v>1</v>
          </cell>
          <cell r="AI1256">
            <v>2716</v>
          </cell>
          <cell r="AJ1256">
            <v>2757</v>
          </cell>
          <cell r="AK1256">
            <v>223000</v>
          </cell>
          <cell r="AL1256">
            <v>3862</v>
          </cell>
          <cell r="AM1256">
            <v>3768</v>
          </cell>
          <cell r="AN1256">
            <v>3862</v>
          </cell>
          <cell r="AO1256">
            <v>3920</v>
          </cell>
          <cell r="AP1256">
            <v>3964</v>
          </cell>
          <cell r="AQ1256">
            <v>3874</v>
          </cell>
          <cell r="AR1256">
            <v>3936</v>
          </cell>
          <cell r="AS1256">
            <v>3924</v>
          </cell>
          <cell r="AT1256">
            <v>297400</v>
          </cell>
        </row>
        <row r="1257">
          <cell r="G1257">
            <v>2410240102</v>
          </cell>
          <cell r="H1257" t="str">
            <v>111동</v>
          </cell>
          <cell r="I1257">
            <v>241024</v>
          </cell>
          <cell r="J1257" t="str">
            <v>111동 6층 바닥</v>
          </cell>
          <cell r="K1257">
            <v>286</v>
          </cell>
          <cell r="L1257">
            <v>286</v>
          </cell>
          <cell r="M1257">
            <v>3018</v>
          </cell>
          <cell r="N1257" t="str">
            <v>용호</v>
          </cell>
          <cell r="O1257" t="str">
            <v>펌프카(1대)</v>
          </cell>
          <cell r="P1257">
            <v>855</v>
          </cell>
          <cell r="Q1257">
            <v>1250</v>
          </cell>
          <cell r="R1257">
            <v>185</v>
          </cell>
          <cell r="S1257">
            <v>50</v>
          </cell>
          <cell r="T1257">
            <v>133</v>
          </cell>
          <cell r="U1257">
            <v>181</v>
          </cell>
          <cell r="V1257"/>
          <cell r="W1257" t="str">
            <v>김광록</v>
          </cell>
          <cell r="X1257" t="str">
            <v>(인)</v>
          </cell>
          <cell r="Y1257" t="str">
            <v>박순홍</v>
          </cell>
          <cell r="Z1257" t="str">
            <v>(인)</v>
          </cell>
          <cell r="AA1257" t="str">
            <v>박기원</v>
          </cell>
          <cell r="AB1257" t="str">
            <v>(인)</v>
          </cell>
          <cell r="AC1257" t="str">
            <v>박상갑</v>
          </cell>
          <cell r="AD1257" t="str">
            <v>(인)</v>
          </cell>
          <cell r="AE1257">
            <v>173</v>
          </cell>
          <cell r="AF1257" t="str">
            <v>표준</v>
          </cell>
          <cell r="AG1257">
            <v>2</v>
          </cell>
          <cell r="AH1257">
            <v>0</v>
          </cell>
        </row>
        <row r="1258">
          <cell r="G1258">
            <v>2410240103</v>
          </cell>
          <cell r="H1258" t="str">
            <v>111동</v>
          </cell>
          <cell r="I1258">
            <v>241024</v>
          </cell>
          <cell r="J1258" t="str">
            <v>111동 6층 바닥</v>
          </cell>
          <cell r="K1258">
            <v>286</v>
          </cell>
          <cell r="L1258">
            <v>286</v>
          </cell>
          <cell r="M1258">
            <v>3018</v>
          </cell>
          <cell r="N1258" t="str">
            <v>용호</v>
          </cell>
          <cell r="O1258" t="str">
            <v>펌프카(1대)</v>
          </cell>
          <cell r="P1258">
            <v>855</v>
          </cell>
          <cell r="Q1258">
            <v>1250</v>
          </cell>
          <cell r="R1258">
            <v>185</v>
          </cell>
          <cell r="S1258">
            <v>52</v>
          </cell>
          <cell r="T1258">
            <v>125</v>
          </cell>
          <cell r="U1258">
            <v>185</v>
          </cell>
          <cell r="V1258"/>
          <cell r="W1258" t="str">
            <v>김광록</v>
          </cell>
          <cell r="X1258" t="str">
            <v>(인)</v>
          </cell>
          <cell r="Y1258" t="str">
            <v>박순홍</v>
          </cell>
          <cell r="Z1258" t="str">
            <v>(인)</v>
          </cell>
          <cell r="AA1258" t="str">
            <v>박기원</v>
          </cell>
          <cell r="AB1258" t="str">
            <v>(인)</v>
          </cell>
          <cell r="AC1258" t="str">
            <v>박상갑</v>
          </cell>
          <cell r="AD1258" t="str">
            <v>(인)</v>
          </cell>
          <cell r="AE1258">
            <v>181.8</v>
          </cell>
          <cell r="AF1258" t="str">
            <v>표준</v>
          </cell>
          <cell r="AG1258">
            <v>3</v>
          </cell>
          <cell r="AH1258">
            <v>0</v>
          </cell>
        </row>
        <row r="1259">
          <cell r="G1259">
            <v>2410240201</v>
          </cell>
          <cell r="H1259" t="str">
            <v>104동</v>
          </cell>
          <cell r="I1259">
            <v>241024</v>
          </cell>
          <cell r="J1259" t="str">
            <v>104동 옥탑2 및 옥상구조물</v>
          </cell>
          <cell r="K1259">
            <v>54</v>
          </cell>
          <cell r="L1259">
            <v>54</v>
          </cell>
          <cell r="M1259">
            <v>3018</v>
          </cell>
          <cell r="N1259" t="str">
            <v>용호</v>
          </cell>
          <cell r="O1259" t="str">
            <v>펌프카(1대)</v>
          </cell>
          <cell r="P1259">
            <v>1415</v>
          </cell>
          <cell r="Q1259">
            <v>1555</v>
          </cell>
          <cell r="R1259">
            <v>170</v>
          </cell>
          <cell r="S1259">
            <v>50</v>
          </cell>
          <cell r="T1259">
            <v>22</v>
          </cell>
          <cell r="U1259">
            <v>223</v>
          </cell>
          <cell r="V1259"/>
          <cell r="W1259" t="str">
            <v>박순홍</v>
          </cell>
          <cell r="X1259" t="str">
            <v>(인)</v>
          </cell>
          <cell r="Y1259" t="str">
            <v>박순홍</v>
          </cell>
          <cell r="Z1259" t="str">
            <v>(인)</v>
          </cell>
          <cell r="AA1259" t="str">
            <v>박기원</v>
          </cell>
          <cell r="AB1259" t="str">
            <v>(인)</v>
          </cell>
          <cell r="AC1259" t="str">
            <v>박상갑</v>
          </cell>
          <cell r="AD1259" t="str">
            <v>(인)</v>
          </cell>
          <cell r="AE1259">
            <v>182.9</v>
          </cell>
          <cell r="AF1259" t="str">
            <v>표준</v>
          </cell>
          <cell r="AG1259">
            <v>1</v>
          </cell>
          <cell r="AH1259">
            <v>1</v>
          </cell>
          <cell r="AI1259">
            <v>2736</v>
          </cell>
          <cell r="AJ1259">
            <v>3622</v>
          </cell>
          <cell r="AK1259">
            <v>213000</v>
          </cell>
          <cell r="AL1259">
            <v>3898</v>
          </cell>
          <cell r="AM1259">
            <v>3824</v>
          </cell>
          <cell r="AN1259">
            <v>3862</v>
          </cell>
          <cell r="AO1259">
            <v>3926</v>
          </cell>
          <cell r="AP1259">
            <v>4027</v>
          </cell>
          <cell r="AQ1259">
            <v>4016</v>
          </cell>
          <cell r="AR1259">
            <v>3729</v>
          </cell>
          <cell r="AS1259">
            <v>3836</v>
          </cell>
          <cell r="AT1259">
            <v>304000</v>
          </cell>
        </row>
        <row r="1260">
          <cell r="G1260">
            <v>2410240301</v>
          </cell>
          <cell r="H1260" t="str">
            <v>j구간, 119동</v>
          </cell>
          <cell r="I1260">
            <v>241024</v>
          </cell>
          <cell r="J1260" t="str">
            <v>J구간 지붕층 바닥, 119동 주변주차장 합벽</v>
          </cell>
          <cell r="K1260">
            <v>298</v>
          </cell>
          <cell r="L1260">
            <v>298</v>
          </cell>
          <cell r="M1260">
            <v>2715</v>
          </cell>
          <cell r="N1260" t="str">
            <v>대성</v>
          </cell>
          <cell r="O1260" t="str">
            <v>펌프카(1대)</v>
          </cell>
          <cell r="P1260">
            <v>810</v>
          </cell>
          <cell r="Q1260">
            <v>1535</v>
          </cell>
          <cell r="R1260">
            <v>150</v>
          </cell>
          <cell r="S1260">
            <v>38</v>
          </cell>
          <cell r="T1260">
            <v>74</v>
          </cell>
          <cell r="U1260">
            <v>165</v>
          </cell>
          <cell r="V1260"/>
          <cell r="W1260" t="str">
            <v>김광록</v>
          </cell>
          <cell r="X1260" t="str">
            <v>(인)</v>
          </cell>
          <cell r="Y1260" t="str">
            <v>박순홍</v>
          </cell>
          <cell r="Z1260" t="str">
            <v>(인)</v>
          </cell>
          <cell r="AA1260" t="str">
            <v>박기원</v>
          </cell>
          <cell r="AB1260" t="str">
            <v>(인)</v>
          </cell>
          <cell r="AC1260" t="str">
            <v>박상갑</v>
          </cell>
          <cell r="AD1260" t="str">
            <v>(인)</v>
          </cell>
          <cell r="AE1260">
            <v>171.4</v>
          </cell>
          <cell r="AF1260" t="str">
            <v>표준</v>
          </cell>
          <cell r="AG1260">
            <v>1</v>
          </cell>
          <cell r="AH1260">
            <v>1</v>
          </cell>
          <cell r="AI1260">
            <v>2355</v>
          </cell>
          <cell r="AJ1260">
            <v>2318</v>
          </cell>
          <cell r="AK1260">
            <v>175400</v>
          </cell>
          <cell r="AL1260">
            <v>3470</v>
          </cell>
          <cell r="AM1260">
            <v>3379</v>
          </cell>
          <cell r="AN1260">
            <v>3329</v>
          </cell>
          <cell r="AO1260">
            <v>3406</v>
          </cell>
          <cell r="AP1260">
            <v>3421</v>
          </cell>
          <cell r="AQ1260">
            <v>3436</v>
          </cell>
          <cell r="AR1260">
            <v>3404</v>
          </cell>
          <cell r="AS1260">
            <v>3416</v>
          </cell>
          <cell r="AT1260">
            <v>271200</v>
          </cell>
        </row>
        <row r="1261">
          <cell r="G1261">
            <v>2410240302</v>
          </cell>
          <cell r="H1261" t="str">
            <v>j구간, 119동</v>
          </cell>
          <cell r="I1261">
            <v>241024</v>
          </cell>
          <cell r="J1261" t="str">
            <v>J구간 지붕층 바닥, 119동 주변주차장 합벽</v>
          </cell>
          <cell r="K1261">
            <v>298</v>
          </cell>
          <cell r="L1261">
            <v>298</v>
          </cell>
          <cell r="M1261">
            <v>2715</v>
          </cell>
          <cell r="N1261" t="str">
            <v>대성</v>
          </cell>
          <cell r="O1261" t="str">
            <v>펌프카(1대)</v>
          </cell>
          <cell r="P1261">
            <v>810</v>
          </cell>
          <cell r="Q1261">
            <v>1535</v>
          </cell>
          <cell r="R1261">
            <v>160</v>
          </cell>
          <cell r="S1261">
            <v>43</v>
          </cell>
          <cell r="T1261">
            <v>45</v>
          </cell>
          <cell r="U1261">
            <v>171</v>
          </cell>
          <cell r="V1261"/>
          <cell r="W1261" t="str">
            <v>김광록</v>
          </cell>
          <cell r="X1261" t="str">
            <v>(인)</v>
          </cell>
          <cell r="Y1261" t="str">
            <v>박순홍</v>
          </cell>
          <cell r="Z1261" t="str">
            <v>(인)</v>
          </cell>
          <cell r="AA1261" t="str">
            <v>박기원</v>
          </cell>
          <cell r="AB1261" t="str">
            <v>(인)</v>
          </cell>
          <cell r="AC1261" t="str">
            <v>박상갑</v>
          </cell>
          <cell r="AD1261" t="str">
            <v>(인)</v>
          </cell>
          <cell r="AE1261">
            <v>175.4</v>
          </cell>
          <cell r="AF1261" t="str">
            <v>표준</v>
          </cell>
          <cell r="AG1261">
            <v>2</v>
          </cell>
          <cell r="AH1261">
            <v>0</v>
          </cell>
        </row>
        <row r="1262">
          <cell r="G1262">
            <v>2410240303</v>
          </cell>
          <cell r="H1262" t="str">
            <v>j구간, 119동</v>
          </cell>
          <cell r="I1262">
            <v>241024</v>
          </cell>
          <cell r="J1262" t="str">
            <v>J구간 지붕층 바닥, 119동 주변주차장 합벽</v>
          </cell>
          <cell r="K1262">
            <v>298</v>
          </cell>
          <cell r="L1262">
            <v>298</v>
          </cell>
          <cell r="M1262">
            <v>2715</v>
          </cell>
          <cell r="N1262" t="str">
            <v>대성</v>
          </cell>
          <cell r="O1262" t="str">
            <v>펌프카(1대)</v>
          </cell>
          <cell r="P1262">
            <v>810</v>
          </cell>
          <cell r="Q1262">
            <v>1535</v>
          </cell>
          <cell r="R1262">
            <v>160</v>
          </cell>
          <cell r="S1262">
            <v>38</v>
          </cell>
          <cell r="T1262">
            <v>129</v>
          </cell>
          <cell r="U1262">
            <v>168</v>
          </cell>
          <cell r="V1262"/>
          <cell r="W1262" t="str">
            <v>김광록</v>
          </cell>
          <cell r="X1262" t="str">
            <v>(인)</v>
          </cell>
          <cell r="Y1262" t="str">
            <v>박순홍</v>
          </cell>
          <cell r="Z1262" t="str">
            <v>(인)</v>
          </cell>
          <cell r="AA1262" t="str">
            <v>박기원</v>
          </cell>
          <cell r="AB1262" t="str">
            <v>(인)</v>
          </cell>
          <cell r="AC1262" t="str">
            <v>박상갑</v>
          </cell>
          <cell r="AD1262" t="str">
            <v>(인)</v>
          </cell>
          <cell r="AE1262">
            <v>171.6</v>
          </cell>
          <cell r="AF1262" t="str">
            <v>표준</v>
          </cell>
          <cell r="AG1262">
            <v>3</v>
          </cell>
          <cell r="AH1262">
            <v>0</v>
          </cell>
        </row>
        <row r="1263">
          <cell r="G1263">
            <v>2410250101</v>
          </cell>
          <cell r="H1263" t="str">
            <v>107동</v>
          </cell>
          <cell r="I1263">
            <v>241025</v>
          </cell>
          <cell r="J1263" t="str">
            <v>107동 13층 바닥</v>
          </cell>
          <cell r="K1263">
            <v>288</v>
          </cell>
          <cell r="L1263">
            <v>288</v>
          </cell>
          <cell r="M1263">
            <v>3018</v>
          </cell>
          <cell r="N1263" t="str">
            <v>대원</v>
          </cell>
          <cell r="O1263" t="str">
            <v>펌프카(1대)</v>
          </cell>
          <cell r="P1263">
            <v>1255</v>
          </cell>
          <cell r="Q1263">
            <v>1717</v>
          </cell>
          <cell r="R1263">
            <v>180</v>
          </cell>
          <cell r="S1263">
            <v>53</v>
          </cell>
          <cell r="T1263">
            <v>68</v>
          </cell>
          <cell r="U1263">
            <v>233</v>
          </cell>
          <cell r="V1263"/>
          <cell r="W1263" t="str">
            <v>김광록</v>
          </cell>
          <cell r="X1263" t="str">
            <v>(인)</v>
          </cell>
          <cell r="Y1263" t="str">
            <v>박순홍</v>
          </cell>
          <cell r="Z1263" t="str">
            <v>(인)</v>
          </cell>
          <cell r="AA1263" t="str">
            <v>박기원</v>
          </cell>
          <cell r="AB1263" t="str">
            <v>(인)</v>
          </cell>
          <cell r="AC1263" t="str">
            <v>박상갑</v>
          </cell>
          <cell r="AD1263" t="str">
            <v>(인)</v>
          </cell>
          <cell r="AE1263">
            <v>181.9</v>
          </cell>
          <cell r="AF1263" t="str">
            <v>표준</v>
          </cell>
          <cell r="AG1263">
            <v>1</v>
          </cell>
          <cell r="AH1263">
            <v>1</v>
          </cell>
          <cell r="AI1263">
            <v>2706</v>
          </cell>
          <cell r="AJ1263">
            <v>2714</v>
          </cell>
          <cell r="AK1263">
            <v>216800</v>
          </cell>
          <cell r="AL1263">
            <v>3913</v>
          </cell>
          <cell r="AM1263">
            <v>3857</v>
          </cell>
          <cell r="AN1263">
            <v>3886</v>
          </cell>
          <cell r="AO1263">
            <v>3927</v>
          </cell>
          <cell r="AP1263">
            <v>4013</v>
          </cell>
          <cell r="AQ1263">
            <v>4045</v>
          </cell>
          <cell r="AR1263">
            <v>4004</v>
          </cell>
          <cell r="AS1263">
            <v>4062</v>
          </cell>
          <cell r="AT1263">
            <v>308400</v>
          </cell>
        </row>
        <row r="1264">
          <cell r="G1264">
            <v>2410250102</v>
          </cell>
          <cell r="H1264" t="str">
            <v>107동</v>
          </cell>
          <cell r="I1264">
            <v>241025</v>
          </cell>
          <cell r="J1264" t="str">
            <v>107동 13층 바닥</v>
          </cell>
          <cell r="K1264">
            <v>288</v>
          </cell>
          <cell r="L1264">
            <v>288</v>
          </cell>
          <cell r="M1264">
            <v>3018</v>
          </cell>
          <cell r="N1264" t="str">
            <v>대원</v>
          </cell>
          <cell r="O1264" t="str">
            <v>펌프카(1대)</v>
          </cell>
          <cell r="P1264">
            <v>1255</v>
          </cell>
          <cell r="Q1264">
            <v>1717</v>
          </cell>
          <cell r="R1264">
            <v>190</v>
          </cell>
          <cell r="S1264">
            <v>46</v>
          </cell>
          <cell r="T1264">
            <v>130</v>
          </cell>
          <cell r="U1264">
            <v>244</v>
          </cell>
          <cell r="V1264"/>
          <cell r="W1264" t="str">
            <v>김광록</v>
          </cell>
          <cell r="X1264" t="str">
            <v>(인)</v>
          </cell>
          <cell r="Y1264" t="str">
            <v>박순홍</v>
          </cell>
          <cell r="Z1264" t="str">
            <v>(인)</v>
          </cell>
          <cell r="AA1264" t="str">
            <v>박기원</v>
          </cell>
          <cell r="AB1264" t="str">
            <v>(인)</v>
          </cell>
          <cell r="AC1264" t="str">
            <v>박상갑</v>
          </cell>
          <cell r="AD1264" t="str">
            <v>(인)</v>
          </cell>
          <cell r="AE1264">
            <v>181.8</v>
          </cell>
          <cell r="AF1264" t="str">
            <v>표준</v>
          </cell>
          <cell r="AG1264">
            <v>2</v>
          </cell>
          <cell r="AH1264">
            <v>0</v>
          </cell>
          <cell r="AI1264"/>
          <cell r="AJ1264"/>
        </row>
        <row r="1265">
          <cell r="G1265">
            <v>2410250103</v>
          </cell>
          <cell r="H1265" t="str">
            <v>107동</v>
          </cell>
          <cell r="I1265">
            <v>241025</v>
          </cell>
          <cell r="J1265" t="str">
            <v>107동 13층 바닥</v>
          </cell>
          <cell r="K1265">
            <v>288</v>
          </cell>
          <cell r="L1265">
            <v>288</v>
          </cell>
          <cell r="M1265">
            <v>3018</v>
          </cell>
          <cell r="N1265" t="str">
            <v>대원</v>
          </cell>
          <cell r="O1265" t="str">
            <v>펌프카(1대)</v>
          </cell>
          <cell r="P1265">
            <v>1255</v>
          </cell>
          <cell r="Q1265">
            <v>1717</v>
          </cell>
          <cell r="R1265">
            <v>185</v>
          </cell>
          <cell r="S1265">
            <v>36</v>
          </cell>
          <cell r="T1265">
            <v>86</v>
          </cell>
          <cell r="U1265">
            <v>233</v>
          </cell>
          <cell r="V1265"/>
          <cell r="W1265" t="str">
            <v>김광록</v>
          </cell>
          <cell r="X1265" t="str">
            <v>(인)</v>
          </cell>
          <cell r="Y1265" t="str">
            <v>박순홍</v>
          </cell>
          <cell r="Z1265" t="str">
            <v>(인)</v>
          </cell>
          <cell r="AA1265" t="str">
            <v>박기원</v>
          </cell>
          <cell r="AB1265" t="str">
            <v>(인)</v>
          </cell>
          <cell r="AC1265" t="str">
            <v>박상갑</v>
          </cell>
          <cell r="AD1265" t="str">
            <v>(인)</v>
          </cell>
          <cell r="AE1265">
            <v>183.2</v>
          </cell>
          <cell r="AF1265" t="str">
            <v>표준</v>
          </cell>
          <cell r="AG1265">
            <v>3</v>
          </cell>
          <cell r="AH1265">
            <v>0</v>
          </cell>
        </row>
        <row r="1266">
          <cell r="G1266">
            <v>2410250201</v>
          </cell>
          <cell r="H1266" t="str">
            <v>114~117동</v>
          </cell>
          <cell r="I1266">
            <v>241025</v>
          </cell>
          <cell r="J1266" t="str">
            <v>114~117동 사이 파라펫</v>
          </cell>
          <cell r="K1266">
            <v>12</v>
          </cell>
          <cell r="L1266">
            <v>12</v>
          </cell>
          <cell r="M1266">
            <v>2715</v>
          </cell>
          <cell r="N1266" t="str">
            <v>대공</v>
          </cell>
          <cell r="O1266" t="str">
            <v>펌프카(1대)</v>
          </cell>
          <cell r="P1266">
            <v>1305</v>
          </cell>
          <cell r="Q1266">
            <v>1355</v>
          </cell>
          <cell r="R1266">
            <v>160</v>
          </cell>
          <cell r="S1266">
            <v>45</v>
          </cell>
          <cell r="T1266">
            <v>14</v>
          </cell>
          <cell r="U1266">
            <v>236</v>
          </cell>
          <cell r="V1266"/>
          <cell r="W1266" t="str">
            <v>김광록</v>
          </cell>
          <cell r="X1266" t="str">
            <v>(인)</v>
          </cell>
          <cell r="Y1266" t="str">
            <v>박순홍</v>
          </cell>
          <cell r="Z1266" t="str">
            <v>(인)</v>
          </cell>
          <cell r="AA1266" t="str">
            <v>박기원</v>
          </cell>
          <cell r="AB1266" t="str">
            <v>(인)</v>
          </cell>
          <cell r="AC1266" t="str">
            <v>박상갑</v>
          </cell>
          <cell r="AD1266" t="str">
            <v>(인)</v>
          </cell>
          <cell r="AE1266">
            <v>173.7</v>
          </cell>
          <cell r="AF1266" t="str">
            <v>표준</v>
          </cell>
          <cell r="AG1266">
            <v>1</v>
          </cell>
          <cell r="AH1266">
            <v>1</v>
          </cell>
          <cell r="AI1266">
            <v>2472</v>
          </cell>
          <cell r="AJ1266">
            <v>2492</v>
          </cell>
          <cell r="AK1266">
            <v>196400</v>
          </cell>
          <cell r="AL1266">
            <v>3488</v>
          </cell>
          <cell r="AM1266">
            <v>3458</v>
          </cell>
          <cell r="AN1266">
            <v>3402</v>
          </cell>
          <cell r="AO1266">
            <v>3412</v>
          </cell>
          <cell r="AP1266">
            <v>3394</v>
          </cell>
          <cell r="AQ1266">
            <v>3412</v>
          </cell>
          <cell r="AR1266">
            <v>3404</v>
          </cell>
          <cell r="AS1266">
            <v>3316</v>
          </cell>
          <cell r="AT1266">
            <v>266200</v>
          </cell>
        </row>
        <row r="1267">
          <cell r="G1267">
            <v>2410250301</v>
          </cell>
          <cell r="H1267" t="str">
            <v>109동</v>
          </cell>
          <cell r="I1267">
            <v>241025</v>
          </cell>
          <cell r="J1267" t="str">
            <v>109동 주변주차장 누름</v>
          </cell>
          <cell r="K1267">
            <v>228</v>
          </cell>
          <cell r="L1267">
            <v>228</v>
          </cell>
          <cell r="M1267">
            <v>1815</v>
          </cell>
          <cell r="N1267" t="str">
            <v>대공</v>
          </cell>
          <cell r="O1267" t="str">
            <v>펌프카(1대)</v>
          </cell>
          <cell r="P1267">
            <v>802</v>
          </cell>
          <cell r="Q1267">
            <v>1136</v>
          </cell>
          <cell r="R1267">
            <v>170</v>
          </cell>
          <cell r="S1267">
            <v>42</v>
          </cell>
          <cell r="T1267">
            <v>60</v>
          </cell>
          <cell r="U1267">
            <v>186</v>
          </cell>
          <cell r="V1267"/>
          <cell r="W1267" t="str">
            <v>박순홍</v>
          </cell>
          <cell r="X1267" t="str">
            <v>(인)</v>
          </cell>
          <cell r="Y1267" t="str">
            <v>박순홍</v>
          </cell>
          <cell r="Z1267" t="str">
            <v>(인)</v>
          </cell>
          <cell r="AA1267" t="str">
            <v>박기원</v>
          </cell>
          <cell r="AB1267" t="str">
            <v>(인)</v>
          </cell>
          <cell r="AC1267" t="str">
            <v>박상갑</v>
          </cell>
          <cell r="AD1267" t="str">
            <v>(인)</v>
          </cell>
          <cell r="AE1267">
            <v>182.9</v>
          </cell>
          <cell r="AF1267" t="str">
            <v>표준</v>
          </cell>
          <cell r="AG1267">
            <v>1</v>
          </cell>
          <cell r="AH1267">
            <v>1</v>
          </cell>
          <cell r="AI1267">
            <v>1774</v>
          </cell>
          <cell r="AJ1267">
            <v>1714</v>
          </cell>
          <cell r="AK1267">
            <v>134200</v>
          </cell>
          <cell r="AL1267">
            <v>2324</v>
          </cell>
          <cell r="AM1267">
            <v>2243</v>
          </cell>
          <cell r="AN1267">
            <v>2319</v>
          </cell>
          <cell r="AO1267">
            <v>2315</v>
          </cell>
          <cell r="AP1267">
            <v>2204</v>
          </cell>
          <cell r="AQ1267">
            <v>2279</v>
          </cell>
          <cell r="AR1267">
            <v>2384</v>
          </cell>
          <cell r="AS1267">
            <v>2362</v>
          </cell>
          <cell r="AT1267">
            <v>175200</v>
          </cell>
        </row>
        <row r="1268">
          <cell r="G1268">
            <v>2410250302</v>
          </cell>
          <cell r="H1268" t="str">
            <v>109동</v>
          </cell>
          <cell r="I1268">
            <v>241025</v>
          </cell>
          <cell r="J1268" t="str">
            <v>109동 주변주차장 누름</v>
          </cell>
          <cell r="K1268">
            <v>228</v>
          </cell>
          <cell r="L1268">
            <v>228</v>
          </cell>
          <cell r="M1268">
            <v>1815</v>
          </cell>
          <cell r="N1268" t="str">
            <v>대공</v>
          </cell>
          <cell r="O1268" t="str">
            <v>펌프카(1대)</v>
          </cell>
          <cell r="P1268">
            <v>802</v>
          </cell>
          <cell r="Q1268">
            <v>1136</v>
          </cell>
          <cell r="R1268">
            <v>165</v>
          </cell>
          <cell r="S1268">
            <v>45</v>
          </cell>
          <cell r="T1268">
            <v>40</v>
          </cell>
          <cell r="U1268">
            <v>190</v>
          </cell>
          <cell r="V1268"/>
          <cell r="W1268" t="str">
            <v>박순홍</v>
          </cell>
          <cell r="X1268" t="str">
            <v>(인)</v>
          </cell>
          <cell r="Y1268" t="str">
            <v>박순홍</v>
          </cell>
          <cell r="Z1268" t="str">
            <v>(인)</v>
          </cell>
          <cell r="AA1268" t="str">
            <v>박기원</v>
          </cell>
          <cell r="AB1268" t="str">
            <v>(인)</v>
          </cell>
          <cell r="AC1268" t="str">
            <v>박상갑</v>
          </cell>
          <cell r="AD1268" t="str">
            <v>(인)</v>
          </cell>
          <cell r="AE1268">
            <v>183.2</v>
          </cell>
          <cell r="AF1268" t="str">
            <v>표준</v>
          </cell>
          <cell r="AG1268">
            <v>2</v>
          </cell>
          <cell r="AH1268">
            <v>0</v>
          </cell>
        </row>
        <row r="1269">
          <cell r="G1269">
            <v>2410280101</v>
          </cell>
          <cell r="H1269" t="str">
            <v>112동</v>
          </cell>
          <cell r="I1269">
            <v>241028</v>
          </cell>
          <cell r="J1269" t="str">
            <v>112동 1층 바닥</v>
          </cell>
          <cell r="K1269">
            <v>240</v>
          </cell>
          <cell r="L1269">
            <v>240</v>
          </cell>
          <cell r="M1269">
            <v>3015</v>
          </cell>
          <cell r="N1269" t="str">
            <v>영진</v>
          </cell>
          <cell r="O1269" t="str">
            <v>펌프카(1대)</v>
          </cell>
          <cell r="P1269">
            <v>807</v>
          </cell>
          <cell r="Q1269">
            <v>1218</v>
          </cell>
          <cell r="R1269">
            <v>155</v>
          </cell>
          <cell r="S1269">
            <v>52</v>
          </cell>
          <cell r="T1269">
            <v>14</v>
          </cell>
          <cell r="U1269">
            <v>187</v>
          </cell>
          <cell r="V1269"/>
          <cell r="W1269" t="str">
            <v>박순홍</v>
          </cell>
          <cell r="X1269" t="str">
            <v>(인)</v>
          </cell>
          <cell r="Y1269" t="str">
            <v>박순홍</v>
          </cell>
          <cell r="Z1269" t="str">
            <v>(인)</v>
          </cell>
          <cell r="AA1269" t="str">
            <v>박상갑</v>
          </cell>
          <cell r="AB1269" t="str">
            <v>(인)</v>
          </cell>
          <cell r="AC1269" t="str">
            <v>박기원</v>
          </cell>
          <cell r="AD1269" t="str">
            <v>(인)</v>
          </cell>
          <cell r="AE1269">
            <v>172.6</v>
          </cell>
          <cell r="AF1269" t="str">
            <v>표준</v>
          </cell>
          <cell r="AG1269">
            <v>1</v>
          </cell>
          <cell r="AH1269">
            <v>1</v>
          </cell>
          <cell r="AI1269">
            <v>2923</v>
          </cell>
          <cell r="AJ1269">
            <v>2896</v>
          </cell>
          <cell r="AK1269">
            <v>225000</v>
          </cell>
          <cell r="AL1269">
            <v>3758</v>
          </cell>
          <cell r="AM1269">
            <v>3684</v>
          </cell>
          <cell r="AN1269">
            <v>3724</v>
          </cell>
          <cell r="AO1269">
            <v>3786</v>
          </cell>
          <cell r="AP1269">
            <v>3842</v>
          </cell>
          <cell r="AQ1269">
            <v>3936</v>
          </cell>
          <cell r="AR1269">
            <v>3872</v>
          </cell>
          <cell r="AS1269">
            <v>3964</v>
          </cell>
          <cell r="AT1269">
            <v>305600</v>
          </cell>
        </row>
        <row r="1270">
          <cell r="G1270">
            <v>2410280102</v>
          </cell>
          <cell r="H1270" t="str">
            <v>112동</v>
          </cell>
          <cell r="I1270">
            <v>241028</v>
          </cell>
          <cell r="J1270" t="str">
            <v>112동 1층 바닥</v>
          </cell>
          <cell r="K1270">
            <v>240</v>
          </cell>
          <cell r="L1270">
            <v>240</v>
          </cell>
          <cell r="M1270">
            <v>3015</v>
          </cell>
          <cell r="N1270" t="str">
            <v>영진</v>
          </cell>
          <cell r="O1270" t="str">
            <v>펌프카(1대)</v>
          </cell>
          <cell r="P1270">
            <v>807</v>
          </cell>
          <cell r="Q1270">
            <v>1218</v>
          </cell>
          <cell r="R1270">
            <v>160</v>
          </cell>
          <cell r="S1270">
            <v>42</v>
          </cell>
          <cell r="T1270">
            <v>41</v>
          </cell>
          <cell r="U1270">
            <v>194</v>
          </cell>
          <cell r="V1270"/>
          <cell r="W1270" t="str">
            <v>박순홍</v>
          </cell>
          <cell r="X1270" t="str">
            <v>(인)</v>
          </cell>
          <cell r="Y1270" t="str">
            <v>박순홍</v>
          </cell>
          <cell r="Z1270" t="str">
            <v>(인)</v>
          </cell>
          <cell r="AA1270" t="str">
            <v>박상갑</v>
          </cell>
          <cell r="AB1270" t="str">
            <v>(인)</v>
          </cell>
          <cell r="AC1270" t="str">
            <v>박기원</v>
          </cell>
          <cell r="AD1270" t="str">
            <v>(인)</v>
          </cell>
          <cell r="AE1270">
            <v>173</v>
          </cell>
          <cell r="AF1270" t="str">
            <v>표준</v>
          </cell>
          <cell r="AG1270">
            <v>2</v>
          </cell>
          <cell r="AH1270">
            <v>0</v>
          </cell>
          <cell r="AI1270"/>
          <cell r="AJ1270"/>
        </row>
        <row r="1271">
          <cell r="G1271">
            <v>2410290101</v>
          </cell>
          <cell r="H1271" t="str">
            <v>101동</v>
          </cell>
          <cell r="I1271">
            <v>241029</v>
          </cell>
          <cell r="J1271" t="str">
            <v>101동 9층 바닥</v>
          </cell>
          <cell r="K1271">
            <v>282</v>
          </cell>
          <cell r="L1271">
            <v>282</v>
          </cell>
          <cell r="M1271">
            <v>3018</v>
          </cell>
          <cell r="N1271" t="str">
            <v>용호</v>
          </cell>
          <cell r="O1271" t="str">
            <v>펌프카(1대)</v>
          </cell>
          <cell r="P1271">
            <v>756</v>
          </cell>
          <cell r="Q1271">
            <v>1147</v>
          </cell>
          <cell r="R1271">
            <v>185</v>
          </cell>
          <cell r="S1271">
            <v>49</v>
          </cell>
          <cell r="T1271">
            <v>26</v>
          </cell>
          <cell r="U1271">
            <v>193</v>
          </cell>
          <cell r="V1271"/>
          <cell r="W1271" t="str">
            <v>박순홍</v>
          </cell>
          <cell r="X1271" t="str">
            <v>(인)</v>
          </cell>
          <cell r="Y1271" t="str">
            <v>박순홍</v>
          </cell>
          <cell r="Z1271" t="str">
            <v>(인)</v>
          </cell>
          <cell r="AA1271" t="str">
            <v>박상갑</v>
          </cell>
          <cell r="AB1271" t="str">
            <v>(인)</v>
          </cell>
          <cell r="AC1271" t="str">
            <v>박상갑</v>
          </cell>
          <cell r="AD1271" t="str">
            <v>(인)</v>
          </cell>
          <cell r="AE1271">
            <v>186.2</v>
          </cell>
          <cell r="AF1271" t="str">
            <v>표준</v>
          </cell>
          <cell r="AG1271">
            <v>1</v>
          </cell>
          <cell r="AH1271">
            <v>1</v>
          </cell>
          <cell r="AI1271">
            <v>2747</v>
          </cell>
          <cell r="AJ1271">
            <v>2784</v>
          </cell>
          <cell r="AK1271">
            <v>216200</v>
          </cell>
          <cell r="AL1271">
            <v>3926</v>
          </cell>
          <cell r="AM1271">
            <v>3949</v>
          </cell>
          <cell r="AN1271">
            <v>3920</v>
          </cell>
          <cell r="AO1271">
            <v>3837</v>
          </cell>
          <cell r="AP1271">
            <v>3829</v>
          </cell>
          <cell r="AQ1271">
            <v>3742</v>
          </cell>
          <cell r="AR1271">
            <v>3901</v>
          </cell>
          <cell r="AS1271">
            <v>3867</v>
          </cell>
          <cell r="AT1271">
            <v>302800</v>
          </cell>
        </row>
        <row r="1272">
          <cell r="G1272">
            <v>2410290102</v>
          </cell>
          <cell r="H1272" t="str">
            <v>101동</v>
          </cell>
          <cell r="I1272">
            <v>241029</v>
          </cell>
          <cell r="J1272" t="str">
            <v>101동 9층 바닥</v>
          </cell>
          <cell r="K1272">
            <v>282</v>
          </cell>
          <cell r="L1272">
            <v>282</v>
          </cell>
          <cell r="M1272">
            <v>3018</v>
          </cell>
          <cell r="N1272" t="str">
            <v>용호</v>
          </cell>
          <cell r="O1272" t="str">
            <v>펌프카(1대)</v>
          </cell>
          <cell r="P1272">
            <v>756</v>
          </cell>
          <cell r="Q1272">
            <v>1147</v>
          </cell>
          <cell r="R1272">
            <v>190</v>
          </cell>
          <cell r="S1272">
            <v>52</v>
          </cell>
          <cell r="T1272">
            <v>27</v>
          </cell>
          <cell r="U1272">
            <v>186</v>
          </cell>
          <cell r="V1272"/>
          <cell r="W1272" t="str">
            <v>박순홍</v>
          </cell>
          <cell r="X1272" t="str">
            <v>(인)</v>
          </cell>
          <cell r="Y1272" t="str">
            <v>박순홍</v>
          </cell>
          <cell r="Z1272" t="str">
            <v>(인)</v>
          </cell>
          <cell r="AA1272" t="str">
            <v>박상갑</v>
          </cell>
          <cell r="AB1272" t="str">
            <v>(인)</v>
          </cell>
          <cell r="AC1272" t="str">
            <v>박상갑</v>
          </cell>
          <cell r="AD1272" t="str">
            <v>(인)</v>
          </cell>
          <cell r="AE1272">
            <v>188.4</v>
          </cell>
          <cell r="AF1272" t="str">
            <v>표준</v>
          </cell>
          <cell r="AG1272">
            <v>2</v>
          </cell>
          <cell r="AH1272">
            <v>0</v>
          </cell>
          <cell r="AI1272"/>
          <cell r="AJ1272"/>
        </row>
        <row r="1273">
          <cell r="G1273">
            <v>2410290103</v>
          </cell>
          <cell r="H1273" t="str">
            <v>101동</v>
          </cell>
          <cell r="I1273">
            <v>241029</v>
          </cell>
          <cell r="J1273" t="str">
            <v>101동 9층 바닥</v>
          </cell>
          <cell r="K1273">
            <v>282</v>
          </cell>
          <cell r="L1273">
            <v>282</v>
          </cell>
          <cell r="M1273">
            <v>3018</v>
          </cell>
          <cell r="N1273" t="str">
            <v>용호</v>
          </cell>
          <cell r="O1273" t="str">
            <v>펌프카(1대)</v>
          </cell>
          <cell r="P1273">
            <v>756</v>
          </cell>
          <cell r="Q1273">
            <v>1147</v>
          </cell>
          <cell r="R1273">
            <v>195</v>
          </cell>
          <cell r="S1273">
            <v>40</v>
          </cell>
          <cell r="T1273">
            <v>30</v>
          </cell>
          <cell r="U1273">
            <v>217</v>
          </cell>
          <cell r="V1273"/>
          <cell r="W1273" t="str">
            <v>박순홍</v>
          </cell>
          <cell r="X1273" t="str">
            <v>(인)</v>
          </cell>
          <cell r="Y1273" t="str">
            <v>박순홍</v>
          </cell>
          <cell r="Z1273" t="str">
            <v>(인)</v>
          </cell>
          <cell r="AA1273" t="str">
            <v>박상갑</v>
          </cell>
          <cell r="AB1273" t="str">
            <v>(인)</v>
          </cell>
          <cell r="AC1273" t="str">
            <v>박상갑</v>
          </cell>
          <cell r="AD1273" t="str">
            <v>(인)</v>
          </cell>
          <cell r="AE1273">
            <v>190.6</v>
          </cell>
          <cell r="AF1273" t="str">
            <v>표준</v>
          </cell>
          <cell r="AG1273">
            <v>3</v>
          </cell>
          <cell r="AH1273">
            <v>0</v>
          </cell>
        </row>
        <row r="1274">
          <cell r="G1274">
            <v>2410290201</v>
          </cell>
          <cell r="H1274" t="str">
            <v>114동</v>
          </cell>
          <cell r="I1274">
            <v>241029</v>
          </cell>
          <cell r="J1274" t="str">
            <v>114동 3층 바닥</v>
          </cell>
          <cell r="K1274">
            <v>312</v>
          </cell>
          <cell r="L1274">
            <v>312</v>
          </cell>
          <cell r="M1274">
            <v>3018</v>
          </cell>
          <cell r="N1274" t="str">
            <v>대공</v>
          </cell>
          <cell r="O1274" t="str">
            <v>펌프카(1대)</v>
          </cell>
          <cell r="P1274">
            <v>1454</v>
          </cell>
          <cell r="Q1274">
            <v>1002</v>
          </cell>
          <cell r="R1274">
            <v>195</v>
          </cell>
          <cell r="S1274">
            <v>51</v>
          </cell>
          <cell r="T1274">
            <v>11</v>
          </cell>
          <cell r="U1274">
            <v>213</v>
          </cell>
          <cell r="V1274"/>
          <cell r="W1274" t="str">
            <v>김광록</v>
          </cell>
          <cell r="X1274" t="str">
            <v>(인)</v>
          </cell>
          <cell r="Y1274" t="str">
            <v>박순홍</v>
          </cell>
          <cell r="Z1274" t="str">
            <v>(인)</v>
          </cell>
          <cell r="AA1274" t="str">
            <v>박상갑</v>
          </cell>
          <cell r="AB1274" t="str">
            <v>(인)</v>
          </cell>
          <cell r="AC1274" t="str">
            <v>박상갑</v>
          </cell>
          <cell r="AD1274" t="str">
            <v>(인)</v>
          </cell>
          <cell r="AE1274">
            <v>172.6</v>
          </cell>
          <cell r="AF1274" t="str">
            <v>표준</v>
          </cell>
          <cell r="AG1274">
            <v>1</v>
          </cell>
          <cell r="AH1274">
            <v>1</v>
          </cell>
          <cell r="AI1274">
            <v>2816</v>
          </cell>
          <cell r="AJ1274">
            <v>2809</v>
          </cell>
          <cell r="AK1274">
            <v>222800</v>
          </cell>
          <cell r="AL1274">
            <v>3712</v>
          </cell>
          <cell r="AM1274">
            <v>3827</v>
          </cell>
          <cell r="AN1274">
            <v>3862</v>
          </cell>
          <cell r="AO1274">
            <v>3736</v>
          </cell>
          <cell r="AP1274">
            <v>3729</v>
          </cell>
          <cell r="AQ1274">
            <v>3836</v>
          </cell>
          <cell r="AR1274">
            <v>3734</v>
          </cell>
          <cell r="AS1274">
            <v>3706</v>
          </cell>
          <cell r="AT1274">
            <v>302800</v>
          </cell>
        </row>
        <row r="1275">
          <cell r="G1275">
            <v>2410290202</v>
          </cell>
          <cell r="H1275" t="str">
            <v>114동</v>
          </cell>
          <cell r="I1275">
            <v>241029</v>
          </cell>
          <cell r="J1275" t="str">
            <v>114동 3층 바닥</v>
          </cell>
          <cell r="K1275">
            <v>312</v>
          </cell>
          <cell r="L1275">
            <v>312</v>
          </cell>
          <cell r="M1275">
            <v>3018</v>
          </cell>
          <cell r="N1275" t="str">
            <v>대공</v>
          </cell>
          <cell r="O1275" t="str">
            <v>펌프카(1대)</v>
          </cell>
          <cell r="P1275">
            <v>1454</v>
          </cell>
          <cell r="Q1275">
            <v>1002</v>
          </cell>
          <cell r="R1275">
            <v>200</v>
          </cell>
          <cell r="S1275">
            <v>49</v>
          </cell>
          <cell r="T1275">
            <v>8</v>
          </cell>
          <cell r="U1275">
            <v>204</v>
          </cell>
          <cell r="V1275"/>
          <cell r="W1275" t="str">
            <v>김광록</v>
          </cell>
          <cell r="X1275" t="str">
            <v>(인)</v>
          </cell>
          <cell r="Y1275" t="str">
            <v>박순홍</v>
          </cell>
          <cell r="Z1275" t="str">
            <v>(인)</v>
          </cell>
          <cell r="AA1275" t="str">
            <v>박상갑</v>
          </cell>
          <cell r="AB1275" t="str">
            <v>(인)</v>
          </cell>
          <cell r="AC1275" t="str">
            <v>박상갑</v>
          </cell>
          <cell r="AD1275" t="str">
            <v>(인)</v>
          </cell>
          <cell r="AE1275">
            <v>173</v>
          </cell>
          <cell r="AF1275" t="str">
            <v>표준</v>
          </cell>
          <cell r="AG1275">
            <v>2</v>
          </cell>
          <cell r="AH1275">
            <v>0</v>
          </cell>
        </row>
        <row r="1276">
          <cell r="G1276">
            <v>2410290203</v>
          </cell>
          <cell r="H1276" t="str">
            <v>114동</v>
          </cell>
          <cell r="I1276">
            <v>241029</v>
          </cell>
          <cell r="J1276" t="str">
            <v>114동 3층 바닥</v>
          </cell>
          <cell r="K1276">
            <v>312</v>
          </cell>
          <cell r="L1276">
            <v>312</v>
          </cell>
          <cell r="M1276">
            <v>3018</v>
          </cell>
          <cell r="N1276" t="str">
            <v>대공</v>
          </cell>
          <cell r="O1276" t="str">
            <v>펌프카(1대)</v>
          </cell>
          <cell r="P1276">
            <v>1454</v>
          </cell>
          <cell r="Q1276">
            <v>1002</v>
          </cell>
          <cell r="R1276">
            <v>195</v>
          </cell>
          <cell r="S1276">
            <v>50</v>
          </cell>
          <cell r="T1276">
            <v>14</v>
          </cell>
          <cell r="U1276">
            <v>201</v>
          </cell>
          <cell r="V1276"/>
          <cell r="W1276" t="str">
            <v>김광록</v>
          </cell>
          <cell r="X1276" t="str">
            <v>(인)</v>
          </cell>
          <cell r="Y1276" t="str">
            <v>박순홍</v>
          </cell>
          <cell r="Z1276" t="str">
            <v>(인)</v>
          </cell>
          <cell r="AA1276" t="str">
            <v>박상갑</v>
          </cell>
          <cell r="AB1276" t="str">
            <v>(인)</v>
          </cell>
          <cell r="AC1276" t="str">
            <v>박상갑</v>
          </cell>
          <cell r="AD1276" t="str">
            <v>(인)</v>
          </cell>
          <cell r="AE1276">
            <v>173.7</v>
          </cell>
          <cell r="AF1276" t="str">
            <v>표준</v>
          </cell>
          <cell r="AG1276">
            <v>3</v>
          </cell>
          <cell r="AH1276">
            <v>0</v>
          </cell>
        </row>
        <row r="1277">
          <cell r="G1277">
            <v>2410290301</v>
          </cell>
          <cell r="H1277" t="str">
            <v>K구간</v>
          </cell>
          <cell r="I1277">
            <v>241029</v>
          </cell>
          <cell r="J1277" t="str">
            <v>K구간 지하 1층</v>
          </cell>
          <cell r="K1277">
            <v>198</v>
          </cell>
          <cell r="L1277">
            <v>198</v>
          </cell>
          <cell r="M1277">
            <v>2715</v>
          </cell>
          <cell r="N1277" t="str">
            <v>영진</v>
          </cell>
          <cell r="O1277" t="str">
            <v>펌프카(1대)</v>
          </cell>
          <cell r="P1277">
            <v>848</v>
          </cell>
          <cell r="Q1277">
            <v>1540</v>
          </cell>
          <cell r="R1277">
            <v>145</v>
          </cell>
          <cell r="S1277">
            <v>40</v>
          </cell>
          <cell r="T1277">
            <v>56</v>
          </cell>
          <cell r="U1277">
            <v>180</v>
          </cell>
          <cell r="V1277"/>
          <cell r="W1277" t="str">
            <v>박순홍</v>
          </cell>
          <cell r="X1277" t="str">
            <v>(인)</v>
          </cell>
          <cell r="Y1277" t="str">
            <v>박순홍</v>
          </cell>
          <cell r="Z1277" t="str">
            <v>(인)</v>
          </cell>
          <cell r="AA1277" t="str">
            <v>박상갑</v>
          </cell>
          <cell r="AB1277" t="str">
            <v>(인)</v>
          </cell>
          <cell r="AC1277" t="str">
            <v>박상갑</v>
          </cell>
          <cell r="AD1277" t="str">
            <v>(인)</v>
          </cell>
          <cell r="AE1277">
            <v>182.9</v>
          </cell>
          <cell r="AF1277" t="str">
            <v>표준</v>
          </cell>
          <cell r="AG1277">
            <v>1</v>
          </cell>
          <cell r="AH1277">
            <v>1</v>
          </cell>
          <cell r="AI1277">
            <v>2429</v>
          </cell>
          <cell r="AJ1277">
            <v>2406</v>
          </cell>
          <cell r="AK1277">
            <v>193200</v>
          </cell>
          <cell r="AL1277">
            <v>3389</v>
          </cell>
          <cell r="AM1277">
            <v>3351</v>
          </cell>
          <cell r="AN1277">
            <v>3216</v>
          </cell>
          <cell r="AO1277">
            <v>3236</v>
          </cell>
          <cell r="AP1277">
            <v>3402</v>
          </cell>
          <cell r="AQ1277">
            <v>3304</v>
          </cell>
          <cell r="AR1277">
            <v>3416</v>
          </cell>
          <cell r="AS1277">
            <v>3294</v>
          </cell>
          <cell r="AT1277">
            <v>261000</v>
          </cell>
        </row>
        <row r="1278">
          <cell r="G1278">
            <v>2410290302</v>
          </cell>
          <cell r="H1278" t="str">
            <v>K구간</v>
          </cell>
          <cell r="I1278">
            <v>241029</v>
          </cell>
          <cell r="J1278" t="str">
            <v>K구간 지하 1층</v>
          </cell>
          <cell r="K1278">
            <v>198</v>
          </cell>
          <cell r="L1278">
            <v>198</v>
          </cell>
          <cell r="M1278">
            <v>2715</v>
          </cell>
          <cell r="N1278" t="str">
            <v>영진</v>
          </cell>
          <cell r="O1278" t="str">
            <v>펌프카(1대)</v>
          </cell>
          <cell r="P1278">
            <v>848</v>
          </cell>
          <cell r="Q1278">
            <v>1540</v>
          </cell>
          <cell r="R1278">
            <v>150</v>
          </cell>
          <cell r="S1278">
            <v>41</v>
          </cell>
          <cell r="T1278">
            <v>41</v>
          </cell>
          <cell r="U1278">
            <v>193</v>
          </cell>
          <cell r="V1278"/>
          <cell r="W1278" t="str">
            <v>박순홍</v>
          </cell>
          <cell r="X1278" t="str">
            <v>(인)</v>
          </cell>
          <cell r="Y1278" t="str">
            <v>박순홍</v>
          </cell>
          <cell r="Z1278" t="str">
            <v>(인)</v>
          </cell>
          <cell r="AA1278" t="str">
            <v>박상갑</v>
          </cell>
          <cell r="AB1278" t="str">
            <v>(인)</v>
          </cell>
          <cell r="AC1278" t="str">
            <v>박상갑</v>
          </cell>
          <cell r="AD1278" t="str">
            <v>(인)</v>
          </cell>
          <cell r="AE1278">
            <v>183.2</v>
          </cell>
          <cell r="AF1278" t="str">
            <v>표준</v>
          </cell>
          <cell r="AG1278">
            <v>2</v>
          </cell>
          <cell r="AH1278">
            <v>0</v>
          </cell>
        </row>
        <row r="1279">
          <cell r="G1279">
            <v>2410300101</v>
          </cell>
          <cell r="H1279" t="str">
            <v>109동</v>
          </cell>
          <cell r="I1279">
            <v>241030</v>
          </cell>
          <cell r="J1279" t="str">
            <v>109동 5층 바닥, 109~110동 사이 파라펫</v>
          </cell>
          <cell r="K1279">
            <v>294</v>
          </cell>
          <cell r="L1279">
            <v>294</v>
          </cell>
          <cell r="M1279">
            <v>3018</v>
          </cell>
          <cell r="N1279" t="str">
            <v>대공</v>
          </cell>
          <cell r="O1279" t="str">
            <v>펌프카(1대)</v>
          </cell>
          <cell r="P1279">
            <v>1410</v>
          </cell>
          <cell r="Q1279">
            <v>1802</v>
          </cell>
          <cell r="R1279">
            <v>190</v>
          </cell>
          <cell r="S1279">
            <v>52</v>
          </cell>
          <cell r="T1279">
            <v>24</v>
          </cell>
          <cell r="U1279">
            <v>227</v>
          </cell>
          <cell r="V1279"/>
          <cell r="W1279" t="str">
            <v>김광록</v>
          </cell>
          <cell r="X1279" t="str">
            <v>(인)</v>
          </cell>
          <cell r="Y1279" t="str">
            <v>박순홍</v>
          </cell>
          <cell r="Z1279" t="str">
            <v>(인)</v>
          </cell>
          <cell r="AA1279" t="str">
            <v>박상갑</v>
          </cell>
          <cell r="AB1279" t="str">
            <v>(인)</v>
          </cell>
          <cell r="AC1279" t="str">
            <v>박기원</v>
          </cell>
          <cell r="AD1279" t="str">
            <v>(인)</v>
          </cell>
          <cell r="AE1279">
            <v>173.7</v>
          </cell>
          <cell r="AF1279" t="str">
            <v>표준</v>
          </cell>
          <cell r="AG1279">
            <v>1</v>
          </cell>
          <cell r="AH1279">
            <v>1</v>
          </cell>
          <cell r="AI1279">
            <v>2890</v>
          </cell>
          <cell r="AJ1279">
            <v>2936</v>
          </cell>
          <cell r="AK1279">
            <v>228200</v>
          </cell>
          <cell r="AL1279">
            <v>3750</v>
          </cell>
          <cell r="AM1279">
            <v>3819</v>
          </cell>
          <cell r="AN1279">
            <v>3864</v>
          </cell>
          <cell r="AO1279">
            <v>3802</v>
          </cell>
          <cell r="AP1279">
            <v>3729</v>
          </cell>
          <cell r="AQ1279">
            <v>4011</v>
          </cell>
          <cell r="AR1279">
            <v>3962</v>
          </cell>
          <cell r="AS1279">
            <v>3872</v>
          </cell>
          <cell r="AT1279">
            <v>310000</v>
          </cell>
        </row>
        <row r="1280">
          <cell r="G1280">
            <v>2410300102</v>
          </cell>
          <cell r="H1280" t="str">
            <v>109동</v>
          </cell>
          <cell r="I1280">
            <v>241030</v>
          </cell>
          <cell r="J1280" t="str">
            <v>109동 5층 바닥, 109~110동 사이 파라펫</v>
          </cell>
          <cell r="K1280">
            <v>294</v>
          </cell>
          <cell r="L1280">
            <v>294</v>
          </cell>
          <cell r="M1280">
            <v>3018</v>
          </cell>
          <cell r="N1280" t="str">
            <v>대공</v>
          </cell>
          <cell r="O1280" t="str">
            <v>펌프카(1대)</v>
          </cell>
          <cell r="P1280">
            <v>1410</v>
          </cell>
          <cell r="Q1280">
            <v>1802</v>
          </cell>
          <cell r="R1280">
            <v>195</v>
          </cell>
          <cell r="S1280">
            <v>45</v>
          </cell>
          <cell r="T1280">
            <v>34</v>
          </cell>
          <cell r="U1280">
            <v>220</v>
          </cell>
          <cell r="V1280"/>
          <cell r="W1280" t="str">
            <v>김광록</v>
          </cell>
          <cell r="X1280" t="str">
            <v>(인)</v>
          </cell>
          <cell r="Y1280" t="str">
            <v>박순홍</v>
          </cell>
          <cell r="Z1280" t="str">
            <v>(인)</v>
          </cell>
          <cell r="AA1280" t="str">
            <v>박상갑</v>
          </cell>
          <cell r="AB1280" t="str">
            <v>(인)</v>
          </cell>
          <cell r="AC1280" t="str">
            <v>박기원</v>
          </cell>
          <cell r="AD1280" t="str">
            <v>(인)</v>
          </cell>
          <cell r="AE1280">
            <v>173</v>
          </cell>
          <cell r="AF1280" t="str">
            <v>표준</v>
          </cell>
          <cell r="AG1280">
            <v>2</v>
          </cell>
          <cell r="AH1280">
            <v>0</v>
          </cell>
        </row>
        <row r="1281">
          <cell r="G1281">
            <v>2410300103</v>
          </cell>
          <cell r="H1281" t="str">
            <v>109동</v>
          </cell>
          <cell r="I1281">
            <v>241030</v>
          </cell>
          <cell r="J1281" t="str">
            <v>109동 5층 바닥, 109~110동 사이 파라펫</v>
          </cell>
          <cell r="K1281">
            <v>294</v>
          </cell>
          <cell r="L1281">
            <v>294</v>
          </cell>
          <cell r="M1281">
            <v>3018</v>
          </cell>
          <cell r="N1281" t="str">
            <v>대공</v>
          </cell>
          <cell r="O1281" t="str">
            <v>펌프카(1대)</v>
          </cell>
          <cell r="P1281">
            <v>1410</v>
          </cell>
          <cell r="Q1281">
            <v>1802</v>
          </cell>
          <cell r="R1281">
            <v>200</v>
          </cell>
          <cell r="S1281">
            <v>44</v>
          </cell>
          <cell r="T1281">
            <v>51</v>
          </cell>
          <cell r="U1281">
            <v>244</v>
          </cell>
          <cell r="V1281"/>
          <cell r="W1281" t="str">
            <v>김광록</v>
          </cell>
          <cell r="X1281" t="str">
            <v>(인)</v>
          </cell>
          <cell r="Y1281" t="str">
            <v>박순홍</v>
          </cell>
          <cell r="Z1281" t="str">
            <v>(인)</v>
          </cell>
          <cell r="AA1281" t="str">
            <v>박상갑</v>
          </cell>
          <cell r="AB1281" t="str">
            <v>(인)</v>
          </cell>
          <cell r="AC1281" t="str">
            <v>박기원</v>
          </cell>
          <cell r="AD1281" t="str">
            <v>(인)</v>
          </cell>
          <cell r="AE1281">
            <v>172.6</v>
          </cell>
          <cell r="AF1281" t="str">
            <v>표준</v>
          </cell>
          <cell r="AG1281">
            <v>3</v>
          </cell>
          <cell r="AH1281">
            <v>0</v>
          </cell>
        </row>
        <row r="1282">
          <cell r="G1282">
            <v>2410300201</v>
          </cell>
          <cell r="H1282" t="str">
            <v>113동</v>
          </cell>
          <cell r="I1282">
            <v>241030</v>
          </cell>
          <cell r="J1282" t="str">
            <v>113동 10층 바닥</v>
          </cell>
          <cell r="K1282">
            <v>342</v>
          </cell>
          <cell r="L1282">
            <v>342</v>
          </cell>
          <cell r="M1282">
            <v>3018</v>
          </cell>
          <cell r="N1282" t="str">
            <v>대원</v>
          </cell>
          <cell r="O1282" t="str">
            <v>펌프카(1대)</v>
          </cell>
          <cell r="P1282">
            <v>1002</v>
          </cell>
          <cell r="Q1282">
            <v>1530</v>
          </cell>
          <cell r="R1282">
            <v>160</v>
          </cell>
          <cell r="S1282">
            <v>48</v>
          </cell>
          <cell r="T1282">
            <v>13</v>
          </cell>
          <cell r="U1282">
            <v>185</v>
          </cell>
          <cell r="V1282"/>
          <cell r="W1282" t="str">
            <v>박순홍</v>
          </cell>
          <cell r="X1282" t="str">
            <v>(인)</v>
          </cell>
          <cell r="Y1282" t="str">
            <v>박순홍</v>
          </cell>
          <cell r="Z1282" t="str">
            <v>(인)</v>
          </cell>
          <cell r="AA1282" t="str">
            <v>박상갑</v>
          </cell>
          <cell r="AB1282" t="str">
            <v>(인)</v>
          </cell>
          <cell r="AC1282" t="str">
            <v>박기원</v>
          </cell>
          <cell r="AD1282" t="str">
            <v>(인)</v>
          </cell>
          <cell r="AE1282">
            <v>188.6</v>
          </cell>
          <cell r="AF1282" t="str">
            <v>표준</v>
          </cell>
          <cell r="AG1282">
            <v>1</v>
          </cell>
          <cell r="AH1282">
            <v>1</v>
          </cell>
          <cell r="AI1282">
            <v>2862</v>
          </cell>
          <cell r="AJ1282">
            <v>2806</v>
          </cell>
          <cell r="AK1282">
            <v>216600</v>
          </cell>
          <cell r="AL1282">
            <v>3819</v>
          </cell>
          <cell r="AM1282">
            <v>3839</v>
          </cell>
          <cell r="AN1282">
            <v>3929</v>
          </cell>
          <cell r="AO1282">
            <v>3830</v>
          </cell>
          <cell r="AP1282">
            <v>4004</v>
          </cell>
          <cell r="AQ1282">
            <v>4029</v>
          </cell>
          <cell r="AR1282">
            <v>4014</v>
          </cell>
          <cell r="AS1282">
            <v>3996</v>
          </cell>
          <cell r="AT1282">
            <v>307600</v>
          </cell>
        </row>
        <row r="1283">
          <cell r="G1283">
            <v>2410300202</v>
          </cell>
          <cell r="H1283" t="str">
            <v>113동</v>
          </cell>
          <cell r="I1283">
            <v>241030</v>
          </cell>
          <cell r="J1283" t="str">
            <v>113동 10층 바닥</v>
          </cell>
          <cell r="K1283">
            <v>342</v>
          </cell>
          <cell r="L1283">
            <v>342</v>
          </cell>
          <cell r="M1283">
            <v>3018</v>
          </cell>
          <cell r="N1283" t="str">
            <v>대원</v>
          </cell>
          <cell r="O1283" t="str">
            <v>펌프카(1대)</v>
          </cell>
          <cell r="P1283">
            <v>1002</v>
          </cell>
          <cell r="Q1283">
            <v>1530</v>
          </cell>
          <cell r="R1283">
            <v>165</v>
          </cell>
          <cell r="S1283">
            <v>50</v>
          </cell>
          <cell r="T1283">
            <v>60</v>
          </cell>
          <cell r="U1283">
            <v>194</v>
          </cell>
          <cell r="V1283"/>
          <cell r="W1283" t="str">
            <v>박순홍</v>
          </cell>
          <cell r="X1283" t="str">
            <v>(인)</v>
          </cell>
          <cell r="Y1283" t="str">
            <v>박순홍</v>
          </cell>
          <cell r="Z1283" t="str">
            <v>(인)</v>
          </cell>
          <cell r="AA1283" t="str">
            <v>박상갑</v>
          </cell>
          <cell r="AB1283" t="str">
            <v>(인)</v>
          </cell>
          <cell r="AC1283" t="str">
            <v>박기원</v>
          </cell>
          <cell r="AD1283" t="str">
            <v>(인)</v>
          </cell>
          <cell r="AE1283">
            <v>189.2</v>
          </cell>
          <cell r="AF1283" t="str">
            <v>표준</v>
          </cell>
          <cell r="AG1283">
            <v>2</v>
          </cell>
          <cell r="AH1283">
            <v>0</v>
          </cell>
        </row>
        <row r="1284">
          <cell r="G1284">
            <v>2410300203</v>
          </cell>
          <cell r="H1284" t="str">
            <v>113동</v>
          </cell>
          <cell r="I1284">
            <v>241030</v>
          </cell>
          <cell r="J1284" t="str">
            <v>113동 10층 바닥</v>
          </cell>
          <cell r="K1284">
            <v>342</v>
          </cell>
          <cell r="L1284">
            <v>342</v>
          </cell>
          <cell r="M1284">
            <v>3018</v>
          </cell>
          <cell r="N1284" t="str">
            <v>대원</v>
          </cell>
          <cell r="O1284" t="str">
            <v>펌프카(1대)</v>
          </cell>
          <cell r="P1284">
            <v>1002</v>
          </cell>
          <cell r="Q1284">
            <v>1530</v>
          </cell>
          <cell r="R1284">
            <v>175</v>
          </cell>
          <cell r="S1284">
            <v>48</v>
          </cell>
          <cell r="T1284">
            <v>40</v>
          </cell>
          <cell r="U1284">
            <v>177</v>
          </cell>
          <cell r="V1284"/>
          <cell r="W1284" t="str">
            <v>박순홍</v>
          </cell>
          <cell r="X1284" t="str">
            <v>(인)</v>
          </cell>
          <cell r="Y1284" t="str">
            <v>박순홍</v>
          </cell>
          <cell r="Z1284" t="str">
            <v>(인)</v>
          </cell>
          <cell r="AA1284" t="str">
            <v>박상갑</v>
          </cell>
          <cell r="AB1284" t="str">
            <v>(인)</v>
          </cell>
          <cell r="AC1284" t="str">
            <v>박기원</v>
          </cell>
          <cell r="AD1284" t="str">
            <v>(인)</v>
          </cell>
          <cell r="AE1284">
            <v>192.4</v>
          </cell>
          <cell r="AF1284" t="str">
            <v>표준</v>
          </cell>
          <cell r="AG1284">
            <v>3</v>
          </cell>
          <cell r="AH1284">
            <v>0</v>
          </cell>
        </row>
        <row r="1285">
          <cell r="G1285">
            <v>2410300301</v>
          </cell>
          <cell r="H1285" t="str">
            <v>110동</v>
          </cell>
          <cell r="I1285">
            <v>241030</v>
          </cell>
          <cell r="J1285" t="str">
            <v>110동 4층 바닥, 110~111동 사이 파라펫</v>
          </cell>
          <cell r="K1285">
            <v>312</v>
          </cell>
          <cell r="L1285">
            <v>312</v>
          </cell>
          <cell r="M1285">
            <v>3018</v>
          </cell>
          <cell r="N1285" t="str">
            <v>용호</v>
          </cell>
          <cell r="O1285" t="str">
            <v>펌프카(1대)</v>
          </cell>
          <cell r="P1285">
            <v>840</v>
          </cell>
          <cell r="Q1285">
            <v>1316</v>
          </cell>
          <cell r="R1285">
            <v>170</v>
          </cell>
          <cell r="S1285">
            <v>44</v>
          </cell>
          <cell r="T1285">
            <v>57</v>
          </cell>
          <cell r="U1285">
            <v>193</v>
          </cell>
          <cell r="V1285"/>
          <cell r="W1285" t="str">
            <v>김광록</v>
          </cell>
          <cell r="X1285" t="str">
            <v>(인)</v>
          </cell>
          <cell r="Y1285" t="str">
            <v>박순홍</v>
          </cell>
          <cell r="Z1285" t="str">
            <v>(인)</v>
          </cell>
          <cell r="AA1285" t="str">
            <v>박상갑</v>
          </cell>
          <cell r="AB1285" t="str">
            <v>(인)</v>
          </cell>
          <cell r="AC1285" t="str">
            <v>박기원</v>
          </cell>
          <cell r="AD1285" t="str">
            <v>(인)</v>
          </cell>
          <cell r="AE1285">
            <v>181.8</v>
          </cell>
          <cell r="AF1285" t="str">
            <v>표준</v>
          </cell>
          <cell r="AG1285">
            <v>1</v>
          </cell>
          <cell r="AH1285">
            <v>1</v>
          </cell>
          <cell r="AI1285">
            <v>2859</v>
          </cell>
          <cell r="AJ1285">
            <v>2816</v>
          </cell>
          <cell r="AK1285">
            <v>224200</v>
          </cell>
          <cell r="AL1285">
            <v>3862</v>
          </cell>
          <cell r="AM1285">
            <v>3972</v>
          </cell>
          <cell r="AN1285">
            <v>3936</v>
          </cell>
          <cell r="AO1285">
            <v>3829</v>
          </cell>
          <cell r="AP1285">
            <v>3936</v>
          </cell>
          <cell r="AQ1285">
            <v>3907</v>
          </cell>
          <cell r="AR1285">
            <v>3837</v>
          </cell>
          <cell r="AS1285">
            <v>3904</v>
          </cell>
          <cell r="AT1285">
            <v>302600</v>
          </cell>
        </row>
        <row r="1286">
          <cell r="G1286">
            <v>2410300302</v>
          </cell>
          <cell r="H1286" t="str">
            <v>110동</v>
          </cell>
          <cell r="I1286">
            <v>241030</v>
          </cell>
          <cell r="J1286" t="str">
            <v>110동 4층 바닥, 110~111동 사이 파라펫</v>
          </cell>
          <cell r="K1286">
            <v>312</v>
          </cell>
          <cell r="L1286">
            <v>312</v>
          </cell>
          <cell r="M1286">
            <v>3018</v>
          </cell>
          <cell r="N1286" t="str">
            <v>용호</v>
          </cell>
          <cell r="O1286" t="str">
            <v>펌프카(1대)</v>
          </cell>
          <cell r="P1286">
            <v>840</v>
          </cell>
          <cell r="Q1286">
            <v>1316</v>
          </cell>
          <cell r="R1286">
            <v>185</v>
          </cell>
          <cell r="S1286">
            <v>41</v>
          </cell>
          <cell r="T1286">
            <v>55</v>
          </cell>
          <cell r="U1286">
            <v>194</v>
          </cell>
          <cell r="V1286"/>
          <cell r="W1286" t="str">
            <v>김광록</v>
          </cell>
          <cell r="X1286" t="str">
            <v>(인)</v>
          </cell>
          <cell r="Y1286" t="str">
            <v>박순홍</v>
          </cell>
          <cell r="Z1286" t="str">
            <v>(인)</v>
          </cell>
          <cell r="AA1286" t="str">
            <v>박상갑</v>
          </cell>
          <cell r="AB1286" t="str">
            <v>(인)</v>
          </cell>
          <cell r="AC1286" t="str">
            <v>박기원</v>
          </cell>
          <cell r="AD1286" t="str">
            <v>(인)</v>
          </cell>
          <cell r="AE1286">
            <v>182.9</v>
          </cell>
          <cell r="AF1286" t="str">
            <v>표준</v>
          </cell>
          <cell r="AG1286">
            <v>2</v>
          </cell>
          <cell r="AH1286">
            <v>0</v>
          </cell>
        </row>
        <row r="1287">
          <cell r="G1287">
            <v>2410300303</v>
          </cell>
          <cell r="H1287" t="str">
            <v>110동</v>
          </cell>
          <cell r="I1287">
            <v>241030</v>
          </cell>
          <cell r="J1287" t="str">
            <v>110동 4층 바닥, 110~111동 사이 파라펫</v>
          </cell>
          <cell r="K1287">
            <v>312</v>
          </cell>
          <cell r="L1287">
            <v>312</v>
          </cell>
          <cell r="M1287">
            <v>3018</v>
          </cell>
          <cell r="N1287" t="str">
            <v>용호</v>
          </cell>
          <cell r="O1287" t="str">
            <v>펌프카(1대)</v>
          </cell>
          <cell r="P1287">
            <v>840</v>
          </cell>
          <cell r="Q1287">
            <v>1316</v>
          </cell>
          <cell r="R1287">
            <v>190</v>
          </cell>
          <cell r="S1287">
            <v>48</v>
          </cell>
          <cell r="T1287">
            <v>39</v>
          </cell>
          <cell r="U1287">
            <v>199</v>
          </cell>
          <cell r="V1287"/>
          <cell r="W1287" t="str">
            <v>김광록</v>
          </cell>
          <cell r="X1287" t="str">
            <v>(인)</v>
          </cell>
          <cell r="Y1287" t="str">
            <v>박순홍</v>
          </cell>
          <cell r="Z1287" t="str">
            <v>(인)</v>
          </cell>
          <cell r="AA1287" t="str">
            <v>박상갑</v>
          </cell>
          <cell r="AB1287" t="str">
            <v>(인)</v>
          </cell>
          <cell r="AC1287" t="str">
            <v>박기원</v>
          </cell>
          <cell r="AD1287" t="str">
            <v>(인)</v>
          </cell>
          <cell r="AE1287">
            <v>183.2</v>
          </cell>
          <cell r="AF1287" t="str">
            <v>표준</v>
          </cell>
          <cell r="AG1287">
            <v>3</v>
          </cell>
          <cell r="AH1287">
            <v>0</v>
          </cell>
        </row>
        <row r="1288">
          <cell r="G1288">
            <v>2410300401</v>
          </cell>
          <cell r="H1288" t="str">
            <v>108동</v>
          </cell>
          <cell r="I1288">
            <v>241030</v>
          </cell>
          <cell r="J1288" t="str">
            <v>108동 지하1층 1차</v>
          </cell>
          <cell r="K1288">
            <v>177</v>
          </cell>
          <cell r="L1288">
            <v>177</v>
          </cell>
          <cell r="M1288">
            <v>3015</v>
          </cell>
          <cell r="N1288" t="str">
            <v>한진</v>
          </cell>
          <cell r="O1288" t="str">
            <v>펌프카(1대)</v>
          </cell>
          <cell r="P1288">
            <v>828</v>
          </cell>
          <cell r="Q1288">
            <v>1135</v>
          </cell>
          <cell r="R1288">
            <v>150</v>
          </cell>
          <cell r="S1288">
            <v>44</v>
          </cell>
          <cell r="T1288">
            <v>23</v>
          </cell>
          <cell r="U1288">
            <v>201</v>
          </cell>
          <cell r="V1288"/>
          <cell r="W1288" t="str">
            <v>김광록</v>
          </cell>
          <cell r="X1288" t="str">
            <v>(인)</v>
          </cell>
          <cell r="Y1288" t="str">
            <v>박순홍</v>
          </cell>
          <cell r="Z1288" t="str">
            <v>(인)</v>
          </cell>
          <cell r="AA1288" t="str">
            <v>박상갑</v>
          </cell>
          <cell r="AB1288" t="str">
            <v>(인)</v>
          </cell>
          <cell r="AC1288" t="str">
            <v>박기원</v>
          </cell>
          <cell r="AD1288" t="str">
            <v>(인)</v>
          </cell>
          <cell r="AE1288">
            <v>181.8</v>
          </cell>
          <cell r="AF1288" t="str">
            <v>표준</v>
          </cell>
          <cell r="AG1288">
            <v>1</v>
          </cell>
          <cell r="AH1288">
            <v>1</v>
          </cell>
          <cell r="AI1288">
            <v>2956</v>
          </cell>
          <cell r="AJ1288">
            <v>2907</v>
          </cell>
          <cell r="AK1288">
            <v>233000</v>
          </cell>
          <cell r="AL1288">
            <v>3733</v>
          </cell>
          <cell r="AM1288">
            <v>3919</v>
          </cell>
          <cell r="AN1288">
            <v>3829</v>
          </cell>
          <cell r="AO1288">
            <v>3726</v>
          </cell>
          <cell r="AP1288">
            <v>3736</v>
          </cell>
          <cell r="AQ1288">
            <v>3792</v>
          </cell>
          <cell r="AR1288">
            <v>3834</v>
          </cell>
          <cell r="AS1288">
            <v>3906</v>
          </cell>
          <cell r="AT1288">
            <v>305800</v>
          </cell>
        </row>
        <row r="1289">
          <cell r="G1289">
            <v>2410300402</v>
          </cell>
          <cell r="H1289" t="str">
            <v>108동</v>
          </cell>
          <cell r="I1289">
            <v>241030</v>
          </cell>
          <cell r="J1289" t="str">
            <v>108동 지하1층 1차</v>
          </cell>
          <cell r="K1289">
            <v>177</v>
          </cell>
          <cell r="L1289">
            <v>177</v>
          </cell>
          <cell r="M1289">
            <v>3015</v>
          </cell>
          <cell r="N1289" t="str">
            <v>한진</v>
          </cell>
          <cell r="O1289" t="str">
            <v>펌프카(1대)</v>
          </cell>
          <cell r="P1289">
            <v>828</v>
          </cell>
          <cell r="Q1289">
            <v>1135</v>
          </cell>
          <cell r="R1289">
            <v>160</v>
          </cell>
          <cell r="S1289">
            <v>40</v>
          </cell>
          <cell r="T1289">
            <v>31</v>
          </cell>
          <cell r="U1289">
            <v>205</v>
          </cell>
          <cell r="V1289"/>
          <cell r="W1289" t="str">
            <v>김광록</v>
          </cell>
          <cell r="X1289" t="str">
            <v>(인)</v>
          </cell>
          <cell r="Y1289" t="str">
            <v>박순홍</v>
          </cell>
          <cell r="Z1289" t="str">
            <v>(인)</v>
          </cell>
          <cell r="AA1289" t="str">
            <v>박상갑</v>
          </cell>
          <cell r="AB1289" t="str">
            <v>(인)</v>
          </cell>
          <cell r="AC1289" t="str">
            <v>박기원</v>
          </cell>
          <cell r="AD1289" t="str">
            <v>(인)</v>
          </cell>
          <cell r="AE1289">
            <v>182.9</v>
          </cell>
          <cell r="AF1289" t="str">
            <v>표준</v>
          </cell>
          <cell r="AG1289">
            <v>2</v>
          </cell>
          <cell r="AH1289">
            <v>0</v>
          </cell>
        </row>
        <row r="1290">
          <cell r="G1290">
            <v>2410300501</v>
          </cell>
          <cell r="H1290" t="str">
            <v>108동</v>
          </cell>
          <cell r="I1290">
            <v>241030</v>
          </cell>
          <cell r="J1290" t="str">
            <v>108동 지하1층 1차</v>
          </cell>
          <cell r="K1290">
            <v>147</v>
          </cell>
          <cell r="L1290">
            <v>147</v>
          </cell>
          <cell r="M1290">
            <v>2715</v>
          </cell>
          <cell r="N1290" t="str">
            <v>한진</v>
          </cell>
          <cell r="O1290" t="str">
            <v>펌프카(1대)</v>
          </cell>
          <cell r="P1290">
            <v>1120</v>
          </cell>
          <cell r="Q1290">
            <v>1538</v>
          </cell>
          <cell r="R1290">
            <v>150</v>
          </cell>
          <cell r="S1290">
            <v>48</v>
          </cell>
          <cell r="T1290">
            <v>29</v>
          </cell>
          <cell r="U1290">
            <v>221</v>
          </cell>
          <cell r="V1290"/>
          <cell r="W1290" t="str">
            <v>김광록</v>
          </cell>
          <cell r="X1290" t="str">
            <v>(인)</v>
          </cell>
          <cell r="Y1290" t="str">
            <v>박순홍</v>
          </cell>
          <cell r="Z1290" t="str">
            <v>(인)</v>
          </cell>
          <cell r="AA1290" t="str">
            <v>박상갑</v>
          </cell>
          <cell r="AB1290" t="str">
            <v>(인)</v>
          </cell>
          <cell r="AC1290" t="str">
            <v>박기원</v>
          </cell>
          <cell r="AD1290" t="str">
            <v>(인)</v>
          </cell>
          <cell r="AE1290">
            <v>183.7</v>
          </cell>
          <cell r="AF1290" t="str">
            <v>표준</v>
          </cell>
          <cell r="AG1290">
            <v>1</v>
          </cell>
          <cell r="AH1290">
            <v>1</v>
          </cell>
          <cell r="AI1290">
            <v>2857</v>
          </cell>
          <cell r="AJ1290">
            <v>2706</v>
          </cell>
          <cell r="AK1290">
            <v>216400</v>
          </cell>
          <cell r="AL1290">
            <v>3330</v>
          </cell>
          <cell r="AM1290">
            <v>3323</v>
          </cell>
          <cell r="AN1290">
            <v>3302</v>
          </cell>
          <cell r="AO1290">
            <v>3419</v>
          </cell>
          <cell r="AP1290">
            <v>3318</v>
          </cell>
          <cell r="AQ1290">
            <v>3406</v>
          </cell>
          <cell r="AR1290">
            <v>3294</v>
          </cell>
          <cell r="AS1290">
            <v>3389</v>
          </cell>
          <cell r="AT1290">
            <v>254200</v>
          </cell>
        </row>
        <row r="1291">
          <cell r="G1291">
            <v>2410300502</v>
          </cell>
          <cell r="H1291" t="str">
            <v>108동</v>
          </cell>
          <cell r="I1291">
            <v>241030</v>
          </cell>
          <cell r="J1291" t="str">
            <v>108동 지하1층 1차</v>
          </cell>
          <cell r="K1291">
            <v>147</v>
          </cell>
          <cell r="L1291">
            <v>147</v>
          </cell>
          <cell r="M1291">
            <v>2715</v>
          </cell>
          <cell r="N1291" t="str">
            <v>한진</v>
          </cell>
          <cell r="O1291" t="str">
            <v>펌프카(1대)</v>
          </cell>
          <cell r="P1291">
            <v>1120</v>
          </cell>
          <cell r="Q1291">
            <v>1538</v>
          </cell>
          <cell r="R1291">
            <v>160</v>
          </cell>
          <cell r="S1291">
            <v>45</v>
          </cell>
          <cell r="T1291">
            <v>21</v>
          </cell>
          <cell r="U1291">
            <v>226</v>
          </cell>
          <cell r="V1291"/>
          <cell r="W1291" t="str">
            <v>김광록</v>
          </cell>
          <cell r="X1291" t="str">
            <v>(인)</v>
          </cell>
          <cell r="Y1291" t="str">
            <v>박순홍</v>
          </cell>
          <cell r="Z1291" t="str">
            <v>(인)</v>
          </cell>
          <cell r="AA1291" t="str">
            <v>박상갑</v>
          </cell>
          <cell r="AB1291" t="str">
            <v>(인)</v>
          </cell>
          <cell r="AC1291" t="str">
            <v>박기원</v>
          </cell>
          <cell r="AD1291" t="str">
            <v>(인)</v>
          </cell>
          <cell r="AE1291">
            <v>184.4</v>
          </cell>
          <cell r="AF1291" t="str">
            <v>표준</v>
          </cell>
          <cell r="AG1291">
            <v>2</v>
          </cell>
          <cell r="AH1291">
            <v>0</v>
          </cell>
        </row>
        <row r="1292">
          <cell r="G1292">
            <v>2410300601</v>
          </cell>
          <cell r="H1292" t="str">
            <v>107동</v>
          </cell>
          <cell r="I1292">
            <v>241030</v>
          </cell>
          <cell r="J1292" t="str">
            <v>107동 호이스트 주변 누름</v>
          </cell>
          <cell r="K1292">
            <v>10</v>
          </cell>
          <cell r="L1292">
            <v>10</v>
          </cell>
          <cell r="M1292">
            <v>1815</v>
          </cell>
          <cell r="N1292" t="str">
            <v>용호</v>
          </cell>
          <cell r="O1292" t="str">
            <v>펌프카(1대)</v>
          </cell>
          <cell r="P1292">
            <v>1600</v>
          </cell>
          <cell r="Q1292">
            <v>1642</v>
          </cell>
          <cell r="R1292">
            <v>160</v>
          </cell>
          <cell r="S1292">
            <v>42</v>
          </cell>
          <cell r="T1292">
            <v>11</v>
          </cell>
          <cell r="U1292">
            <v>229</v>
          </cell>
          <cell r="V1292"/>
          <cell r="W1292" t="str">
            <v>김광록</v>
          </cell>
          <cell r="X1292" t="str">
            <v>(인)</v>
          </cell>
          <cell r="Y1292" t="str">
            <v>박순홍</v>
          </cell>
          <cell r="Z1292" t="str">
            <v>(인)</v>
          </cell>
          <cell r="AA1292" t="str">
            <v>박상갑</v>
          </cell>
          <cell r="AB1292" t="str">
            <v>(인)</v>
          </cell>
          <cell r="AC1292" t="str">
            <v>박기원</v>
          </cell>
          <cell r="AD1292" t="str">
            <v>(인)</v>
          </cell>
          <cell r="AE1292">
            <v>177.5</v>
          </cell>
          <cell r="AF1292" t="str">
            <v>표준</v>
          </cell>
          <cell r="AG1292">
            <v>1</v>
          </cell>
          <cell r="AH1292">
            <v>1</v>
          </cell>
          <cell r="AI1292">
            <v>1647</v>
          </cell>
          <cell r="AJ1292">
            <v>1607</v>
          </cell>
          <cell r="AK1292">
            <v>122400</v>
          </cell>
          <cell r="AL1292">
            <v>2414</v>
          </cell>
          <cell r="AM1292">
            <v>2347</v>
          </cell>
          <cell r="AN1292">
            <v>2304</v>
          </cell>
          <cell r="AO1292">
            <v>2404</v>
          </cell>
          <cell r="AP1292">
            <v>2386</v>
          </cell>
          <cell r="AQ1292">
            <v>2310</v>
          </cell>
          <cell r="AR1292">
            <v>2404</v>
          </cell>
          <cell r="AS1292">
            <v>2390</v>
          </cell>
          <cell r="AT1292">
            <v>185800</v>
          </cell>
        </row>
        <row r="1293">
          <cell r="G1293">
            <v>2410310101</v>
          </cell>
          <cell r="H1293" t="str">
            <v>102동</v>
          </cell>
          <cell r="I1293">
            <v>241031</v>
          </cell>
          <cell r="J1293" t="str">
            <v>102동 11층 바닥</v>
          </cell>
          <cell r="K1293">
            <v>282</v>
          </cell>
          <cell r="L1293">
            <v>282</v>
          </cell>
          <cell r="M1293">
            <v>3018</v>
          </cell>
          <cell r="N1293" t="str">
            <v>용호</v>
          </cell>
          <cell r="O1293" t="str">
            <v>펌프카(1대)</v>
          </cell>
          <cell r="P1293">
            <v>804</v>
          </cell>
          <cell r="Q1293">
            <v>1135</v>
          </cell>
          <cell r="R1293">
            <v>190</v>
          </cell>
          <cell r="S1293">
            <v>53</v>
          </cell>
          <cell r="T1293">
            <v>71</v>
          </cell>
          <cell r="U1293">
            <v>192</v>
          </cell>
          <cell r="V1293"/>
          <cell r="W1293" t="str">
            <v>박순홍</v>
          </cell>
          <cell r="X1293" t="str">
            <v>(인)</v>
          </cell>
          <cell r="Y1293" t="str">
            <v>박순홍</v>
          </cell>
          <cell r="Z1293" t="str">
            <v>(인)</v>
          </cell>
          <cell r="AA1293" t="str">
            <v>박상갑</v>
          </cell>
          <cell r="AB1293" t="str">
            <v>(인)</v>
          </cell>
          <cell r="AC1293" t="str">
            <v>박기원</v>
          </cell>
          <cell r="AD1293" t="str">
            <v>(인)</v>
          </cell>
          <cell r="AE1293">
            <v>178.3</v>
          </cell>
          <cell r="AF1293" t="str">
            <v>표준</v>
          </cell>
          <cell r="AG1293">
            <v>1</v>
          </cell>
          <cell r="AH1293">
            <v>1</v>
          </cell>
          <cell r="AI1293">
            <v>2756</v>
          </cell>
          <cell r="AJ1293">
            <v>2806</v>
          </cell>
          <cell r="AK1293">
            <v>213200</v>
          </cell>
          <cell r="AL1293">
            <v>3875</v>
          </cell>
          <cell r="AM1293">
            <v>3829</v>
          </cell>
          <cell r="AN1293">
            <v>3830</v>
          </cell>
          <cell r="AO1293">
            <v>3904</v>
          </cell>
          <cell r="AP1293">
            <v>3742</v>
          </cell>
          <cell r="AQ1293">
            <v>3684</v>
          </cell>
          <cell r="AR1293">
            <v>3692</v>
          </cell>
          <cell r="AS1293">
            <v>3860</v>
          </cell>
          <cell r="AT1293">
            <v>303600</v>
          </cell>
        </row>
        <row r="1294">
          <cell r="G1294">
            <v>2410310102</v>
          </cell>
          <cell r="H1294" t="str">
            <v>102동</v>
          </cell>
          <cell r="I1294">
            <v>241031</v>
          </cell>
          <cell r="J1294" t="str">
            <v>102동 11층 바닥</v>
          </cell>
          <cell r="K1294">
            <v>282</v>
          </cell>
          <cell r="L1294">
            <v>282</v>
          </cell>
          <cell r="M1294">
            <v>3018</v>
          </cell>
          <cell r="N1294" t="str">
            <v>용호</v>
          </cell>
          <cell r="O1294" t="str">
            <v>펌프카(1대)</v>
          </cell>
          <cell r="P1294">
            <v>804</v>
          </cell>
          <cell r="Q1294">
            <v>1135</v>
          </cell>
          <cell r="R1294">
            <v>195</v>
          </cell>
          <cell r="S1294">
            <v>50</v>
          </cell>
          <cell r="T1294">
            <v>18</v>
          </cell>
          <cell r="U1294">
            <v>201</v>
          </cell>
          <cell r="V1294"/>
          <cell r="W1294" t="str">
            <v>박순홍</v>
          </cell>
          <cell r="X1294" t="str">
            <v>(인)</v>
          </cell>
          <cell r="Y1294" t="str">
            <v>박순홍</v>
          </cell>
          <cell r="Z1294" t="str">
            <v>(인)</v>
          </cell>
          <cell r="AA1294" t="str">
            <v>박상갑</v>
          </cell>
          <cell r="AB1294" t="str">
            <v>(인)</v>
          </cell>
          <cell r="AC1294" t="str">
            <v>박기원</v>
          </cell>
          <cell r="AD1294" t="str">
            <v>(인)</v>
          </cell>
          <cell r="AE1294">
            <v>185.3</v>
          </cell>
          <cell r="AF1294" t="str">
            <v>표준</v>
          </cell>
          <cell r="AG1294">
            <v>2</v>
          </cell>
          <cell r="AH1294">
            <v>0</v>
          </cell>
        </row>
        <row r="1295">
          <cell r="G1295">
            <v>2410310103</v>
          </cell>
          <cell r="H1295" t="str">
            <v>102동</v>
          </cell>
          <cell r="I1295">
            <v>241031</v>
          </cell>
          <cell r="J1295" t="str">
            <v>102동 11층 바닥</v>
          </cell>
          <cell r="K1295">
            <v>282</v>
          </cell>
          <cell r="L1295">
            <v>282</v>
          </cell>
          <cell r="M1295">
            <v>3018</v>
          </cell>
          <cell r="N1295" t="str">
            <v>용호</v>
          </cell>
          <cell r="O1295" t="str">
            <v>펌프카(1대)</v>
          </cell>
          <cell r="P1295">
            <v>804</v>
          </cell>
          <cell r="Q1295">
            <v>1135</v>
          </cell>
          <cell r="R1295">
            <v>200</v>
          </cell>
          <cell r="S1295">
            <v>47</v>
          </cell>
          <cell r="T1295">
            <v>27</v>
          </cell>
          <cell r="U1295">
            <v>207</v>
          </cell>
          <cell r="V1295"/>
          <cell r="W1295" t="str">
            <v>박순홍</v>
          </cell>
          <cell r="X1295" t="str">
            <v>(인)</v>
          </cell>
          <cell r="Y1295" t="str">
            <v>박순홍</v>
          </cell>
          <cell r="Z1295" t="str">
            <v>(인)</v>
          </cell>
          <cell r="AA1295" t="str">
            <v>박상갑</v>
          </cell>
          <cell r="AB1295" t="str">
            <v>(인)</v>
          </cell>
          <cell r="AC1295" t="str">
            <v>박기원</v>
          </cell>
          <cell r="AD1295" t="str">
            <v>(인)</v>
          </cell>
          <cell r="AE1295">
            <v>184.5</v>
          </cell>
          <cell r="AF1295" t="str">
            <v>표준</v>
          </cell>
          <cell r="AG1295">
            <v>3</v>
          </cell>
          <cell r="AH1295">
            <v>0</v>
          </cell>
        </row>
        <row r="1296">
          <cell r="G1296">
            <v>2410310201</v>
          </cell>
          <cell r="H1296" t="str">
            <v>111동</v>
          </cell>
          <cell r="I1296">
            <v>241031</v>
          </cell>
          <cell r="J1296" t="str">
            <v>111동 7층 바닥</v>
          </cell>
          <cell r="K1296">
            <v>275</v>
          </cell>
          <cell r="L1296">
            <v>275</v>
          </cell>
          <cell r="M1296">
            <v>3018</v>
          </cell>
          <cell r="N1296" t="str">
            <v>용호</v>
          </cell>
          <cell r="O1296" t="str">
            <v>펌프카(1대)</v>
          </cell>
          <cell r="P1296">
            <v>1145</v>
          </cell>
          <cell r="Q1296">
            <v>1604</v>
          </cell>
          <cell r="R1296">
            <v>190</v>
          </cell>
          <cell r="S1296">
            <v>50</v>
          </cell>
          <cell r="T1296">
            <v>15</v>
          </cell>
          <cell r="U1296">
            <v>221</v>
          </cell>
          <cell r="V1296"/>
          <cell r="W1296" t="str">
            <v>박순홍</v>
          </cell>
          <cell r="X1296" t="str">
            <v>(인)</v>
          </cell>
          <cell r="Y1296" t="str">
            <v>박순홍</v>
          </cell>
          <cell r="Z1296" t="str">
            <v>(인)</v>
          </cell>
          <cell r="AA1296" t="str">
            <v>박상갑</v>
          </cell>
          <cell r="AB1296" t="str">
            <v>(인)</v>
          </cell>
          <cell r="AC1296" t="str">
            <v>박기원</v>
          </cell>
          <cell r="AD1296" t="str">
            <v>(인)</v>
          </cell>
          <cell r="AE1296">
            <v>188.6</v>
          </cell>
          <cell r="AF1296" t="str">
            <v>표준</v>
          </cell>
          <cell r="AG1296">
            <v>1</v>
          </cell>
          <cell r="AH1296">
            <v>1</v>
          </cell>
          <cell r="AI1296">
            <v>2857</v>
          </cell>
          <cell r="AJ1296">
            <v>2794</v>
          </cell>
          <cell r="AK1296">
            <v>220000</v>
          </cell>
          <cell r="AL1296">
            <v>3672</v>
          </cell>
          <cell r="AM1296">
            <v>3700</v>
          </cell>
          <cell r="AN1296">
            <v>3714</v>
          </cell>
          <cell r="AO1296">
            <v>3688</v>
          </cell>
          <cell r="AP1296">
            <v>3709</v>
          </cell>
          <cell r="AQ1296">
            <v>3816</v>
          </cell>
          <cell r="AR1296">
            <v>3904</v>
          </cell>
          <cell r="AS1296">
            <v>3614</v>
          </cell>
          <cell r="AT1296">
            <v>290000</v>
          </cell>
        </row>
        <row r="1297">
          <cell r="G1297">
            <v>2410310202</v>
          </cell>
          <cell r="H1297" t="str">
            <v>111동</v>
          </cell>
          <cell r="I1297">
            <v>241031</v>
          </cell>
          <cell r="J1297" t="str">
            <v>111동 7층 바닥</v>
          </cell>
          <cell r="K1297">
            <v>275</v>
          </cell>
          <cell r="L1297">
            <v>275</v>
          </cell>
          <cell r="M1297">
            <v>3018</v>
          </cell>
          <cell r="N1297" t="str">
            <v>용호</v>
          </cell>
          <cell r="O1297" t="str">
            <v>펌프카(1대)</v>
          </cell>
          <cell r="P1297">
            <v>1145</v>
          </cell>
          <cell r="Q1297">
            <v>1604</v>
          </cell>
          <cell r="R1297">
            <v>195</v>
          </cell>
          <cell r="S1297">
            <v>48</v>
          </cell>
          <cell r="T1297">
            <v>16</v>
          </cell>
          <cell r="U1297">
            <v>215</v>
          </cell>
          <cell r="V1297"/>
          <cell r="W1297" t="str">
            <v>박순홍</v>
          </cell>
          <cell r="X1297" t="str">
            <v>(인)</v>
          </cell>
          <cell r="Y1297" t="str">
            <v>박순홍</v>
          </cell>
          <cell r="Z1297" t="str">
            <v>(인)</v>
          </cell>
          <cell r="AA1297" t="str">
            <v>박상갑</v>
          </cell>
          <cell r="AB1297" t="str">
            <v>(인)</v>
          </cell>
          <cell r="AC1297" t="str">
            <v>박기원</v>
          </cell>
          <cell r="AD1297" t="str">
            <v>(인)</v>
          </cell>
          <cell r="AE1297">
            <v>190.8</v>
          </cell>
          <cell r="AF1297" t="str">
            <v>표준</v>
          </cell>
          <cell r="AG1297">
            <v>2</v>
          </cell>
          <cell r="AH1297">
            <v>0</v>
          </cell>
        </row>
        <row r="1298">
          <cell r="G1298">
            <v>2410310203</v>
          </cell>
          <cell r="H1298" t="str">
            <v>111동</v>
          </cell>
          <cell r="I1298">
            <v>241031</v>
          </cell>
          <cell r="J1298" t="str">
            <v>111동 7층 바닥</v>
          </cell>
          <cell r="K1298">
            <v>275</v>
          </cell>
          <cell r="L1298">
            <v>275</v>
          </cell>
          <cell r="M1298">
            <v>3018</v>
          </cell>
          <cell r="N1298" t="str">
            <v>용호</v>
          </cell>
          <cell r="O1298" t="str">
            <v>펌프카(1대)</v>
          </cell>
          <cell r="P1298">
            <v>1145</v>
          </cell>
          <cell r="Q1298">
            <v>1604</v>
          </cell>
          <cell r="R1298">
            <v>200</v>
          </cell>
          <cell r="S1298">
            <v>46</v>
          </cell>
          <cell r="T1298">
            <v>19</v>
          </cell>
          <cell r="U1298">
            <v>222</v>
          </cell>
          <cell r="V1298"/>
          <cell r="W1298" t="str">
            <v>박순홍</v>
          </cell>
          <cell r="X1298" t="str">
            <v>(인)</v>
          </cell>
          <cell r="Y1298" t="str">
            <v>박순홍</v>
          </cell>
          <cell r="Z1298" t="str">
            <v>(인)</v>
          </cell>
          <cell r="AA1298" t="str">
            <v>박상갑</v>
          </cell>
          <cell r="AB1298" t="str">
            <v>(인)</v>
          </cell>
          <cell r="AC1298" t="str">
            <v>박기원</v>
          </cell>
          <cell r="AD1298" t="str">
            <v>(인)</v>
          </cell>
          <cell r="AE1298">
            <v>191.4</v>
          </cell>
          <cell r="AF1298" t="str">
            <v>표준</v>
          </cell>
          <cell r="AG1298">
            <v>3</v>
          </cell>
          <cell r="AH1298">
            <v>0</v>
          </cell>
        </row>
        <row r="1299">
          <cell r="G1299">
            <v>2410310301</v>
          </cell>
          <cell r="H1299" t="str">
            <v>6-4,6-5구간</v>
          </cell>
          <cell r="I1299">
            <v>241031</v>
          </cell>
          <cell r="J1299" t="str">
            <v>6-4, 6-5구간 주차장 지붕층</v>
          </cell>
          <cell r="K1299">
            <v>120</v>
          </cell>
          <cell r="L1299">
            <v>120</v>
          </cell>
          <cell r="M1299">
            <v>2715</v>
          </cell>
          <cell r="N1299" t="str">
            <v>쌍용</v>
          </cell>
          <cell r="O1299" t="str">
            <v>펌프카(1대)</v>
          </cell>
          <cell r="P1299">
            <v>1312</v>
          </cell>
          <cell r="Q1299">
            <v>1630</v>
          </cell>
          <cell r="R1299">
            <v>165</v>
          </cell>
          <cell r="S1299">
            <v>43</v>
          </cell>
          <cell r="T1299">
            <v>21</v>
          </cell>
          <cell r="U1299">
            <v>213</v>
          </cell>
          <cell r="V1299"/>
          <cell r="W1299" t="str">
            <v>박순홍</v>
          </cell>
          <cell r="X1299" t="str">
            <v>(인)</v>
          </cell>
          <cell r="Y1299" t="str">
            <v>박순홍</v>
          </cell>
          <cell r="Z1299" t="str">
            <v>(인)</v>
          </cell>
          <cell r="AA1299" t="str">
            <v>박상갑</v>
          </cell>
          <cell r="AB1299" t="str">
            <v>(인)</v>
          </cell>
          <cell r="AC1299" t="str">
            <v>박기원</v>
          </cell>
          <cell r="AD1299" t="str">
            <v>(인)</v>
          </cell>
          <cell r="AE1299">
            <v>184.6</v>
          </cell>
          <cell r="AF1299" t="str">
            <v>표준</v>
          </cell>
          <cell r="AG1299">
            <v>1</v>
          </cell>
          <cell r="AH1299">
            <v>1</v>
          </cell>
          <cell r="AI1299">
            <v>2217</v>
          </cell>
          <cell r="AJ1299">
            <v>2194</v>
          </cell>
          <cell r="AK1299">
            <v>177600</v>
          </cell>
          <cell r="AL1299">
            <v>3379</v>
          </cell>
          <cell r="AM1299">
            <v>3453</v>
          </cell>
          <cell r="AN1299">
            <v>3391</v>
          </cell>
          <cell r="AO1299">
            <v>3402</v>
          </cell>
          <cell r="AP1299">
            <v>3207</v>
          </cell>
          <cell r="AQ1299">
            <v>3219</v>
          </cell>
          <cell r="AR1299">
            <v>3304</v>
          </cell>
          <cell r="AS1299">
            <v>3264</v>
          </cell>
          <cell r="AT1299">
            <v>254600</v>
          </cell>
        </row>
        <row r="1300">
          <cell r="G1300">
            <v>2410310401</v>
          </cell>
          <cell r="H1300" t="str">
            <v>6-4,6-5구간</v>
          </cell>
          <cell r="I1300">
            <v>241031</v>
          </cell>
          <cell r="J1300" t="str">
            <v>6-4, 6-5구간 주차장 지붕층</v>
          </cell>
          <cell r="K1300">
            <v>18</v>
          </cell>
          <cell r="L1300">
            <v>18</v>
          </cell>
          <cell r="M1300">
            <v>2715</v>
          </cell>
          <cell r="N1300" t="str">
            <v>용호</v>
          </cell>
          <cell r="O1300" t="str">
            <v>펌프카(1대)</v>
          </cell>
          <cell r="P1300">
            <v>1630</v>
          </cell>
          <cell r="Q1300">
            <v>1644</v>
          </cell>
          <cell r="R1300">
            <v>170</v>
          </cell>
          <cell r="S1300">
            <v>40</v>
          </cell>
          <cell r="T1300">
            <v>33</v>
          </cell>
          <cell r="U1300">
            <v>215</v>
          </cell>
          <cell r="V1300"/>
          <cell r="W1300" t="str">
            <v>박순홍</v>
          </cell>
          <cell r="X1300" t="str">
            <v>(인)</v>
          </cell>
          <cell r="Y1300" t="str">
            <v>박순홍</v>
          </cell>
          <cell r="Z1300" t="str">
            <v>(인)</v>
          </cell>
          <cell r="AA1300" t="str">
            <v>박상갑</v>
          </cell>
          <cell r="AB1300" t="str">
            <v>(인)</v>
          </cell>
          <cell r="AC1300" t="str">
            <v>박기원</v>
          </cell>
          <cell r="AD1300" t="str">
            <v>(인)</v>
          </cell>
          <cell r="AE1300">
            <v>190.2</v>
          </cell>
          <cell r="AF1300" t="str">
            <v>표준</v>
          </cell>
          <cell r="AG1300">
            <v>1</v>
          </cell>
          <cell r="AH1300">
            <v>1</v>
          </cell>
          <cell r="AI1300">
            <v>2426</v>
          </cell>
          <cell r="AJ1300">
            <v>2429</v>
          </cell>
          <cell r="AK1300">
            <v>194800</v>
          </cell>
          <cell r="AL1300">
            <v>3343</v>
          </cell>
          <cell r="AM1300">
            <v>3292</v>
          </cell>
          <cell r="AN1300">
            <v>3307</v>
          </cell>
          <cell r="AO1300">
            <v>3206</v>
          </cell>
          <cell r="AP1300">
            <v>3304</v>
          </cell>
          <cell r="AQ1300">
            <v>3404</v>
          </cell>
          <cell r="AR1300">
            <v>3288</v>
          </cell>
          <cell r="AS1300">
            <v>3314</v>
          </cell>
          <cell r="AT1300">
            <v>262800</v>
          </cell>
        </row>
        <row r="1301">
          <cell r="G1301">
            <v>2410310501</v>
          </cell>
          <cell r="H1301" t="str">
            <v>109동</v>
          </cell>
          <cell r="I1301">
            <v>241031</v>
          </cell>
          <cell r="J1301" t="str">
            <v>109동 주변주차장 누름</v>
          </cell>
          <cell r="K1301">
            <v>54</v>
          </cell>
          <cell r="L1301">
            <v>54</v>
          </cell>
          <cell r="M1301">
            <v>1815</v>
          </cell>
          <cell r="N1301" t="str">
            <v>대공</v>
          </cell>
          <cell r="O1301" t="str">
            <v>펌프카(1대)</v>
          </cell>
          <cell r="P1301">
            <v>856</v>
          </cell>
          <cell r="Q1301">
            <v>1038</v>
          </cell>
          <cell r="R1301">
            <v>170</v>
          </cell>
          <cell r="S1301">
            <v>56</v>
          </cell>
          <cell r="T1301">
            <v>10</v>
          </cell>
          <cell r="U1301">
            <v>191</v>
          </cell>
          <cell r="V1301"/>
          <cell r="W1301" t="str">
            <v>김광록</v>
          </cell>
          <cell r="X1301" t="str">
            <v>(인)</v>
          </cell>
          <cell r="Y1301" t="str">
            <v>박순홍</v>
          </cell>
          <cell r="Z1301" t="str">
            <v>(인)</v>
          </cell>
          <cell r="AA1301" t="str">
            <v>박상갑</v>
          </cell>
          <cell r="AB1301" t="str">
            <v>(인)</v>
          </cell>
          <cell r="AC1301" t="str">
            <v>박기원</v>
          </cell>
          <cell r="AD1301" t="str">
            <v>(인)</v>
          </cell>
          <cell r="AE1301">
            <v>175.9</v>
          </cell>
          <cell r="AF1301" t="str">
            <v>표준</v>
          </cell>
          <cell r="AG1301">
            <v>1</v>
          </cell>
          <cell r="AH1301">
            <v>1</v>
          </cell>
          <cell r="AI1301">
            <v>1604</v>
          </cell>
          <cell r="AJ1301">
            <v>1602</v>
          </cell>
          <cell r="AK1301">
            <v>124800</v>
          </cell>
          <cell r="AL1301">
            <v>2355</v>
          </cell>
          <cell r="AM1301">
            <v>2330</v>
          </cell>
          <cell r="AN1301">
            <v>2302</v>
          </cell>
          <cell r="AO1301">
            <v>2317</v>
          </cell>
          <cell r="AP1301">
            <v>2306</v>
          </cell>
          <cell r="AQ1301">
            <v>2319</v>
          </cell>
          <cell r="AR1301">
            <v>2206</v>
          </cell>
          <cell r="AS1301">
            <v>2208</v>
          </cell>
          <cell r="AT1301">
            <v>181000</v>
          </cell>
        </row>
        <row r="1302">
          <cell r="G1302">
            <v>2411040101</v>
          </cell>
          <cell r="H1302" t="str">
            <v>107동</v>
          </cell>
          <cell r="I1302">
            <v>241104</v>
          </cell>
          <cell r="J1302" t="str">
            <v>107동 14층 바닥 및 103동 파라펫</v>
          </cell>
          <cell r="K1302">
            <v>300</v>
          </cell>
          <cell r="L1302">
            <v>300</v>
          </cell>
          <cell r="M1302">
            <v>3018</v>
          </cell>
          <cell r="N1302" t="str">
            <v>한진</v>
          </cell>
          <cell r="O1302" t="str">
            <v>펌프카(1대)</v>
          </cell>
          <cell r="P1302">
            <v>821</v>
          </cell>
          <cell r="Q1302">
            <v>1529</v>
          </cell>
          <cell r="R1302">
            <v>195</v>
          </cell>
          <cell r="S1302">
            <v>40</v>
          </cell>
          <cell r="T1302">
            <v>119</v>
          </cell>
          <cell r="U1302">
            <v>207</v>
          </cell>
          <cell r="V1302"/>
          <cell r="W1302" t="str">
            <v>김광록</v>
          </cell>
          <cell r="X1302" t="str">
            <v>(인)</v>
          </cell>
          <cell r="Y1302" t="str">
            <v>박순홍</v>
          </cell>
          <cell r="Z1302" t="str">
            <v>(인)</v>
          </cell>
          <cell r="AA1302" t="str">
            <v>이홍걸</v>
          </cell>
          <cell r="AB1302" t="str">
            <v>(인)</v>
          </cell>
          <cell r="AC1302" t="str">
            <v>박상갑</v>
          </cell>
          <cell r="AD1302" t="str">
            <v>(인)</v>
          </cell>
          <cell r="AE1302">
            <v>182.9</v>
          </cell>
          <cell r="AF1302" t="str">
            <v>동절기</v>
          </cell>
          <cell r="AG1302">
            <v>1</v>
          </cell>
          <cell r="AH1302">
            <v>1</v>
          </cell>
          <cell r="AI1302">
            <v>2740</v>
          </cell>
          <cell r="AJ1302">
            <v>2701</v>
          </cell>
          <cell r="AK1302">
            <v>209200</v>
          </cell>
          <cell r="AL1302">
            <v>3768</v>
          </cell>
          <cell r="AM1302">
            <v>3733</v>
          </cell>
          <cell r="AN1302">
            <v>3692</v>
          </cell>
          <cell r="AO1302">
            <v>3714</v>
          </cell>
          <cell r="AP1302">
            <v>3690</v>
          </cell>
          <cell r="AQ1302">
            <v>3801</v>
          </cell>
          <cell r="AR1302">
            <v>3714</v>
          </cell>
          <cell r="AS1302">
            <v>3762</v>
          </cell>
          <cell r="AT1302">
            <v>296200</v>
          </cell>
        </row>
        <row r="1303">
          <cell r="G1303">
            <v>2411040102</v>
          </cell>
          <cell r="H1303" t="str">
            <v>107동</v>
          </cell>
          <cell r="I1303">
            <v>241104</v>
          </cell>
          <cell r="J1303" t="str">
            <v>107동 14층 바닥 및 103동 파라펫</v>
          </cell>
          <cell r="K1303">
            <v>300</v>
          </cell>
          <cell r="L1303">
            <v>300</v>
          </cell>
          <cell r="M1303">
            <v>3018</v>
          </cell>
          <cell r="N1303" t="str">
            <v>한진</v>
          </cell>
          <cell r="O1303" t="str">
            <v>펌프카(1대)</v>
          </cell>
          <cell r="P1303">
            <v>821</v>
          </cell>
          <cell r="Q1303">
            <v>1529</v>
          </cell>
          <cell r="R1303">
            <v>200</v>
          </cell>
          <cell r="S1303">
            <v>42</v>
          </cell>
          <cell r="T1303">
            <v>40</v>
          </cell>
          <cell r="U1303">
            <v>196</v>
          </cell>
          <cell r="V1303"/>
          <cell r="W1303" t="str">
            <v>김광록</v>
          </cell>
          <cell r="X1303" t="str">
            <v>(인)</v>
          </cell>
          <cell r="Y1303" t="str">
            <v>박순홍</v>
          </cell>
          <cell r="Z1303" t="str">
            <v>(인)</v>
          </cell>
          <cell r="AA1303" t="str">
            <v>이홍걸</v>
          </cell>
          <cell r="AB1303" t="str">
            <v>(인)</v>
          </cell>
          <cell r="AC1303" t="str">
            <v>박상갑</v>
          </cell>
          <cell r="AD1303" t="str">
            <v>(인)</v>
          </cell>
          <cell r="AE1303">
            <v>181.8</v>
          </cell>
          <cell r="AF1303" t="str">
            <v>동절기</v>
          </cell>
          <cell r="AG1303">
            <v>2</v>
          </cell>
          <cell r="AH1303">
            <v>0</v>
          </cell>
        </row>
        <row r="1304">
          <cell r="G1304">
            <v>2411040103</v>
          </cell>
          <cell r="H1304" t="str">
            <v>107동</v>
          </cell>
          <cell r="I1304">
            <v>241104</v>
          </cell>
          <cell r="J1304" t="str">
            <v>107동 14층 바닥 및 103동 파라펫</v>
          </cell>
          <cell r="K1304">
            <v>300</v>
          </cell>
          <cell r="L1304">
            <v>300</v>
          </cell>
          <cell r="M1304">
            <v>3018</v>
          </cell>
          <cell r="N1304" t="str">
            <v>한진</v>
          </cell>
          <cell r="O1304" t="str">
            <v>펌프카(1대)</v>
          </cell>
          <cell r="P1304">
            <v>821</v>
          </cell>
          <cell r="Q1304">
            <v>1529</v>
          </cell>
          <cell r="R1304">
            <v>190</v>
          </cell>
          <cell r="S1304">
            <v>44</v>
          </cell>
          <cell r="T1304">
            <v>52</v>
          </cell>
          <cell r="U1304">
            <v>204</v>
          </cell>
          <cell r="V1304"/>
          <cell r="W1304" t="str">
            <v>김광록</v>
          </cell>
          <cell r="X1304" t="str">
            <v>(인)</v>
          </cell>
          <cell r="Y1304" t="str">
            <v>박순홍</v>
          </cell>
          <cell r="Z1304" t="str">
            <v>(인)</v>
          </cell>
          <cell r="AA1304" t="str">
            <v>이홍걸</v>
          </cell>
          <cell r="AB1304" t="str">
            <v>(인)</v>
          </cell>
          <cell r="AC1304" t="str">
            <v>박상갑</v>
          </cell>
          <cell r="AD1304" t="str">
            <v>(인)</v>
          </cell>
          <cell r="AE1304">
            <v>183.2</v>
          </cell>
          <cell r="AF1304" t="str">
            <v>동절기</v>
          </cell>
          <cell r="AG1304">
            <v>3</v>
          </cell>
          <cell r="AH1304">
            <v>0</v>
          </cell>
        </row>
        <row r="1305">
          <cell r="G1305">
            <v>2411040201</v>
          </cell>
          <cell r="H1305" t="str">
            <v>116동</v>
          </cell>
          <cell r="I1305">
            <v>241104</v>
          </cell>
          <cell r="J1305" t="str">
            <v>116동 1차</v>
          </cell>
          <cell r="K1305">
            <v>262</v>
          </cell>
          <cell r="L1305">
            <v>262</v>
          </cell>
          <cell r="M1305">
            <v>3015</v>
          </cell>
          <cell r="N1305" t="str">
            <v>영진</v>
          </cell>
          <cell r="O1305" t="str">
            <v>펌프카(1대)</v>
          </cell>
          <cell r="P1305">
            <v>730</v>
          </cell>
          <cell r="Q1305">
            <v>1112</v>
          </cell>
          <cell r="R1305">
            <v>150</v>
          </cell>
          <cell r="S1305">
            <v>45</v>
          </cell>
          <cell r="T1305">
            <v>90</v>
          </cell>
          <cell r="U1305">
            <v>152</v>
          </cell>
          <cell r="V1305"/>
          <cell r="W1305" t="str">
            <v>김광록</v>
          </cell>
          <cell r="X1305" t="str">
            <v>(인)</v>
          </cell>
          <cell r="Y1305" t="str">
            <v>박순홍</v>
          </cell>
          <cell r="Z1305" t="str">
            <v>(인)</v>
          </cell>
          <cell r="AA1305" t="str">
            <v>이홍걸</v>
          </cell>
          <cell r="AB1305" t="str">
            <v>(인)</v>
          </cell>
          <cell r="AC1305" t="str">
            <v>박상갑</v>
          </cell>
          <cell r="AD1305" t="str">
            <v>(인)</v>
          </cell>
          <cell r="AE1305">
            <v>174.2</v>
          </cell>
          <cell r="AF1305" t="str">
            <v>동절기</v>
          </cell>
          <cell r="AG1305">
            <v>1</v>
          </cell>
          <cell r="AH1305">
            <v>1</v>
          </cell>
          <cell r="AI1305">
            <v>2727</v>
          </cell>
          <cell r="AJ1305">
            <v>2706</v>
          </cell>
          <cell r="AK1305">
            <v>214600</v>
          </cell>
          <cell r="AL1305">
            <v>3839</v>
          </cell>
          <cell r="AM1305">
            <v>3796</v>
          </cell>
          <cell r="AN1305">
            <v>3812</v>
          </cell>
          <cell r="AO1305">
            <v>3904</v>
          </cell>
          <cell r="AP1305">
            <v>3866</v>
          </cell>
          <cell r="AQ1305">
            <v>3729</v>
          </cell>
          <cell r="AR1305">
            <v>3804</v>
          </cell>
          <cell r="AS1305">
            <v>3902</v>
          </cell>
          <cell r="AT1305">
            <v>295600</v>
          </cell>
        </row>
        <row r="1306">
          <cell r="G1306">
            <v>2411040202</v>
          </cell>
          <cell r="H1306" t="str">
            <v>116동</v>
          </cell>
          <cell r="I1306">
            <v>241104</v>
          </cell>
          <cell r="J1306" t="str">
            <v>116동 1차</v>
          </cell>
          <cell r="K1306">
            <v>262</v>
          </cell>
          <cell r="L1306">
            <v>262</v>
          </cell>
          <cell r="M1306">
            <v>3015</v>
          </cell>
          <cell r="N1306" t="str">
            <v>영진</v>
          </cell>
          <cell r="O1306" t="str">
            <v>펌프카(1대)</v>
          </cell>
          <cell r="P1306">
            <v>730</v>
          </cell>
          <cell r="Q1306">
            <v>1112</v>
          </cell>
          <cell r="R1306">
            <v>160</v>
          </cell>
          <cell r="S1306">
            <v>46</v>
          </cell>
          <cell r="T1306">
            <v>67</v>
          </cell>
          <cell r="U1306">
            <v>189</v>
          </cell>
          <cell r="V1306"/>
          <cell r="W1306" t="str">
            <v>김광록</v>
          </cell>
          <cell r="X1306" t="str">
            <v>(인)</v>
          </cell>
          <cell r="Y1306" t="str">
            <v>박순홍</v>
          </cell>
          <cell r="Z1306" t="str">
            <v>(인)</v>
          </cell>
          <cell r="AA1306" t="str">
            <v>이홍걸</v>
          </cell>
          <cell r="AB1306" t="str">
            <v>(인)</v>
          </cell>
          <cell r="AC1306" t="str">
            <v>박상갑</v>
          </cell>
          <cell r="AD1306" t="str">
            <v>(인)</v>
          </cell>
          <cell r="AE1306">
            <v>172.6</v>
          </cell>
          <cell r="AF1306" t="str">
            <v>동절기</v>
          </cell>
          <cell r="AG1306">
            <v>2</v>
          </cell>
          <cell r="AH1306">
            <v>0</v>
          </cell>
        </row>
        <row r="1307">
          <cell r="G1307">
            <v>2411040203</v>
          </cell>
          <cell r="H1307" t="str">
            <v>116동</v>
          </cell>
          <cell r="I1307">
            <v>241104</v>
          </cell>
          <cell r="J1307" t="str">
            <v>116동 1차</v>
          </cell>
          <cell r="K1307">
            <v>262</v>
          </cell>
          <cell r="L1307">
            <v>262</v>
          </cell>
          <cell r="M1307">
            <v>3015</v>
          </cell>
          <cell r="N1307" t="str">
            <v>영진</v>
          </cell>
          <cell r="O1307" t="str">
            <v>펌프카(1대)</v>
          </cell>
          <cell r="P1307">
            <v>730</v>
          </cell>
          <cell r="Q1307">
            <v>1112</v>
          </cell>
          <cell r="R1307">
            <v>160</v>
          </cell>
          <cell r="S1307">
            <v>49</v>
          </cell>
          <cell r="T1307">
            <v>56</v>
          </cell>
          <cell r="U1307">
            <v>200</v>
          </cell>
          <cell r="V1307"/>
          <cell r="W1307" t="str">
            <v>김광록</v>
          </cell>
          <cell r="X1307" t="str">
            <v>(인)</v>
          </cell>
          <cell r="Y1307" t="str">
            <v>박순홍</v>
          </cell>
          <cell r="Z1307" t="str">
            <v>(인)</v>
          </cell>
          <cell r="AA1307" t="str">
            <v>이홍걸</v>
          </cell>
          <cell r="AB1307" t="str">
            <v>(인)</v>
          </cell>
          <cell r="AC1307" t="str">
            <v>박상갑</v>
          </cell>
          <cell r="AD1307" t="str">
            <v>(인)</v>
          </cell>
          <cell r="AE1307">
            <v>176.1</v>
          </cell>
          <cell r="AF1307" t="str">
            <v>동절기</v>
          </cell>
          <cell r="AG1307">
            <v>3</v>
          </cell>
          <cell r="AH1307">
            <v>0</v>
          </cell>
        </row>
        <row r="1308">
          <cell r="G1308">
            <v>2411040301</v>
          </cell>
          <cell r="H1308" t="str">
            <v>116동</v>
          </cell>
          <cell r="I1308">
            <v>241104</v>
          </cell>
          <cell r="J1308" t="str">
            <v>116동 1차</v>
          </cell>
          <cell r="K1308">
            <v>360</v>
          </cell>
          <cell r="L1308">
            <v>365</v>
          </cell>
          <cell r="M1308">
            <v>2715</v>
          </cell>
          <cell r="N1308" t="str">
            <v>영진</v>
          </cell>
          <cell r="O1308" t="str">
            <v>펌프카(1대)</v>
          </cell>
          <cell r="P1308">
            <v>1320</v>
          </cell>
          <cell r="Q1308">
            <v>1740</v>
          </cell>
          <cell r="R1308">
            <v>150</v>
          </cell>
          <cell r="S1308">
            <v>51</v>
          </cell>
          <cell r="T1308">
            <v>39</v>
          </cell>
          <cell r="U1308">
            <v>216</v>
          </cell>
          <cell r="V1308"/>
          <cell r="W1308" t="str">
            <v>김광록</v>
          </cell>
          <cell r="X1308" t="str">
            <v>(인)</v>
          </cell>
          <cell r="Y1308" t="str">
            <v>박순홍</v>
          </cell>
          <cell r="Z1308" t="str">
            <v>(인)</v>
          </cell>
          <cell r="AA1308" t="str">
            <v>박기원</v>
          </cell>
          <cell r="AB1308" t="str">
            <v>(인)</v>
          </cell>
          <cell r="AC1308" t="str">
            <v>박상갑</v>
          </cell>
          <cell r="AD1308" t="str">
            <v>(인)</v>
          </cell>
          <cell r="AE1308">
            <v>178.6</v>
          </cell>
          <cell r="AF1308" t="str">
            <v>동절기</v>
          </cell>
          <cell r="AG1308">
            <v>1</v>
          </cell>
          <cell r="AH1308">
            <v>1</v>
          </cell>
          <cell r="AI1308">
            <v>2414</v>
          </cell>
          <cell r="AJ1308">
            <v>2319</v>
          </cell>
          <cell r="AK1308">
            <v>187600</v>
          </cell>
          <cell r="AL1308">
            <v>3338</v>
          </cell>
          <cell r="AM1308">
            <v>3290</v>
          </cell>
          <cell r="AN1308">
            <v>3272</v>
          </cell>
          <cell r="AO1308">
            <v>3304</v>
          </cell>
          <cell r="AP1308">
            <v>3204</v>
          </cell>
          <cell r="AQ1308">
            <v>3296</v>
          </cell>
          <cell r="AR1308">
            <v>3301</v>
          </cell>
          <cell r="AS1308">
            <v>3406</v>
          </cell>
          <cell r="AT1308">
            <v>259400</v>
          </cell>
        </row>
        <row r="1309">
          <cell r="G1309">
            <v>2411040302</v>
          </cell>
          <cell r="H1309" t="str">
            <v>116동</v>
          </cell>
          <cell r="I1309">
            <v>241104</v>
          </cell>
          <cell r="J1309" t="str">
            <v>116동 1차</v>
          </cell>
          <cell r="K1309">
            <v>360</v>
          </cell>
          <cell r="L1309">
            <v>365</v>
          </cell>
          <cell r="M1309">
            <v>2715</v>
          </cell>
          <cell r="N1309" t="str">
            <v>영진</v>
          </cell>
          <cell r="O1309" t="str">
            <v>펌프카(1대)</v>
          </cell>
          <cell r="P1309">
            <v>1320</v>
          </cell>
          <cell r="Q1309">
            <v>1740</v>
          </cell>
          <cell r="R1309">
            <v>160</v>
          </cell>
          <cell r="S1309">
            <v>45</v>
          </cell>
          <cell r="T1309">
            <v>38</v>
          </cell>
          <cell r="U1309">
            <v>210</v>
          </cell>
          <cell r="V1309"/>
          <cell r="W1309" t="str">
            <v>김광록</v>
          </cell>
          <cell r="X1309" t="str">
            <v>(인)</v>
          </cell>
          <cell r="Y1309" t="str">
            <v>박순홍</v>
          </cell>
          <cell r="Z1309" t="str">
            <v>(인)</v>
          </cell>
          <cell r="AA1309" t="str">
            <v>박기원</v>
          </cell>
          <cell r="AB1309" t="str">
            <v>(인)</v>
          </cell>
          <cell r="AC1309" t="str">
            <v>박상갑</v>
          </cell>
          <cell r="AD1309" t="str">
            <v>(인)</v>
          </cell>
          <cell r="AE1309">
            <v>179.1</v>
          </cell>
          <cell r="AF1309" t="str">
            <v>동절기</v>
          </cell>
          <cell r="AG1309">
            <v>2</v>
          </cell>
          <cell r="AH1309">
            <v>0</v>
          </cell>
        </row>
        <row r="1310">
          <cell r="G1310">
            <v>2411040303</v>
          </cell>
          <cell r="H1310" t="str">
            <v>116동</v>
          </cell>
          <cell r="I1310">
            <v>241104</v>
          </cell>
          <cell r="J1310" t="str">
            <v>116동 1차</v>
          </cell>
          <cell r="K1310">
            <v>360</v>
          </cell>
          <cell r="L1310">
            <v>365</v>
          </cell>
          <cell r="M1310">
            <v>2715</v>
          </cell>
          <cell r="N1310" t="str">
            <v>영진</v>
          </cell>
          <cell r="O1310" t="str">
            <v>펌프카(1대)</v>
          </cell>
          <cell r="P1310">
            <v>1320</v>
          </cell>
          <cell r="Q1310">
            <v>1740</v>
          </cell>
          <cell r="R1310">
            <v>170</v>
          </cell>
          <cell r="S1310">
            <v>47</v>
          </cell>
          <cell r="T1310">
            <v>32</v>
          </cell>
          <cell r="U1310">
            <v>224</v>
          </cell>
          <cell r="V1310"/>
          <cell r="W1310" t="str">
            <v>김광록</v>
          </cell>
          <cell r="X1310" t="str">
            <v>(인)</v>
          </cell>
          <cell r="Y1310" t="str">
            <v>박순홍</v>
          </cell>
          <cell r="Z1310" t="str">
            <v>(인)</v>
          </cell>
          <cell r="AA1310" t="str">
            <v>박기원</v>
          </cell>
          <cell r="AB1310" t="str">
            <v>(인)</v>
          </cell>
          <cell r="AC1310" t="str">
            <v>박상갑</v>
          </cell>
          <cell r="AD1310" t="str">
            <v>(인)</v>
          </cell>
          <cell r="AE1310">
            <v>179.2</v>
          </cell>
          <cell r="AF1310" t="str">
            <v>동절기</v>
          </cell>
          <cell r="AG1310">
            <v>3</v>
          </cell>
          <cell r="AH1310">
            <v>0</v>
          </cell>
        </row>
        <row r="1311">
          <cell r="G1311">
            <v>2411040304</v>
          </cell>
          <cell r="H1311" t="str">
            <v>116동</v>
          </cell>
          <cell r="I1311">
            <v>241104</v>
          </cell>
          <cell r="J1311" t="str">
            <v>116동 1차</v>
          </cell>
          <cell r="K1311">
            <v>360</v>
          </cell>
          <cell r="L1311">
            <v>365</v>
          </cell>
          <cell r="M1311">
            <v>3018</v>
          </cell>
          <cell r="N1311" t="str">
            <v>영진</v>
          </cell>
          <cell r="O1311" t="str">
            <v>펌프카(1대)</v>
          </cell>
          <cell r="P1311">
            <v>1320</v>
          </cell>
          <cell r="Q1311">
            <v>835</v>
          </cell>
          <cell r="R1311">
            <v>175</v>
          </cell>
          <cell r="S1311">
            <v>50</v>
          </cell>
          <cell r="T1311">
            <v>38</v>
          </cell>
          <cell r="U1311">
            <v>215</v>
          </cell>
          <cell r="V1311"/>
          <cell r="W1311" t="str">
            <v>김광록</v>
          </cell>
          <cell r="X1311" t="str">
            <v>(인)</v>
          </cell>
          <cell r="Y1311" t="str">
            <v>박순홍</v>
          </cell>
          <cell r="Z1311" t="str">
            <v>(인)</v>
          </cell>
          <cell r="AA1311" t="str">
            <v>박기원</v>
          </cell>
          <cell r="AB1311" t="str">
            <v>(인)</v>
          </cell>
          <cell r="AC1311" t="str">
            <v>박상갑</v>
          </cell>
          <cell r="AD1311" t="str">
            <v>(인)</v>
          </cell>
          <cell r="AE1311">
            <v>179.3</v>
          </cell>
          <cell r="AF1311" t="str">
            <v>동절기</v>
          </cell>
          <cell r="AG1311">
            <v>4</v>
          </cell>
          <cell r="AH1311">
            <v>1</v>
          </cell>
          <cell r="AL1311">
            <v>3272</v>
          </cell>
          <cell r="AM1311">
            <v>3251</v>
          </cell>
          <cell r="AN1311">
            <v>3219</v>
          </cell>
          <cell r="AO1311">
            <v>3301</v>
          </cell>
          <cell r="AP1311">
            <v>3404</v>
          </cell>
          <cell r="AQ1311">
            <v>3329</v>
          </cell>
          <cell r="AR1311">
            <v>3319</v>
          </cell>
          <cell r="AS1311">
            <v>3304</v>
          </cell>
          <cell r="AT1311">
            <v>263600</v>
          </cell>
        </row>
        <row r="1312">
          <cell r="G1312">
            <v>2411040401</v>
          </cell>
          <cell r="H1312" t="str">
            <v>H-1구간</v>
          </cell>
          <cell r="I1312">
            <v>241104</v>
          </cell>
          <cell r="J1312" t="str">
            <v>H-1구간 지하2층</v>
          </cell>
          <cell r="K1312">
            <v>60</v>
          </cell>
          <cell r="L1312">
            <v>60</v>
          </cell>
          <cell r="M1312">
            <v>2715</v>
          </cell>
          <cell r="N1312" t="str">
            <v>한진</v>
          </cell>
          <cell r="O1312" t="str">
            <v>펌프카(1대)</v>
          </cell>
          <cell r="P1312">
            <v>1358</v>
          </cell>
          <cell r="Q1312">
            <v>1619</v>
          </cell>
          <cell r="R1312">
            <v>160</v>
          </cell>
          <cell r="S1312">
            <v>42</v>
          </cell>
          <cell r="T1312">
            <v>35</v>
          </cell>
          <cell r="U1312">
            <v>22.1</v>
          </cell>
          <cell r="V1312"/>
          <cell r="W1312" t="str">
            <v>김광록</v>
          </cell>
          <cell r="X1312" t="str">
            <v>(인)</v>
          </cell>
          <cell r="Y1312" t="str">
            <v>박순홍</v>
          </cell>
          <cell r="Z1312" t="str">
            <v>(인)</v>
          </cell>
          <cell r="AA1312" t="str">
            <v>박기원</v>
          </cell>
          <cell r="AB1312" t="str">
            <v>(인)</v>
          </cell>
          <cell r="AC1312" t="str">
            <v>박상갑</v>
          </cell>
          <cell r="AD1312" t="str">
            <v>(인)</v>
          </cell>
          <cell r="AE1312">
            <v>178.6</v>
          </cell>
          <cell r="AF1312" t="str">
            <v>동절기</v>
          </cell>
          <cell r="AG1312">
            <v>1</v>
          </cell>
          <cell r="AH1312">
            <v>1</v>
          </cell>
          <cell r="AI1312">
            <v>2363</v>
          </cell>
          <cell r="AJ1312">
            <v>2309</v>
          </cell>
          <cell r="AK1312">
            <v>179400</v>
          </cell>
          <cell r="AL1312">
            <v>3287</v>
          </cell>
          <cell r="AM1312">
            <v>3244</v>
          </cell>
          <cell r="AN1312">
            <v>3302</v>
          </cell>
          <cell r="AO1312">
            <v>3219</v>
          </cell>
          <cell r="AP1312">
            <v>3304</v>
          </cell>
          <cell r="AQ1312">
            <v>3327</v>
          </cell>
          <cell r="AR1312">
            <v>3402</v>
          </cell>
          <cell r="AS1312">
            <v>3199</v>
          </cell>
          <cell r="AT1312">
            <v>261600</v>
          </cell>
        </row>
        <row r="1313">
          <cell r="G1313">
            <v>2411050101</v>
          </cell>
          <cell r="H1313" t="str">
            <v>103동</v>
          </cell>
          <cell r="I1313">
            <v>241105</v>
          </cell>
          <cell r="J1313" t="str">
            <v>103동 옥탑1</v>
          </cell>
          <cell r="K1313">
            <v>30</v>
          </cell>
          <cell r="L1313">
            <v>30</v>
          </cell>
          <cell r="M1313">
            <v>3018</v>
          </cell>
          <cell r="N1313" t="str">
            <v>대공</v>
          </cell>
          <cell r="O1313" t="str">
            <v>펌프카(1대)</v>
          </cell>
          <cell r="P1313">
            <v>805</v>
          </cell>
          <cell r="Q1313">
            <v>835</v>
          </cell>
          <cell r="R1313">
            <v>200</v>
          </cell>
          <cell r="S1313">
            <v>50</v>
          </cell>
          <cell r="T1313">
            <v>8.7999999999999995E-2</v>
          </cell>
          <cell r="U1313">
            <v>191</v>
          </cell>
          <cell r="V1313"/>
          <cell r="W1313" t="str">
            <v>박순홍</v>
          </cell>
          <cell r="X1313" t="str">
            <v>(인)</v>
          </cell>
          <cell r="Y1313" t="str">
            <v>박순홍</v>
          </cell>
          <cell r="Z1313" t="str">
            <v>(인)</v>
          </cell>
          <cell r="AA1313" t="str">
            <v>박기원</v>
          </cell>
          <cell r="AB1313" t="str">
            <v>(인)</v>
          </cell>
          <cell r="AC1313" t="str">
            <v>박상갑</v>
          </cell>
          <cell r="AD1313" t="str">
            <v>(인)</v>
          </cell>
          <cell r="AE1313">
            <v>179.2</v>
          </cell>
          <cell r="AF1313" t="str">
            <v>동절기</v>
          </cell>
          <cell r="AG1313">
            <v>1</v>
          </cell>
          <cell r="AH1313">
            <v>1</v>
          </cell>
          <cell r="AI1313">
            <v>2826</v>
          </cell>
          <cell r="AJ1313">
            <v>2694</v>
          </cell>
          <cell r="AK1313">
            <v>2678</v>
          </cell>
          <cell r="AL1313">
            <v>3834</v>
          </cell>
          <cell r="AM1313">
            <v>3758</v>
          </cell>
          <cell r="AN1313">
            <v>3709</v>
          </cell>
          <cell r="AO1313">
            <v>3814</v>
          </cell>
          <cell r="AP1313">
            <v>3902</v>
          </cell>
          <cell r="AQ1313">
            <v>3817</v>
          </cell>
          <cell r="AR1313">
            <v>3862</v>
          </cell>
          <cell r="AS1313">
            <v>3790</v>
          </cell>
          <cell r="AT1313">
            <v>269000</v>
          </cell>
        </row>
        <row r="1314">
          <cell r="G1314">
            <v>2411050201</v>
          </cell>
          <cell r="H1314" t="str">
            <v>106동, 107동</v>
          </cell>
          <cell r="I1314">
            <v>241105</v>
          </cell>
          <cell r="J1314" t="str">
            <v>6~7동 사이 주차장</v>
          </cell>
          <cell r="K1314">
            <v>370</v>
          </cell>
          <cell r="L1314">
            <v>371</v>
          </cell>
          <cell r="M1314">
            <v>2715</v>
          </cell>
          <cell r="N1314" t="str">
            <v>대공</v>
          </cell>
          <cell r="O1314" t="str">
            <v>펌프카(1대)</v>
          </cell>
          <cell r="P1314">
            <v>1000</v>
          </cell>
          <cell r="Q1314">
            <v>1620</v>
          </cell>
          <cell r="R1314">
            <v>160</v>
          </cell>
          <cell r="S1314">
            <v>42</v>
          </cell>
          <cell r="T1314">
            <v>35</v>
          </cell>
          <cell r="U1314">
            <v>221</v>
          </cell>
          <cell r="V1314"/>
          <cell r="W1314" t="str">
            <v>김광록</v>
          </cell>
          <cell r="X1314" t="str">
            <v>(인)</v>
          </cell>
          <cell r="Y1314" t="str">
            <v>박순홍</v>
          </cell>
          <cell r="Z1314" t="str">
            <v>(인)</v>
          </cell>
          <cell r="AA1314" t="str">
            <v>박기원</v>
          </cell>
          <cell r="AB1314" t="str">
            <v>(인)</v>
          </cell>
          <cell r="AC1314" t="str">
            <v>박상갑</v>
          </cell>
          <cell r="AD1314" t="str">
            <v>(인)</v>
          </cell>
          <cell r="AE1314">
            <v>178.6</v>
          </cell>
          <cell r="AF1314" t="str">
            <v>동절기</v>
          </cell>
          <cell r="AG1314">
            <v>1</v>
          </cell>
          <cell r="AH1314">
            <v>1</v>
          </cell>
          <cell r="AI1314">
            <v>2435</v>
          </cell>
          <cell r="AJ1314">
            <v>2442</v>
          </cell>
          <cell r="AK1314">
            <v>204200</v>
          </cell>
          <cell r="AL1314">
            <v>3478</v>
          </cell>
          <cell r="AM1314">
            <v>3473</v>
          </cell>
          <cell r="AN1314">
            <v>3402</v>
          </cell>
          <cell r="AO1314">
            <v>3394</v>
          </cell>
          <cell r="AP1314">
            <v>3382</v>
          </cell>
          <cell r="AQ1314">
            <v>3302</v>
          </cell>
          <cell r="AR1314">
            <v>3410</v>
          </cell>
          <cell r="AS1314">
            <v>3304</v>
          </cell>
          <cell r="AT1314">
            <v>264200</v>
          </cell>
        </row>
        <row r="1315">
          <cell r="G1315">
            <v>2411050202</v>
          </cell>
          <cell r="H1315" t="str">
            <v>106동, 107동</v>
          </cell>
          <cell r="I1315">
            <v>241105</v>
          </cell>
          <cell r="J1315" t="str">
            <v>6~7동 사이 주차장</v>
          </cell>
          <cell r="K1315">
            <v>370</v>
          </cell>
          <cell r="L1315">
            <v>371</v>
          </cell>
          <cell r="M1315">
            <v>2715</v>
          </cell>
          <cell r="N1315" t="str">
            <v>대공</v>
          </cell>
          <cell r="O1315" t="str">
            <v>펌프카(1대)</v>
          </cell>
          <cell r="P1315">
            <v>1000</v>
          </cell>
          <cell r="Q1315">
            <v>1620</v>
          </cell>
          <cell r="R1315">
            <v>200</v>
          </cell>
          <cell r="S1315">
            <v>52</v>
          </cell>
          <cell r="T1315">
            <v>88</v>
          </cell>
          <cell r="U1315">
            <v>191</v>
          </cell>
          <cell r="V1315"/>
          <cell r="W1315" t="str">
            <v>박순홍</v>
          </cell>
          <cell r="X1315" t="str">
            <v>(인)</v>
          </cell>
          <cell r="Y1315" t="str">
            <v>박순홍</v>
          </cell>
          <cell r="Z1315" t="str">
            <v>(인)</v>
          </cell>
          <cell r="AA1315" t="str">
            <v>박기원</v>
          </cell>
          <cell r="AB1315" t="str">
            <v>(인)</v>
          </cell>
          <cell r="AC1315" t="str">
            <v>박상갑</v>
          </cell>
          <cell r="AD1315" t="str">
            <v>(인)</v>
          </cell>
          <cell r="AE1315">
            <v>179.2</v>
          </cell>
          <cell r="AF1315" t="str">
            <v>동절기</v>
          </cell>
          <cell r="AG1315">
            <v>2</v>
          </cell>
          <cell r="AH1315">
            <v>0</v>
          </cell>
        </row>
        <row r="1316">
          <cell r="G1316">
            <v>2411050203</v>
          </cell>
          <cell r="H1316" t="str">
            <v>106동, 107동</v>
          </cell>
          <cell r="I1316">
            <v>241105</v>
          </cell>
          <cell r="J1316" t="str">
            <v>6~7동 사이 주차장</v>
          </cell>
          <cell r="K1316">
            <v>370</v>
          </cell>
          <cell r="L1316">
            <v>371</v>
          </cell>
          <cell r="M1316">
            <v>2715</v>
          </cell>
          <cell r="N1316" t="str">
            <v>대공</v>
          </cell>
          <cell r="O1316" t="str">
            <v>펌프카(1대)</v>
          </cell>
          <cell r="P1316">
            <v>1000</v>
          </cell>
          <cell r="Q1316">
            <v>1620</v>
          </cell>
          <cell r="R1316">
            <v>160</v>
          </cell>
          <cell r="S1316">
            <v>42</v>
          </cell>
          <cell r="T1316">
            <v>18</v>
          </cell>
          <cell r="U1316">
            <v>177</v>
          </cell>
          <cell r="V1316"/>
          <cell r="W1316" t="str">
            <v>박순홍</v>
          </cell>
          <cell r="X1316" t="str">
            <v>(인)</v>
          </cell>
          <cell r="Y1316" t="str">
            <v>박순홍</v>
          </cell>
          <cell r="Z1316" t="str">
            <v>(인)</v>
          </cell>
          <cell r="AA1316" t="str">
            <v>박기원</v>
          </cell>
          <cell r="AB1316" t="str">
            <v>(인)</v>
          </cell>
          <cell r="AC1316" t="str">
            <v>박상갑</v>
          </cell>
          <cell r="AD1316" t="str">
            <v>(인)</v>
          </cell>
          <cell r="AE1316">
            <v>181.4</v>
          </cell>
          <cell r="AF1316" t="str">
            <v>동절기</v>
          </cell>
          <cell r="AG1316">
            <v>3</v>
          </cell>
          <cell r="AH1316">
            <v>0</v>
          </cell>
        </row>
        <row r="1317">
          <cell r="G1317">
            <v>2411050204</v>
          </cell>
          <cell r="H1317" t="str">
            <v>106동, 107동</v>
          </cell>
          <cell r="I1317">
            <v>241105</v>
          </cell>
          <cell r="J1317" t="str">
            <v>6~7동 사이 주차장</v>
          </cell>
          <cell r="K1317">
            <v>370</v>
          </cell>
          <cell r="L1317">
            <v>371</v>
          </cell>
          <cell r="M1317">
            <v>2715</v>
          </cell>
          <cell r="N1317" t="str">
            <v>대공</v>
          </cell>
          <cell r="O1317" t="str">
            <v>펌프카(1대)</v>
          </cell>
          <cell r="P1317">
            <v>1000</v>
          </cell>
          <cell r="Q1317">
            <v>1620</v>
          </cell>
          <cell r="R1317">
            <v>170</v>
          </cell>
          <cell r="S1317">
            <v>47</v>
          </cell>
          <cell r="T1317">
            <v>34</v>
          </cell>
          <cell r="U1317">
            <v>188</v>
          </cell>
          <cell r="V1317"/>
          <cell r="W1317" t="str">
            <v>박순홍</v>
          </cell>
          <cell r="X1317" t="str">
            <v>(인)</v>
          </cell>
          <cell r="Y1317" t="str">
            <v>박순홍</v>
          </cell>
          <cell r="Z1317" t="str">
            <v>(인)</v>
          </cell>
          <cell r="AA1317" t="str">
            <v>박기원</v>
          </cell>
          <cell r="AB1317" t="str">
            <v>(인)</v>
          </cell>
          <cell r="AC1317" t="str">
            <v>박상갑</v>
          </cell>
          <cell r="AD1317" t="str">
            <v>(인)</v>
          </cell>
          <cell r="AE1317">
            <v>185.4</v>
          </cell>
          <cell r="AF1317" t="str">
            <v>동절기</v>
          </cell>
          <cell r="AG1317">
            <v>4</v>
          </cell>
          <cell r="AH1317">
            <v>1</v>
          </cell>
          <cell r="AL1317">
            <v>3402</v>
          </cell>
          <cell r="AM1317">
            <v>3362</v>
          </cell>
          <cell r="AN1317">
            <v>3423</v>
          </cell>
          <cell r="AO1317">
            <v>3310</v>
          </cell>
          <cell r="AP1317">
            <v>3304</v>
          </cell>
          <cell r="AQ1317">
            <v>3306</v>
          </cell>
          <cell r="AR1317">
            <v>3486</v>
          </cell>
          <cell r="AS1317">
            <v>3504</v>
          </cell>
          <cell r="AT1317">
            <v>264600</v>
          </cell>
        </row>
        <row r="1318">
          <cell r="G1318">
            <v>2411060101</v>
          </cell>
          <cell r="H1318" t="str">
            <v>101동, 104동</v>
          </cell>
          <cell r="I1318">
            <v>241106</v>
          </cell>
          <cell r="J1318" t="str">
            <v>101동 10층 바닥, 104동 옥탑 지붕층</v>
          </cell>
          <cell r="K1318">
            <v>350</v>
          </cell>
          <cell r="L1318">
            <v>351</v>
          </cell>
          <cell r="M1318">
            <v>3018</v>
          </cell>
          <cell r="N1318" t="str">
            <v>신우</v>
          </cell>
          <cell r="O1318" t="str">
            <v>펌프카(1대)</v>
          </cell>
          <cell r="P1318">
            <v>740</v>
          </cell>
          <cell r="Q1318">
            <v>1522</v>
          </cell>
          <cell r="R1318">
            <v>140</v>
          </cell>
          <cell r="S1318">
            <v>40</v>
          </cell>
          <cell r="T1318">
            <v>67</v>
          </cell>
          <cell r="U1318">
            <v>216</v>
          </cell>
          <cell r="V1318"/>
          <cell r="W1318" t="str">
            <v>박순홍</v>
          </cell>
          <cell r="X1318" t="str">
            <v>(인)</v>
          </cell>
          <cell r="Y1318" t="str">
            <v>박순홍</v>
          </cell>
          <cell r="Z1318" t="str">
            <v>(인)</v>
          </cell>
          <cell r="AA1318" t="str">
            <v>박기원</v>
          </cell>
          <cell r="AB1318" t="str">
            <v>(인)</v>
          </cell>
          <cell r="AC1318" t="str">
            <v>박상갑</v>
          </cell>
          <cell r="AD1318" t="str">
            <v>(인)</v>
          </cell>
          <cell r="AE1318">
            <v>173.8</v>
          </cell>
          <cell r="AF1318" t="str">
            <v>동절기</v>
          </cell>
          <cell r="AG1318">
            <v>1</v>
          </cell>
          <cell r="AH1318">
            <v>1</v>
          </cell>
          <cell r="AI1318">
            <v>2566</v>
          </cell>
          <cell r="AJ1318">
            <v>2689</v>
          </cell>
          <cell r="AK1318">
            <v>213000</v>
          </cell>
          <cell r="AL1318">
            <v>3896</v>
          </cell>
          <cell r="AM1318">
            <v>4018</v>
          </cell>
          <cell r="AN1318">
            <v>4029</v>
          </cell>
          <cell r="AO1318">
            <v>3869</v>
          </cell>
          <cell r="AP1318">
            <v>3929</v>
          </cell>
          <cell r="AQ1318">
            <v>3872</v>
          </cell>
          <cell r="AR1318">
            <v>3906</v>
          </cell>
          <cell r="AS1318">
            <v>3872</v>
          </cell>
          <cell r="AT1318">
            <v>302000</v>
          </cell>
        </row>
        <row r="1319">
          <cell r="G1319">
            <v>2411060102</v>
          </cell>
          <cell r="H1319" t="str">
            <v>101동, 104동</v>
          </cell>
          <cell r="I1319">
            <v>241106</v>
          </cell>
          <cell r="J1319" t="str">
            <v>101동 10층 바닥, 104동 옥탑 지붕층</v>
          </cell>
          <cell r="K1319">
            <v>350</v>
          </cell>
          <cell r="L1319">
            <v>351</v>
          </cell>
          <cell r="M1319">
            <v>3018</v>
          </cell>
          <cell r="N1319" t="str">
            <v>신우</v>
          </cell>
          <cell r="O1319" t="str">
            <v>펌프카(1대)</v>
          </cell>
          <cell r="P1319">
            <v>740</v>
          </cell>
          <cell r="Q1319">
            <v>1522</v>
          </cell>
          <cell r="R1319">
            <v>155</v>
          </cell>
          <cell r="S1319">
            <v>45</v>
          </cell>
          <cell r="T1319">
            <v>100</v>
          </cell>
          <cell r="U1319">
            <v>246</v>
          </cell>
          <cell r="V1319"/>
          <cell r="W1319" t="str">
            <v>박순홍</v>
          </cell>
          <cell r="X1319" t="str">
            <v>(인)</v>
          </cell>
          <cell r="Y1319" t="str">
            <v>박순홍</v>
          </cell>
          <cell r="Z1319" t="str">
            <v>(인)</v>
          </cell>
          <cell r="AA1319" t="str">
            <v>박기원</v>
          </cell>
          <cell r="AB1319" t="str">
            <v>(인)</v>
          </cell>
          <cell r="AC1319" t="str">
            <v>박상갑</v>
          </cell>
          <cell r="AD1319" t="str">
            <v>(인)</v>
          </cell>
          <cell r="AE1319">
            <v>174.6</v>
          </cell>
          <cell r="AF1319" t="str">
            <v>동절기</v>
          </cell>
          <cell r="AG1319">
            <v>2</v>
          </cell>
          <cell r="AH1319">
            <v>0</v>
          </cell>
        </row>
        <row r="1320">
          <cell r="G1320">
            <v>2411060103</v>
          </cell>
          <cell r="H1320" t="str">
            <v>101동, 104동</v>
          </cell>
          <cell r="I1320">
            <v>241106</v>
          </cell>
          <cell r="J1320" t="str">
            <v>101동 10층 바닥, 104동 옥탑 지붕층</v>
          </cell>
          <cell r="K1320">
            <v>350</v>
          </cell>
          <cell r="L1320">
            <v>351</v>
          </cell>
          <cell r="M1320">
            <v>3018</v>
          </cell>
          <cell r="N1320" t="str">
            <v>신우</v>
          </cell>
          <cell r="O1320" t="str">
            <v>펌프카(1대)</v>
          </cell>
          <cell r="P1320">
            <v>740</v>
          </cell>
          <cell r="Q1320">
            <v>1522</v>
          </cell>
          <cell r="R1320">
            <v>165</v>
          </cell>
          <cell r="S1320">
            <v>50</v>
          </cell>
          <cell r="T1320">
            <v>56</v>
          </cell>
          <cell r="U1320">
            <v>189</v>
          </cell>
          <cell r="V1320"/>
          <cell r="W1320" t="str">
            <v>박순홍</v>
          </cell>
          <cell r="X1320" t="str">
            <v>(인)</v>
          </cell>
          <cell r="Y1320" t="str">
            <v>박순홍</v>
          </cell>
          <cell r="Z1320" t="str">
            <v>(인)</v>
          </cell>
          <cell r="AA1320" t="str">
            <v>박기원</v>
          </cell>
          <cell r="AB1320" t="str">
            <v>(인)</v>
          </cell>
          <cell r="AC1320" t="str">
            <v>박상갑</v>
          </cell>
          <cell r="AD1320" t="str">
            <v>(인)</v>
          </cell>
          <cell r="AE1320">
            <v>189.6</v>
          </cell>
          <cell r="AF1320" t="str">
            <v>동절기</v>
          </cell>
          <cell r="AG1320">
            <v>3</v>
          </cell>
          <cell r="AH1320">
            <v>0</v>
          </cell>
        </row>
        <row r="1321">
          <cell r="G1321">
            <v>2411060201</v>
          </cell>
          <cell r="H1321" t="str">
            <v>103동</v>
          </cell>
          <cell r="I1321">
            <v>241106</v>
          </cell>
          <cell r="J1321" t="str">
            <v>103동 옥탑1, 구조물</v>
          </cell>
          <cell r="K1321">
            <v>50</v>
          </cell>
          <cell r="L1321">
            <v>48</v>
          </cell>
          <cell r="M1321">
            <v>3018</v>
          </cell>
          <cell r="N1321" t="str">
            <v>신우</v>
          </cell>
          <cell r="O1321" t="str">
            <v>직접타설</v>
          </cell>
          <cell r="P1321">
            <v>830</v>
          </cell>
          <cell r="Q1321">
            <v>1310</v>
          </cell>
          <cell r="R1321">
            <v>180</v>
          </cell>
          <cell r="S1321">
            <v>52</v>
          </cell>
          <cell r="T1321">
            <v>34</v>
          </cell>
          <cell r="U1321">
            <v>203</v>
          </cell>
          <cell r="V1321"/>
          <cell r="W1321" t="str">
            <v>박순홍</v>
          </cell>
          <cell r="X1321" t="str">
            <v>(인)</v>
          </cell>
          <cell r="Y1321" t="str">
            <v>박순홍</v>
          </cell>
          <cell r="Z1321" t="str">
            <v>(인)</v>
          </cell>
          <cell r="AA1321" t="str">
            <v>박기원</v>
          </cell>
          <cell r="AB1321" t="str">
            <v>(인)</v>
          </cell>
          <cell r="AC1321" t="str">
            <v>박상갑</v>
          </cell>
          <cell r="AD1321" t="str">
            <v>(인)</v>
          </cell>
          <cell r="AE1321">
            <v>181.2</v>
          </cell>
          <cell r="AF1321" t="str">
            <v>동절기</v>
          </cell>
          <cell r="AG1321">
            <v>1</v>
          </cell>
          <cell r="AH1321">
            <v>1</v>
          </cell>
          <cell r="AI1321">
            <v>2607</v>
          </cell>
          <cell r="AJ1321">
            <v>2581</v>
          </cell>
          <cell r="AK1321">
            <v>201000</v>
          </cell>
          <cell r="AL1321">
            <v>3768</v>
          </cell>
          <cell r="AM1321">
            <v>3901</v>
          </cell>
          <cell r="AN1321">
            <v>3806</v>
          </cell>
          <cell r="AO1321">
            <v>3924</v>
          </cell>
          <cell r="AP1321">
            <v>3906</v>
          </cell>
          <cell r="AQ1321">
            <v>3983</v>
          </cell>
          <cell r="AR1321">
            <v>3872</v>
          </cell>
          <cell r="AS1321">
            <v>3814</v>
          </cell>
          <cell r="AT1321">
            <v>296800</v>
          </cell>
        </row>
        <row r="1322">
          <cell r="G1322">
            <v>2411070101</v>
          </cell>
          <cell r="H1322" t="str">
            <v>113동</v>
          </cell>
          <cell r="I1322">
            <v>241107</v>
          </cell>
          <cell r="J1322" t="str">
            <v>113동 11층 바닥</v>
          </cell>
          <cell r="K1322">
            <v>348</v>
          </cell>
          <cell r="L1322">
            <v>348</v>
          </cell>
          <cell r="M1322">
            <v>3018</v>
          </cell>
          <cell r="N1322" t="str">
            <v>동양</v>
          </cell>
          <cell r="O1322" t="str">
            <v>펌프카(1대)</v>
          </cell>
          <cell r="P1322">
            <v>1006</v>
          </cell>
          <cell r="Q1322">
            <v>1530</v>
          </cell>
          <cell r="R1322">
            <v>170</v>
          </cell>
          <cell r="S1322">
            <v>38</v>
          </cell>
          <cell r="T1322">
            <v>95</v>
          </cell>
          <cell r="U1322">
            <v>187</v>
          </cell>
          <cell r="V1322"/>
          <cell r="W1322" t="str">
            <v>박순홍</v>
          </cell>
          <cell r="X1322" t="str">
            <v>(인)</v>
          </cell>
          <cell r="Y1322" t="str">
            <v>박순홍</v>
          </cell>
          <cell r="Z1322" t="str">
            <v>(인)</v>
          </cell>
          <cell r="AA1322" t="str">
            <v>박기원</v>
          </cell>
          <cell r="AB1322" t="str">
            <v>(인)</v>
          </cell>
          <cell r="AC1322" t="str">
            <v>박상갑</v>
          </cell>
          <cell r="AD1322" t="str">
            <v>(인)</v>
          </cell>
          <cell r="AE1322">
            <v>181.2</v>
          </cell>
          <cell r="AF1322" t="str">
            <v>동절기</v>
          </cell>
          <cell r="AG1322">
            <v>1</v>
          </cell>
          <cell r="AH1322">
            <v>1</v>
          </cell>
          <cell r="AI1322">
            <v>2760</v>
          </cell>
          <cell r="AJ1322">
            <v>2810</v>
          </cell>
          <cell r="AK1322">
            <v>214600</v>
          </cell>
          <cell r="AL1322">
            <v>3834</v>
          </cell>
          <cell r="AM1322">
            <v>3913</v>
          </cell>
          <cell r="AN1322">
            <v>3806</v>
          </cell>
          <cell r="AO1322">
            <v>3902</v>
          </cell>
          <cell r="AP1322">
            <v>3862</v>
          </cell>
          <cell r="AQ1322">
            <v>3904</v>
          </cell>
          <cell r="AR1322">
            <v>3866</v>
          </cell>
          <cell r="AS1322">
            <v>3794</v>
          </cell>
          <cell r="AT1322">
            <v>296400</v>
          </cell>
        </row>
        <row r="1323">
          <cell r="G1323">
            <v>2411070102</v>
          </cell>
          <cell r="H1323" t="str">
            <v>113동</v>
          </cell>
          <cell r="I1323">
            <v>241107</v>
          </cell>
          <cell r="J1323" t="str">
            <v>113동 11층 바닥</v>
          </cell>
          <cell r="K1323">
            <v>348</v>
          </cell>
          <cell r="L1323">
            <v>348</v>
          </cell>
          <cell r="M1323">
            <v>3018</v>
          </cell>
          <cell r="N1323" t="str">
            <v>동양</v>
          </cell>
          <cell r="O1323" t="str">
            <v>펌프카(1대)</v>
          </cell>
          <cell r="P1323">
            <v>1006</v>
          </cell>
          <cell r="Q1323">
            <v>1530</v>
          </cell>
          <cell r="R1323">
            <v>200</v>
          </cell>
          <cell r="S1323">
            <v>36</v>
          </cell>
          <cell r="T1323">
            <v>97</v>
          </cell>
          <cell r="U1323">
            <v>192</v>
          </cell>
          <cell r="V1323"/>
          <cell r="W1323" t="str">
            <v>박순홍</v>
          </cell>
          <cell r="X1323" t="str">
            <v>(인)</v>
          </cell>
          <cell r="Y1323" t="str">
            <v>박순홍</v>
          </cell>
          <cell r="Z1323" t="str">
            <v>(인)</v>
          </cell>
          <cell r="AA1323" t="str">
            <v>박기원</v>
          </cell>
          <cell r="AB1323" t="str">
            <v>(인)</v>
          </cell>
          <cell r="AC1323" t="str">
            <v>박상갑</v>
          </cell>
          <cell r="AD1323" t="str">
            <v>(인)</v>
          </cell>
          <cell r="AE1323">
            <v>189.6</v>
          </cell>
          <cell r="AF1323" t="str">
            <v>동절기</v>
          </cell>
          <cell r="AG1323">
            <v>2</v>
          </cell>
          <cell r="AH1323">
            <v>0</v>
          </cell>
        </row>
        <row r="1324">
          <cell r="G1324">
            <v>2411070103</v>
          </cell>
          <cell r="H1324" t="str">
            <v>113동</v>
          </cell>
          <cell r="I1324">
            <v>241107</v>
          </cell>
          <cell r="J1324" t="str">
            <v>113동 11층 바닥</v>
          </cell>
          <cell r="K1324">
            <v>348</v>
          </cell>
          <cell r="L1324">
            <v>348</v>
          </cell>
          <cell r="M1324">
            <v>3018</v>
          </cell>
          <cell r="N1324" t="str">
            <v>동양</v>
          </cell>
          <cell r="O1324" t="str">
            <v>펌프카(1대)</v>
          </cell>
          <cell r="P1324">
            <v>1006</v>
          </cell>
          <cell r="Q1324">
            <v>1530</v>
          </cell>
          <cell r="R1324">
            <v>200</v>
          </cell>
          <cell r="S1324">
            <v>35</v>
          </cell>
          <cell r="T1324">
            <v>94</v>
          </cell>
          <cell r="U1324">
            <v>175</v>
          </cell>
          <cell r="V1324"/>
          <cell r="W1324" t="str">
            <v>박순홍</v>
          </cell>
          <cell r="X1324" t="str">
            <v>(인)</v>
          </cell>
          <cell r="Y1324" t="str">
            <v>박순홍</v>
          </cell>
          <cell r="Z1324" t="str">
            <v>(인)</v>
          </cell>
          <cell r="AA1324" t="str">
            <v>박기원</v>
          </cell>
          <cell r="AB1324" t="str">
            <v>(인)</v>
          </cell>
          <cell r="AC1324" t="str">
            <v>박상갑</v>
          </cell>
          <cell r="AD1324" t="str">
            <v>(인)</v>
          </cell>
          <cell r="AE1324">
            <v>190.2</v>
          </cell>
          <cell r="AF1324" t="str">
            <v>동절기</v>
          </cell>
          <cell r="AG1324">
            <v>3</v>
          </cell>
          <cell r="AH1324">
            <v>0</v>
          </cell>
        </row>
        <row r="1325">
          <cell r="G1325">
            <v>2411070201</v>
          </cell>
          <cell r="H1325" t="str">
            <v>110동</v>
          </cell>
          <cell r="I1325">
            <v>241107</v>
          </cell>
          <cell r="J1325" t="str">
            <v>110동 5층 바닥</v>
          </cell>
          <cell r="K1325">
            <v>280</v>
          </cell>
          <cell r="L1325">
            <v>280</v>
          </cell>
          <cell r="M1325">
            <v>3018</v>
          </cell>
          <cell r="N1325" t="str">
            <v>용호</v>
          </cell>
          <cell r="O1325" t="str">
            <v>펌프카(1대)</v>
          </cell>
          <cell r="P1325">
            <v>805</v>
          </cell>
          <cell r="Q1325">
            <v>1204</v>
          </cell>
          <cell r="R1325">
            <v>180</v>
          </cell>
          <cell r="S1325">
            <v>49</v>
          </cell>
          <cell r="T1325">
            <v>61</v>
          </cell>
          <cell r="U1325">
            <v>159</v>
          </cell>
          <cell r="V1325"/>
          <cell r="W1325" t="str">
            <v>박순홍</v>
          </cell>
          <cell r="X1325" t="str">
            <v>(인)</v>
          </cell>
          <cell r="Y1325" t="str">
            <v>박순홍</v>
          </cell>
          <cell r="Z1325" t="str">
            <v>(인)</v>
          </cell>
          <cell r="AA1325" t="str">
            <v>박기원</v>
          </cell>
          <cell r="AB1325" t="str">
            <v>(인)</v>
          </cell>
          <cell r="AC1325" t="str">
            <v>박상갑</v>
          </cell>
          <cell r="AD1325" t="str">
            <v>(인)</v>
          </cell>
          <cell r="AE1325">
            <v>185.3</v>
          </cell>
          <cell r="AF1325" t="str">
            <v>동절기</v>
          </cell>
          <cell r="AG1325">
            <v>1</v>
          </cell>
          <cell r="AH1325">
            <v>1</v>
          </cell>
          <cell r="AI1325">
            <v>2792</v>
          </cell>
          <cell r="AJ1325">
            <v>2752</v>
          </cell>
          <cell r="AK1325">
            <v>223800</v>
          </cell>
          <cell r="AL1325">
            <v>3902</v>
          </cell>
          <cell r="AM1325">
            <v>3908</v>
          </cell>
          <cell r="AN1325">
            <v>3896</v>
          </cell>
          <cell r="AO1325">
            <v>4031</v>
          </cell>
          <cell r="AP1325">
            <v>4038</v>
          </cell>
          <cell r="AQ1325">
            <v>3962</v>
          </cell>
          <cell r="AR1325">
            <v>3976</v>
          </cell>
          <cell r="AS1325">
            <v>3844</v>
          </cell>
          <cell r="AT1325">
            <v>317800</v>
          </cell>
        </row>
        <row r="1326">
          <cell r="G1326">
            <v>2411070202</v>
          </cell>
          <cell r="H1326" t="str">
            <v>110동</v>
          </cell>
          <cell r="I1326">
            <v>241107</v>
          </cell>
          <cell r="J1326" t="str">
            <v>110동 5층 바닥</v>
          </cell>
          <cell r="K1326">
            <v>280</v>
          </cell>
          <cell r="L1326">
            <v>280</v>
          </cell>
          <cell r="M1326">
            <v>3018</v>
          </cell>
          <cell r="N1326" t="str">
            <v>용호</v>
          </cell>
          <cell r="O1326" t="str">
            <v>펌프카(1대)</v>
          </cell>
          <cell r="P1326">
            <v>805</v>
          </cell>
          <cell r="Q1326">
            <v>1204</v>
          </cell>
          <cell r="R1326">
            <v>190</v>
          </cell>
          <cell r="S1326">
            <v>49</v>
          </cell>
          <cell r="T1326">
            <v>32</v>
          </cell>
          <cell r="U1326">
            <v>194</v>
          </cell>
          <cell r="V1326"/>
          <cell r="W1326" t="str">
            <v>박순홍</v>
          </cell>
          <cell r="X1326" t="str">
            <v>(인)</v>
          </cell>
          <cell r="Y1326" t="str">
            <v>박순홍</v>
          </cell>
          <cell r="Z1326" t="str">
            <v>(인)</v>
          </cell>
          <cell r="AA1326" t="str">
            <v>박기원</v>
          </cell>
          <cell r="AB1326" t="str">
            <v>(인)</v>
          </cell>
          <cell r="AC1326" t="str">
            <v>박상갑</v>
          </cell>
          <cell r="AD1326" t="str">
            <v>(인)</v>
          </cell>
          <cell r="AE1326">
            <v>186.6</v>
          </cell>
          <cell r="AF1326" t="str">
            <v>동절기</v>
          </cell>
          <cell r="AG1326">
            <v>2</v>
          </cell>
          <cell r="AH1326">
            <v>0</v>
          </cell>
        </row>
        <row r="1327">
          <cell r="G1327">
            <v>2411070203</v>
          </cell>
          <cell r="H1327" t="str">
            <v>110동</v>
          </cell>
          <cell r="I1327">
            <v>241107</v>
          </cell>
          <cell r="J1327" t="str">
            <v>110동 5층 바닥</v>
          </cell>
          <cell r="K1327">
            <v>280</v>
          </cell>
          <cell r="L1327">
            <v>280</v>
          </cell>
          <cell r="M1327">
            <v>3018</v>
          </cell>
          <cell r="N1327" t="str">
            <v>용호</v>
          </cell>
          <cell r="O1327" t="str">
            <v>펌프카(1대)</v>
          </cell>
          <cell r="P1327">
            <v>805</v>
          </cell>
          <cell r="Q1327">
            <v>1204</v>
          </cell>
          <cell r="R1327">
            <v>190</v>
          </cell>
          <cell r="S1327">
            <v>48</v>
          </cell>
          <cell r="T1327">
            <v>25</v>
          </cell>
          <cell r="U1327">
            <v>162</v>
          </cell>
          <cell r="V1327"/>
          <cell r="W1327" t="str">
            <v>박순홍</v>
          </cell>
          <cell r="X1327" t="str">
            <v>(인)</v>
          </cell>
          <cell r="Y1327" t="str">
            <v>박순홍</v>
          </cell>
          <cell r="Z1327" t="str">
            <v>(인)</v>
          </cell>
          <cell r="AA1327" t="str">
            <v>박기원</v>
          </cell>
          <cell r="AB1327" t="str">
            <v>(인)</v>
          </cell>
          <cell r="AC1327" t="str">
            <v>박상갑</v>
          </cell>
          <cell r="AD1327" t="str">
            <v>(인)</v>
          </cell>
          <cell r="AE1327">
            <v>187.9</v>
          </cell>
          <cell r="AF1327" t="str">
            <v>동절기</v>
          </cell>
          <cell r="AG1327">
            <v>3</v>
          </cell>
          <cell r="AH1327">
            <v>0</v>
          </cell>
        </row>
        <row r="1328">
          <cell r="G1328">
            <v>2411070301</v>
          </cell>
          <cell r="H1328" t="str">
            <v>근린1</v>
          </cell>
          <cell r="I1328">
            <v>241107</v>
          </cell>
          <cell r="J1328" t="str">
            <v>근생1 1층 타설</v>
          </cell>
          <cell r="K1328">
            <v>180</v>
          </cell>
          <cell r="L1328">
            <v>180</v>
          </cell>
          <cell r="M1328">
            <v>3015</v>
          </cell>
          <cell r="N1328" t="str">
            <v>용호</v>
          </cell>
          <cell r="O1328" t="str">
            <v>펌프카(1대)</v>
          </cell>
          <cell r="P1328">
            <v>1320</v>
          </cell>
          <cell r="Q1328">
            <v>1539</v>
          </cell>
          <cell r="R1328">
            <v>150</v>
          </cell>
          <cell r="S1328">
            <v>39</v>
          </cell>
          <cell r="T1328">
            <v>33</v>
          </cell>
          <cell r="U1328">
            <v>182</v>
          </cell>
          <cell r="V1328"/>
          <cell r="W1328" t="str">
            <v>박순홍</v>
          </cell>
          <cell r="X1328" t="str">
            <v>(인)</v>
          </cell>
          <cell r="Y1328" t="str">
            <v>박순홍</v>
          </cell>
          <cell r="Z1328" t="str">
            <v>(인)</v>
          </cell>
          <cell r="AA1328" t="str">
            <v>박기원</v>
          </cell>
          <cell r="AB1328" t="str">
            <v>(인)</v>
          </cell>
          <cell r="AC1328" t="str">
            <v>박상갑</v>
          </cell>
          <cell r="AD1328" t="str">
            <v>(인)</v>
          </cell>
          <cell r="AE1328">
            <v>181.2</v>
          </cell>
          <cell r="AF1328" t="str">
            <v>동절기</v>
          </cell>
          <cell r="AG1328">
            <v>1</v>
          </cell>
          <cell r="AH1328">
            <v>1</v>
          </cell>
          <cell r="AI1328">
            <v>2518</v>
          </cell>
          <cell r="AJ1328">
            <v>2486</v>
          </cell>
          <cell r="AK1328">
            <v>197200</v>
          </cell>
          <cell r="AL1328">
            <v>3368</v>
          </cell>
          <cell r="AM1328">
            <v>3478</v>
          </cell>
          <cell r="AN1328">
            <v>3406</v>
          </cell>
          <cell r="AO1328">
            <v>3307</v>
          </cell>
          <cell r="AP1328">
            <v>3416</v>
          </cell>
          <cell r="AQ1328">
            <v>3409</v>
          </cell>
          <cell r="AR1328">
            <v>3327</v>
          </cell>
          <cell r="AS1328">
            <v>3306</v>
          </cell>
          <cell r="AT1328">
            <v>264600</v>
          </cell>
        </row>
        <row r="1329">
          <cell r="G1329">
            <v>2411070302</v>
          </cell>
          <cell r="H1329" t="str">
            <v>근린1</v>
          </cell>
          <cell r="I1329">
            <v>241107</v>
          </cell>
          <cell r="J1329" t="str">
            <v>근생1 1층 타설</v>
          </cell>
          <cell r="K1329">
            <v>180</v>
          </cell>
          <cell r="L1329">
            <v>180</v>
          </cell>
          <cell r="M1329">
            <v>2715</v>
          </cell>
          <cell r="N1329" t="str">
            <v>용호</v>
          </cell>
          <cell r="O1329" t="str">
            <v>펌프카(1대)</v>
          </cell>
          <cell r="P1329">
            <v>1320</v>
          </cell>
          <cell r="Q1329">
            <v>1539</v>
          </cell>
          <cell r="R1329">
            <v>160</v>
          </cell>
          <cell r="S1329">
            <v>41</v>
          </cell>
          <cell r="T1329">
            <v>57</v>
          </cell>
          <cell r="U1329">
            <v>192</v>
          </cell>
          <cell r="V1329"/>
          <cell r="W1329" t="str">
            <v>박순홍</v>
          </cell>
          <cell r="X1329" t="str">
            <v>(인)</v>
          </cell>
          <cell r="Y1329" t="str">
            <v>박순홍</v>
          </cell>
          <cell r="Z1329" t="str">
            <v>(인)</v>
          </cell>
          <cell r="AA1329" t="str">
            <v>박기원</v>
          </cell>
          <cell r="AB1329" t="str">
            <v>(인)</v>
          </cell>
          <cell r="AC1329" t="str">
            <v>박상갑</v>
          </cell>
          <cell r="AD1329" t="str">
            <v>(인)</v>
          </cell>
          <cell r="AE1329">
            <v>190.6</v>
          </cell>
          <cell r="AF1329" t="str">
            <v>동절기</v>
          </cell>
          <cell r="AG1329">
            <v>2</v>
          </cell>
          <cell r="AH1329">
            <v>0</v>
          </cell>
        </row>
        <row r="1330">
          <cell r="G1330">
            <v>2411070401</v>
          </cell>
          <cell r="H1330" t="str">
            <v>108동</v>
          </cell>
          <cell r="I1330">
            <v>241107</v>
          </cell>
          <cell r="J1330" t="str">
            <v>108동~수영장 주변주차장 지하2층</v>
          </cell>
          <cell r="K1330">
            <v>96</v>
          </cell>
          <cell r="L1330">
            <v>96</v>
          </cell>
          <cell r="M1330">
            <v>2715</v>
          </cell>
          <cell r="N1330" t="str">
            <v>동양</v>
          </cell>
          <cell r="O1330" t="str">
            <v>펌프카(1대)</v>
          </cell>
          <cell r="P1330">
            <v>1600</v>
          </cell>
          <cell r="Q1330">
            <v>1710</v>
          </cell>
          <cell r="R1330">
            <v>150</v>
          </cell>
          <cell r="S1330">
            <v>35</v>
          </cell>
          <cell r="T1330">
            <v>26</v>
          </cell>
          <cell r="U1330">
            <v>209</v>
          </cell>
          <cell r="V1330"/>
          <cell r="W1330" t="str">
            <v>박순홍</v>
          </cell>
          <cell r="X1330" t="str">
            <v>(인)</v>
          </cell>
          <cell r="Y1330" t="str">
            <v>박순홍</v>
          </cell>
          <cell r="Z1330" t="str">
            <v>(인)</v>
          </cell>
          <cell r="AA1330" t="str">
            <v>박기원</v>
          </cell>
          <cell r="AB1330" t="str">
            <v>(인)</v>
          </cell>
          <cell r="AC1330" t="str">
            <v>박상갑</v>
          </cell>
          <cell r="AD1330" t="str">
            <v>(인)</v>
          </cell>
          <cell r="AE1330">
            <v>182.9</v>
          </cell>
          <cell r="AF1330" t="str">
            <v>동절기</v>
          </cell>
          <cell r="AG1330">
            <v>1</v>
          </cell>
          <cell r="AH1330">
            <v>1</v>
          </cell>
          <cell r="AI1330">
            <v>2513</v>
          </cell>
          <cell r="AJ1330">
            <v>2491</v>
          </cell>
          <cell r="AK1330">
            <v>194800</v>
          </cell>
          <cell r="AL1330">
            <v>3386</v>
          </cell>
          <cell r="AM1330">
            <v>3363</v>
          </cell>
          <cell r="AN1330">
            <v>3402</v>
          </cell>
          <cell r="AO1330">
            <v>3316</v>
          </cell>
          <cell r="AP1330">
            <v>3304</v>
          </cell>
          <cell r="AQ1330">
            <v>3278</v>
          </cell>
          <cell r="AR1330">
            <v>3206</v>
          </cell>
          <cell r="AS1330">
            <v>3306</v>
          </cell>
          <cell r="AT1330">
            <v>262000</v>
          </cell>
        </row>
        <row r="1331">
          <cell r="G1331">
            <v>2411080101</v>
          </cell>
          <cell r="H1331" t="str">
            <v>109동</v>
          </cell>
          <cell r="I1331">
            <v>241108</v>
          </cell>
          <cell r="J1331" t="str">
            <v>109동 6층 바닥</v>
          </cell>
          <cell r="K1331">
            <v>287</v>
          </cell>
          <cell r="L1331">
            <v>287</v>
          </cell>
          <cell r="M1331">
            <v>3018</v>
          </cell>
          <cell r="N1331" t="str">
            <v>대원</v>
          </cell>
          <cell r="O1331" t="str">
            <v>펌프카(1대)</v>
          </cell>
          <cell r="P1331">
            <v>740</v>
          </cell>
          <cell r="Q1331">
            <v>1145</v>
          </cell>
          <cell r="R1331">
            <v>180</v>
          </cell>
          <cell r="S1331">
            <v>45</v>
          </cell>
          <cell r="T1331">
            <v>30</v>
          </cell>
          <cell r="U1331">
            <v>201</v>
          </cell>
          <cell r="V1331"/>
          <cell r="W1331" t="str">
            <v>박순홍</v>
          </cell>
          <cell r="X1331" t="str">
            <v>(인)</v>
          </cell>
          <cell r="Y1331" t="str">
            <v>박순홍</v>
          </cell>
          <cell r="Z1331" t="str">
            <v>(인)</v>
          </cell>
          <cell r="AA1331" t="str">
            <v>박기원</v>
          </cell>
          <cell r="AB1331" t="str">
            <v>(인)</v>
          </cell>
          <cell r="AC1331" t="str">
            <v>박상갑</v>
          </cell>
          <cell r="AD1331" t="str">
            <v>(인)</v>
          </cell>
          <cell r="AE1331">
            <v>181.9</v>
          </cell>
          <cell r="AF1331" t="str">
            <v>동절기</v>
          </cell>
          <cell r="AG1331">
            <v>1</v>
          </cell>
          <cell r="AH1331">
            <v>1</v>
          </cell>
          <cell r="AI1331">
            <v>2750</v>
          </cell>
          <cell r="AJ1331">
            <v>2688</v>
          </cell>
          <cell r="AK1331">
            <v>216600</v>
          </cell>
          <cell r="AL1331">
            <v>3824</v>
          </cell>
          <cell r="AM1331">
            <v>3613</v>
          </cell>
          <cell r="AN1331">
            <v>3836</v>
          </cell>
          <cell r="AO1331">
            <v>3829</v>
          </cell>
          <cell r="AP1331">
            <v>3733</v>
          </cell>
          <cell r="AQ1331">
            <v>3829</v>
          </cell>
          <cell r="AR1331">
            <v>3726</v>
          </cell>
          <cell r="AS1331">
            <v>3804</v>
          </cell>
          <cell r="AT1331">
            <v>297800</v>
          </cell>
        </row>
        <row r="1332">
          <cell r="G1332">
            <v>2411080102</v>
          </cell>
          <cell r="H1332" t="str">
            <v>109동</v>
          </cell>
          <cell r="I1332">
            <v>241108</v>
          </cell>
          <cell r="J1332" t="str">
            <v>109동 6층 바닥</v>
          </cell>
          <cell r="K1332">
            <v>287</v>
          </cell>
          <cell r="L1332">
            <v>287</v>
          </cell>
          <cell r="M1332">
            <v>3018</v>
          </cell>
          <cell r="N1332" t="str">
            <v>대원</v>
          </cell>
          <cell r="O1332" t="str">
            <v>펌프카(1대)</v>
          </cell>
          <cell r="P1332">
            <v>740</v>
          </cell>
          <cell r="Q1332">
            <v>1145</v>
          </cell>
          <cell r="R1332">
            <v>185</v>
          </cell>
          <cell r="S1332">
            <v>48</v>
          </cell>
          <cell r="T1332">
            <v>19</v>
          </cell>
          <cell r="U1332">
            <v>214</v>
          </cell>
          <cell r="V1332"/>
          <cell r="W1332" t="str">
            <v>박순홍</v>
          </cell>
          <cell r="X1332" t="str">
            <v>(인)</v>
          </cell>
          <cell r="Y1332" t="str">
            <v>박순홍</v>
          </cell>
          <cell r="Z1332" t="str">
            <v>(인)</v>
          </cell>
          <cell r="AA1332" t="str">
            <v>박기원</v>
          </cell>
          <cell r="AB1332" t="str">
            <v>(인)</v>
          </cell>
          <cell r="AC1332" t="str">
            <v>박상갑</v>
          </cell>
          <cell r="AD1332" t="str">
            <v>(인)</v>
          </cell>
          <cell r="AE1332">
            <v>183.8</v>
          </cell>
          <cell r="AF1332" t="str">
            <v>동절기</v>
          </cell>
          <cell r="AG1332">
            <v>2</v>
          </cell>
          <cell r="AH1332">
            <v>0</v>
          </cell>
        </row>
        <row r="1333">
          <cell r="G1333">
            <v>2411080103</v>
          </cell>
          <cell r="H1333" t="str">
            <v>109동</v>
          </cell>
          <cell r="I1333">
            <v>241108</v>
          </cell>
          <cell r="J1333" t="str">
            <v>109동 6층 바닥</v>
          </cell>
          <cell r="K1333">
            <v>287</v>
          </cell>
          <cell r="L1333">
            <v>287</v>
          </cell>
          <cell r="M1333">
            <v>3018</v>
          </cell>
          <cell r="N1333" t="str">
            <v>대원</v>
          </cell>
          <cell r="O1333" t="str">
            <v>펌프카(1대)</v>
          </cell>
          <cell r="P1333">
            <v>740</v>
          </cell>
          <cell r="Q1333">
            <v>1145</v>
          </cell>
          <cell r="R1333">
            <v>190</v>
          </cell>
          <cell r="S1333">
            <v>40</v>
          </cell>
          <cell r="T1333">
            <v>24</v>
          </cell>
          <cell r="U1333">
            <v>215</v>
          </cell>
          <cell r="V1333"/>
          <cell r="W1333" t="str">
            <v>박순홍</v>
          </cell>
          <cell r="X1333" t="str">
            <v>(인)</v>
          </cell>
          <cell r="Y1333" t="str">
            <v>박순홍</v>
          </cell>
          <cell r="Z1333" t="str">
            <v>(인)</v>
          </cell>
          <cell r="AA1333" t="str">
            <v>박기원</v>
          </cell>
          <cell r="AB1333" t="str">
            <v>(인)</v>
          </cell>
          <cell r="AC1333" t="str">
            <v>박상갑</v>
          </cell>
          <cell r="AD1333" t="str">
            <v>(인)</v>
          </cell>
          <cell r="AE1333">
            <v>185.2</v>
          </cell>
          <cell r="AF1333" t="str">
            <v>동절기</v>
          </cell>
          <cell r="AG1333">
            <v>3</v>
          </cell>
          <cell r="AH1333">
            <v>0</v>
          </cell>
        </row>
        <row r="1334">
          <cell r="G1334">
            <v>2411080201</v>
          </cell>
          <cell r="H1334" t="str">
            <v>111동</v>
          </cell>
          <cell r="I1334">
            <v>241108</v>
          </cell>
          <cell r="J1334" t="str">
            <v>111동 8층 바닥</v>
          </cell>
          <cell r="K1334">
            <v>280</v>
          </cell>
          <cell r="L1334">
            <v>280</v>
          </cell>
          <cell r="M1334">
            <v>3018</v>
          </cell>
          <cell r="N1334" t="str">
            <v>대원</v>
          </cell>
          <cell r="O1334" t="str">
            <v>펌프카(1대)</v>
          </cell>
          <cell r="P1334">
            <v>1230</v>
          </cell>
          <cell r="Q1334">
            <v>1555</v>
          </cell>
          <cell r="R1334">
            <v>190</v>
          </cell>
          <cell r="S1334">
            <v>51</v>
          </cell>
          <cell r="T1334">
            <v>59</v>
          </cell>
          <cell r="U1334">
            <v>218</v>
          </cell>
          <cell r="V1334"/>
          <cell r="W1334" t="str">
            <v>박순홍</v>
          </cell>
          <cell r="X1334" t="str">
            <v>(인)</v>
          </cell>
          <cell r="Y1334" t="str">
            <v>박순홍</v>
          </cell>
          <cell r="Z1334" t="str">
            <v>(인)</v>
          </cell>
          <cell r="AA1334" t="str">
            <v>박기원</v>
          </cell>
          <cell r="AB1334" t="str">
            <v>(인)</v>
          </cell>
          <cell r="AC1334" t="str">
            <v>박상갑</v>
          </cell>
          <cell r="AD1334" t="str">
            <v>(인)</v>
          </cell>
          <cell r="AE1334">
            <v>184.2</v>
          </cell>
          <cell r="AF1334" t="str">
            <v>동절기</v>
          </cell>
          <cell r="AG1334">
            <v>1</v>
          </cell>
          <cell r="AH1334">
            <v>1</v>
          </cell>
          <cell r="AI1334">
            <v>2673</v>
          </cell>
          <cell r="AJ1334">
            <v>2735</v>
          </cell>
          <cell r="AK1334">
            <v>216000</v>
          </cell>
          <cell r="AL1334">
            <v>3682</v>
          </cell>
          <cell r="AM1334">
            <v>3712</v>
          </cell>
          <cell r="AN1334">
            <v>3806</v>
          </cell>
          <cell r="AO1334">
            <v>3824</v>
          </cell>
          <cell r="AP1334">
            <v>3736</v>
          </cell>
          <cell r="AQ1334">
            <v>3807</v>
          </cell>
          <cell r="AR1334">
            <v>3920</v>
          </cell>
          <cell r="AS1334">
            <v>3767</v>
          </cell>
          <cell r="AT1334">
            <v>296400</v>
          </cell>
        </row>
        <row r="1335">
          <cell r="G1335">
            <v>2411080202</v>
          </cell>
          <cell r="H1335" t="str">
            <v>111동</v>
          </cell>
          <cell r="I1335">
            <v>241108</v>
          </cell>
          <cell r="J1335" t="str">
            <v>111동 8층 바닥</v>
          </cell>
          <cell r="K1335">
            <v>280</v>
          </cell>
          <cell r="L1335">
            <v>280</v>
          </cell>
          <cell r="M1335">
            <v>3018</v>
          </cell>
          <cell r="N1335" t="str">
            <v>대원</v>
          </cell>
          <cell r="O1335" t="str">
            <v>펌프카(1대)</v>
          </cell>
          <cell r="P1335">
            <v>1230</v>
          </cell>
          <cell r="Q1335">
            <v>1555</v>
          </cell>
          <cell r="R1335">
            <v>185</v>
          </cell>
          <cell r="S1335">
            <v>42</v>
          </cell>
          <cell r="T1335">
            <v>54</v>
          </cell>
          <cell r="U1335">
            <v>224</v>
          </cell>
          <cell r="V1335"/>
          <cell r="W1335" t="str">
            <v>박순홍</v>
          </cell>
          <cell r="X1335" t="str">
            <v>(인)</v>
          </cell>
          <cell r="Y1335" t="str">
            <v>박순홍</v>
          </cell>
          <cell r="Z1335" t="str">
            <v>(인)</v>
          </cell>
          <cell r="AA1335" t="str">
            <v>박기원</v>
          </cell>
          <cell r="AB1335" t="str">
            <v>(인)</v>
          </cell>
          <cell r="AC1335" t="str">
            <v>박상갑</v>
          </cell>
          <cell r="AD1335" t="str">
            <v>(인)</v>
          </cell>
          <cell r="AE1335">
            <v>194.3</v>
          </cell>
          <cell r="AF1335" t="str">
            <v>동절기</v>
          </cell>
          <cell r="AG1335">
            <v>2</v>
          </cell>
          <cell r="AH1335">
            <v>0</v>
          </cell>
        </row>
        <row r="1336">
          <cell r="G1336">
            <v>2411080203</v>
          </cell>
          <cell r="H1336" t="str">
            <v>111동</v>
          </cell>
          <cell r="I1336">
            <v>241108</v>
          </cell>
          <cell r="J1336" t="str">
            <v>111동 8층 바닥</v>
          </cell>
          <cell r="K1336">
            <v>280</v>
          </cell>
          <cell r="L1336">
            <v>280</v>
          </cell>
          <cell r="M1336">
            <v>3018</v>
          </cell>
          <cell r="N1336" t="str">
            <v>대원</v>
          </cell>
          <cell r="O1336" t="str">
            <v>펌프카(1대)</v>
          </cell>
          <cell r="P1336">
            <v>1230</v>
          </cell>
          <cell r="Q1336">
            <v>1555</v>
          </cell>
          <cell r="R1336">
            <v>190</v>
          </cell>
          <cell r="S1336">
            <v>47</v>
          </cell>
          <cell r="T1336">
            <v>51</v>
          </cell>
          <cell r="U1336">
            <v>216</v>
          </cell>
          <cell r="V1336"/>
          <cell r="W1336" t="str">
            <v>박순홍</v>
          </cell>
          <cell r="X1336" t="str">
            <v>(인)</v>
          </cell>
          <cell r="Y1336" t="str">
            <v>박순홍</v>
          </cell>
          <cell r="Z1336" t="str">
            <v>(인)</v>
          </cell>
          <cell r="AA1336" t="str">
            <v>박기원</v>
          </cell>
          <cell r="AB1336" t="str">
            <v>(인)</v>
          </cell>
          <cell r="AC1336" t="str">
            <v>박상갑</v>
          </cell>
          <cell r="AD1336" t="str">
            <v>(인)</v>
          </cell>
          <cell r="AE1336">
            <v>186.5</v>
          </cell>
          <cell r="AF1336" t="str">
            <v>동절기</v>
          </cell>
          <cell r="AG1336">
            <v>3</v>
          </cell>
          <cell r="AH1336">
            <v>0</v>
          </cell>
        </row>
        <row r="1337">
          <cell r="G1337">
            <v>2411080301</v>
          </cell>
          <cell r="H1337" t="str">
            <v>105동</v>
          </cell>
          <cell r="I1337">
            <v>241108</v>
          </cell>
          <cell r="J1337" t="str">
            <v>105동 옥탑1,2</v>
          </cell>
          <cell r="K1337">
            <v>81</v>
          </cell>
          <cell r="L1337">
            <v>81</v>
          </cell>
          <cell r="M1337">
            <v>3018</v>
          </cell>
          <cell r="N1337" t="str">
            <v>대원</v>
          </cell>
          <cell r="O1337" t="str">
            <v>펌프카(1대)</v>
          </cell>
          <cell r="P1337">
            <v>1240</v>
          </cell>
          <cell r="Q1337">
            <v>1753</v>
          </cell>
          <cell r="R1337">
            <v>200</v>
          </cell>
          <cell r="S1337">
            <v>54</v>
          </cell>
          <cell r="T1337">
            <v>48</v>
          </cell>
          <cell r="U1337">
            <v>208</v>
          </cell>
          <cell r="V1337"/>
          <cell r="W1337" t="str">
            <v>박순홍</v>
          </cell>
          <cell r="X1337" t="str">
            <v>(인)</v>
          </cell>
          <cell r="Y1337" t="str">
            <v>박순홍</v>
          </cell>
          <cell r="Z1337" t="str">
            <v>(인)</v>
          </cell>
          <cell r="AA1337" t="str">
            <v>박기원</v>
          </cell>
          <cell r="AB1337" t="str">
            <v>(인)</v>
          </cell>
          <cell r="AC1337" t="str">
            <v>박상갑</v>
          </cell>
          <cell r="AD1337" t="str">
            <v>(인)</v>
          </cell>
          <cell r="AE1337">
            <v>192.4</v>
          </cell>
          <cell r="AF1337" t="str">
            <v>동절기</v>
          </cell>
          <cell r="AG1337">
            <v>1</v>
          </cell>
          <cell r="AH1337">
            <v>1</v>
          </cell>
          <cell r="AI1337">
            <v>2630</v>
          </cell>
          <cell r="AJ1337">
            <v>2771</v>
          </cell>
          <cell r="AK1337">
            <v>205800</v>
          </cell>
          <cell r="AL1337">
            <v>3730</v>
          </cell>
          <cell r="AM1337">
            <v>3717</v>
          </cell>
          <cell r="AN1337">
            <v>3704</v>
          </cell>
          <cell r="AO1337">
            <v>3829</v>
          </cell>
          <cell r="AP1337">
            <v>3817</v>
          </cell>
          <cell r="AQ1337">
            <v>3906</v>
          </cell>
          <cell r="AR1337">
            <v>3726</v>
          </cell>
          <cell r="AS1337">
            <v>3934</v>
          </cell>
          <cell r="AT1337">
            <v>307000</v>
          </cell>
        </row>
        <row r="1338">
          <cell r="G1338">
            <v>2411080401</v>
          </cell>
          <cell r="H1338" t="str">
            <v>108동</v>
          </cell>
          <cell r="I1338">
            <v>241108</v>
          </cell>
          <cell r="J1338" t="str">
            <v>108동 2차 타설</v>
          </cell>
          <cell r="K1338">
            <v>441</v>
          </cell>
          <cell r="L1338">
            <v>441</v>
          </cell>
          <cell r="M1338">
            <v>3015</v>
          </cell>
          <cell r="N1338" t="str">
            <v>한진</v>
          </cell>
          <cell r="O1338" t="str">
            <v>펌프카(1대)</v>
          </cell>
          <cell r="P1338">
            <v>815</v>
          </cell>
          <cell r="Q1338">
            <v>1552</v>
          </cell>
          <cell r="R1338">
            <v>140</v>
          </cell>
          <cell r="S1338">
            <v>44</v>
          </cell>
          <cell r="T1338">
            <v>22</v>
          </cell>
          <cell r="U1338">
            <v>201</v>
          </cell>
          <cell r="V1338"/>
          <cell r="W1338" t="str">
            <v>김광록</v>
          </cell>
          <cell r="X1338" t="str">
            <v>(인)</v>
          </cell>
          <cell r="Y1338" t="str">
            <v>박순홍</v>
          </cell>
          <cell r="Z1338" t="str">
            <v>(인)</v>
          </cell>
          <cell r="AA1338" t="str">
            <v>박기원</v>
          </cell>
          <cell r="AB1338" t="str">
            <v>(인)</v>
          </cell>
          <cell r="AC1338" t="str">
            <v>박상갑</v>
          </cell>
          <cell r="AD1338" t="str">
            <v>(인)</v>
          </cell>
          <cell r="AE1338">
            <v>178.6</v>
          </cell>
          <cell r="AF1338" t="str">
            <v>동절기</v>
          </cell>
          <cell r="AG1338">
            <v>1</v>
          </cell>
          <cell r="AH1338">
            <v>1</v>
          </cell>
          <cell r="AI1338">
            <v>2551</v>
          </cell>
          <cell r="AJ1338">
            <v>2622</v>
          </cell>
          <cell r="AK1338">
            <v>204600</v>
          </cell>
          <cell r="AL1338">
            <v>3608</v>
          </cell>
          <cell r="AM1338">
            <v>3768</v>
          </cell>
          <cell r="AN1338">
            <v>3702</v>
          </cell>
          <cell r="AO1338">
            <v>3876</v>
          </cell>
          <cell r="AP1338">
            <v>3902</v>
          </cell>
          <cell r="AQ1338">
            <v>3772</v>
          </cell>
          <cell r="AR1338">
            <v>3704</v>
          </cell>
          <cell r="AS1338">
            <v>3726</v>
          </cell>
          <cell r="AT1338">
            <v>290000</v>
          </cell>
        </row>
        <row r="1339">
          <cell r="G1339">
            <v>2411080402</v>
          </cell>
          <cell r="H1339" t="str">
            <v>108동</v>
          </cell>
          <cell r="I1339">
            <v>241108</v>
          </cell>
          <cell r="J1339" t="str">
            <v>108동 2차 타설</v>
          </cell>
          <cell r="K1339">
            <v>441</v>
          </cell>
          <cell r="L1339">
            <v>441</v>
          </cell>
          <cell r="M1339">
            <v>3015</v>
          </cell>
          <cell r="N1339" t="str">
            <v>한진</v>
          </cell>
          <cell r="O1339" t="str">
            <v>펌프카(1대)</v>
          </cell>
          <cell r="P1339">
            <v>815</v>
          </cell>
          <cell r="Q1339">
            <v>1552</v>
          </cell>
          <cell r="R1339">
            <v>160</v>
          </cell>
          <cell r="S1339">
            <v>46</v>
          </cell>
          <cell r="T1339">
            <v>39</v>
          </cell>
          <cell r="U1339">
            <v>207</v>
          </cell>
          <cell r="V1339"/>
          <cell r="W1339" t="str">
            <v>김광록</v>
          </cell>
          <cell r="X1339" t="str">
            <v>(인)</v>
          </cell>
          <cell r="Y1339" t="str">
            <v>박순홍</v>
          </cell>
          <cell r="Z1339" t="str">
            <v>(인)</v>
          </cell>
          <cell r="AA1339" t="str">
            <v>박기원</v>
          </cell>
          <cell r="AB1339" t="str">
            <v>(인)</v>
          </cell>
          <cell r="AC1339" t="str">
            <v>박상갑</v>
          </cell>
          <cell r="AD1339" t="str">
            <v>(인)</v>
          </cell>
          <cell r="AE1339">
            <v>179.1</v>
          </cell>
          <cell r="AF1339" t="str">
            <v>동절기</v>
          </cell>
          <cell r="AG1339">
            <v>2</v>
          </cell>
          <cell r="AH1339">
            <v>0</v>
          </cell>
        </row>
        <row r="1340">
          <cell r="G1340">
            <v>2411080403</v>
          </cell>
          <cell r="H1340" t="str">
            <v>108동</v>
          </cell>
          <cell r="I1340">
            <v>241108</v>
          </cell>
          <cell r="J1340" t="str">
            <v>108동 2차 타설</v>
          </cell>
          <cell r="K1340">
            <v>441</v>
          </cell>
          <cell r="L1340">
            <v>441</v>
          </cell>
          <cell r="M1340">
            <v>3015</v>
          </cell>
          <cell r="N1340" t="str">
            <v>한진</v>
          </cell>
          <cell r="O1340" t="str">
            <v>펌프카(1대)</v>
          </cell>
          <cell r="P1340">
            <v>815</v>
          </cell>
          <cell r="Q1340">
            <v>1552</v>
          </cell>
          <cell r="R1340">
            <v>165</v>
          </cell>
          <cell r="S1340">
            <v>48</v>
          </cell>
          <cell r="T1340">
            <v>62</v>
          </cell>
          <cell r="U1340">
            <v>211</v>
          </cell>
          <cell r="V1340"/>
          <cell r="W1340" t="str">
            <v>김광록</v>
          </cell>
          <cell r="X1340" t="str">
            <v>(인)</v>
          </cell>
          <cell r="Y1340" t="str">
            <v>박순홍</v>
          </cell>
          <cell r="Z1340" t="str">
            <v>(인)</v>
          </cell>
          <cell r="AA1340" t="str">
            <v>박기원</v>
          </cell>
          <cell r="AB1340" t="str">
            <v>(인)</v>
          </cell>
          <cell r="AC1340" t="str">
            <v>박상갑</v>
          </cell>
          <cell r="AD1340" t="str">
            <v>(인)</v>
          </cell>
          <cell r="AE1340">
            <v>179.3</v>
          </cell>
          <cell r="AF1340" t="str">
            <v>동절기</v>
          </cell>
          <cell r="AG1340">
            <v>3</v>
          </cell>
          <cell r="AH1340">
            <v>0</v>
          </cell>
        </row>
        <row r="1341">
          <cell r="G1341">
            <v>2411080404</v>
          </cell>
          <cell r="H1341" t="str">
            <v>108동</v>
          </cell>
          <cell r="I1341">
            <v>241108</v>
          </cell>
          <cell r="J1341" t="str">
            <v>108동 2차 타설</v>
          </cell>
          <cell r="K1341">
            <v>441</v>
          </cell>
          <cell r="L1341">
            <v>441</v>
          </cell>
          <cell r="M1341">
            <v>3015</v>
          </cell>
          <cell r="N1341" t="str">
            <v>한진</v>
          </cell>
          <cell r="O1341" t="str">
            <v>펌프카(1대)</v>
          </cell>
          <cell r="P1341">
            <v>815</v>
          </cell>
          <cell r="Q1341">
            <v>1552</v>
          </cell>
          <cell r="R1341">
            <v>160</v>
          </cell>
          <cell r="S1341">
            <v>42</v>
          </cell>
          <cell r="T1341">
            <v>57</v>
          </cell>
          <cell r="U1341">
            <v>215</v>
          </cell>
          <cell r="V1341"/>
          <cell r="W1341" t="str">
            <v>김광록</v>
          </cell>
          <cell r="X1341" t="str">
            <v>(인)</v>
          </cell>
          <cell r="Y1341" t="str">
            <v>박순홍</v>
          </cell>
          <cell r="Z1341" t="str">
            <v>(인)</v>
          </cell>
          <cell r="AA1341" t="str">
            <v>박기원</v>
          </cell>
          <cell r="AB1341" t="str">
            <v>(인)</v>
          </cell>
          <cell r="AC1341" t="str">
            <v>박상갑</v>
          </cell>
          <cell r="AD1341" t="str">
            <v>(인)</v>
          </cell>
          <cell r="AE1341">
            <v>183.5</v>
          </cell>
          <cell r="AF1341" t="str">
            <v>동절기</v>
          </cell>
          <cell r="AG1341">
            <v>4</v>
          </cell>
          <cell r="AH1341">
            <v>1</v>
          </cell>
          <cell r="AL1341">
            <v>3605</v>
          </cell>
          <cell r="AM1341">
            <v>3651</v>
          </cell>
          <cell r="AN1341">
            <v>3627</v>
          </cell>
          <cell r="AO1341">
            <v>3704</v>
          </cell>
          <cell r="AP1341">
            <v>3692</v>
          </cell>
          <cell r="AQ1341">
            <v>3712</v>
          </cell>
          <cell r="AR1341">
            <v>3684</v>
          </cell>
          <cell r="AS1341">
            <v>3627</v>
          </cell>
          <cell r="AT1341">
            <v>289000</v>
          </cell>
        </row>
        <row r="1342">
          <cell r="G1342">
            <v>2411110101</v>
          </cell>
          <cell r="H1342" t="str">
            <v>107동</v>
          </cell>
          <cell r="I1342">
            <v>241111</v>
          </cell>
          <cell r="J1342" t="str">
            <v>107동 15층 바닥, 103동 옥상 구조물 파라펫</v>
          </cell>
          <cell r="K1342">
            <v>287</v>
          </cell>
          <cell r="L1342">
            <v>287</v>
          </cell>
          <cell r="M1342">
            <v>3018</v>
          </cell>
          <cell r="N1342" t="str">
            <v>용호</v>
          </cell>
          <cell r="O1342" t="str">
            <v>펌프카(1대)</v>
          </cell>
          <cell r="P1342">
            <v>830</v>
          </cell>
          <cell r="Q1342">
            <v>1400</v>
          </cell>
          <cell r="R1342">
            <v>185</v>
          </cell>
          <cell r="S1342">
            <v>52</v>
          </cell>
          <cell r="T1342">
            <v>80</v>
          </cell>
          <cell r="U1342">
            <v>169</v>
          </cell>
          <cell r="V1342"/>
          <cell r="W1342" t="str">
            <v>박순홍</v>
          </cell>
          <cell r="X1342" t="str">
            <v>(인)</v>
          </cell>
          <cell r="Y1342" t="str">
            <v>박순홍</v>
          </cell>
          <cell r="Z1342" t="str">
            <v>(인)</v>
          </cell>
          <cell r="AA1342" t="str">
            <v>박상갑</v>
          </cell>
          <cell r="AB1342" t="str">
            <v>(인)</v>
          </cell>
          <cell r="AC1342" t="str">
            <v>박기원</v>
          </cell>
          <cell r="AD1342" t="str">
            <v>(인)</v>
          </cell>
          <cell r="AE1342">
            <v>187.6</v>
          </cell>
          <cell r="AF1342" t="str">
            <v>동절기</v>
          </cell>
          <cell r="AG1342">
            <v>1</v>
          </cell>
          <cell r="AH1342">
            <v>1</v>
          </cell>
          <cell r="AI1342">
            <v>2846</v>
          </cell>
          <cell r="AJ1342">
            <v>2708</v>
          </cell>
          <cell r="AK1342">
            <v>216800</v>
          </cell>
          <cell r="AL1342">
            <v>3796</v>
          </cell>
          <cell r="AM1342">
            <v>3722</v>
          </cell>
          <cell r="AN1342">
            <v>3716</v>
          </cell>
          <cell r="AO1342">
            <v>3694</v>
          </cell>
          <cell r="AP1342">
            <v>3784</v>
          </cell>
          <cell r="AQ1342">
            <v>3690</v>
          </cell>
          <cell r="AR1342">
            <v>3812</v>
          </cell>
          <cell r="AS1342">
            <v>3869</v>
          </cell>
          <cell r="AT1342">
            <v>302600</v>
          </cell>
        </row>
        <row r="1343">
          <cell r="G1343">
            <v>2411110102</v>
          </cell>
          <cell r="H1343" t="str">
            <v>107동</v>
          </cell>
          <cell r="I1343">
            <v>241111</v>
          </cell>
          <cell r="J1343" t="str">
            <v>107동 15층 바닥, 103동 옥상 구조물 파라펫</v>
          </cell>
          <cell r="K1343">
            <v>287</v>
          </cell>
          <cell r="L1343">
            <v>287</v>
          </cell>
          <cell r="M1343">
            <v>3018</v>
          </cell>
          <cell r="N1343" t="str">
            <v>용호</v>
          </cell>
          <cell r="O1343" t="str">
            <v>펌프카(1대)</v>
          </cell>
          <cell r="P1343">
            <v>830</v>
          </cell>
          <cell r="Q1343">
            <v>1400</v>
          </cell>
          <cell r="R1343">
            <v>185</v>
          </cell>
          <cell r="S1343">
            <v>37</v>
          </cell>
          <cell r="T1343">
            <v>26</v>
          </cell>
          <cell r="U1343">
            <v>166</v>
          </cell>
          <cell r="V1343"/>
          <cell r="W1343" t="str">
            <v>박순홍</v>
          </cell>
          <cell r="X1343" t="str">
            <v>(인)</v>
          </cell>
          <cell r="Y1343" t="str">
            <v>박순홍</v>
          </cell>
          <cell r="Z1343" t="str">
            <v>(인)</v>
          </cell>
          <cell r="AA1343" t="str">
            <v>박상갑</v>
          </cell>
          <cell r="AB1343" t="str">
            <v>(인)</v>
          </cell>
          <cell r="AC1343" t="str">
            <v>박기원</v>
          </cell>
          <cell r="AD1343" t="str">
            <v>(인)</v>
          </cell>
          <cell r="AE1343">
            <v>190.6</v>
          </cell>
          <cell r="AF1343" t="str">
            <v>동절기</v>
          </cell>
          <cell r="AG1343">
            <v>2</v>
          </cell>
          <cell r="AH1343">
            <v>0</v>
          </cell>
        </row>
        <row r="1344">
          <cell r="G1344">
            <v>2411110103</v>
          </cell>
          <cell r="H1344" t="str">
            <v>107동</v>
          </cell>
          <cell r="I1344">
            <v>241111</v>
          </cell>
          <cell r="J1344" t="str">
            <v>107동 15층 바닥, 103동 옥상 구조물 파라펫</v>
          </cell>
          <cell r="K1344">
            <v>287</v>
          </cell>
          <cell r="L1344">
            <v>287</v>
          </cell>
          <cell r="M1344">
            <v>3018</v>
          </cell>
          <cell r="N1344" t="str">
            <v>용호</v>
          </cell>
          <cell r="O1344" t="str">
            <v>펌프카(1대)</v>
          </cell>
          <cell r="P1344">
            <v>830</v>
          </cell>
          <cell r="Q1344">
            <v>1400</v>
          </cell>
          <cell r="R1344">
            <v>200</v>
          </cell>
          <cell r="S1344">
            <v>41</v>
          </cell>
          <cell r="T1344">
            <v>41</v>
          </cell>
          <cell r="U1344">
            <v>178</v>
          </cell>
          <cell r="V1344"/>
          <cell r="W1344" t="str">
            <v>박순홍</v>
          </cell>
          <cell r="X1344" t="str">
            <v>(인)</v>
          </cell>
          <cell r="Y1344" t="str">
            <v>박순홍</v>
          </cell>
          <cell r="Z1344" t="str">
            <v>(인)</v>
          </cell>
          <cell r="AA1344" t="str">
            <v>박상갑</v>
          </cell>
          <cell r="AB1344" t="str">
            <v>(인)</v>
          </cell>
          <cell r="AC1344" t="str">
            <v>박기원</v>
          </cell>
          <cell r="AD1344" t="str">
            <v>(인)</v>
          </cell>
          <cell r="AE1344">
            <v>192.6</v>
          </cell>
          <cell r="AF1344" t="str">
            <v>동절기</v>
          </cell>
          <cell r="AG1344">
            <v>3</v>
          </cell>
          <cell r="AH1344">
            <v>0</v>
          </cell>
        </row>
        <row r="1345">
          <cell r="G1345">
            <v>2411110201</v>
          </cell>
          <cell r="H1345" t="str">
            <v>114동</v>
          </cell>
          <cell r="I1345">
            <v>241111</v>
          </cell>
          <cell r="J1345" t="str">
            <v>114동 4층 바닥</v>
          </cell>
          <cell r="K1345">
            <v>318</v>
          </cell>
          <cell r="L1345">
            <v>318</v>
          </cell>
          <cell r="M1345">
            <v>3018</v>
          </cell>
          <cell r="N1345" t="str">
            <v>영진</v>
          </cell>
          <cell r="O1345" t="str">
            <v>펌프카(1대)</v>
          </cell>
          <cell r="P1345">
            <v>759</v>
          </cell>
          <cell r="Q1345">
            <v>1148</v>
          </cell>
          <cell r="R1345">
            <v>190</v>
          </cell>
          <cell r="S1345">
            <v>43</v>
          </cell>
          <cell r="T1345">
            <v>95</v>
          </cell>
          <cell r="U1345">
            <v>167</v>
          </cell>
          <cell r="V1345"/>
          <cell r="W1345" t="str">
            <v>김광록</v>
          </cell>
          <cell r="X1345" t="str">
            <v>(인)</v>
          </cell>
          <cell r="Y1345" t="str">
            <v>박순홍</v>
          </cell>
          <cell r="Z1345" t="str">
            <v>(인)</v>
          </cell>
          <cell r="AA1345" t="str">
            <v>박상갑</v>
          </cell>
          <cell r="AB1345" t="str">
            <v>(인)</v>
          </cell>
          <cell r="AC1345" t="str">
            <v>박기원</v>
          </cell>
          <cell r="AD1345" t="str">
            <v>(인)</v>
          </cell>
          <cell r="AE1345">
            <v>184.5</v>
          </cell>
          <cell r="AF1345" t="str">
            <v>동절기</v>
          </cell>
          <cell r="AG1345">
            <v>1</v>
          </cell>
          <cell r="AH1345">
            <v>1</v>
          </cell>
          <cell r="AI1345">
            <v>2714</v>
          </cell>
          <cell r="AJ1345">
            <v>2706</v>
          </cell>
          <cell r="AK1345">
            <v>217000</v>
          </cell>
          <cell r="AL1345">
            <v>3702</v>
          </cell>
          <cell r="AM1345">
            <v>3791</v>
          </cell>
          <cell r="AN1345">
            <v>3709</v>
          </cell>
          <cell r="AO1345">
            <v>3714</v>
          </cell>
          <cell r="AP1345">
            <v>3804</v>
          </cell>
          <cell r="AQ1345">
            <v>3692</v>
          </cell>
          <cell r="AR1345">
            <v>3729</v>
          </cell>
          <cell r="AS1345">
            <v>3844</v>
          </cell>
          <cell r="AT1345">
            <v>289600</v>
          </cell>
        </row>
        <row r="1346">
          <cell r="G1346">
            <v>2411110202</v>
          </cell>
          <cell r="H1346" t="str">
            <v>114동</v>
          </cell>
          <cell r="I1346">
            <v>241111</v>
          </cell>
          <cell r="J1346" t="str">
            <v>114동 4층 바닥</v>
          </cell>
          <cell r="K1346">
            <v>318</v>
          </cell>
          <cell r="L1346">
            <v>318</v>
          </cell>
          <cell r="M1346">
            <v>3018</v>
          </cell>
          <cell r="N1346" t="str">
            <v>영진</v>
          </cell>
          <cell r="O1346" t="str">
            <v>펌프카(1대)</v>
          </cell>
          <cell r="P1346">
            <v>759</v>
          </cell>
          <cell r="Q1346">
            <v>1148</v>
          </cell>
          <cell r="R1346">
            <v>195</v>
          </cell>
          <cell r="S1346">
            <v>47</v>
          </cell>
          <cell r="T1346">
            <v>69</v>
          </cell>
          <cell r="U1346">
            <v>179</v>
          </cell>
          <cell r="V1346"/>
          <cell r="W1346" t="str">
            <v>김광록</v>
          </cell>
          <cell r="X1346" t="str">
            <v>(인)</v>
          </cell>
          <cell r="Y1346" t="str">
            <v>박순홍</v>
          </cell>
          <cell r="Z1346" t="str">
            <v>(인)</v>
          </cell>
          <cell r="AA1346" t="str">
            <v>박상갑</v>
          </cell>
          <cell r="AB1346" t="str">
            <v>(인)</v>
          </cell>
          <cell r="AC1346" t="str">
            <v>박기원</v>
          </cell>
          <cell r="AD1346" t="str">
            <v>(인)</v>
          </cell>
          <cell r="AE1346">
            <v>185.9</v>
          </cell>
          <cell r="AF1346" t="str">
            <v>동절기</v>
          </cell>
          <cell r="AG1346">
            <v>2</v>
          </cell>
          <cell r="AH1346">
            <v>0</v>
          </cell>
        </row>
        <row r="1347">
          <cell r="G1347">
            <v>2411110203</v>
          </cell>
          <cell r="H1347" t="str">
            <v>114동</v>
          </cell>
          <cell r="I1347">
            <v>241111</v>
          </cell>
          <cell r="J1347" t="str">
            <v>114동 4층 바닥</v>
          </cell>
          <cell r="K1347">
            <v>318</v>
          </cell>
          <cell r="L1347">
            <v>318</v>
          </cell>
          <cell r="M1347">
            <v>3018</v>
          </cell>
          <cell r="N1347" t="str">
            <v>영진</v>
          </cell>
          <cell r="O1347" t="str">
            <v>펌프카(1대)</v>
          </cell>
          <cell r="P1347">
            <v>759</v>
          </cell>
          <cell r="Q1347">
            <v>1148</v>
          </cell>
          <cell r="R1347">
            <v>200</v>
          </cell>
          <cell r="S1347">
            <v>49</v>
          </cell>
          <cell r="T1347">
            <v>64</v>
          </cell>
          <cell r="U1347">
            <v>194</v>
          </cell>
          <cell r="V1347"/>
          <cell r="W1347" t="str">
            <v>김광록</v>
          </cell>
          <cell r="X1347" t="str">
            <v>(인)</v>
          </cell>
          <cell r="Y1347" t="str">
            <v>박순홍</v>
          </cell>
          <cell r="Z1347" t="str">
            <v>(인)</v>
          </cell>
          <cell r="AA1347" t="str">
            <v>박상갑</v>
          </cell>
          <cell r="AB1347" t="str">
            <v>(인)</v>
          </cell>
          <cell r="AC1347" t="str">
            <v>박기원</v>
          </cell>
          <cell r="AD1347" t="str">
            <v>(인)</v>
          </cell>
          <cell r="AE1347">
            <v>185</v>
          </cell>
          <cell r="AF1347" t="str">
            <v>동절기</v>
          </cell>
          <cell r="AG1347">
            <v>3</v>
          </cell>
          <cell r="AH1347">
            <v>0</v>
          </cell>
        </row>
        <row r="1348">
          <cell r="G1348">
            <v>2411110301</v>
          </cell>
          <cell r="H1348" t="str">
            <v>115동</v>
          </cell>
          <cell r="I1348">
            <v>241111</v>
          </cell>
          <cell r="J1348" t="str">
            <v>115동 2층 바닥</v>
          </cell>
          <cell r="K1348">
            <v>294</v>
          </cell>
          <cell r="L1348">
            <v>294</v>
          </cell>
          <cell r="M1348">
            <v>3018</v>
          </cell>
          <cell r="N1348" t="str">
            <v>영진</v>
          </cell>
          <cell r="O1348" t="str">
            <v>펌프카(1대)</v>
          </cell>
          <cell r="P1348">
            <v>1310</v>
          </cell>
          <cell r="Q1348">
            <v>1650</v>
          </cell>
          <cell r="R1348">
            <v>180</v>
          </cell>
          <cell r="S1348">
            <v>43</v>
          </cell>
          <cell r="T1348">
            <v>31</v>
          </cell>
          <cell r="U1348">
            <v>217</v>
          </cell>
          <cell r="V1348"/>
          <cell r="W1348" t="str">
            <v>박순홍</v>
          </cell>
          <cell r="X1348" t="str">
            <v>(인)</v>
          </cell>
          <cell r="Y1348" t="str">
            <v>박순홍</v>
          </cell>
          <cell r="Z1348" t="str">
            <v>(인)</v>
          </cell>
          <cell r="AA1348" t="str">
            <v>박상갑</v>
          </cell>
          <cell r="AB1348" t="str">
            <v>(인)</v>
          </cell>
          <cell r="AC1348" t="str">
            <v>박기원</v>
          </cell>
          <cell r="AD1348" t="str">
            <v>(인)</v>
          </cell>
          <cell r="AE1348">
            <v>183.6</v>
          </cell>
          <cell r="AF1348" t="str">
            <v>동절기</v>
          </cell>
          <cell r="AG1348">
            <v>1</v>
          </cell>
          <cell r="AH1348">
            <v>1</v>
          </cell>
          <cell r="AI1348">
            <v>2806</v>
          </cell>
          <cell r="AJ1348">
            <v>2704</v>
          </cell>
          <cell r="AK1348">
            <v>217000</v>
          </cell>
          <cell r="AL1348">
            <v>3618</v>
          </cell>
          <cell r="AM1348">
            <v>3679</v>
          </cell>
          <cell r="AN1348">
            <v>3694</v>
          </cell>
          <cell r="AO1348">
            <v>3726</v>
          </cell>
          <cell r="AP1348">
            <v>3830</v>
          </cell>
          <cell r="AQ1348">
            <v>3704</v>
          </cell>
          <cell r="AR1348">
            <v>3711</v>
          </cell>
          <cell r="AS1348">
            <v>3694</v>
          </cell>
          <cell r="AT1348">
            <v>294400</v>
          </cell>
        </row>
        <row r="1349">
          <cell r="G1349">
            <v>2411110302</v>
          </cell>
          <cell r="H1349" t="str">
            <v>115동</v>
          </cell>
          <cell r="I1349">
            <v>241111</v>
          </cell>
          <cell r="J1349" t="str">
            <v>115동 2층 바닥</v>
          </cell>
          <cell r="K1349">
            <v>294</v>
          </cell>
          <cell r="L1349">
            <v>294</v>
          </cell>
          <cell r="M1349">
            <v>3018</v>
          </cell>
          <cell r="N1349" t="str">
            <v>영진</v>
          </cell>
          <cell r="O1349" t="str">
            <v>펌프카(1대)</v>
          </cell>
          <cell r="P1349">
            <v>1310</v>
          </cell>
          <cell r="Q1349">
            <v>1650</v>
          </cell>
          <cell r="R1349">
            <v>185</v>
          </cell>
          <cell r="S1349">
            <v>42</v>
          </cell>
          <cell r="T1349">
            <v>55</v>
          </cell>
          <cell r="U1349">
            <v>221</v>
          </cell>
          <cell r="V1349"/>
          <cell r="W1349" t="str">
            <v>박순홍</v>
          </cell>
          <cell r="X1349" t="str">
            <v>(인)</v>
          </cell>
          <cell r="Y1349" t="str">
            <v>박순홍</v>
          </cell>
          <cell r="Z1349" t="str">
            <v>(인)</v>
          </cell>
          <cell r="AA1349" t="str">
            <v>박상갑</v>
          </cell>
          <cell r="AB1349" t="str">
            <v>(인)</v>
          </cell>
          <cell r="AC1349" t="str">
            <v>박기원</v>
          </cell>
          <cell r="AD1349" t="str">
            <v>(인)</v>
          </cell>
          <cell r="AE1349">
            <v>181.4</v>
          </cell>
          <cell r="AF1349" t="str">
            <v>동절기</v>
          </cell>
          <cell r="AG1349">
            <v>2</v>
          </cell>
          <cell r="AH1349">
            <v>0</v>
          </cell>
        </row>
        <row r="1350">
          <cell r="G1350">
            <v>2411110303</v>
          </cell>
          <cell r="H1350" t="str">
            <v>115동</v>
          </cell>
          <cell r="I1350">
            <v>241111</v>
          </cell>
          <cell r="J1350" t="str">
            <v>115동 2층 바닥</v>
          </cell>
          <cell r="K1350">
            <v>294</v>
          </cell>
          <cell r="L1350">
            <v>294</v>
          </cell>
          <cell r="M1350">
            <v>3018</v>
          </cell>
          <cell r="N1350" t="str">
            <v>영진</v>
          </cell>
          <cell r="O1350" t="str">
            <v>펌프카(1대)</v>
          </cell>
          <cell r="P1350">
            <v>1310</v>
          </cell>
          <cell r="Q1350">
            <v>1650</v>
          </cell>
          <cell r="R1350">
            <v>190</v>
          </cell>
          <cell r="S1350">
            <v>48</v>
          </cell>
          <cell r="T1350">
            <v>43</v>
          </cell>
          <cell r="U1350">
            <v>216</v>
          </cell>
          <cell r="V1350"/>
          <cell r="W1350" t="str">
            <v>박순홍</v>
          </cell>
          <cell r="X1350" t="str">
            <v>(인)</v>
          </cell>
          <cell r="Y1350" t="str">
            <v>박순홍</v>
          </cell>
          <cell r="Z1350" t="str">
            <v>(인)</v>
          </cell>
          <cell r="AA1350" t="str">
            <v>박상갑</v>
          </cell>
          <cell r="AB1350" t="str">
            <v>(인)</v>
          </cell>
          <cell r="AC1350" t="str">
            <v>박기원</v>
          </cell>
          <cell r="AD1350" t="str">
            <v>(인)</v>
          </cell>
          <cell r="AE1350">
            <v>188.4</v>
          </cell>
          <cell r="AF1350" t="str">
            <v>동절기</v>
          </cell>
          <cell r="AG1350">
            <v>3</v>
          </cell>
          <cell r="AH1350">
            <v>0</v>
          </cell>
        </row>
        <row r="1351">
          <cell r="G1351">
            <v>2411110401</v>
          </cell>
          <cell r="H1351" t="str">
            <v>116동</v>
          </cell>
          <cell r="I1351">
            <v>241111</v>
          </cell>
          <cell r="J1351" t="str">
            <v>116동 1층 바닥</v>
          </cell>
          <cell r="K1351">
            <v>342</v>
          </cell>
          <cell r="L1351">
            <v>342</v>
          </cell>
          <cell r="M1351">
            <v>3015</v>
          </cell>
          <cell r="N1351" t="str">
            <v>신우</v>
          </cell>
          <cell r="O1351" t="str">
            <v>펌프카(1대)</v>
          </cell>
          <cell r="P1351">
            <v>803</v>
          </cell>
          <cell r="Q1351">
            <v>1543</v>
          </cell>
          <cell r="R1351">
            <v>150</v>
          </cell>
          <cell r="S1351">
            <v>42</v>
          </cell>
          <cell r="T1351">
            <v>61</v>
          </cell>
          <cell r="U1351">
            <v>163</v>
          </cell>
          <cell r="V1351"/>
          <cell r="W1351" t="str">
            <v>김광록</v>
          </cell>
          <cell r="X1351" t="str">
            <v>(인)</v>
          </cell>
          <cell r="Y1351" t="str">
            <v>박순홍</v>
          </cell>
          <cell r="Z1351" t="str">
            <v>(인)</v>
          </cell>
          <cell r="AA1351" t="str">
            <v>박상갑</v>
          </cell>
          <cell r="AB1351" t="str">
            <v>(인)</v>
          </cell>
          <cell r="AC1351" t="str">
            <v>박기원</v>
          </cell>
          <cell r="AD1351" t="str">
            <v>(인)</v>
          </cell>
          <cell r="AE1351">
            <v>182.9</v>
          </cell>
          <cell r="AF1351" t="str">
            <v>동절기</v>
          </cell>
          <cell r="AG1351">
            <v>1</v>
          </cell>
          <cell r="AH1351">
            <v>1</v>
          </cell>
          <cell r="AI1351">
            <v>2144</v>
          </cell>
          <cell r="AJ1351">
            <v>2094</v>
          </cell>
          <cell r="AK1351">
            <v>162400</v>
          </cell>
          <cell r="AL1351">
            <v>3649</v>
          </cell>
          <cell r="AM1351">
            <v>3697</v>
          </cell>
          <cell r="AN1351">
            <v>3679</v>
          </cell>
          <cell r="AO1351">
            <v>3806</v>
          </cell>
          <cell r="AP1351">
            <v>3729</v>
          </cell>
          <cell r="AQ1351">
            <v>3804</v>
          </cell>
          <cell r="AR1351">
            <v>3692</v>
          </cell>
          <cell r="AS1351">
            <v>3814</v>
          </cell>
          <cell r="AT1351">
            <v>300400</v>
          </cell>
        </row>
        <row r="1352">
          <cell r="G1352">
            <v>2411110402</v>
          </cell>
          <cell r="H1352" t="str">
            <v>116동</v>
          </cell>
          <cell r="I1352">
            <v>241111</v>
          </cell>
          <cell r="J1352" t="str">
            <v>116동 1층 바닥</v>
          </cell>
          <cell r="K1352">
            <v>342</v>
          </cell>
          <cell r="L1352">
            <v>342</v>
          </cell>
          <cell r="M1352">
            <v>3015</v>
          </cell>
          <cell r="N1352" t="str">
            <v>신우</v>
          </cell>
          <cell r="O1352" t="str">
            <v>펌프카(1대)</v>
          </cell>
          <cell r="P1352">
            <v>803</v>
          </cell>
          <cell r="Q1352">
            <v>1543</v>
          </cell>
          <cell r="R1352">
            <v>160</v>
          </cell>
          <cell r="S1352">
            <v>47</v>
          </cell>
          <cell r="T1352">
            <v>69</v>
          </cell>
          <cell r="U1352">
            <v>190</v>
          </cell>
          <cell r="V1352"/>
          <cell r="W1352" t="str">
            <v>김광록</v>
          </cell>
          <cell r="X1352" t="str">
            <v>(인)</v>
          </cell>
          <cell r="Y1352" t="str">
            <v>박순홍</v>
          </cell>
          <cell r="Z1352" t="str">
            <v>(인)</v>
          </cell>
          <cell r="AA1352" t="str">
            <v>박상갑</v>
          </cell>
          <cell r="AB1352" t="str">
            <v>(인)</v>
          </cell>
          <cell r="AC1352" t="str">
            <v>박기원</v>
          </cell>
          <cell r="AD1352" t="str">
            <v>(인)</v>
          </cell>
          <cell r="AE1352">
            <v>183.2</v>
          </cell>
          <cell r="AF1352" t="str">
            <v>동절기</v>
          </cell>
          <cell r="AG1352">
            <v>2</v>
          </cell>
          <cell r="AH1352">
            <v>0</v>
          </cell>
        </row>
        <row r="1353">
          <cell r="G1353">
            <v>2411110403</v>
          </cell>
          <cell r="H1353" t="str">
            <v>116동</v>
          </cell>
          <cell r="I1353">
            <v>241111</v>
          </cell>
          <cell r="J1353" t="str">
            <v>116동 1층 바닥</v>
          </cell>
          <cell r="K1353">
            <v>342</v>
          </cell>
          <cell r="L1353">
            <v>342</v>
          </cell>
          <cell r="M1353">
            <v>3015</v>
          </cell>
          <cell r="N1353" t="str">
            <v>신우</v>
          </cell>
          <cell r="O1353" t="str">
            <v>펌프카(1대)</v>
          </cell>
          <cell r="P1353">
            <v>803</v>
          </cell>
          <cell r="Q1353">
            <v>1543</v>
          </cell>
          <cell r="R1353">
            <v>165</v>
          </cell>
          <cell r="S1353">
            <v>50</v>
          </cell>
          <cell r="T1353">
            <v>62</v>
          </cell>
          <cell r="U1353">
            <v>176</v>
          </cell>
          <cell r="V1353"/>
          <cell r="W1353" t="str">
            <v>김광록</v>
          </cell>
          <cell r="X1353" t="str">
            <v>(인)</v>
          </cell>
          <cell r="Y1353" t="str">
            <v>박순홍</v>
          </cell>
          <cell r="Z1353" t="str">
            <v>(인)</v>
          </cell>
          <cell r="AA1353" t="str">
            <v>박상갑</v>
          </cell>
          <cell r="AB1353" t="str">
            <v>(인)</v>
          </cell>
          <cell r="AC1353" t="str">
            <v>박기원</v>
          </cell>
          <cell r="AD1353" t="str">
            <v>(인)</v>
          </cell>
          <cell r="AE1353">
            <v>183.7</v>
          </cell>
          <cell r="AF1353" t="str">
            <v>동절기</v>
          </cell>
          <cell r="AG1353">
            <v>3</v>
          </cell>
          <cell r="AH1353">
            <v>0</v>
          </cell>
        </row>
        <row r="1354">
          <cell r="G1354">
            <v>2411110501</v>
          </cell>
          <cell r="H1354" t="str">
            <v>수영장</v>
          </cell>
          <cell r="I1354">
            <v>241111</v>
          </cell>
          <cell r="J1354" t="str">
            <v>수영장 지붕 누름, 102~103 사이 누름</v>
          </cell>
          <cell r="K1354">
            <v>78</v>
          </cell>
          <cell r="L1354">
            <v>78</v>
          </cell>
          <cell r="M1354">
            <v>1815</v>
          </cell>
          <cell r="N1354" t="str">
            <v>용호</v>
          </cell>
          <cell r="O1354" t="str">
            <v>펌프카(1대)</v>
          </cell>
          <cell r="P1354">
            <v>1340</v>
          </cell>
          <cell r="Q1354">
            <v>1555</v>
          </cell>
          <cell r="R1354">
            <v>160</v>
          </cell>
          <cell r="S1354">
            <v>49</v>
          </cell>
          <cell r="T1354">
            <v>124</v>
          </cell>
          <cell r="U1354">
            <v>233</v>
          </cell>
          <cell r="V1354"/>
          <cell r="W1354" t="str">
            <v>박순홍</v>
          </cell>
          <cell r="X1354" t="str">
            <v>(인)</v>
          </cell>
          <cell r="Y1354" t="str">
            <v>박순홍</v>
          </cell>
          <cell r="Z1354" t="str">
            <v>(인)</v>
          </cell>
          <cell r="AA1354" t="str">
            <v>박상갑</v>
          </cell>
          <cell r="AB1354" t="str">
            <v>(인)</v>
          </cell>
          <cell r="AC1354" t="str">
            <v>박기원</v>
          </cell>
          <cell r="AD1354" t="str">
            <v>(인)</v>
          </cell>
          <cell r="AE1354">
            <v>180.4</v>
          </cell>
          <cell r="AF1354" t="str">
            <v>동절기</v>
          </cell>
          <cell r="AG1354">
            <v>1</v>
          </cell>
          <cell r="AH1354">
            <v>1</v>
          </cell>
          <cell r="AI1354">
            <v>1497</v>
          </cell>
          <cell r="AJ1354">
            <v>1429</v>
          </cell>
          <cell r="AK1354">
            <v>117000</v>
          </cell>
          <cell r="AL1354">
            <v>2358</v>
          </cell>
          <cell r="AM1354">
            <v>2419</v>
          </cell>
          <cell r="AN1354">
            <v>2402</v>
          </cell>
          <cell r="AO1354">
            <v>2312</v>
          </cell>
          <cell r="AP1354">
            <v>2308</v>
          </cell>
          <cell r="AQ1354">
            <v>2411</v>
          </cell>
          <cell r="AR1354">
            <v>2361</v>
          </cell>
          <cell r="AS1354">
            <v>2477</v>
          </cell>
          <cell r="AT1354">
            <v>186400</v>
          </cell>
        </row>
        <row r="1355">
          <cell r="G1355">
            <v>2411120101</v>
          </cell>
          <cell r="H1355" t="str">
            <v>102동</v>
          </cell>
          <cell r="I1355">
            <v>241112</v>
          </cell>
          <cell r="J1355" t="str">
            <v>102동 12층 바닥</v>
          </cell>
          <cell r="K1355">
            <v>279</v>
          </cell>
          <cell r="L1355">
            <v>279</v>
          </cell>
          <cell r="M1355">
            <v>3018</v>
          </cell>
          <cell r="N1355" t="str">
            <v>대원</v>
          </cell>
          <cell r="O1355" t="str">
            <v>펌프카(1대)</v>
          </cell>
          <cell r="P1355">
            <v>755</v>
          </cell>
          <cell r="Q1355">
            <v>1155</v>
          </cell>
          <cell r="R1355">
            <v>190</v>
          </cell>
          <cell r="S1355">
            <v>52</v>
          </cell>
          <cell r="T1355">
            <v>14</v>
          </cell>
          <cell r="U1355">
            <v>185</v>
          </cell>
          <cell r="V1355"/>
          <cell r="W1355" t="str">
            <v>김광록</v>
          </cell>
          <cell r="X1355" t="str">
            <v>(인)</v>
          </cell>
          <cell r="Y1355" t="str">
            <v>박순홍</v>
          </cell>
          <cell r="Z1355" t="str">
            <v>(인)</v>
          </cell>
          <cell r="AA1355" t="str">
            <v>박상갑</v>
          </cell>
          <cell r="AB1355" t="str">
            <v>(인)</v>
          </cell>
          <cell r="AC1355" t="str">
            <v>박기원</v>
          </cell>
          <cell r="AD1355" t="str">
            <v>(인)</v>
          </cell>
          <cell r="AE1355">
            <v>183.7</v>
          </cell>
          <cell r="AF1355" t="str">
            <v>동절기</v>
          </cell>
          <cell r="AG1355">
            <v>1</v>
          </cell>
          <cell r="AH1355">
            <v>1</v>
          </cell>
          <cell r="AI1355">
            <v>2816</v>
          </cell>
          <cell r="AJ1355">
            <v>2834</v>
          </cell>
          <cell r="AK1355">
            <v>220200</v>
          </cell>
          <cell r="AL1355">
            <v>3728</v>
          </cell>
          <cell r="AM1355">
            <v>3669</v>
          </cell>
          <cell r="AN1355">
            <v>3688</v>
          </cell>
          <cell r="AO1355">
            <v>3629</v>
          </cell>
          <cell r="AP1355">
            <v>3630</v>
          </cell>
          <cell r="AQ1355">
            <v>3830</v>
          </cell>
          <cell r="AR1355">
            <v>3904</v>
          </cell>
          <cell r="AS1355">
            <v>3724</v>
          </cell>
          <cell r="AT1355">
            <v>292200</v>
          </cell>
        </row>
        <row r="1356">
          <cell r="G1356">
            <v>2411120102</v>
          </cell>
          <cell r="H1356" t="str">
            <v>102동</v>
          </cell>
          <cell r="I1356">
            <v>241112</v>
          </cell>
          <cell r="J1356" t="str">
            <v>102동 12층 바닥</v>
          </cell>
          <cell r="K1356">
            <v>279</v>
          </cell>
          <cell r="L1356">
            <v>279</v>
          </cell>
          <cell r="M1356">
            <v>3018</v>
          </cell>
          <cell r="N1356" t="str">
            <v>대원</v>
          </cell>
          <cell r="O1356" t="str">
            <v>펌프카(1대)</v>
          </cell>
          <cell r="P1356">
            <v>755</v>
          </cell>
          <cell r="Q1356">
            <v>1155</v>
          </cell>
          <cell r="R1356">
            <v>185</v>
          </cell>
          <cell r="S1356">
            <v>38</v>
          </cell>
          <cell r="T1356">
            <v>20</v>
          </cell>
          <cell r="U1356">
            <v>180</v>
          </cell>
          <cell r="V1356"/>
          <cell r="W1356" t="str">
            <v>김광록</v>
          </cell>
          <cell r="X1356" t="str">
            <v>(인)</v>
          </cell>
          <cell r="Y1356" t="str">
            <v>박순홍</v>
          </cell>
          <cell r="Z1356" t="str">
            <v>(인)</v>
          </cell>
          <cell r="AA1356" t="str">
            <v>박상갑</v>
          </cell>
          <cell r="AB1356" t="str">
            <v>(인)</v>
          </cell>
          <cell r="AC1356" t="str">
            <v>박기원</v>
          </cell>
          <cell r="AD1356" t="str">
            <v>(인)</v>
          </cell>
          <cell r="AE1356">
            <v>178.6</v>
          </cell>
          <cell r="AF1356" t="str">
            <v>동절기</v>
          </cell>
          <cell r="AG1356">
            <v>2</v>
          </cell>
          <cell r="AH1356">
            <v>0</v>
          </cell>
        </row>
        <row r="1357">
          <cell r="G1357">
            <v>2411120103</v>
          </cell>
          <cell r="H1357" t="str">
            <v>102동</v>
          </cell>
          <cell r="I1357">
            <v>241112</v>
          </cell>
          <cell r="J1357" t="str">
            <v>102동 12층 바닥</v>
          </cell>
          <cell r="K1357">
            <v>279</v>
          </cell>
          <cell r="L1357">
            <v>279</v>
          </cell>
          <cell r="M1357">
            <v>3018</v>
          </cell>
          <cell r="N1357" t="str">
            <v>대원</v>
          </cell>
          <cell r="O1357" t="str">
            <v>펌프카(1대)</v>
          </cell>
          <cell r="P1357">
            <v>755</v>
          </cell>
          <cell r="Q1357">
            <v>1155</v>
          </cell>
          <cell r="R1357">
            <v>195</v>
          </cell>
          <cell r="S1357">
            <v>42</v>
          </cell>
          <cell r="T1357">
            <v>21</v>
          </cell>
          <cell r="U1357">
            <v>194</v>
          </cell>
          <cell r="V1357"/>
          <cell r="W1357" t="str">
            <v>김광록</v>
          </cell>
          <cell r="X1357" t="str">
            <v>(인)</v>
          </cell>
          <cell r="Y1357" t="str">
            <v>박순홍</v>
          </cell>
          <cell r="Z1357" t="str">
            <v>(인)</v>
          </cell>
          <cell r="AA1357" t="str">
            <v>박상갑</v>
          </cell>
          <cell r="AB1357" t="str">
            <v>(인)</v>
          </cell>
          <cell r="AC1357" t="str">
            <v>박기원</v>
          </cell>
          <cell r="AD1357" t="str">
            <v>(인)</v>
          </cell>
          <cell r="AE1357">
            <v>181.7</v>
          </cell>
          <cell r="AF1357" t="str">
            <v>동절기</v>
          </cell>
          <cell r="AG1357">
            <v>3</v>
          </cell>
          <cell r="AH1357">
            <v>0</v>
          </cell>
        </row>
        <row r="1358">
          <cell r="G1358">
            <v>2411120201</v>
          </cell>
          <cell r="H1358" t="str">
            <v>117동</v>
          </cell>
          <cell r="I1358">
            <v>241112</v>
          </cell>
          <cell r="J1358" t="str">
            <v>117동 1층 바닥 1차</v>
          </cell>
          <cell r="K1358">
            <v>256</v>
          </cell>
          <cell r="L1358">
            <v>256</v>
          </cell>
          <cell r="M1358">
            <v>3015</v>
          </cell>
          <cell r="N1358" t="str">
            <v>대공</v>
          </cell>
          <cell r="O1358" t="str">
            <v>펌프카(1대)</v>
          </cell>
          <cell r="P1358">
            <v>744</v>
          </cell>
          <cell r="Q1358">
            <v>1114</v>
          </cell>
          <cell r="R1358">
            <v>145</v>
          </cell>
          <cell r="S1358">
            <v>40</v>
          </cell>
          <cell r="T1358">
            <v>20</v>
          </cell>
          <cell r="U1358">
            <v>191</v>
          </cell>
          <cell r="V1358"/>
          <cell r="W1358" t="str">
            <v>김광록</v>
          </cell>
          <cell r="X1358" t="str">
            <v>(인)</v>
          </cell>
          <cell r="Y1358" t="str">
            <v>박순홍</v>
          </cell>
          <cell r="Z1358" t="str">
            <v>(인)</v>
          </cell>
          <cell r="AA1358" t="str">
            <v>박상갑</v>
          </cell>
          <cell r="AB1358" t="str">
            <v>(인)</v>
          </cell>
          <cell r="AC1358" t="str">
            <v>박기원</v>
          </cell>
          <cell r="AD1358" t="str">
            <v>(인)</v>
          </cell>
          <cell r="AE1358">
            <v>173.6</v>
          </cell>
          <cell r="AF1358" t="str">
            <v>동절기</v>
          </cell>
          <cell r="AG1358">
            <v>1</v>
          </cell>
          <cell r="AH1358">
            <v>1</v>
          </cell>
          <cell r="AI1358">
            <v>2872</v>
          </cell>
          <cell r="AJ1358">
            <v>2796</v>
          </cell>
          <cell r="AK1358">
            <v>227200</v>
          </cell>
          <cell r="AL1358">
            <v>3587</v>
          </cell>
          <cell r="AM1358">
            <v>3600</v>
          </cell>
          <cell r="AN1358">
            <v>3629</v>
          </cell>
          <cell r="AO1358">
            <v>3539</v>
          </cell>
          <cell r="AP1358">
            <v>3607</v>
          </cell>
          <cell r="AQ1358">
            <v>3629</v>
          </cell>
          <cell r="AR1358">
            <v>3528</v>
          </cell>
          <cell r="AS1358">
            <v>3536</v>
          </cell>
          <cell r="AT1358">
            <v>279400</v>
          </cell>
        </row>
        <row r="1359">
          <cell r="G1359">
            <v>2411120202</v>
          </cell>
          <cell r="H1359" t="str">
            <v>117동</v>
          </cell>
          <cell r="I1359">
            <v>241112</v>
          </cell>
          <cell r="J1359" t="str">
            <v>117동 1층 바닥 1차</v>
          </cell>
          <cell r="K1359">
            <v>256</v>
          </cell>
          <cell r="L1359">
            <v>256</v>
          </cell>
          <cell r="M1359">
            <v>3015</v>
          </cell>
          <cell r="N1359" t="str">
            <v>대공</v>
          </cell>
          <cell r="O1359" t="str">
            <v>펌프카(1대)</v>
          </cell>
          <cell r="P1359">
            <v>744</v>
          </cell>
          <cell r="Q1359">
            <v>1114</v>
          </cell>
          <cell r="R1359">
            <v>160</v>
          </cell>
          <cell r="S1359">
            <v>51</v>
          </cell>
          <cell r="T1359">
            <v>6</v>
          </cell>
          <cell r="U1359">
            <v>177</v>
          </cell>
          <cell r="V1359"/>
          <cell r="W1359" t="str">
            <v>김광록</v>
          </cell>
          <cell r="X1359" t="str">
            <v>(인)</v>
          </cell>
          <cell r="Y1359" t="str">
            <v>박순홍</v>
          </cell>
          <cell r="Z1359" t="str">
            <v>(인)</v>
          </cell>
          <cell r="AA1359" t="str">
            <v>박상갑</v>
          </cell>
          <cell r="AB1359" t="str">
            <v>(인)</v>
          </cell>
          <cell r="AC1359" t="str">
            <v>박기원</v>
          </cell>
          <cell r="AD1359" t="str">
            <v>(인)</v>
          </cell>
          <cell r="AE1359">
            <v>168.4</v>
          </cell>
          <cell r="AF1359" t="str">
            <v>동절기</v>
          </cell>
          <cell r="AG1359">
            <v>2</v>
          </cell>
          <cell r="AH1359">
            <v>0</v>
          </cell>
        </row>
        <row r="1360">
          <cell r="G1360">
            <v>2411120203</v>
          </cell>
          <cell r="H1360" t="str">
            <v>117동</v>
          </cell>
          <cell r="I1360">
            <v>241112</v>
          </cell>
          <cell r="J1360" t="str">
            <v>117동 1층 바닥 1차</v>
          </cell>
          <cell r="K1360">
            <v>256</v>
          </cell>
          <cell r="L1360">
            <v>256</v>
          </cell>
          <cell r="M1360">
            <v>3015</v>
          </cell>
          <cell r="N1360" t="str">
            <v>대공</v>
          </cell>
          <cell r="O1360" t="str">
            <v>펌프카(1대)</v>
          </cell>
          <cell r="P1360">
            <v>744</v>
          </cell>
          <cell r="Q1360">
            <v>1114</v>
          </cell>
          <cell r="R1360">
            <v>170</v>
          </cell>
          <cell r="S1360">
            <v>44</v>
          </cell>
          <cell r="T1360">
            <v>10</v>
          </cell>
          <cell r="U1360">
            <v>187</v>
          </cell>
          <cell r="V1360"/>
          <cell r="W1360" t="str">
            <v>김광록</v>
          </cell>
          <cell r="X1360" t="str">
            <v>(인)</v>
          </cell>
          <cell r="Y1360" t="str">
            <v>박순홍</v>
          </cell>
          <cell r="Z1360" t="str">
            <v>(인)</v>
          </cell>
          <cell r="AA1360" t="str">
            <v>박상갑</v>
          </cell>
          <cell r="AB1360" t="str">
            <v>(인)</v>
          </cell>
          <cell r="AC1360" t="str">
            <v>박기원</v>
          </cell>
          <cell r="AD1360" t="str">
            <v>(인)</v>
          </cell>
          <cell r="AE1360">
            <v>172.6</v>
          </cell>
          <cell r="AF1360" t="str">
            <v>동절기</v>
          </cell>
          <cell r="AG1360">
            <v>3</v>
          </cell>
          <cell r="AH1360">
            <v>0</v>
          </cell>
        </row>
        <row r="1361">
          <cell r="G1361">
            <v>2411120301</v>
          </cell>
          <cell r="H1361" t="str">
            <v>117동</v>
          </cell>
          <cell r="I1361">
            <v>241112</v>
          </cell>
          <cell r="J1361" t="str">
            <v>117동 1층 바닥 1차</v>
          </cell>
          <cell r="K1361">
            <v>215</v>
          </cell>
          <cell r="L1361">
            <v>215</v>
          </cell>
          <cell r="M1361">
            <v>2715</v>
          </cell>
          <cell r="N1361" t="str">
            <v>대공</v>
          </cell>
          <cell r="O1361" t="str">
            <v>펌프카(1대)</v>
          </cell>
          <cell r="P1361">
            <v>1245</v>
          </cell>
          <cell r="Q1361">
            <v>1648</v>
          </cell>
          <cell r="R1361">
            <v>145</v>
          </cell>
          <cell r="S1361">
            <v>44</v>
          </cell>
          <cell r="T1361">
            <v>15</v>
          </cell>
          <cell r="U1361">
            <v>226</v>
          </cell>
          <cell r="V1361"/>
          <cell r="W1361" t="str">
            <v>박순홍</v>
          </cell>
          <cell r="X1361" t="str">
            <v>(인)</v>
          </cell>
          <cell r="Y1361" t="str">
            <v>박순홍</v>
          </cell>
          <cell r="Z1361" t="str">
            <v>(인)</v>
          </cell>
          <cell r="AA1361" t="str">
            <v>박상갑</v>
          </cell>
          <cell r="AB1361" t="str">
            <v>(인)</v>
          </cell>
          <cell r="AC1361" t="str">
            <v>박기원</v>
          </cell>
          <cell r="AD1361" t="str">
            <v>(인)</v>
          </cell>
          <cell r="AE1361">
            <v>188.4</v>
          </cell>
          <cell r="AF1361" t="str">
            <v>동절기</v>
          </cell>
          <cell r="AG1361">
            <v>1</v>
          </cell>
          <cell r="AH1361">
            <v>1</v>
          </cell>
          <cell r="AI1361">
            <v>2436</v>
          </cell>
          <cell r="AJ1361">
            <v>2411</v>
          </cell>
          <cell r="AK1361">
            <v>194400</v>
          </cell>
          <cell r="AL1361">
            <v>3262</v>
          </cell>
          <cell r="AM1361">
            <v>3231</v>
          </cell>
          <cell r="AN1361">
            <v>3206</v>
          </cell>
          <cell r="AO1361">
            <v>3304</v>
          </cell>
          <cell r="AP1361">
            <v>3227</v>
          </cell>
          <cell r="AQ1361">
            <v>3233</v>
          </cell>
          <cell r="AR1361">
            <v>3216</v>
          </cell>
          <cell r="AS1361">
            <v>3218</v>
          </cell>
          <cell r="AT1361">
            <v>265400</v>
          </cell>
        </row>
        <row r="1362">
          <cell r="G1362">
            <v>2411120302</v>
          </cell>
          <cell r="H1362" t="str">
            <v>117동</v>
          </cell>
          <cell r="I1362">
            <v>241112</v>
          </cell>
          <cell r="J1362" t="str">
            <v>117동 1층 바닥 1차</v>
          </cell>
          <cell r="K1362">
            <v>215</v>
          </cell>
          <cell r="L1362">
            <v>215</v>
          </cell>
          <cell r="M1362">
            <v>2715</v>
          </cell>
          <cell r="N1362" t="str">
            <v>대공</v>
          </cell>
          <cell r="O1362" t="str">
            <v>펌프카(1대)</v>
          </cell>
          <cell r="P1362">
            <v>1245</v>
          </cell>
          <cell r="Q1362">
            <v>1648</v>
          </cell>
          <cell r="R1362">
            <v>160</v>
          </cell>
          <cell r="S1362">
            <v>38</v>
          </cell>
          <cell r="T1362">
            <v>28</v>
          </cell>
          <cell r="U1362">
            <v>230</v>
          </cell>
          <cell r="V1362"/>
          <cell r="W1362" t="str">
            <v>박순홍</v>
          </cell>
          <cell r="X1362" t="str">
            <v>(인)</v>
          </cell>
          <cell r="Y1362" t="str">
            <v>박순홍</v>
          </cell>
          <cell r="Z1362" t="str">
            <v>(인)</v>
          </cell>
          <cell r="AA1362" t="str">
            <v>박상갑</v>
          </cell>
          <cell r="AB1362" t="str">
            <v>(인)</v>
          </cell>
          <cell r="AC1362" t="str">
            <v>박기원</v>
          </cell>
          <cell r="AD1362" t="str">
            <v>(인)</v>
          </cell>
          <cell r="AE1362">
            <v>179.4</v>
          </cell>
          <cell r="AF1362" t="str">
            <v>동절기</v>
          </cell>
          <cell r="AG1362">
            <v>2</v>
          </cell>
          <cell r="AH1362">
            <v>0</v>
          </cell>
        </row>
        <row r="1363">
          <cell r="G1363">
            <v>2411120401</v>
          </cell>
          <cell r="H1363" t="str">
            <v>램프3번</v>
          </cell>
          <cell r="I1363">
            <v>241112</v>
          </cell>
          <cell r="J1363" t="str">
            <v>램프 #3 주변 지붕층</v>
          </cell>
          <cell r="K1363">
            <v>276</v>
          </cell>
          <cell r="L1363">
            <v>276</v>
          </cell>
          <cell r="M1363">
            <v>2715</v>
          </cell>
          <cell r="N1363" t="str">
            <v>용호</v>
          </cell>
          <cell r="O1363" t="str">
            <v>펌프카(1대)</v>
          </cell>
          <cell r="P1363">
            <v>1326</v>
          </cell>
          <cell r="Q1363">
            <v>1652</v>
          </cell>
          <cell r="R1363">
            <v>165</v>
          </cell>
          <cell r="S1363">
            <v>51</v>
          </cell>
          <cell r="T1363">
            <v>34</v>
          </cell>
          <cell r="U1363">
            <v>230</v>
          </cell>
          <cell r="V1363"/>
          <cell r="W1363" t="str">
            <v>박순홍</v>
          </cell>
          <cell r="X1363" t="str">
            <v>(인)</v>
          </cell>
          <cell r="Y1363" t="str">
            <v>박순홍</v>
          </cell>
          <cell r="Z1363" t="str">
            <v>(인)</v>
          </cell>
          <cell r="AA1363" t="str">
            <v>박상갑</v>
          </cell>
          <cell r="AB1363" t="str">
            <v>(인)</v>
          </cell>
          <cell r="AC1363" t="str">
            <v>박기원</v>
          </cell>
          <cell r="AD1363" t="str">
            <v>(인)</v>
          </cell>
          <cell r="AE1363">
            <v>184.4</v>
          </cell>
          <cell r="AF1363" t="str">
            <v>동절기</v>
          </cell>
          <cell r="AG1363">
            <v>1</v>
          </cell>
          <cell r="AH1363">
            <v>1</v>
          </cell>
          <cell r="AI1363">
            <v>2307</v>
          </cell>
          <cell r="AJ1363">
            <v>2292</v>
          </cell>
          <cell r="AK1363">
            <v>175400</v>
          </cell>
          <cell r="AL1363">
            <v>3134</v>
          </cell>
          <cell r="AM1363">
            <v>3274</v>
          </cell>
          <cell r="AN1363">
            <v>3316</v>
          </cell>
          <cell r="AO1363">
            <v>3304</v>
          </cell>
          <cell r="AP1363">
            <v>3219</v>
          </cell>
          <cell r="AQ1363">
            <v>3206</v>
          </cell>
          <cell r="AR1363">
            <v>3184</v>
          </cell>
          <cell r="AS1363">
            <v>3206</v>
          </cell>
          <cell r="AT1363">
            <v>250000</v>
          </cell>
        </row>
        <row r="1364">
          <cell r="G1364">
            <v>2411120402</v>
          </cell>
          <cell r="H1364" t="str">
            <v>램프3번</v>
          </cell>
          <cell r="I1364">
            <v>241112</v>
          </cell>
          <cell r="J1364" t="str">
            <v>램프 #3 주변 지붕층</v>
          </cell>
          <cell r="K1364">
            <v>276</v>
          </cell>
          <cell r="L1364">
            <v>276</v>
          </cell>
          <cell r="M1364">
            <v>2715</v>
          </cell>
          <cell r="N1364" t="str">
            <v>용호</v>
          </cell>
          <cell r="O1364" t="str">
            <v>펌프카(1대)</v>
          </cell>
          <cell r="P1364">
            <v>1326</v>
          </cell>
          <cell r="Q1364">
            <v>1652</v>
          </cell>
          <cell r="R1364">
            <v>175</v>
          </cell>
          <cell r="S1364">
            <v>55</v>
          </cell>
          <cell r="T1364">
            <v>43</v>
          </cell>
          <cell r="U1364">
            <v>192</v>
          </cell>
          <cell r="V1364"/>
          <cell r="W1364" t="str">
            <v>박순홍</v>
          </cell>
          <cell r="X1364" t="str">
            <v>(인)</v>
          </cell>
          <cell r="Y1364" t="str">
            <v>박순홍</v>
          </cell>
          <cell r="Z1364" t="str">
            <v>(인)</v>
          </cell>
          <cell r="AA1364" t="str">
            <v>박상갑</v>
          </cell>
          <cell r="AB1364" t="str">
            <v>(인)</v>
          </cell>
          <cell r="AC1364" t="str">
            <v>박기원</v>
          </cell>
          <cell r="AD1364" t="str">
            <v>(인)</v>
          </cell>
          <cell r="AE1364">
            <v>177.3</v>
          </cell>
          <cell r="AF1364" t="str">
            <v>동절기</v>
          </cell>
          <cell r="AG1364">
            <v>2</v>
          </cell>
          <cell r="AH1364">
            <v>0</v>
          </cell>
        </row>
        <row r="1365">
          <cell r="G1365">
            <v>2411120403</v>
          </cell>
          <cell r="H1365" t="str">
            <v>램프3번</v>
          </cell>
          <cell r="I1365">
            <v>241112</v>
          </cell>
          <cell r="J1365" t="str">
            <v>램프 #3 주변 지붕층</v>
          </cell>
          <cell r="K1365">
            <v>276</v>
          </cell>
          <cell r="L1365">
            <v>276</v>
          </cell>
          <cell r="M1365">
            <v>2715</v>
          </cell>
          <cell r="N1365" t="str">
            <v>용호</v>
          </cell>
          <cell r="O1365" t="str">
            <v>펌프카(1대)</v>
          </cell>
          <cell r="P1365">
            <v>1326</v>
          </cell>
          <cell r="Q1365">
            <v>1652</v>
          </cell>
          <cell r="R1365">
            <v>170</v>
          </cell>
          <cell r="S1365">
            <v>54</v>
          </cell>
          <cell r="T1365">
            <v>36</v>
          </cell>
          <cell r="U1365">
            <v>220</v>
          </cell>
          <cell r="V1365"/>
          <cell r="W1365" t="str">
            <v>박순홍</v>
          </cell>
          <cell r="X1365" t="str">
            <v>(인)</v>
          </cell>
          <cell r="Y1365" t="str">
            <v>박순홍</v>
          </cell>
          <cell r="Z1365" t="str">
            <v>(인)</v>
          </cell>
          <cell r="AA1365" t="str">
            <v>박상갑</v>
          </cell>
          <cell r="AB1365" t="str">
            <v>(인)</v>
          </cell>
          <cell r="AC1365" t="str">
            <v>박기원</v>
          </cell>
          <cell r="AD1365" t="str">
            <v>(인)</v>
          </cell>
          <cell r="AE1365">
            <v>178.9</v>
          </cell>
          <cell r="AF1365" t="str">
            <v>동절기</v>
          </cell>
          <cell r="AG1365">
            <v>3</v>
          </cell>
          <cell r="AH1365">
            <v>0</v>
          </cell>
        </row>
        <row r="1366">
          <cell r="G1366">
            <v>2411130101</v>
          </cell>
          <cell r="H1366" t="str">
            <v>113동</v>
          </cell>
          <cell r="I1366">
            <v>241113</v>
          </cell>
          <cell r="J1366" t="str">
            <v>113동 12층 바닥</v>
          </cell>
          <cell r="K1366">
            <v>336</v>
          </cell>
          <cell r="L1366">
            <v>336</v>
          </cell>
          <cell r="M1366">
            <v>3018</v>
          </cell>
          <cell r="N1366" t="str">
            <v>대공</v>
          </cell>
          <cell r="O1366" t="str">
            <v>펌프카(1대)</v>
          </cell>
          <cell r="P1366">
            <v>753</v>
          </cell>
          <cell r="Q1366">
            <v>1241</v>
          </cell>
          <cell r="R1366">
            <v>170</v>
          </cell>
          <cell r="S1366">
            <v>48</v>
          </cell>
          <cell r="T1366">
            <v>20</v>
          </cell>
          <cell r="U1366">
            <v>197</v>
          </cell>
          <cell r="V1366"/>
          <cell r="W1366" t="str">
            <v>박순홍</v>
          </cell>
          <cell r="X1366" t="str">
            <v>(인)</v>
          </cell>
          <cell r="Y1366" t="str">
            <v>박순홍</v>
          </cell>
          <cell r="Z1366" t="str">
            <v>(인)</v>
          </cell>
          <cell r="AA1366" t="str">
            <v>박상갑</v>
          </cell>
          <cell r="AB1366" t="str">
            <v>(인)</v>
          </cell>
          <cell r="AC1366" t="str">
            <v>박기원</v>
          </cell>
          <cell r="AD1366" t="str">
            <v>(인)</v>
          </cell>
          <cell r="AE1366">
            <v>189.4</v>
          </cell>
          <cell r="AF1366" t="str">
            <v>동절기</v>
          </cell>
          <cell r="AG1366">
            <v>1</v>
          </cell>
          <cell r="AH1366">
            <v>1</v>
          </cell>
          <cell r="AI1366">
            <v>2852</v>
          </cell>
          <cell r="AJ1366">
            <v>2790</v>
          </cell>
          <cell r="AK1366">
            <v>218400</v>
          </cell>
          <cell r="AL1366">
            <v>4040</v>
          </cell>
          <cell r="AM1366">
            <v>4052</v>
          </cell>
          <cell r="AN1366">
            <v>4206</v>
          </cell>
          <cell r="AO1366">
            <v>4204</v>
          </cell>
          <cell r="AP1366">
            <v>3986</v>
          </cell>
          <cell r="AQ1366">
            <v>3924</v>
          </cell>
          <cell r="AR1366">
            <v>4044</v>
          </cell>
          <cell r="AS1366">
            <v>4067</v>
          </cell>
          <cell r="AT1366">
            <v>342260</v>
          </cell>
        </row>
        <row r="1367">
          <cell r="G1367">
            <v>2411130102</v>
          </cell>
          <cell r="H1367" t="str">
            <v>113동</v>
          </cell>
          <cell r="I1367">
            <v>241113</v>
          </cell>
          <cell r="J1367" t="str">
            <v>113동 12층 바닥</v>
          </cell>
          <cell r="K1367">
            <v>336</v>
          </cell>
          <cell r="L1367">
            <v>336</v>
          </cell>
          <cell r="M1367">
            <v>3018</v>
          </cell>
          <cell r="N1367" t="str">
            <v>대공</v>
          </cell>
          <cell r="O1367" t="str">
            <v>펌프카(1대)</v>
          </cell>
          <cell r="P1367">
            <v>753</v>
          </cell>
          <cell r="Q1367">
            <v>1241</v>
          </cell>
          <cell r="R1367">
            <v>180</v>
          </cell>
          <cell r="S1367">
            <v>45</v>
          </cell>
          <cell r="T1367">
            <v>14</v>
          </cell>
          <cell r="U1367">
            <v>223</v>
          </cell>
          <cell r="V1367"/>
          <cell r="W1367" t="str">
            <v>박순홍</v>
          </cell>
          <cell r="X1367" t="str">
            <v>(인)</v>
          </cell>
          <cell r="Y1367" t="str">
            <v>박순홍</v>
          </cell>
          <cell r="Z1367" t="str">
            <v>(인)</v>
          </cell>
          <cell r="AA1367" t="str">
            <v>박상갑</v>
          </cell>
          <cell r="AB1367" t="str">
            <v>(인)</v>
          </cell>
          <cell r="AC1367" t="str">
            <v>박기원</v>
          </cell>
          <cell r="AD1367" t="str">
            <v>(인)</v>
          </cell>
          <cell r="AE1367">
            <v>186.7</v>
          </cell>
          <cell r="AF1367" t="str">
            <v>동절기</v>
          </cell>
          <cell r="AG1367">
            <v>2</v>
          </cell>
          <cell r="AH1367">
            <v>0</v>
          </cell>
        </row>
        <row r="1368">
          <cell r="G1368">
            <v>2411130103</v>
          </cell>
          <cell r="H1368" t="str">
            <v>113동</v>
          </cell>
          <cell r="I1368">
            <v>241113</v>
          </cell>
          <cell r="J1368" t="str">
            <v>113동 12층 바닥</v>
          </cell>
          <cell r="K1368">
            <v>336</v>
          </cell>
          <cell r="L1368">
            <v>336</v>
          </cell>
          <cell r="M1368">
            <v>3018</v>
          </cell>
          <cell r="N1368" t="str">
            <v>대공</v>
          </cell>
          <cell r="O1368" t="str">
            <v>펌프카(1대)</v>
          </cell>
          <cell r="P1368">
            <v>753</v>
          </cell>
          <cell r="Q1368">
            <v>1241</v>
          </cell>
          <cell r="R1368">
            <v>190</v>
          </cell>
          <cell r="S1368">
            <v>47</v>
          </cell>
          <cell r="T1368">
            <v>17</v>
          </cell>
          <cell r="U1368">
            <v>205</v>
          </cell>
          <cell r="V1368"/>
          <cell r="W1368" t="str">
            <v>박순홍</v>
          </cell>
          <cell r="X1368" t="str">
            <v>(인)</v>
          </cell>
          <cell r="Y1368" t="str">
            <v>박순홍</v>
          </cell>
          <cell r="Z1368" t="str">
            <v>(인)</v>
          </cell>
          <cell r="AA1368" t="str">
            <v>박상갑</v>
          </cell>
          <cell r="AB1368" t="str">
            <v>(인)</v>
          </cell>
          <cell r="AC1368" t="str">
            <v>박기원</v>
          </cell>
          <cell r="AD1368" t="str">
            <v>(인)</v>
          </cell>
          <cell r="AE1368">
            <v>190</v>
          </cell>
          <cell r="AF1368" t="str">
            <v>동절기</v>
          </cell>
          <cell r="AG1368">
            <v>3</v>
          </cell>
          <cell r="AH1368">
            <v>0</v>
          </cell>
        </row>
        <row r="1369">
          <cell r="G1369">
            <v>2411130201</v>
          </cell>
          <cell r="H1369" t="str">
            <v>101동</v>
          </cell>
          <cell r="I1369">
            <v>241113</v>
          </cell>
          <cell r="J1369" t="str">
            <v>101동 11층 바닥</v>
          </cell>
          <cell r="K1369">
            <v>281</v>
          </cell>
          <cell r="L1369">
            <v>281</v>
          </cell>
          <cell r="M1369">
            <v>3018</v>
          </cell>
          <cell r="N1369" t="str">
            <v>동양</v>
          </cell>
          <cell r="O1369" t="str">
            <v>펌프카(1대)</v>
          </cell>
          <cell r="P1369">
            <v>830</v>
          </cell>
          <cell r="Q1369">
            <v>1317</v>
          </cell>
          <cell r="R1369">
            <v>180</v>
          </cell>
          <cell r="S1369">
            <v>43</v>
          </cell>
          <cell r="T1369">
            <v>42</v>
          </cell>
          <cell r="U1369">
            <v>172</v>
          </cell>
          <cell r="V1369"/>
          <cell r="W1369" t="str">
            <v>박순홍</v>
          </cell>
          <cell r="X1369" t="str">
            <v>(인)</v>
          </cell>
          <cell r="Y1369" t="str">
            <v>박순홍</v>
          </cell>
          <cell r="Z1369" t="str">
            <v>(인)</v>
          </cell>
          <cell r="AA1369" t="str">
            <v>박상갑</v>
          </cell>
          <cell r="AB1369" t="str">
            <v>(인)</v>
          </cell>
          <cell r="AC1369" t="str">
            <v>박기원</v>
          </cell>
          <cell r="AD1369" t="str">
            <v>(인)</v>
          </cell>
          <cell r="AE1369">
            <v>192.3</v>
          </cell>
          <cell r="AF1369" t="str">
            <v>동절기</v>
          </cell>
          <cell r="AG1369">
            <v>1</v>
          </cell>
          <cell r="AH1369">
            <v>1</v>
          </cell>
          <cell r="AI1369">
            <v>2887</v>
          </cell>
          <cell r="AJ1369">
            <v>2736</v>
          </cell>
          <cell r="AK1369">
            <v>219200</v>
          </cell>
          <cell r="AL1369">
            <v>3824</v>
          </cell>
          <cell r="AM1369">
            <v>3768</v>
          </cell>
          <cell r="AN1369">
            <v>3906</v>
          </cell>
          <cell r="AO1369">
            <v>3874</v>
          </cell>
          <cell r="AP1369">
            <v>3829</v>
          </cell>
          <cell r="AQ1369">
            <v>4031</v>
          </cell>
          <cell r="AR1369">
            <v>3912</v>
          </cell>
          <cell r="AS1369">
            <v>3864</v>
          </cell>
          <cell r="AT1369">
            <v>299556</v>
          </cell>
        </row>
        <row r="1370">
          <cell r="G1370">
            <v>2411130202</v>
          </cell>
          <cell r="H1370" t="str">
            <v>101동</v>
          </cell>
          <cell r="I1370">
            <v>241113</v>
          </cell>
          <cell r="J1370" t="str">
            <v>101동 11층 바닥</v>
          </cell>
          <cell r="K1370">
            <v>281</v>
          </cell>
          <cell r="L1370">
            <v>281</v>
          </cell>
          <cell r="M1370">
            <v>3018</v>
          </cell>
          <cell r="N1370" t="str">
            <v>동양</v>
          </cell>
          <cell r="O1370" t="str">
            <v>펌프카(1대)</v>
          </cell>
          <cell r="P1370">
            <v>830</v>
          </cell>
          <cell r="Q1370">
            <v>1317</v>
          </cell>
          <cell r="R1370">
            <v>185</v>
          </cell>
          <cell r="S1370">
            <v>45</v>
          </cell>
          <cell r="T1370">
            <v>34</v>
          </cell>
          <cell r="U1370">
            <v>215</v>
          </cell>
          <cell r="V1370"/>
          <cell r="W1370" t="str">
            <v>박순홍</v>
          </cell>
          <cell r="X1370" t="str">
            <v>(인)</v>
          </cell>
          <cell r="Y1370" t="str">
            <v>박순홍</v>
          </cell>
          <cell r="Z1370" t="str">
            <v>(인)</v>
          </cell>
          <cell r="AA1370" t="str">
            <v>박상갑</v>
          </cell>
          <cell r="AB1370" t="str">
            <v>(인)</v>
          </cell>
          <cell r="AC1370" t="str">
            <v>박기원</v>
          </cell>
          <cell r="AD1370" t="str">
            <v>(인)</v>
          </cell>
          <cell r="AE1370">
            <v>190.4</v>
          </cell>
          <cell r="AF1370" t="str">
            <v>동절기</v>
          </cell>
          <cell r="AG1370">
            <v>2</v>
          </cell>
          <cell r="AH1370">
            <v>0</v>
          </cell>
        </row>
        <row r="1371">
          <cell r="G1371">
            <v>2411130203</v>
          </cell>
          <cell r="H1371" t="str">
            <v>101동</v>
          </cell>
          <cell r="I1371">
            <v>241113</v>
          </cell>
          <cell r="J1371" t="str">
            <v>101동 11층 바닥</v>
          </cell>
          <cell r="K1371">
            <v>281</v>
          </cell>
          <cell r="L1371">
            <v>281</v>
          </cell>
          <cell r="M1371">
            <v>3018</v>
          </cell>
          <cell r="N1371" t="str">
            <v>동양</v>
          </cell>
          <cell r="O1371" t="str">
            <v>펌프카(1대)</v>
          </cell>
          <cell r="P1371">
            <v>830</v>
          </cell>
          <cell r="Q1371">
            <v>1317</v>
          </cell>
          <cell r="R1371">
            <v>190</v>
          </cell>
          <cell r="S1371">
            <v>48</v>
          </cell>
          <cell r="T1371">
            <v>25</v>
          </cell>
          <cell r="U1371">
            <v>225</v>
          </cell>
          <cell r="V1371"/>
          <cell r="W1371" t="str">
            <v>박순홍</v>
          </cell>
          <cell r="X1371" t="str">
            <v>(인)</v>
          </cell>
          <cell r="Y1371" t="str">
            <v>박순홍</v>
          </cell>
          <cell r="Z1371" t="str">
            <v>(인)</v>
          </cell>
          <cell r="AA1371" t="str">
            <v>박상갑</v>
          </cell>
          <cell r="AB1371" t="str">
            <v>(인)</v>
          </cell>
          <cell r="AC1371" t="str">
            <v>박기원</v>
          </cell>
          <cell r="AD1371" t="str">
            <v>(인)</v>
          </cell>
          <cell r="AE1371">
            <v>189.6</v>
          </cell>
          <cell r="AF1371" t="str">
            <v>동절기</v>
          </cell>
          <cell r="AG1371">
            <v>3</v>
          </cell>
          <cell r="AH1371">
            <v>0</v>
          </cell>
        </row>
        <row r="1372">
          <cell r="G1372">
            <v>2411130301</v>
          </cell>
          <cell r="H1372" t="str">
            <v>105동</v>
          </cell>
          <cell r="I1372">
            <v>241113</v>
          </cell>
          <cell r="J1372" t="str">
            <v>105동 주변주차장 지붕, 104동 주출입구 기초, 109동, 110동 휀룸, 탑라이트</v>
          </cell>
          <cell r="K1372">
            <v>172</v>
          </cell>
          <cell r="L1372">
            <v>172</v>
          </cell>
          <cell r="M1372">
            <v>2715</v>
          </cell>
          <cell r="N1372" t="str">
            <v>대원</v>
          </cell>
          <cell r="O1372" t="str">
            <v>펌프카(1대)</v>
          </cell>
          <cell r="P1372">
            <v>1415</v>
          </cell>
          <cell r="Q1372">
            <v>1718</v>
          </cell>
          <cell r="R1372">
            <v>155</v>
          </cell>
          <cell r="S1372">
            <v>50</v>
          </cell>
          <cell r="T1372">
            <v>47</v>
          </cell>
          <cell r="U1372">
            <v>204</v>
          </cell>
          <cell r="V1372"/>
          <cell r="W1372" t="str">
            <v>박순홍</v>
          </cell>
          <cell r="X1372" t="str">
            <v>(인)</v>
          </cell>
          <cell r="Y1372" t="str">
            <v>박순홍</v>
          </cell>
          <cell r="Z1372" t="str">
            <v>(인)</v>
          </cell>
          <cell r="AA1372" t="str">
            <v>박상갑</v>
          </cell>
          <cell r="AB1372" t="str">
            <v>(인)</v>
          </cell>
          <cell r="AC1372" t="str">
            <v>박기원</v>
          </cell>
          <cell r="AD1372" t="str">
            <v>(인)</v>
          </cell>
          <cell r="AE1372">
            <v>186.7</v>
          </cell>
          <cell r="AF1372" t="str">
            <v>동절기</v>
          </cell>
          <cell r="AG1372">
            <v>1</v>
          </cell>
          <cell r="AH1372">
            <v>1</v>
          </cell>
          <cell r="AI1372">
            <v>2472</v>
          </cell>
          <cell r="AJ1372">
            <v>2506</v>
          </cell>
          <cell r="AK1372">
            <v>193600</v>
          </cell>
          <cell r="AL1372">
            <v>3359</v>
          </cell>
          <cell r="AM1372">
            <v>3448</v>
          </cell>
          <cell r="AN1372">
            <v>3298</v>
          </cell>
          <cell r="AO1372">
            <v>3306</v>
          </cell>
          <cell r="AP1372">
            <v>3427</v>
          </cell>
          <cell r="AQ1372">
            <v>3329</v>
          </cell>
          <cell r="AR1372">
            <v>3306</v>
          </cell>
          <cell r="AS1372">
            <v>3402</v>
          </cell>
          <cell r="AT1372">
            <v>270040</v>
          </cell>
        </row>
        <row r="1373">
          <cell r="G1373">
            <v>2411130302</v>
          </cell>
          <cell r="H1373" t="str">
            <v>105동</v>
          </cell>
          <cell r="I1373">
            <v>241113</v>
          </cell>
          <cell r="J1373" t="str">
            <v>105동 주변주차장 지붕, 104동 주출입구 기초, 109동, 110동 휀룸, 탑라이트</v>
          </cell>
          <cell r="K1373">
            <v>172</v>
          </cell>
          <cell r="L1373">
            <v>172</v>
          </cell>
          <cell r="M1373">
            <v>2715</v>
          </cell>
          <cell r="N1373" t="str">
            <v>대원</v>
          </cell>
          <cell r="O1373" t="str">
            <v>펌프카(1대)</v>
          </cell>
          <cell r="P1373">
            <v>1415</v>
          </cell>
          <cell r="Q1373">
            <v>1718</v>
          </cell>
          <cell r="R1373">
            <v>160</v>
          </cell>
          <cell r="S1373">
            <v>48</v>
          </cell>
          <cell r="T1373">
            <v>49</v>
          </cell>
          <cell r="U1373">
            <v>219</v>
          </cell>
          <cell r="V1373"/>
          <cell r="W1373" t="str">
            <v>박순홍</v>
          </cell>
          <cell r="X1373" t="str">
            <v>(인)</v>
          </cell>
          <cell r="Y1373" t="str">
            <v>박순홍</v>
          </cell>
          <cell r="Z1373" t="str">
            <v>(인)</v>
          </cell>
          <cell r="AA1373" t="str">
            <v>박상갑</v>
          </cell>
          <cell r="AB1373" t="str">
            <v>(인)</v>
          </cell>
          <cell r="AC1373" t="str">
            <v>박기원</v>
          </cell>
          <cell r="AD1373" t="str">
            <v>(인)</v>
          </cell>
          <cell r="AE1373">
            <v>181.6</v>
          </cell>
          <cell r="AF1373" t="str">
            <v>동절기</v>
          </cell>
          <cell r="AG1373">
            <v>2</v>
          </cell>
          <cell r="AH1373">
            <v>0</v>
          </cell>
        </row>
        <row r="1374">
          <cell r="G1374">
            <v>2411130401</v>
          </cell>
          <cell r="H1374" t="str">
            <v>113동, 114동, 107동</v>
          </cell>
          <cell r="I1374">
            <v>241113</v>
          </cell>
          <cell r="J1374" t="str">
            <v>113동, 114동 누름</v>
          </cell>
          <cell r="K1374">
            <v>78</v>
          </cell>
          <cell r="L1374">
            <v>78</v>
          </cell>
          <cell r="M1374">
            <v>1815</v>
          </cell>
          <cell r="N1374" t="str">
            <v>대공</v>
          </cell>
          <cell r="O1374" t="str">
            <v>펌프카(1대)</v>
          </cell>
          <cell r="P1374">
            <v>1400</v>
          </cell>
          <cell r="Q1374">
            <v>1649</v>
          </cell>
          <cell r="R1374">
            <v>155</v>
          </cell>
          <cell r="S1374">
            <v>36</v>
          </cell>
          <cell r="T1374">
            <v>34</v>
          </cell>
          <cell r="U1374">
            <v>206</v>
          </cell>
          <cell r="V1374"/>
          <cell r="W1374" t="str">
            <v>박순홍</v>
          </cell>
          <cell r="X1374" t="str">
            <v>(인)</v>
          </cell>
          <cell r="Y1374" t="str">
            <v>박순홍</v>
          </cell>
          <cell r="Z1374" t="str">
            <v>(인)</v>
          </cell>
          <cell r="AA1374" t="str">
            <v>박상갑</v>
          </cell>
          <cell r="AB1374" t="str">
            <v>(인)</v>
          </cell>
          <cell r="AC1374" t="str">
            <v>박기원</v>
          </cell>
          <cell r="AD1374" t="str">
            <v>(인)</v>
          </cell>
          <cell r="AE1374">
            <v>184.3</v>
          </cell>
          <cell r="AF1374" t="str">
            <v>동절기</v>
          </cell>
          <cell r="AG1374">
            <v>1</v>
          </cell>
          <cell r="AH1374">
            <v>1</v>
          </cell>
          <cell r="AI1374">
            <v>1476</v>
          </cell>
          <cell r="AJ1374">
            <v>1408</v>
          </cell>
          <cell r="AK1374">
            <v>115600</v>
          </cell>
          <cell r="AL1374">
            <v>2245</v>
          </cell>
          <cell r="AM1374">
            <v>2335</v>
          </cell>
          <cell r="AN1374">
            <v>2276</v>
          </cell>
          <cell r="AO1374">
            <v>2301</v>
          </cell>
          <cell r="AP1374">
            <v>2311</v>
          </cell>
          <cell r="AQ1374">
            <v>2400</v>
          </cell>
          <cell r="AR1374">
            <v>2312</v>
          </cell>
          <cell r="AS1374">
            <v>2306</v>
          </cell>
          <cell r="AT1374">
            <v>184800</v>
          </cell>
        </row>
        <row r="1375">
          <cell r="G1375">
            <v>2411140101</v>
          </cell>
          <cell r="H1375" t="str">
            <v>110동</v>
          </cell>
          <cell r="I1375">
            <v>241114</v>
          </cell>
          <cell r="J1375" t="str">
            <v>110동 6층 바닥, 103동 옥탑</v>
          </cell>
          <cell r="K1375">
            <v>306</v>
          </cell>
          <cell r="L1375">
            <v>306</v>
          </cell>
          <cell r="M1375">
            <v>3018</v>
          </cell>
          <cell r="N1375" t="str">
            <v>대공</v>
          </cell>
          <cell r="O1375" t="str">
            <v>펌프카(1대)</v>
          </cell>
          <cell r="P1375">
            <v>1030</v>
          </cell>
          <cell r="Q1375">
            <v>1544</v>
          </cell>
          <cell r="R1375">
            <v>190</v>
          </cell>
          <cell r="S1375">
            <v>44</v>
          </cell>
          <cell r="T1375">
            <v>31</v>
          </cell>
          <cell r="U1375">
            <v>198</v>
          </cell>
          <cell r="V1375"/>
          <cell r="W1375" t="str">
            <v>김광록</v>
          </cell>
          <cell r="X1375" t="str">
            <v>(인)</v>
          </cell>
          <cell r="Y1375" t="str">
            <v>김광록</v>
          </cell>
          <cell r="Z1375" t="str">
            <v>(인)</v>
          </cell>
          <cell r="AA1375" t="str">
            <v>박상갑</v>
          </cell>
          <cell r="AB1375" t="str">
            <v>(인)</v>
          </cell>
          <cell r="AC1375" t="str">
            <v>박기원</v>
          </cell>
          <cell r="AD1375" t="str">
            <v>(인)</v>
          </cell>
          <cell r="AE1375">
            <v>181.8</v>
          </cell>
          <cell r="AF1375" t="str">
            <v>동절기</v>
          </cell>
          <cell r="AG1375">
            <v>1</v>
          </cell>
          <cell r="AH1375">
            <v>1</v>
          </cell>
          <cell r="AI1375">
            <v>2785</v>
          </cell>
          <cell r="AJ1375">
            <v>2804</v>
          </cell>
          <cell r="AK1375">
            <v>221200</v>
          </cell>
          <cell r="AL1375">
            <v>3824</v>
          </cell>
          <cell r="AM1375">
            <v>3786</v>
          </cell>
          <cell r="AN1375">
            <v>3692</v>
          </cell>
          <cell r="AO1375">
            <v>3689</v>
          </cell>
          <cell r="AP1375">
            <v>3801</v>
          </cell>
          <cell r="AQ1375">
            <v>3773</v>
          </cell>
          <cell r="AR1375">
            <v>3806</v>
          </cell>
          <cell r="AS1375">
            <v>3718</v>
          </cell>
          <cell r="AT1375">
            <v>294600</v>
          </cell>
        </row>
        <row r="1376">
          <cell r="G1376">
            <v>2411140102</v>
          </cell>
          <cell r="H1376" t="str">
            <v>110동</v>
          </cell>
          <cell r="I1376">
            <v>241114</v>
          </cell>
          <cell r="J1376" t="str">
            <v>110동 6층 바닥, 103동 옥탑</v>
          </cell>
          <cell r="K1376">
            <v>306</v>
          </cell>
          <cell r="L1376">
            <v>306</v>
          </cell>
          <cell r="M1376">
            <v>3018</v>
          </cell>
          <cell r="N1376" t="str">
            <v>대공</v>
          </cell>
          <cell r="O1376" t="str">
            <v>펌프카(1대)</v>
          </cell>
          <cell r="P1376">
            <v>1030</v>
          </cell>
          <cell r="Q1376">
            <v>1544</v>
          </cell>
          <cell r="R1376">
            <v>195</v>
          </cell>
          <cell r="S1376">
            <v>50</v>
          </cell>
          <cell r="T1376">
            <v>38</v>
          </cell>
          <cell r="U1376">
            <v>219</v>
          </cell>
          <cell r="V1376"/>
          <cell r="W1376" t="str">
            <v>김광록</v>
          </cell>
          <cell r="X1376" t="str">
            <v>(인)</v>
          </cell>
          <cell r="Y1376" t="str">
            <v>김광록</v>
          </cell>
          <cell r="Z1376" t="str">
            <v>(인)</v>
          </cell>
          <cell r="AA1376" t="str">
            <v>박상갑</v>
          </cell>
          <cell r="AB1376" t="str">
            <v>(인)</v>
          </cell>
          <cell r="AC1376" t="str">
            <v>박기원</v>
          </cell>
          <cell r="AD1376" t="str">
            <v>(인)</v>
          </cell>
          <cell r="AE1376">
            <v>183.2</v>
          </cell>
          <cell r="AF1376" t="str">
            <v>동절기</v>
          </cell>
          <cell r="AG1376">
            <v>2</v>
          </cell>
          <cell r="AH1376">
            <v>0</v>
          </cell>
        </row>
        <row r="1377">
          <cell r="G1377">
            <v>2411140103</v>
          </cell>
          <cell r="H1377" t="str">
            <v>110동</v>
          </cell>
          <cell r="I1377">
            <v>241114</v>
          </cell>
          <cell r="J1377" t="str">
            <v>110동 6층 바닥, 103동 옥탑</v>
          </cell>
          <cell r="K1377">
            <v>306</v>
          </cell>
          <cell r="L1377">
            <v>306</v>
          </cell>
          <cell r="M1377">
            <v>3018</v>
          </cell>
          <cell r="N1377" t="str">
            <v>대공</v>
          </cell>
          <cell r="O1377" t="str">
            <v>펌프카(1대)</v>
          </cell>
          <cell r="P1377">
            <v>1030</v>
          </cell>
          <cell r="Q1377">
            <v>1544</v>
          </cell>
          <cell r="R1377">
            <v>190</v>
          </cell>
          <cell r="S1377">
            <v>35</v>
          </cell>
          <cell r="T1377">
            <v>27</v>
          </cell>
          <cell r="U1377">
            <v>233</v>
          </cell>
          <cell r="V1377"/>
          <cell r="W1377" t="str">
            <v>김광록</v>
          </cell>
          <cell r="X1377" t="str">
            <v>(인)</v>
          </cell>
          <cell r="Y1377" t="str">
            <v>김광록</v>
          </cell>
          <cell r="Z1377" t="str">
            <v>(인)</v>
          </cell>
          <cell r="AA1377" t="str">
            <v>박상갑</v>
          </cell>
          <cell r="AB1377" t="str">
            <v>(인)</v>
          </cell>
          <cell r="AC1377" t="str">
            <v>박기원</v>
          </cell>
          <cell r="AD1377" t="str">
            <v>(인)</v>
          </cell>
          <cell r="AE1377">
            <v>182.9</v>
          </cell>
          <cell r="AF1377" t="str">
            <v>동절기</v>
          </cell>
          <cell r="AG1377">
            <v>3</v>
          </cell>
          <cell r="AH1377">
            <v>0</v>
          </cell>
        </row>
        <row r="1378">
          <cell r="G1378">
            <v>2411140201</v>
          </cell>
          <cell r="H1378" t="str">
            <v>106동</v>
          </cell>
          <cell r="I1378">
            <v>241114</v>
          </cell>
          <cell r="J1378" t="str">
            <v>106동 옥탑</v>
          </cell>
          <cell r="K1378">
            <v>42</v>
          </cell>
          <cell r="L1378">
            <v>42</v>
          </cell>
          <cell r="M1378">
            <v>3018</v>
          </cell>
          <cell r="N1378" t="str">
            <v>영진</v>
          </cell>
          <cell r="O1378" t="str">
            <v>펌프카(1대)</v>
          </cell>
          <cell r="P1378">
            <v>836</v>
          </cell>
          <cell r="Q1378">
            <v>1415</v>
          </cell>
          <cell r="R1378">
            <v>185</v>
          </cell>
          <cell r="S1378">
            <v>49</v>
          </cell>
          <cell r="T1378">
            <v>26</v>
          </cell>
          <cell r="U1378">
            <v>212</v>
          </cell>
          <cell r="V1378"/>
          <cell r="W1378" t="str">
            <v>김광록</v>
          </cell>
          <cell r="X1378" t="str">
            <v>(인)</v>
          </cell>
          <cell r="Y1378" t="str">
            <v>김광록</v>
          </cell>
          <cell r="Z1378" t="str">
            <v>(인)</v>
          </cell>
          <cell r="AA1378" t="str">
            <v>박상갑</v>
          </cell>
          <cell r="AB1378" t="str">
            <v>(인)</v>
          </cell>
          <cell r="AC1378" t="str">
            <v>박기원</v>
          </cell>
          <cell r="AD1378" t="str">
            <v>(인)</v>
          </cell>
          <cell r="AE1378">
            <v>173.6</v>
          </cell>
          <cell r="AF1378" t="str">
            <v>동절기</v>
          </cell>
          <cell r="AG1378">
            <v>1</v>
          </cell>
          <cell r="AH1378">
            <v>1</v>
          </cell>
          <cell r="AI1378">
            <v>2760</v>
          </cell>
          <cell r="AJ1378">
            <v>2736</v>
          </cell>
          <cell r="AK1378">
            <v>222000</v>
          </cell>
          <cell r="AL1378">
            <v>3841</v>
          </cell>
          <cell r="AM1378">
            <v>3812</v>
          </cell>
          <cell r="AN1378">
            <v>3766</v>
          </cell>
          <cell r="AO1378">
            <v>3768</v>
          </cell>
          <cell r="AP1378">
            <v>3698</v>
          </cell>
          <cell r="AQ1378">
            <v>3729</v>
          </cell>
          <cell r="AR1378">
            <v>3801</v>
          </cell>
          <cell r="AS1378">
            <v>3743</v>
          </cell>
          <cell r="AT1378">
            <v>305000</v>
          </cell>
        </row>
        <row r="1379">
          <cell r="G1379">
            <v>2411150101</v>
          </cell>
          <cell r="H1379" t="str">
            <v>어린이집</v>
          </cell>
          <cell r="I1379">
            <v>241115</v>
          </cell>
          <cell r="J1379" t="str">
            <v>어린이집 옥상 바닥</v>
          </cell>
          <cell r="K1379">
            <v>250</v>
          </cell>
          <cell r="L1379">
            <v>252</v>
          </cell>
          <cell r="M1379">
            <v>3015</v>
          </cell>
          <cell r="N1379" t="str">
            <v>영진</v>
          </cell>
          <cell r="O1379" t="str">
            <v>펌프카(1대)</v>
          </cell>
          <cell r="P1379">
            <v>745</v>
          </cell>
          <cell r="Q1379">
            <v>1102</v>
          </cell>
          <cell r="R1379">
            <v>150</v>
          </cell>
          <cell r="S1379">
            <v>52</v>
          </cell>
          <cell r="T1379">
            <v>44</v>
          </cell>
          <cell r="U1379">
            <v>177</v>
          </cell>
          <cell r="V1379"/>
          <cell r="W1379" t="str">
            <v>김광록</v>
          </cell>
          <cell r="X1379" t="str">
            <v>(인)</v>
          </cell>
          <cell r="Y1379" t="str">
            <v>박순홍</v>
          </cell>
          <cell r="Z1379" t="str">
            <v>(인)</v>
          </cell>
          <cell r="AA1379" t="str">
            <v>박상갑</v>
          </cell>
          <cell r="AB1379" t="str">
            <v>(인)</v>
          </cell>
          <cell r="AC1379" t="str">
            <v>박상갑</v>
          </cell>
          <cell r="AD1379" t="str">
            <v>(인)</v>
          </cell>
          <cell r="AE1379">
            <v>181.2</v>
          </cell>
          <cell r="AF1379" t="str">
            <v>동절기</v>
          </cell>
          <cell r="AG1379">
            <v>1</v>
          </cell>
          <cell r="AH1379">
            <v>1</v>
          </cell>
          <cell r="AI1379">
            <v>2849</v>
          </cell>
          <cell r="AJ1379">
            <v>2882</v>
          </cell>
          <cell r="AK1379">
            <v>230400</v>
          </cell>
          <cell r="AL1379">
            <v>3598</v>
          </cell>
          <cell r="AM1379">
            <v>3539</v>
          </cell>
          <cell r="AN1379">
            <v>3594</v>
          </cell>
          <cell r="AO1379">
            <v>3690</v>
          </cell>
          <cell r="AP1379">
            <v>3671</v>
          </cell>
          <cell r="AQ1379">
            <v>3609</v>
          </cell>
          <cell r="AR1379">
            <v>3682</v>
          </cell>
          <cell r="AS1379">
            <v>3590</v>
          </cell>
          <cell r="AT1379">
            <v>288800</v>
          </cell>
        </row>
        <row r="1380">
          <cell r="G1380">
            <v>2411150102</v>
          </cell>
          <cell r="H1380" t="str">
            <v>어린이집</v>
          </cell>
          <cell r="I1380">
            <v>241115</v>
          </cell>
          <cell r="J1380" t="str">
            <v>어린이집 옥상 바닥</v>
          </cell>
          <cell r="K1380">
            <v>250</v>
          </cell>
          <cell r="L1380">
            <v>252</v>
          </cell>
          <cell r="M1380">
            <v>3015</v>
          </cell>
          <cell r="N1380" t="str">
            <v>영진</v>
          </cell>
          <cell r="O1380" t="str">
            <v>펌프카(1대)</v>
          </cell>
          <cell r="P1380">
            <v>745</v>
          </cell>
          <cell r="Q1380">
            <v>1102</v>
          </cell>
          <cell r="R1380">
            <v>145</v>
          </cell>
          <cell r="S1380">
            <v>51</v>
          </cell>
          <cell r="T1380">
            <v>30</v>
          </cell>
          <cell r="U1380">
            <v>207</v>
          </cell>
          <cell r="V1380"/>
          <cell r="W1380" t="str">
            <v>김광록</v>
          </cell>
          <cell r="X1380" t="str">
            <v>(인)</v>
          </cell>
          <cell r="Y1380" t="str">
            <v>박순홍</v>
          </cell>
          <cell r="Z1380" t="str">
            <v>(인)</v>
          </cell>
          <cell r="AA1380" t="str">
            <v>박상갑</v>
          </cell>
          <cell r="AB1380" t="str">
            <v>(인)</v>
          </cell>
          <cell r="AC1380" t="str">
            <v>박상갑</v>
          </cell>
          <cell r="AD1380" t="str">
            <v>(인)</v>
          </cell>
          <cell r="AE1380">
            <v>184.5</v>
          </cell>
          <cell r="AF1380" t="str">
            <v>동절기</v>
          </cell>
          <cell r="AG1380">
            <v>2</v>
          </cell>
          <cell r="AH1380">
            <v>0</v>
          </cell>
        </row>
        <row r="1381">
          <cell r="G1381">
            <v>2411150103</v>
          </cell>
          <cell r="H1381" t="str">
            <v>어린이집</v>
          </cell>
          <cell r="I1381">
            <v>241115</v>
          </cell>
          <cell r="J1381" t="str">
            <v>어린이집 옥상 바닥</v>
          </cell>
          <cell r="K1381">
            <v>250</v>
          </cell>
          <cell r="L1381">
            <v>252</v>
          </cell>
          <cell r="M1381">
            <v>3015</v>
          </cell>
          <cell r="N1381" t="str">
            <v>영진</v>
          </cell>
          <cell r="O1381" t="str">
            <v>펌프카(1대)</v>
          </cell>
          <cell r="P1381">
            <v>745</v>
          </cell>
          <cell r="Q1381">
            <v>1102</v>
          </cell>
          <cell r="R1381">
            <v>160</v>
          </cell>
          <cell r="S1381">
            <v>56</v>
          </cell>
          <cell r="T1381">
            <v>46</v>
          </cell>
          <cell r="U1381">
            <v>197</v>
          </cell>
          <cell r="V1381"/>
          <cell r="W1381" t="str">
            <v>김광록</v>
          </cell>
          <cell r="X1381" t="str">
            <v>(인)</v>
          </cell>
          <cell r="Y1381" t="str">
            <v>박순홍</v>
          </cell>
          <cell r="Z1381" t="str">
            <v>(인)</v>
          </cell>
          <cell r="AA1381" t="str">
            <v>박상갑</v>
          </cell>
          <cell r="AB1381" t="str">
            <v>(인)</v>
          </cell>
          <cell r="AC1381" t="str">
            <v>박상갑</v>
          </cell>
          <cell r="AD1381" t="str">
            <v>(인)</v>
          </cell>
          <cell r="AE1381">
            <v>161.19999999999999</v>
          </cell>
          <cell r="AF1381" t="str">
            <v>동절기</v>
          </cell>
          <cell r="AG1381">
            <v>3</v>
          </cell>
          <cell r="AH1381">
            <v>0</v>
          </cell>
        </row>
        <row r="1382">
          <cell r="G1382">
            <v>2411150201</v>
          </cell>
          <cell r="H1382" t="str">
            <v>119동</v>
          </cell>
          <cell r="I1382">
            <v>241115</v>
          </cell>
          <cell r="J1382" t="str">
            <v>119동 및 주변주차장 1층 바닥 1차</v>
          </cell>
          <cell r="K1382">
            <v>270</v>
          </cell>
          <cell r="L1382">
            <v>270</v>
          </cell>
          <cell r="M1382">
            <v>3015</v>
          </cell>
          <cell r="N1382" t="str">
            <v>용호</v>
          </cell>
          <cell r="O1382" t="str">
            <v>펌프카(1대)</v>
          </cell>
          <cell r="P1382">
            <v>738</v>
          </cell>
          <cell r="Q1382">
            <v>1218</v>
          </cell>
          <cell r="R1382">
            <v>160</v>
          </cell>
          <cell r="S1382">
            <v>39</v>
          </cell>
          <cell r="T1382">
            <v>21</v>
          </cell>
          <cell r="U1382">
            <v>191</v>
          </cell>
          <cell r="V1382"/>
          <cell r="W1382" t="str">
            <v>김광록</v>
          </cell>
          <cell r="X1382" t="str">
            <v>(인)</v>
          </cell>
          <cell r="Y1382" t="str">
            <v>박순홍</v>
          </cell>
          <cell r="Z1382" t="str">
            <v>(인)</v>
          </cell>
          <cell r="AA1382" t="str">
            <v>박상갑</v>
          </cell>
          <cell r="AB1382" t="str">
            <v>(인)</v>
          </cell>
          <cell r="AC1382" t="str">
            <v>박상갑</v>
          </cell>
          <cell r="AD1382" t="str">
            <v>(인)</v>
          </cell>
          <cell r="AE1382">
            <v>174.2</v>
          </cell>
          <cell r="AF1382" t="str">
            <v>동절기</v>
          </cell>
          <cell r="AG1382">
            <v>1</v>
          </cell>
          <cell r="AH1382">
            <v>1</v>
          </cell>
          <cell r="AI1382">
            <v>2854</v>
          </cell>
          <cell r="AJ1382">
            <v>2787</v>
          </cell>
          <cell r="AK1382">
            <v>219200</v>
          </cell>
          <cell r="AL1382">
            <v>3603</v>
          </cell>
          <cell r="AM1382">
            <v>3722</v>
          </cell>
          <cell r="AN1382">
            <v>3709</v>
          </cell>
          <cell r="AO1382">
            <v>3629</v>
          </cell>
          <cell r="AP1382">
            <v>3802</v>
          </cell>
          <cell r="AQ1382">
            <v>3714</v>
          </cell>
          <cell r="AR1382">
            <v>3706</v>
          </cell>
          <cell r="AS1382">
            <v>3614</v>
          </cell>
          <cell r="AT1382">
            <v>289400</v>
          </cell>
        </row>
        <row r="1383">
          <cell r="G1383">
            <v>2411150202</v>
          </cell>
          <cell r="H1383" t="str">
            <v>119동</v>
          </cell>
          <cell r="I1383">
            <v>241115</v>
          </cell>
          <cell r="J1383" t="str">
            <v>119동 및 주변주차장 1층 바닥 1차</v>
          </cell>
          <cell r="K1383">
            <v>270</v>
          </cell>
          <cell r="L1383">
            <v>270</v>
          </cell>
          <cell r="M1383">
            <v>3015</v>
          </cell>
          <cell r="N1383" t="str">
            <v>용호</v>
          </cell>
          <cell r="O1383" t="str">
            <v>펌프카(1대)</v>
          </cell>
          <cell r="P1383">
            <v>738</v>
          </cell>
          <cell r="Q1383">
            <v>1218</v>
          </cell>
          <cell r="R1383">
            <v>165</v>
          </cell>
          <cell r="S1383">
            <v>45</v>
          </cell>
          <cell r="T1383">
            <v>49</v>
          </cell>
          <cell r="U1383">
            <v>213</v>
          </cell>
          <cell r="V1383"/>
          <cell r="W1383" t="str">
            <v>김광록</v>
          </cell>
          <cell r="X1383" t="str">
            <v>(인)</v>
          </cell>
          <cell r="Y1383" t="str">
            <v>박순홍</v>
          </cell>
          <cell r="Z1383" t="str">
            <v>(인)</v>
          </cell>
          <cell r="AA1383" t="str">
            <v>박상갑</v>
          </cell>
          <cell r="AB1383" t="str">
            <v>(인)</v>
          </cell>
          <cell r="AC1383" t="str">
            <v>박상갑</v>
          </cell>
          <cell r="AD1383" t="str">
            <v>(인)</v>
          </cell>
          <cell r="AE1383">
            <v>174.8</v>
          </cell>
          <cell r="AF1383" t="str">
            <v>동절기</v>
          </cell>
          <cell r="AG1383">
            <v>2</v>
          </cell>
          <cell r="AH1383">
            <v>0</v>
          </cell>
        </row>
        <row r="1384">
          <cell r="G1384">
            <v>2411150203</v>
          </cell>
          <cell r="H1384" t="str">
            <v>119동</v>
          </cell>
          <cell r="I1384">
            <v>241115</v>
          </cell>
          <cell r="J1384" t="str">
            <v>119동 및 주변주차장 1층 바닥 1차</v>
          </cell>
          <cell r="K1384">
            <v>270</v>
          </cell>
          <cell r="L1384">
            <v>270</v>
          </cell>
          <cell r="M1384">
            <v>3015</v>
          </cell>
          <cell r="N1384" t="str">
            <v>용호</v>
          </cell>
          <cell r="O1384" t="str">
            <v>펌프카(1대)</v>
          </cell>
          <cell r="P1384">
            <v>738</v>
          </cell>
          <cell r="Q1384">
            <v>1218</v>
          </cell>
          <cell r="R1384">
            <v>170</v>
          </cell>
          <cell r="S1384">
            <v>47</v>
          </cell>
          <cell r="T1384">
            <v>41</v>
          </cell>
          <cell r="U1384">
            <v>190</v>
          </cell>
          <cell r="V1384"/>
          <cell r="W1384" t="str">
            <v>김광록</v>
          </cell>
          <cell r="X1384" t="str">
            <v>(인)</v>
          </cell>
          <cell r="Y1384" t="str">
            <v>박순홍</v>
          </cell>
          <cell r="Z1384" t="str">
            <v>(인)</v>
          </cell>
          <cell r="AA1384" t="str">
            <v>박상갑</v>
          </cell>
          <cell r="AB1384" t="str">
            <v>(인)</v>
          </cell>
          <cell r="AC1384" t="str">
            <v>박상갑</v>
          </cell>
          <cell r="AD1384" t="str">
            <v>(인)</v>
          </cell>
          <cell r="AE1384">
            <v>177.2</v>
          </cell>
          <cell r="AF1384" t="str">
            <v>동절기</v>
          </cell>
          <cell r="AG1384">
            <v>3</v>
          </cell>
          <cell r="AH1384">
            <v>0</v>
          </cell>
        </row>
        <row r="1385">
          <cell r="G1385">
            <v>2411150301</v>
          </cell>
          <cell r="H1385" t="str">
            <v>103동, 109동</v>
          </cell>
          <cell r="I1385">
            <v>241115</v>
          </cell>
          <cell r="J1385" t="str">
            <v>109동 7층 바닥 및 103동 옥상 옥탑 바닥</v>
          </cell>
          <cell r="K1385">
            <v>310</v>
          </cell>
          <cell r="L1385">
            <v>312</v>
          </cell>
          <cell r="M1385">
            <v>3018</v>
          </cell>
          <cell r="N1385" t="str">
            <v>대공</v>
          </cell>
          <cell r="O1385" t="str">
            <v>펌프카(1대)</v>
          </cell>
          <cell r="P1385">
            <v>801</v>
          </cell>
          <cell r="Q1385">
            <v>1603</v>
          </cell>
          <cell r="R1385">
            <v>190</v>
          </cell>
          <cell r="S1385">
            <v>45</v>
          </cell>
          <cell r="T1385">
            <v>17</v>
          </cell>
          <cell r="U1385">
            <v>185</v>
          </cell>
          <cell r="V1385"/>
          <cell r="W1385" t="str">
            <v>김광록</v>
          </cell>
          <cell r="X1385" t="str">
            <v>(인)</v>
          </cell>
          <cell r="Y1385" t="str">
            <v>박순홍</v>
          </cell>
          <cell r="Z1385" t="str">
            <v>(인)</v>
          </cell>
          <cell r="AA1385" t="str">
            <v>박상갑</v>
          </cell>
          <cell r="AB1385" t="str">
            <v>(인)</v>
          </cell>
          <cell r="AC1385" t="str">
            <v>박상갑</v>
          </cell>
          <cell r="AD1385" t="str">
            <v>(인)</v>
          </cell>
          <cell r="AE1385">
            <v>178.3</v>
          </cell>
          <cell r="AF1385" t="str">
            <v>동절기</v>
          </cell>
          <cell r="AG1385">
            <v>1</v>
          </cell>
          <cell r="AH1385">
            <v>1</v>
          </cell>
          <cell r="AI1385">
            <v>2887</v>
          </cell>
          <cell r="AJ1385">
            <v>2833</v>
          </cell>
          <cell r="AK1385">
            <v>227200</v>
          </cell>
          <cell r="AL1385">
            <v>3628</v>
          </cell>
          <cell r="AM1385">
            <v>3641</v>
          </cell>
          <cell r="AN1385">
            <v>3694</v>
          </cell>
          <cell r="AO1385">
            <v>3706</v>
          </cell>
          <cell r="AP1385">
            <v>3729</v>
          </cell>
          <cell r="AQ1385">
            <v>3760</v>
          </cell>
          <cell r="AR1385">
            <v>3694</v>
          </cell>
          <cell r="AS1385">
            <v>3679</v>
          </cell>
          <cell r="AT1385">
            <v>292600</v>
          </cell>
        </row>
        <row r="1386">
          <cell r="G1386">
            <v>2411150302</v>
          </cell>
          <cell r="H1386" t="str">
            <v>103동, 109동</v>
          </cell>
          <cell r="I1386">
            <v>241115</v>
          </cell>
          <cell r="J1386" t="str">
            <v>109동 7층 바닥 및 103동 옥상 옥탑 바닥</v>
          </cell>
          <cell r="K1386">
            <v>310</v>
          </cell>
          <cell r="L1386">
            <v>312</v>
          </cell>
          <cell r="M1386">
            <v>3018</v>
          </cell>
          <cell r="N1386" t="str">
            <v>대공</v>
          </cell>
          <cell r="O1386" t="str">
            <v>펌프카(1대)</v>
          </cell>
          <cell r="P1386">
            <v>801</v>
          </cell>
          <cell r="Q1386">
            <v>1603</v>
          </cell>
          <cell r="R1386">
            <v>185</v>
          </cell>
          <cell r="S1386">
            <v>49</v>
          </cell>
          <cell r="T1386">
            <v>16</v>
          </cell>
          <cell r="U1386">
            <v>216</v>
          </cell>
          <cell r="V1386"/>
          <cell r="W1386" t="str">
            <v>김광록</v>
          </cell>
          <cell r="X1386" t="str">
            <v>(인)</v>
          </cell>
          <cell r="Y1386" t="str">
            <v>박순홍</v>
          </cell>
          <cell r="Z1386" t="str">
            <v>(인)</v>
          </cell>
          <cell r="AA1386" t="str">
            <v>박상갑</v>
          </cell>
          <cell r="AB1386" t="str">
            <v>(인)</v>
          </cell>
          <cell r="AC1386" t="str">
            <v>박상갑</v>
          </cell>
          <cell r="AD1386" t="str">
            <v>(인)</v>
          </cell>
          <cell r="AE1386">
            <v>185.3</v>
          </cell>
          <cell r="AF1386" t="str">
            <v>동절기</v>
          </cell>
          <cell r="AG1386">
            <v>2</v>
          </cell>
          <cell r="AH1386">
            <v>0</v>
          </cell>
        </row>
        <row r="1387">
          <cell r="G1387">
            <v>2411150303</v>
          </cell>
          <cell r="H1387" t="str">
            <v>103동, 109동</v>
          </cell>
          <cell r="I1387">
            <v>241115</v>
          </cell>
          <cell r="J1387" t="str">
            <v>109동 7층 바닥 및 103동 옥상 옥탑 바닥</v>
          </cell>
          <cell r="K1387">
            <v>310</v>
          </cell>
          <cell r="L1387">
            <v>312</v>
          </cell>
          <cell r="M1387">
            <v>3018</v>
          </cell>
          <cell r="N1387" t="str">
            <v>대공</v>
          </cell>
          <cell r="O1387" t="str">
            <v>펌프카(1대)</v>
          </cell>
          <cell r="P1387">
            <v>801</v>
          </cell>
          <cell r="Q1387">
            <v>1603</v>
          </cell>
          <cell r="R1387">
            <v>190</v>
          </cell>
          <cell r="S1387">
            <v>52</v>
          </cell>
          <cell r="T1387">
            <v>32</v>
          </cell>
          <cell r="U1387">
            <v>225</v>
          </cell>
          <cell r="V1387"/>
          <cell r="W1387" t="str">
            <v>김광록</v>
          </cell>
          <cell r="X1387" t="str">
            <v>(인)</v>
          </cell>
          <cell r="Y1387" t="str">
            <v>박순홍</v>
          </cell>
          <cell r="Z1387" t="str">
            <v>(인)</v>
          </cell>
          <cell r="AA1387" t="str">
            <v>박상갑</v>
          </cell>
          <cell r="AB1387" t="str">
            <v>(인)</v>
          </cell>
          <cell r="AC1387" t="str">
            <v>박상갑</v>
          </cell>
          <cell r="AD1387" t="str">
            <v>(인)</v>
          </cell>
          <cell r="AE1387">
            <v>184.5</v>
          </cell>
          <cell r="AF1387" t="str">
            <v>동절기</v>
          </cell>
          <cell r="AG1387">
            <v>3</v>
          </cell>
          <cell r="AH1387">
            <v>0</v>
          </cell>
        </row>
        <row r="1388">
          <cell r="G1388">
            <v>2411150401</v>
          </cell>
          <cell r="H1388" t="str">
            <v>106동, 111동</v>
          </cell>
          <cell r="I1388">
            <v>241115</v>
          </cell>
          <cell r="J1388" t="str">
            <v>111동 9층 바닥 및 106동 PH2 바닥</v>
          </cell>
          <cell r="K1388">
            <v>330</v>
          </cell>
          <cell r="L1388">
            <v>330</v>
          </cell>
          <cell r="M1388">
            <v>3018</v>
          </cell>
          <cell r="N1388" t="str">
            <v>영진</v>
          </cell>
          <cell r="O1388" t="str">
            <v>펌프카(1대)</v>
          </cell>
          <cell r="P1388">
            <v>741</v>
          </cell>
          <cell r="Q1388">
            <v>1540</v>
          </cell>
          <cell r="R1388">
            <v>170</v>
          </cell>
          <cell r="S1388">
            <v>51</v>
          </cell>
          <cell r="T1388">
            <v>80</v>
          </cell>
          <cell r="U1388">
            <v>214</v>
          </cell>
          <cell r="V1388"/>
          <cell r="W1388" t="str">
            <v>김광록</v>
          </cell>
          <cell r="X1388" t="str">
            <v>(인)</v>
          </cell>
          <cell r="Y1388" t="str">
            <v>박순홍</v>
          </cell>
          <cell r="Z1388" t="str">
            <v>(인)</v>
          </cell>
          <cell r="AA1388" t="str">
            <v>박상갑</v>
          </cell>
          <cell r="AB1388" t="str">
            <v>(인)</v>
          </cell>
          <cell r="AC1388" t="str">
            <v>박상갑</v>
          </cell>
          <cell r="AD1388" t="str">
            <v>(인)</v>
          </cell>
          <cell r="AE1388">
            <v>189.4</v>
          </cell>
          <cell r="AF1388" t="str">
            <v>동절기</v>
          </cell>
          <cell r="AG1388">
            <v>1</v>
          </cell>
          <cell r="AH1388">
            <v>1</v>
          </cell>
          <cell r="AI1388">
            <v>2812</v>
          </cell>
          <cell r="AJ1388">
            <v>2740</v>
          </cell>
          <cell r="AK1388">
            <v>230400</v>
          </cell>
          <cell r="AL1388">
            <v>3748</v>
          </cell>
          <cell r="AM1388">
            <v>3661</v>
          </cell>
          <cell r="AN1388">
            <v>3684</v>
          </cell>
          <cell r="AO1388">
            <v>3609</v>
          </cell>
          <cell r="AP1388">
            <v>3724</v>
          </cell>
          <cell r="AQ1388">
            <v>3768</v>
          </cell>
          <cell r="AR1388">
            <v>3709</v>
          </cell>
          <cell r="AS1388">
            <v>3684</v>
          </cell>
          <cell r="AT1388">
            <v>293200</v>
          </cell>
        </row>
        <row r="1389">
          <cell r="G1389">
            <v>2411150402</v>
          </cell>
          <cell r="H1389" t="str">
            <v>106동, 111동</v>
          </cell>
          <cell r="I1389">
            <v>241115</v>
          </cell>
          <cell r="J1389" t="str">
            <v>111동 9층 바닥 및 106동 PH2 바닥</v>
          </cell>
          <cell r="K1389">
            <v>330</v>
          </cell>
          <cell r="L1389">
            <v>330</v>
          </cell>
          <cell r="M1389">
            <v>3018</v>
          </cell>
          <cell r="N1389" t="str">
            <v>영진</v>
          </cell>
          <cell r="O1389" t="str">
            <v>펌프카(1대)</v>
          </cell>
          <cell r="P1389">
            <v>741</v>
          </cell>
          <cell r="Q1389">
            <v>1540</v>
          </cell>
          <cell r="R1389">
            <v>175</v>
          </cell>
          <cell r="S1389">
            <v>51</v>
          </cell>
          <cell r="T1389">
            <v>78</v>
          </cell>
          <cell r="U1389">
            <v>218</v>
          </cell>
          <cell r="V1389"/>
          <cell r="W1389" t="str">
            <v>김광록</v>
          </cell>
          <cell r="X1389" t="str">
            <v>(인)</v>
          </cell>
          <cell r="Y1389" t="str">
            <v>박순홍</v>
          </cell>
          <cell r="Z1389" t="str">
            <v>(인)</v>
          </cell>
          <cell r="AA1389" t="str">
            <v>박상갑</v>
          </cell>
          <cell r="AB1389" t="str">
            <v>(인)</v>
          </cell>
          <cell r="AC1389" t="str">
            <v>박상갑</v>
          </cell>
          <cell r="AD1389" t="str">
            <v>(인)</v>
          </cell>
          <cell r="AE1389">
            <v>187.4</v>
          </cell>
          <cell r="AF1389" t="str">
            <v>동절기</v>
          </cell>
          <cell r="AG1389">
            <v>2</v>
          </cell>
          <cell r="AH1389">
            <v>0</v>
          </cell>
        </row>
        <row r="1390">
          <cell r="G1390">
            <v>2411150403</v>
          </cell>
          <cell r="H1390" t="str">
            <v>106동, 111동</v>
          </cell>
          <cell r="I1390">
            <v>241115</v>
          </cell>
          <cell r="J1390" t="str">
            <v>111동 9층 바닥 및 106동 PH2 바닥</v>
          </cell>
          <cell r="K1390">
            <v>330</v>
          </cell>
          <cell r="L1390">
            <v>330</v>
          </cell>
          <cell r="M1390">
            <v>3018</v>
          </cell>
          <cell r="N1390" t="str">
            <v>영진</v>
          </cell>
          <cell r="O1390" t="str">
            <v>펌프카(1대)</v>
          </cell>
          <cell r="P1390">
            <v>741</v>
          </cell>
          <cell r="Q1390">
            <v>1540</v>
          </cell>
          <cell r="R1390">
            <v>180</v>
          </cell>
          <cell r="S1390">
            <v>54</v>
          </cell>
          <cell r="T1390">
            <v>75</v>
          </cell>
          <cell r="U1390">
            <v>225</v>
          </cell>
          <cell r="V1390"/>
          <cell r="W1390" t="str">
            <v>김광록</v>
          </cell>
          <cell r="X1390" t="str">
            <v>(인)</v>
          </cell>
          <cell r="Y1390" t="str">
            <v>박순홍</v>
          </cell>
          <cell r="Z1390" t="str">
            <v>(인)</v>
          </cell>
          <cell r="AA1390" t="str">
            <v>박상갑</v>
          </cell>
          <cell r="AB1390" t="str">
            <v>(인)</v>
          </cell>
          <cell r="AC1390" t="str">
            <v>박상갑</v>
          </cell>
          <cell r="AD1390" t="str">
            <v>(인)</v>
          </cell>
          <cell r="AE1390">
            <v>184.2</v>
          </cell>
          <cell r="AF1390" t="str">
            <v>동절기</v>
          </cell>
          <cell r="AG1390">
            <v>3</v>
          </cell>
          <cell r="AH1390">
            <v>0</v>
          </cell>
        </row>
        <row r="1391">
          <cell r="G1391">
            <v>2411150501</v>
          </cell>
          <cell r="H1391" t="str">
            <v>119동</v>
          </cell>
          <cell r="I1391">
            <v>241115</v>
          </cell>
          <cell r="J1391" t="str">
            <v>119동 및 주변주차장 1층 바닥 1차</v>
          </cell>
          <cell r="K1391">
            <v>370</v>
          </cell>
          <cell r="L1391">
            <v>367</v>
          </cell>
          <cell r="M1391">
            <v>2715</v>
          </cell>
          <cell r="N1391" t="str">
            <v>용호</v>
          </cell>
          <cell r="O1391" t="str">
            <v>펌프카(1대)</v>
          </cell>
          <cell r="P1391">
            <v>1205</v>
          </cell>
          <cell r="Q1391">
            <v>1721</v>
          </cell>
          <cell r="R1391">
            <v>170</v>
          </cell>
          <cell r="S1391">
            <v>42</v>
          </cell>
          <cell r="T1391">
            <v>40</v>
          </cell>
          <cell r="U1391">
            <v>196</v>
          </cell>
          <cell r="V1391"/>
          <cell r="W1391" t="str">
            <v>김광록</v>
          </cell>
          <cell r="X1391" t="str">
            <v>(인)</v>
          </cell>
          <cell r="Y1391" t="str">
            <v>박순홍</v>
          </cell>
          <cell r="Z1391" t="str">
            <v>(인)</v>
          </cell>
          <cell r="AA1391" t="str">
            <v>박상갑</v>
          </cell>
          <cell r="AB1391" t="str">
            <v>(인)</v>
          </cell>
          <cell r="AC1391" t="str">
            <v>박상갑</v>
          </cell>
          <cell r="AD1391" t="str">
            <v>(인)</v>
          </cell>
          <cell r="AE1391">
            <v>184</v>
          </cell>
          <cell r="AF1391" t="str">
            <v>동절기</v>
          </cell>
          <cell r="AG1391">
            <v>1</v>
          </cell>
          <cell r="AH1391">
            <v>1</v>
          </cell>
          <cell r="AI1391">
            <v>2337</v>
          </cell>
          <cell r="AJ1391">
            <v>2386</v>
          </cell>
          <cell r="AK1391">
            <v>188400</v>
          </cell>
          <cell r="AL1391">
            <v>3329</v>
          </cell>
          <cell r="AM1391">
            <v>3307</v>
          </cell>
          <cell r="AN1391">
            <v>3402</v>
          </cell>
          <cell r="AO1391">
            <v>3267</v>
          </cell>
          <cell r="AP1391">
            <v>3306</v>
          </cell>
          <cell r="AQ1391">
            <v>3292</v>
          </cell>
          <cell r="AR1391">
            <v>3304</v>
          </cell>
          <cell r="AS1391">
            <v>3410</v>
          </cell>
          <cell r="AT1391">
            <v>262200</v>
          </cell>
        </row>
        <row r="1392">
          <cell r="G1392">
            <v>2411150502</v>
          </cell>
          <cell r="H1392" t="str">
            <v>119동</v>
          </cell>
          <cell r="I1392">
            <v>241115</v>
          </cell>
          <cell r="J1392" t="str">
            <v>119동 및 주변주차장 1층 바닥 1차</v>
          </cell>
          <cell r="K1392">
            <v>370</v>
          </cell>
          <cell r="L1392">
            <v>367</v>
          </cell>
          <cell r="M1392">
            <v>2715</v>
          </cell>
          <cell r="N1392" t="str">
            <v>용호</v>
          </cell>
          <cell r="O1392" t="str">
            <v>펌프카(1대)</v>
          </cell>
          <cell r="P1392">
            <v>1205</v>
          </cell>
          <cell r="Q1392">
            <v>1721</v>
          </cell>
          <cell r="R1392">
            <v>170</v>
          </cell>
          <cell r="S1392">
            <v>44</v>
          </cell>
          <cell r="T1392">
            <v>31</v>
          </cell>
          <cell r="U1392">
            <v>216</v>
          </cell>
          <cell r="V1392"/>
          <cell r="W1392" t="str">
            <v>김광록</v>
          </cell>
          <cell r="X1392" t="str">
            <v>(인)</v>
          </cell>
          <cell r="Y1392" t="str">
            <v>박순홍</v>
          </cell>
          <cell r="Z1392" t="str">
            <v>(인)</v>
          </cell>
          <cell r="AA1392" t="str">
            <v>박상갑</v>
          </cell>
          <cell r="AB1392" t="str">
            <v>(인)</v>
          </cell>
          <cell r="AC1392" t="str">
            <v>박상갑</v>
          </cell>
          <cell r="AD1392" t="str">
            <v>(인)</v>
          </cell>
          <cell r="AE1392">
            <v>190.6</v>
          </cell>
          <cell r="AF1392" t="str">
            <v>동절기</v>
          </cell>
          <cell r="AG1392">
            <v>2</v>
          </cell>
          <cell r="AH1392">
            <v>0</v>
          </cell>
        </row>
        <row r="1393">
          <cell r="G1393">
            <v>2411150503</v>
          </cell>
          <cell r="H1393" t="str">
            <v>119동</v>
          </cell>
          <cell r="I1393">
            <v>241115</v>
          </cell>
          <cell r="J1393" t="str">
            <v>119동 및 주변주차장 1층 바닥 1차</v>
          </cell>
          <cell r="K1393">
            <v>370</v>
          </cell>
          <cell r="L1393">
            <v>367</v>
          </cell>
          <cell r="M1393">
            <v>2715</v>
          </cell>
          <cell r="N1393" t="str">
            <v>용호</v>
          </cell>
          <cell r="O1393" t="str">
            <v>펌프카(1대)</v>
          </cell>
          <cell r="P1393">
            <v>1205</v>
          </cell>
          <cell r="Q1393">
            <v>1721</v>
          </cell>
          <cell r="R1393">
            <v>175</v>
          </cell>
          <cell r="S1393">
            <v>47</v>
          </cell>
          <cell r="T1393">
            <v>20</v>
          </cell>
          <cell r="U1393">
            <v>228</v>
          </cell>
          <cell r="V1393"/>
          <cell r="W1393" t="str">
            <v>김광록</v>
          </cell>
          <cell r="X1393" t="str">
            <v>(인)</v>
          </cell>
          <cell r="Y1393" t="str">
            <v>박순홍</v>
          </cell>
          <cell r="Z1393" t="str">
            <v>(인)</v>
          </cell>
          <cell r="AA1393" t="str">
            <v>박상갑</v>
          </cell>
          <cell r="AB1393" t="str">
            <v>(인)</v>
          </cell>
          <cell r="AC1393" t="str">
            <v>박상갑</v>
          </cell>
          <cell r="AD1393" t="str">
            <v>(인)</v>
          </cell>
          <cell r="AE1393">
            <v>190</v>
          </cell>
          <cell r="AF1393" t="str">
            <v>동절기</v>
          </cell>
          <cell r="AG1393">
            <v>3</v>
          </cell>
          <cell r="AH1393">
            <v>0</v>
          </cell>
        </row>
        <row r="1394">
          <cell r="G1394">
            <v>2411150504</v>
          </cell>
          <cell r="H1394" t="str">
            <v>119동</v>
          </cell>
          <cell r="I1394">
            <v>241115</v>
          </cell>
          <cell r="J1394" t="str">
            <v>119동 및 주변주차장 1층 바닥 1차</v>
          </cell>
          <cell r="K1394">
            <v>370</v>
          </cell>
          <cell r="L1394">
            <v>367</v>
          </cell>
          <cell r="M1394">
            <v>2715</v>
          </cell>
          <cell r="N1394" t="str">
            <v>용호</v>
          </cell>
          <cell r="O1394" t="str">
            <v>펌프카(1대)</v>
          </cell>
          <cell r="P1394">
            <v>1205</v>
          </cell>
          <cell r="Q1394">
            <v>1721</v>
          </cell>
          <cell r="R1394">
            <v>170</v>
          </cell>
          <cell r="S1394">
            <v>36</v>
          </cell>
          <cell r="T1394">
            <v>35</v>
          </cell>
          <cell r="U1394">
            <v>187</v>
          </cell>
          <cell r="V1394"/>
          <cell r="W1394" t="str">
            <v>김광록</v>
          </cell>
          <cell r="X1394" t="str">
            <v>(인)</v>
          </cell>
          <cell r="Y1394" t="str">
            <v>박순홍</v>
          </cell>
          <cell r="Z1394" t="str">
            <v>(인)</v>
          </cell>
          <cell r="AA1394" t="str">
            <v>박상갑</v>
          </cell>
          <cell r="AB1394" t="str">
            <v>(인)</v>
          </cell>
          <cell r="AC1394" t="str">
            <v>박상갑</v>
          </cell>
          <cell r="AD1394" t="str">
            <v>(인)</v>
          </cell>
          <cell r="AE1394">
            <v>175.9</v>
          </cell>
          <cell r="AF1394" t="str">
            <v>동절기</v>
          </cell>
          <cell r="AG1394">
            <v>4</v>
          </cell>
          <cell r="AH1394">
            <v>1</v>
          </cell>
          <cell r="AL1394">
            <v>3264</v>
          </cell>
          <cell r="AM1394">
            <v>3272</v>
          </cell>
          <cell r="AN1394">
            <v>3292</v>
          </cell>
          <cell r="AO1394">
            <v>3206</v>
          </cell>
          <cell r="AP1394">
            <v>3307</v>
          </cell>
          <cell r="AQ1394">
            <v>3329</v>
          </cell>
          <cell r="AR1394">
            <v>3416</v>
          </cell>
          <cell r="AS1394">
            <v>3290</v>
          </cell>
          <cell r="AT1394">
            <v>257800</v>
          </cell>
        </row>
        <row r="1395">
          <cell r="G1395">
            <v>2411180101</v>
          </cell>
          <cell r="H1395" t="str">
            <v>107동</v>
          </cell>
          <cell r="I1395">
            <v>241118</v>
          </cell>
          <cell r="J1395" t="str">
            <v>107동 16층 바닥</v>
          </cell>
          <cell r="K1395">
            <v>280</v>
          </cell>
          <cell r="L1395">
            <v>282</v>
          </cell>
          <cell r="M1395">
            <v>3018</v>
          </cell>
          <cell r="N1395" t="str">
            <v>용호</v>
          </cell>
          <cell r="O1395" t="str">
            <v>펌프카(1대)</v>
          </cell>
          <cell r="P1395">
            <v>820</v>
          </cell>
          <cell r="Q1395">
            <v>1159</v>
          </cell>
          <cell r="R1395">
            <v>190</v>
          </cell>
          <cell r="S1395">
            <v>38</v>
          </cell>
          <cell r="T1395">
            <v>25</v>
          </cell>
          <cell r="U1395">
            <v>151</v>
          </cell>
          <cell r="V1395"/>
          <cell r="W1395" t="str">
            <v>김광록</v>
          </cell>
          <cell r="X1395" t="str">
            <v>(인)</v>
          </cell>
          <cell r="Y1395" t="str">
            <v>박순홍</v>
          </cell>
          <cell r="Z1395" t="str">
            <v>(인)</v>
          </cell>
          <cell r="AA1395" t="str">
            <v>이홍걸</v>
          </cell>
          <cell r="AB1395" t="str">
            <v>(인)</v>
          </cell>
          <cell r="AC1395" t="str">
            <v>박상갑</v>
          </cell>
          <cell r="AD1395" t="str">
            <v>(인)</v>
          </cell>
          <cell r="AE1395">
            <v>181.9</v>
          </cell>
          <cell r="AF1395" t="str">
            <v>동절기</v>
          </cell>
          <cell r="AG1395">
            <v>1</v>
          </cell>
          <cell r="AH1395">
            <v>1</v>
          </cell>
          <cell r="AI1395">
            <v>2997</v>
          </cell>
          <cell r="AJ1395">
            <v>2819</v>
          </cell>
          <cell r="AK1395">
            <v>218800</v>
          </cell>
          <cell r="AL1395">
            <v>3768</v>
          </cell>
          <cell r="AM1395">
            <v>3812</v>
          </cell>
          <cell r="AN1395">
            <v>3762</v>
          </cell>
          <cell r="AO1395">
            <v>3806</v>
          </cell>
          <cell r="AP1395">
            <v>3819</v>
          </cell>
          <cell r="AQ1395">
            <v>3794</v>
          </cell>
          <cell r="AR1395">
            <v>3702</v>
          </cell>
          <cell r="AS1395">
            <v>3711</v>
          </cell>
          <cell r="AT1395">
            <v>293600</v>
          </cell>
        </row>
        <row r="1396">
          <cell r="G1396">
            <v>2411180102</v>
          </cell>
          <cell r="H1396" t="str">
            <v>107동</v>
          </cell>
          <cell r="I1396">
            <v>241118</v>
          </cell>
          <cell r="J1396" t="str">
            <v>107동 16층 바닥</v>
          </cell>
          <cell r="K1396">
            <v>280</v>
          </cell>
          <cell r="L1396">
            <v>282</v>
          </cell>
          <cell r="M1396">
            <v>3018</v>
          </cell>
          <cell r="N1396" t="str">
            <v>용호</v>
          </cell>
          <cell r="O1396" t="str">
            <v>펌프카(1대)</v>
          </cell>
          <cell r="P1396">
            <v>820</v>
          </cell>
          <cell r="Q1396">
            <v>1159</v>
          </cell>
          <cell r="R1396">
            <v>200</v>
          </cell>
          <cell r="S1396">
            <v>40</v>
          </cell>
          <cell r="T1396">
            <v>7</v>
          </cell>
          <cell r="U1396">
            <v>174</v>
          </cell>
          <cell r="V1396"/>
          <cell r="W1396" t="str">
            <v>김광록</v>
          </cell>
          <cell r="X1396" t="str">
            <v>(인)</v>
          </cell>
          <cell r="Y1396" t="str">
            <v>박순홍</v>
          </cell>
          <cell r="Z1396" t="str">
            <v>(인)</v>
          </cell>
          <cell r="AA1396" t="str">
            <v>이홍걸</v>
          </cell>
          <cell r="AB1396" t="str">
            <v>(인)</v>
          </cell>
          <cell r="AC1396" t="str">
            <v>박상갑</v>
          </cell>
          <cell r="AD1396" t="str">
            <v>(인)</v>
          </cell>
          <cell r="AE1396">
            <v>183.2</v>
          </cell>
          <cell r="AF1396" t="str">
            <v>동절기</v>
          </cell>
          <cell r="AG1396">
            <v>2</v>
          </cell>
          <cell r="AH1396">
            <v>0</v>
          </cell>
        </row>
        <row r="1397">
          <cell r="G1397">
            <v>2411180103</v>
          </cell>
          <cell r="H1397" t="str">
            <v>107동</v>
          </cell>
          <cell r="I1397">
            <v>241118</v>
          </cell>
          <cell r="J1397" t="str">
            <v>107동 16층 바닥</v>
          </cell>
          <cell r="K1397">
            <v>280</v>
          </cell>
          <cell r="L1397">
            <v>282</v>
          </cell>
          <cell r="M1397">
            <v>3018</v>
          </cell>
          <cell r="N1397" t="str">
            <v>용호</v>
          </cell>
          <cell r="O1397" t="str">
            <v>펌프카(1대)</v>
          </cell>
          <cell r="P1397">
            <v>820</v>
          </cell>
          <cell r="Q1397">
            <v>1159</v>
          </cell>
          <cell r="R1397">
            <v>200</v>
          </cell>
          <cell r="S1397">
            <v>43</v>
          </cell>
          <cell r="T1397">
            <v>29</v>
          </cell>
          <cell r="U1397">
            <v>180</v>
          </cell>
          <cell r="V1397"/>
          <cell r="W1397" t="str">
            <v>김광록</v>
          </cell>
          <cell r="X1397" t="str">
            <v>(인)</v>
          </cell>
          <cell r="Y1397" t="str">
            <v>박순홍</v>
          </cell>
          <cell r="Z1397" t="str">
            <v>(인)</v>
          </cell>
          <cell r="AA1397" t="str">
            <v>이홍걸</v>
          </cell>
          <cell r="AB1397" t="str">
            <v>(인)</v>
          </cell>
          <cell r="AC1397" t="str">
            <v>박상갑</v>
          </cell>
          <cell r="AD1397" t="str">
            <v>(인)</v>
          </cell>
          <cell r="AE1397">
            <v>184.4</v>
          </cell>
          <cell r="AF1397" t="str">
            <v>동절기</v>
          </cell>
          <cell r="AG1397">
            <v>3</v>
          </cell>
          <cell r="AH1397">
            <v>0</v>
          </cell>
        </row>
        <row r="1398">
          <cell r="G1398">
            <v>2411180201</v>
          </cell>
          <cell r="H1398" t="str">
            <v>108동, 수영장</v>
          </cell>
          <cell r="I1398">
            <v>241118</v>
          </cell>
          <cell r="J1398" t="str">
            <v>8동~수영장 사이 주차장</v>
          </cell>
          <cell r="K1398">
            <v>300</v>
          </cell>
          <cell r="L1398">
            <v>300</v>
          </cell>
          <cell r="M1398">
            <v>2715</v>
          </cell>
          <cell r="N1398" t="str">
            <v>영진</v>
          </cell>
          <cell r="O1398" t="str">
            <v>펌프카(1대)</v>
          </cell>
          <cell r="P1398">
            <v>1300</v>
          </cell>
          <cell r="Q1398">
            <v>1700</v>
          </cell>
          <cell r="R1398">
            <v>150</v>
          </cell>
          <cell r="S1398">
            <v>45</v>
          </cell>
          <cell r="T1398">
            <v>45</v>
          </cell>
          <cell r="U1398">
            <v>169</v>
          </cell>
          <cell r="V1398"/>
          <cell r="W1398" t="str">
            <v>박순홍</v>
          </cell>
          <cell r="X1398" t="str">
            <v>(인)</v>
          </cell>
          <cell r="Y1398" t="str">
            <v>박순홍</v>
          </cell>
          <cell r="Z1398" t="str">
            <v>(인)</v>
          </cell>
          <cell r="AA1398" t="str">
            <v>이홍걸</v>
          </cell>
          <cell r="AB1398" t="str">
            <v>(인)</v>
          </cell>
          <cell r="AC1398" t="str">
            <v>박상갑</v>
          </cell>
          <cell r="AD1398" t="str">
            <v>(인)</v>
          </cell>
          <cell r="AE1398">
            <v>181.4</v>
          </cell>
          <cell r="AF1398" t="str">
            <v>동절기</v>
          </cell>
          <cell r="AG1398">
            <v>1</v>
          </cell>
          <cell r="AH1398">
            <v>1</v>
          </cell>
          <cell r="AI1398">
            <v>2378</v>
          </cell>
          <cell r="AJ1398">
            <v>2346</v>
          </cell>
          <cell r="AK1398">
            <v>187000</v>
          </cell>
          <cell r="AL1398">
            <v>3330</v>
          </cell>
          <cell r="AM1398">
            <v>3287</v>
          </cell>
          <cell r="AN1398">
            <v>3202</v>
          </cell>
          <cell r="AO1398">
            <v>3196</v>
          </cell>
          <cell r="AP1398">
            <v>3304</v>
          </cell>
          <cell r="AQ1398">
            <v>3301</v>
          </cell>
          <cell r="AR1398">
            <v>3296</v>
          </cell>
          <cell r="AS1398">
            <v>3188</v>
          </cell>
          <cell r="AT1398">
            <v>261400</v>
          </cell>
        </row>
        <row r="1399">
          <cell r="G1399">
            <v>2411180202</v>
          </cell>
          <cell r="H1399" t="str">
            <v>108동, 수영장</v>
          </cell>
          <cell r="I1399">
            <v>241118</v>
          </cell>
          <cell r="J1399" t="str">
            <v>8동~수영장 사이 주차장</v>
          </cell>
          <cell r="K1399">
            <v>300</v>
          </cell>
          <cell r="L1399">
            <v>300</v>
          </cell>
          <cell r="M1399">
            <v>2715</v>
          </cell>
          <cell r="N1399" t="str">
            <v>영진</v>
          </cell>
          <cell r="O1399" t="str">
            <v>펌프카(1대)</v>
          </cell>
          <cell r="P1399">
            <v>1300</v>
          </cell>
          <cell r="Q1399">
            <v>1700</v>
          </cell>
          <cell r="R1399">
            <v>160</v>
          </cell>
          <cell r="S1399">
            <v>42</v>
          </cell>
          <cell r="T1399">
            <v>80</v>
          </cell>
          <cell r="U1399">
            <v>174</v>
          </cell>
          <cell r="V1399"/>
          <cell r="W1399" t="str">
            <v>박순홍</v>
          </cell>
          <cell r="X1399" t="str">
            <v>(인)</v>
          </cell>
          <cell r="Y1399" t="str">
            <v>박순홍</v>
          </cell>
          <cell r="Z1399" t="str">
            <v>(인)</v>
          </cell>
          <cell r="AA1399" t="str">
            <v>이홍걸</v>
          </cell>
          <cell r="AB1399" t="str">
            <v>(인)</v>
          </cell>
          <cell r="AC1399" t="str">
            <v>박상갑</v>
          </cell>
          <cell r="AD1399" t="str">
            <v>(인)</v>
          </cell>
          <cell r="AE1399">
            <v>179.4</v>
          </cell>
          <cell r="AF1399" t="str">
            <v>동절기</v>
          </cell>
          <cell r="AG1399">
            <v>2</v>
          </cell>
          <cell r="AH1399">
            <v>0</v>
          </cell>
        </row>
        <row r="1400">
          <cell r="G1400">
            <v>2411180203</v>
          </cell>
          <cell r="H1400" t="str">
            <v>108동, 수영장</v>
          </cell>
          <cell r="I1400">
            <v>241118</v>
          </cell>
          <cell r="J1400" t="str">
            <v>8동~수영장 사이 주차장</v>
          </cell>
          <cell r="K1400">
            <v>300</v>
          </cell>
          <cell r="L1400">
            <v>300</v>
          </cell>
          <cell r="M1400">
            <v>2715</v>
          </cell>
          <cell r="N1400" t="str">
            <v>영진</v>
          </cell>
          <cell r="O1400" t="str">
            <v>펌프카(1대)</v>
          </cell>
          <cell r="P1400">
            <v>1300</v>
          </cell>
          <cell r="Q1400">
            <v>1700</v>
          </cell>
          <cell r="R1400">
            <v>160</v>
          </cell>
          <cell r="S1400">
            <v>42</v>
          </cell>
          <cell r="T1400">
            <v>25</v>
          </cell>
          <cell r="U1400">
            <v>174</v>
          </cell>
          <cell r="V1400"/>
          <cell r="W1400" t="str">
            <v>박순홍</v>
          </cell>
          <cell r="X1400" t="str">
            <v>(인)</v>
          </cell>
          <cell r="Y1400" t="str">
            <v>박순홍</v>
          </cell>
          <cell r="Z1400" t="str">
            <v>(인)</v>
          </cell>
          <cell r="AA1400" t="str">
            <v>이홍걸</v>
          </cell>
          <cell r="AB1400" t="str">
            <v>(인)</v>
          </cell>
          <cell r="AC1400" t="str">
            <v>박상갑</v>
          </cell>
          <cell r="AD1400" t="str">
            <v>(인)</v>
          </cell>
          <cell r="AE1400">
            <v>179.4</v>
          </cell>
          <cell r="AF1400" t="str">
            <v>동절기</v>
          </cell>
          <cell r="AG1400">
            <v>3</v>
          </cell>
          <cell r="AH1400">
            <v>0</v>
          </cell>
        </row>
        <row r="1401">
          <cell r="G1401">
            <v>2411190101</v>
          </cell>
          <cell r="H1401" t="str">
            <v>118동</v>
          </cell>
          <cell r="I1401">
            <v>241119</v>
          </cell>
          <cell r="J1401" t="str">
            <v>118동 및 주변주차장 1층 바닥 1차</v>
          </cell>
          <cell r="K1401">
            <v>180</v>
          </cell>
          <cell r="L1401">
            <v>180</v>
          </cell>
          <cell r="M1401">
            <v>3015</v>
          </cell>
          <cell r="N1401" t="str">
            <v>영진</v>
          </cell>
          <cell r="O1401" t="str">
            <v>펌프카(1대)</v>
          </cell>
          <cell r="P1401">
            <v>735</v>
          </cell>
          <cell r="Q1401">
            <v>946</v>
          </cell>
          <cell r="R1401">
            <v>150</v>
          </cell>
          <cell r="S1401">
            <v>49</v>
          </cell>
          <cell r="T1401">
            <v>60</v>
          </cell>
          <cell r="U1401">
            <v>192</v>
          </cell>
          <cell r="V1401"/>
          <cell r="W1401" t="str">
            <v>김광록</v>
          </cell>
          <cell r="X1401" t="str">
            <v>(인)</v>
          </cell>
          <cell r="Y1401" t="str">
            <v>박순홍</v>
          </cell>
          <cell r="Z1401" t="str">
            <v>(인)</v>
          </cell>
          <cell r="AA1401" t="str">
            <v>박기원</v>
          </cell>
          <cell r="AB1401" t="str">
            <v>(인)</v>
          </cell>
          <cell r="AC1401" t="str">
            <v>박상갑</v>
          </cell>
          <cell r="AD1401" t="str">
            <v>(인)</v>
          </cell>
          <cell r="AE1401">
            <v>172.6</v>
          </cell>
          <cell r="AF1401" t="str">
            <v>동절기</v>
          </cell>
          <cell r="AG1401">
            <v>1</v>
          </cell>
          <cell r="AH1401">
            <v>1</v>
          </cell>
          <cell r="AI1401"/>
          <cell r="AJ1401"/>
        </row>
        <row r="1402">
          <cell r="G1402">
            <v>2411190101</v>
          </cell>
          <cell r="H1402" t="str">
            <v>118동</v>
          </cell>
          <cell r="I1402">
            <v>241119</v>
          </cell>
          <cell r="J1402" t="str">
            <v>118동 및 주변주차장 1층 바닥 1차</v>
          </cell>
          <cell r="K1402">
            <v>180</v>
          </cell>
          <cell r="L1402">
            <v>180</v>
          </cell>
          <cell r="M1402">
            <v>3015</v>
          </cell>
          <cell r="N1402" t="str">
            <v>영진</v>
          </cell>
          <cell r="O1402" t="str">
            <v>펌프카(1대)</v>
          </cell>
          <cell r="P1402">
            <v>735</v>
          </cell>
          <cell r="Q1402">
            <v>946</v>
          </cell>
          <cell r="R1402">
            <v>165</v>
          </cell>
          <cell r="S1402">
            <v>52</v>
          </cell>
          <cell r="T1402">
            <v>47</v>
          </cell>
          <cell r="U1402">
            <v>187</v>
          </cell>
          <cell r="V1402"/>
          <cell r="W1402" t="str">
            <v>김광록</v>
          </cell>
          <cell r="X1402" t="str">
            <v>(인)</v>
          </cell>
          <cell r="Y1402" t="str">
            <v>박순홍</v>
          </cell>
          <cell r="Z1402" t="str">
            <v>(인)</v>
          </cell>
          <cell r="AA1402" t="str">
            <v>박기원</v>
          </cell>
          <cell r="AB1402" t="str">
            <v>(인)</v>
          </cell>
          <cell r="AC1402" t="str">
            <v>박상갑</v>
          </cell>
          <cell r="AD1402" t="str">
            <v>(인)</v>
          </cell>
          <cell r="AE1402">
            <v>173</v>
          </cell>
          <cell r="AF1402" t="str">
            <v>동절기</v>
          </cell>
          <cell r="AG1402">
            <v>1</v>
          </cell>
          <cell r="AH1402">
            <v>1</v>
          </cell>
          <cell r="AI1402">
            <v>2648</v>
          </cell>
          <cell r="AJ1402">
            <v>2702</v>
          </cell>
          <cell r="AK1402">
            <v>209000</v>
          </cell>
          <cell r="AL1402">
            <v>3865</v>
          </cell>
          <cell r="AM1402">
            <v>3819</v>
          </cell>
          <cell r="AN1402">
            <v>3718</v>
          </cell>
          <cell r="AO1402">
            <v>3682</v>
          </cell>
          <cell r="AP1402">
            <v>3871</v>
          </cell>
          <cell r="AQ1402">
            <v>3639</v>
          </cell>
          <cell r="AR1402">
            <v>3821</v>
          </cell>
          <cell r="AS1402">
            <v>3766</v>
          </cell>
          <cell r="AT1402">
            <v>294600</v>
          </cell>
        </row>
        <row r="1403">
          <cell r="G1403">
            <v>2411190201</v>
          </cell>
          <cell r="H1403" t="str">
            <v>118동</v>
          </cell>
          <cell r="I1403">
            <v>241119</v>
          </cell>
          <cell r="J1403" t="str">
            <v>118동 및 주변주차장 1층 바닥 1차</v>
          </cell>
          <cell r="K1403">
            <v>210</v>
          </cell>
          <cell r="L1403">
            <v>210</v>
          </cell>
          <cell r="M1403">
            <v>3015</v>
          </cell>
          <cell r="N1403" t="str">
            <v>신우</v>
          </cell>
          <cell r="O1403" t="str">
            <v>펌프카(1대)</v>
          </cell>
          <cell r="P1403">
            <v>741</v>
          </cell>
          <cell r="Q1403">
            <v>1145</v>
          </cell>
          <cell r="R1403">
            <v>150</v>
          </cell>
          <cell r="S1403">
            <v>46</v>
          </cell>
          <cell r="T1403">
            <v>13</v>
          </cell>
          <cell r="U1403">
            <v>173</v>
          </cell>
          <cell r="V1403"/>
          <cell r="W1403" t="str">
            <v>김광록</v>
          </cell>
          <cell r="X1403" t="str">
            <v>(인)</v>
          </cell>
          <cell r="Y1403" t="str">
            <v>박순홍</v>
          </cell>
          <cell r="Z1403" t="str">
            <v>(인)</v>
          </cell>
          <cell r="AA1403" t="str">
            <v>박기원</v>
          </cell>
          <cell r="AB1403" t="str">
            <v>(인)</v>
          </cell>
          <cell r="AC1403" t="str">
            <v>박상갑</v>
          </cell>
          <cell r="AD1403" t="str">
            <v>(인)</v>
          </cell>
          <cell r="AE1403">
            <v>181.8</v>
          </cell>
          <cell r="AF1403" t="str">
            <v>동절기</v>
          </cell>
          <cell r="AG1403">
            <v>1</v>
          </cell>
          <cell r="AH1403">
            <v>1</v>
          </cell>
          <cell r="AI1403">
            <v>2841</v>
          </cell>
          <cell r="AJ1403">
            <v>2876</v>
          </cell>
          <cell r="AK1403">
            <v>222600</v>
          </cell>
          <cell r="AL1403">
            <v>3651</v>
          </cell>
          <cell r="AM1403">
            <v>3722</v>
          </cell>
          <cell r="AN1403">
            <v>3610</v>
          </cell>
          <cell r="AO1403">
            <v>3729</v>
          </cell>
          <cell r="AP1403">
            <v>3781</v>
          </cell>
          <cell r="AQ1403">
            <v>3639</v>
          </cell>
          <cell r="AR1403">
            <v>3834</v>
          </cell>
          <cell r="AS1403">
            <v>3766</v>
          </cell>
          <cell r="AT1403">
            <v>299800</v>
          </cell>
        </row>
        <row r="1404">
          <cell r="G1404">
            <v>2411190202</v>
          </cell>
          <cell r="H1404" t="str">
            <v>118동</v>
          </cell>
          <cell r="I1404">
            <v>241119</v>
          </cell>
          <cell r="J1404" t="str">
            <v>118동 및 주변주차장 1층 바닥 1차</v>
          </cell>
          <cell r="K1404">
            <v>210</v>
          </cell>
          <cell r="L1404">
            <v>210</v>
          </cell>
          <cell r="M1404">
            <v>3015</v>
          </cell>
          <cell r="N1404" t="str">
            <v>신우</v>
          </cell>
          <cell r="O1404" t="str">
            <v>펌프카(1대)</v>
          </cell>
          <cell r="P1404">
            <v>741</v>
          </cell>
          <cell r="Q1404">
            <v>1145</v>
          </cell>
          <cell r="R1404">
            <v>155</v>
          </cell>
          <cell r="S1404">
            <v>49</v>
          </cell>
          <cell r="T1404">
            <v>38</v>
          </cell>
          <cell r="U1404">
            <v>200</v>
          </cell>
          <cell r="V1404"/>
          <cell r="W1404" t="str">
            <v>김광록</v>
          </cell>
          <cell r="X1404" t="str">
            <v>(인)</v>
          </cell>
          <cell r="Y1404" t="str">
            <v>박순홍</v>
          </cell>
          <cell r="Z1404" t="str">
            <v>(인)</v>
          </cell>
          <cell r="AA1404" t="str">
            <v>박기원</v>
          </cell>
          <cell r="AB1404" t="str">
            <v>(인)</v>
          </cell>
          <cell r="AC1404" t="str">
            <v>박상갑</v>
          </cell>
          <cell r="AD1404" t="str">
            <v>(인)</v>
          </cell>
          <cell r="AE1404">
            <v>182.9</v>
          </cell>
          <cell r="AF1404" t="str">
            <v>동절기</v>
          </cell>
          <cell r="AG1404">
            <v>2</v>
          </cell>
          <cell r="AH1404">
            <v>0</v>
          </cell>
        </row>
        <row r="1405">
          <cell r="G1405">
            <v>2411190301</v>
          </cell>
          <cell r="H1405" t="str">
            <v>105동, 114동</v>
          </cell>
          <cell r="I1405">
            <v>241119</v>
          </cell>
          <cell r="J1405" t="str">
            <v>114동 5층 바닥 및 105동 옥탑</v>
          </cell>
          <cell r="K1405">
            <v>350</v>
          </cell>
          <cell r="L1405">
            <v>350</v>
          </cell>
          <cell r="M1405">
            <v>3018</v>
          </cell>
          <cell r="N1405" t="str">
            <v>동양</v>
          </cell>
          <cell r="O1405" t="str">
            <v>펌프카(1대)</v>
          </cell>
          <cell r="P1405">
            <v>740</v>
          </cell>
          <cell r="Q1405">
            <v>1625</v>
          </cell>
          <cell r="R1405">
            <v>180</v>
          </cell>
          <cell r="S1405">
            <v>40</v>
          </cell>
          <cell r="T1405">
            <v>22</v>
          </cell>
          <cell r="U1405">
            <v>179</v>
          </cell>
          <cell r="V1405"/>
          <cell r="W1405" t="str">
            <v>김광록</v>
          </cell>
          <cell r="X1405" t="str">
            <v>(인)</v>
          </cell>
          <cell r="Y1405" t="str">
            <v>박순홍</v>
          </cell>
          <cell r="Z1405" t="str">
            <v>(인)</v>
          </cell>
          <cell r="AA1405" t="str">
            <v>박기원</v>
          </cell>
          <cell r="AB1405" t="str">
            <v>(인)</v>
          </cell>
          <cell r="AC1405" t="str">
            <v>박상갑</v>
          </cell>
          <cell r="AD1405" t="str">
            <v>(인)</v>
          </cell>
          <cell r="AE1405">
            <v>183.2</v>
          </cell>
          <cell r="AF1405" t="str">
            <v>동절기</v>
          </cell>
          <cell r="AG1405">
            <v>1</v>
          </cell>
          <cell r="AH1405">
            <v>1</v>
          </cell>
          <cell r="AI1405">
            <v>2732</v>
          </cell>
          <cell r="AJ1405">
            <v>2804</v>
          </cell>
          <cell r="AK1405">
            <v>221200</v>
          </cell>
          <cell r="AL1405">
            <v>3688</v>
          </cell>
          <cell r="AM1405">
            <v>3729</v>
          </cell>
          <cell r="AN1405">
            <v>3672</v>
          </cell>
          <cell r="AO1405">
            <v>3786</v>
          </cell>
          <cell r="AP1405">
            <v>3827</v>
          </cell>
          <cell r="AQ1405">
            <v>3635</v>
          </cell>
          <cell r="AR1405">
            <v>3778</v>
          </cell>
          <cell r="AS1405">
            <v>3819</v>
          </cell>
          <cell r="AT1405">
            <v>294800</v>
          </cell>
        </row>
        <row r="1406">
          <cell r="G1406">
            <v>2411190302</v>
          </cell>
          <cell r="H1406" t="str">
            <v>105동, 114동</v>
          </cell>
          <cell r="I1406">
            <v>241119</v>
          </cell>
          <cell r="J1406" t="str">
            <v>114동 5층 바닥 및 105동 옥탑</v>
          </cell>
          <cell r="K1406">
            <v>350</v>
          </cell>
          <cell r="L1406">
            <v>350</v>
          </cell>
          <cell r="M1406">
            <v>3018</v>
          </cell>
          <cell r="N1406" t="str">
            <v>동양</v>
          </cell>
          <cell r="O1406" t="str">
            <v>펌프카(1대)</v>
          </cell>
          <cell r="P1406">
            <v>740</v>
          </cell>
          <cell r="Q1406">
            <v>1625</v>
          </cell>
          <cell r="R1406">
            <v>190</v>
          </cell>
          <cell r="S1406">
            <v>48</v>
          </cell>
          <cell r="T1406">
            <v>35</v>
          </cell>
          <cell r="U1406">
            <v>191</v>
          </cell>
          <cell r="V1406"/>
          <cell r="W1406" t="str">
            <v>김광록</v>
          </cell>
          <cell r="X1406" t="str">
            <v>(인)</v>
          </cell>
          <cell r="Y1406" t="str">
            <v>박순홍</v>
          </cell>
          <cell r="Z1406" t="str">
            <v>(인)</v>
          </cell>
          <cell r="AA1406" t="str">
            <v>박기원</v>
          </cell>
          <cell r="AB1406" t="str">
            <v>(인)</v>
          </cell>
          <cell r="AC1406" t="str">
            <v>박상갑</v>
          </cell>
          <cell r="AD1406" t="str">
            <v>(인)</v>
          </cell>
          <cell r="AE1406">
            <v>183.7</v>
          </cell>
          <cell r="AF1406" t="str">
            <v>동절기</v>
          </cell>
          <cell r="AG1406">
            <v>2</v>
          </cell>
          <cell r="AH1406">
            <v>0</v>
          </cell>
        </row>
        <row r="1407">
          <cell r="G1407">
            <v>2411190303</v>
          </cell>
          <cell r="H1407" t="str">
            <v>105동, 114동</v>
          </cell>
          <cell r="I1407">
            <v>241119</v>
          </cell>
          <cell r="J1407" t="str">
            <v>114동 5층 바닥 및 105동 옥탑</v>
          </cell>
          <cell r="K1407">
            <v>350</v>
          </cell>
          <cell r="L1407">
            <v>350</v>
          </cell>
          <cell r="M1407">
            <v>3018</v>
          </cell>
          <cell r="N1407" t="str">
            <v>동양</v>
          </cell>
          <cell r="O1407" t="str">
            <v>펌프카(1대)</v>
          </cell>
          <cell r="P1407">
            <v>740</v>
          </cell>
          <cell r="Q1407">
            <v>1625</v>
          </cell>
          <cell r="R1407">
            <v>200</v>
          </cell>
          <cell r="S1407">
            <v>48</v>
          </cell>
          <cell r="T1407">
            <v>48</v>
          </cell>
          <cell r="U1407">
            <v>188</v>
          </cell>
          <cell r="V1407"/>
          <cell r="W1407" t="str">
            <v>김광록</v>
          </cell>
          <cell r="X1407" t="str">
            <v>(인)</v>
          </cell>
          <cell r="Y1407" t="str">
            <v>박순홍</v>
          </cell>
          <cell r="Z1407" t="str">
            <v>(인)</v>
          </cell>
          <cell r="AA1407" t="str">
            <v>박기원</v>
          </cell>
          <cell r="AB1407" t="str">
            <v>(인)</v>
          </cell>
          <cell r="AC1407" t="str">
            <v>박상갑</v>
          </cell>
          <cell r="AD1407" t="str">
            <v>(인)</v>
          </cell>
          <cell r="AE1407">
            <v>184.4</v>
          </cell>
          <cell r="AF1407" t="str">
            <v>동절기</v>
          </cell>
          <cell r="AG1407">
            <v>3</v>
          </cell>
          <cell r="AH1407">
            <v>0</v>
          </cell>
        </row>
        <row r="1408">
          <cell r="G1408">
            <v>2411190401</v>
          </cell>
          <cell r="H1408" t="str">
            <v>118동</v>
          </cell>
          <cell r="I1408">
            <v>241119</v>
          </cell>
          <cell r="J1408" t="str">
            <v>118동 및 주변주차장 1층 바닥 1차</v>
          </cell>
          <cell r="K1408">
            <v>260</v>
          </cell>
          <cell r="L1408">
            <v>257</v>
          </cell>
          <cell r="M1408">
            <v>2715</v>
          </cell>
          <cell r="N1408" t="str">
            <v>영진</v>
          </cell>
          <cell r="O1408" t="str">
            <v>펌프카(1대)</v>
          </cell>
          <cell r="P1408">
            <v>1106</v>
          </cell>
          <cell r="Q1408">
            <v>1520</v>
          </cell>
          <cell r="R1408">
            <v>140</v>
          </cell>
          <cell r="S1408">
            <v>53</v>
          </cell>
          <cell r="T1408">
            <v>45</v>
          </cell>
          <cell r="U1408">
            <v>210</v>
          </cell>
          <cell r="V1408"/>
          <cell r="W1408" t="str">
            <v>박순홍</v>
          </cell>
          <cell r="X1408" t="str">
            <v>(인)</v>
          </cell>
          <cell r="Y1408" t="str">
            <v>박순홍</v>
          </cell>
          <cell r="Z1408" t="str">
            <v>(인)</v>
          </cell>
          <cell r="AA1408" t="str">
            <v>박기원</v>
          </cell>
          <cell r="AB1408" t="str">
            <v>(인)</v>
          </cell>
          <cell r="AC1408" t="str">
            <v>박상갑</v>
          </cell>
          <cell r="AD1408" t="str">
            <v>(인)</v>
          </cell>
          <cell r="AE1408">
            <v>180.5</v>
          </cell>
          <cell r="AF1408" t="str">
            <v>동절기</v>
          </cell>
          <cell r="AG1408">
            <v>1</v>
          </cell>
          <cell r="AH1408">
            <v>1</v>
          </cell>
          <cell r="AI1408">
            <v>2396</v>
          </cell>
          <cell r="AJ1408">
            <v>2388</v>
          </cell>
          <cell r="AK1408">
            <v>194200</v>
          </cell>
          <cell r="AL1408">
            <v>3129</v>
          </cell>
          <cell r="AM1408">
            <v>3370</v>
          </cell>
          <cell r="AN1408">
            <v>3219</v>
          </cell>
          <cell r="AO1408">
            <v>3275</v>
          </cell>
          <cell r="AP1408">
            <v>3368</v>
          </cell>
          <cell r="AQ1408">
            <v>3329</v>
          </cell>
          <cell r="AR1408">
            <v>3346</v>
          </cell>
          <cell r="AS1408">
            <v>3281</v>
          </cell>
          <cell r="AT1408">
            <v>252200</v>
          </cell>
        </row>
        <row r="1409">
          <cell r="G1409">
            <v>2411190402</v>
          </cell>
          <cell r="H1409" t="str">
            <v>118동</v>
          </cell>
          <cell r="I1409">
            <v>241119</v>
          </cell>
          <cell r="J1409" t="str">
            <v>118동 및 주변주차장 1층 바닥 1차</v>
          </cell>
          <cell r="K1409">
            <v>260</v>
          </cell>
          <cell r="L1409">
            <v>257</v>
          </cell>
          <cell r="M1409">
            <v>2715</v>
          </cell>
          <cell r="N1409" t="str">
            <v>영진</v>
          </cell>
          <cell r="O1409" t="str">
            <v>펌프카(1대)</v>
          </cell>
          <cell r="P1409">
            <v>1106</v>
          </cell>
          <cell r="Q1409">
            <v>1520</v>
          </cell>
          <cell r="R1409">
            <v>150</v>
          </cell>
          <cell r="S1409">
            <v>55</v>
          </cell>
          <cell r="T1409">
            <v>64</v>
          </cell>
          <cell r="U1409">
            <v>206</v>
          </cell>
          <cell r="V1409"/>
          <cell r="W1409" t="str">
            <v>박순홍</v>
          </cell>
          <cell r="X1409" t="str">
            <v>(인)</v>
          </cell>
          <cell r="Y1409" t="str">
            <v>박순홍</v>
          </cell>
          <cell r="Z1409" t="str">
            <v>(인)</v>
          </cell>
          <cell r="AA1409" t="str">
            <v>박기원</v>
          </cell>
          <cell r="AB1409" t="str">
            <v>(인)</v>
          </cell>
          <cell r="AC1409" t="str">
            <v>박상갑</v>
          </cell>
          <cell r="AD1409" t="str">
            <v>(인)</v>
          </cell>
          <cell r="AE1409">
            <v>178.6</v>
          </cell>
          <cell r="AF1409" t="str">
            <v>동절기</v>
          </cell>
          <cell r="AG1409">
            <v>2</v>
          </cell>
          <cell r="AH1409">
            <v>0</v>
          </cell>
        </row>
        <row r="1410">
          <cell r="G1410">
            <v>2411190403</v>
          </cell>
          <cell r="H1410" t="str">
            <v>118동</v>
          </cell>
          <cell r="I1410">
            <v>241119</v>
          </cell>
          <cell r="J1410" t="str">
            <v>118동 및 주변주차장 1층 바닥 1차</v>
          </cell>
          <cell r="K1410">
            <v>260</v>
          </cell>
          <cell r="L1410">
            <v>257</v>
          </cell>
          <cell r="M1410">
            <v>2715</v>
          </cell>
          <cell r="N1410" t="str">
            <v>영진</v>
          </cell>
          <cell r="O1410" t="str">
            <v>펌프카(1대)</v>
          </cell>
          <cell r="P1410">
            <v>1106</v>
          </cell>
          <cell r="Q1410">
            <v>1520</v>
          </cell>
          <cell r="R1410">
            <v>175</v>
          </cell>
          <cell r="S1410">
            <v>44</v>
          </cell>
          <cell r="T1410">
            <v>62</v>
          </cell>
          <cell r="U1410">
            <v>189</v>
          </cell>
          <cell r="V1410"/>
          <cell r="W1410" t="str">
            <v>박순홍</v>
          </cell>
          <cell r="X1410" t="str">
            <v>(인)</v>
          </cell>
          <cell r="Y1410" t="str">
            <v>박순홍</v>
          </cell>
          <cell r="Z1410" t="str">
            <v>(인)</v>
          </cell>
          <cell r="AA1410" t="str">
            <v>박기원</v>
          </cell>
          <cell r="AB1410" t="str">
            <v>(인)</v>
          </cell>
          <cell r="AC1410" t="str">
            <v>박상갑</v>
          </cell>
          <cell r="AD1410" t="str">
            <v>(인)</v>
          </cell>
          <cell r="AE1410">
            <v>177</v>
          </cell>
          <cell r="AF1410" t="str">
            <v>동절기</v>
          </cell>
          <cell r="AG1410">
            <v>3</v>
          </cell>
          <cell r="AH1410">
            <v>0</v>
          </cell>
        </row>
        <row r="1411">
          <cell r="G1411">
            <v>2411190501</v>
          </cell>
          <cell r="H1411" t="str">
            <v>118동</v>
          </cell>
          <cell r="I1411">
            <v>241119</v>
          </cell>
          <cell r="J1411" t="str">
            <v>118동 및 주변주차장 1층 바닥 1차</v>
          </cell>
          <cell r="K1411">
            <v>160</v>
          </cell>
          <cell r="L1411">
            <v>162</v>
          </cell>
          <cell r="M1411">
            <v>2715</v>
          </cell>
          <cell r="N1411" t="str">
            <v>신우</v>
          </cell>
          <cell r="O1411" t="str">
            <v>펌프카(1대)</v>
          </cell>
          <cell r="P1411">
            <v>1122</v>
          </cell>
          <cell r="Q1411">
            <v>1530</v>
          </cell>
          <cell r="R1411">
            <v>160</v>
          </cell>
          <cell r="S1411">
            <v>39</v>
          </cell>
          <cell r="T1411">
            <v>52</v>
          </cell>
          <cell r="U1411">
            <v>185</v>
          </cell>
          <cell r="V1411"/>
          <cell r="W1411" t="str">
            <v>박순홍</v>
          </cell>
          <cell r="X1411" t="str">
            <v>(인)</v>
          </cell>
          <cell r="Y1411" t="str">
            <v>박순홍</v>
          </cell>
          <cell r="Z1411" t="str">
            <v>(인)</v>
          </cell>
          <cell r="AA1411" t="str">
            <v>박기원</v>
          </cell>
          <cell r="AB1411" t="str">
            <v>(인)</v>
          </cell>
          <cell r="AC1411" t="str">
            <v>박상갑</v>
          </cell>
          <cell r="AD1411" t="str">
            <v>(인)</v>
          </cell>
          <cell r="AE1411">
            <v>182.1</v>
          </cell>
          <cell r="AF1411" t="str">
            <v>동절기</v>
          </cell>
          <cell r="AG1411">
            <v>1</v>
          </cell>
          <cell r="AH1411">
            <v>1</v>
          </cell>
          <cell r="AI1411">
            <v>2436</v>
          </cell>
          <cell r="AJ1411">
            <v>2287</v>
          </cell>
          <cell r="AK1411">
            <v>193200</v>
          </cell>
          <cell r="AL1411">
            <v>3187</v>
          </cell>
          <cell r="AM1411">
            <v>3209</v>
          </cell>
          <cell r="AN1411">
            <v>3292</v>
          </cell>
          <cell r="AO1411">
            <v>3279</v>
          </cell>
          <cell r="AP1411">
            <v>3186</v>
          </cell>
          <cell r="AQ1411">
            <v>3347</v>
          </cell>
          <cell r="AR1411">
            <v>3338</v>
          </cell>
          <cell r="AS1411">
            <v>3223</v>
          </cell>
          <cell r="AT1411">
            <v>263400</v>
          </cell>
        </row>
        <row r="1412">
          <cell r="G1412">
            <v>2411190502</v>
          </cell>
          <cell r="H1412" t="str">
            <v>118동</v>
          </cell>
          <cell r="I1412">
            <v>241119</v>
          </cell>
          <cell r="J1412" t="str">
            <v>118동 및 주변주차장 1층 바닥 1차</v>
          </cell>
          <cell r="K1412">
            <v>160</v>
          </cell>
          <cell r="L1412">
            <v>162</v>
          </cell>
          <cell r="M1412">
            <v>2715</v>
          </cell>
          <cell r="N1412" t="str">
            <v>신우</v>
          </cell>
          <cell r="O1412" t="str">
            <v>펌프카(1대)</v>
          </cell>
          <cell r="P1412">
            <v>1122</v>
          </cell>
          <cell r="Q1412">
            <v>1530</v>
          </cell>
          <cell r="R1412">
            <v>170</v>
          </cell>
          <cell r="S1412">
            <v>44</v>
          </cell>
          <cell r="T1412">
            <v>71</v>
          </cell>
          <cell r="U1412">
            <v>188</v>
          </cell>
          <cell r="V1412"/>
          <cell r="W1412" t="str">
            <v>박순홍</v>
          </cell>
          <cell r="X1412" t="str">
            <v>(인)</v>
          </cell>
          <cell r="Y1412" t="str">
            <v>박순홍</v>
          </cell>
          <cell r="Z1412" t="str">
            <v>(인)</v>
          </cell>
          <cell r="AA1412" t="str">
            <v>박기원</v>
          </cell>
          <cell r="AB1412" t="str">
            <v>(인)</v>
          </cell>
          <cell r="AC1412" t="str">
            <v>박상갑</v>
          </cell>
          <cell r="AD1412" t="str">
            <v>(인)</v>
          </cell>
          <cell r="AE1412">
            <v>181.8</v>
          </cell>
          <cell r="AF1412" t="str">
            <v>동절기</v>
          </cell>
          <cell r="AG1412">
            <v>2</v>
          </cell>
          <cell r="AH1412">
            <v>0</v>
          </cell>
        </row>
        <row r="1413">
          <cell r="G1413">
            <v>2411190601</v>
          </cell>
          <cell r="H1413" t="str">
            <v>102동</v>
          </cell>
          <cell r="I1413">
            <v>241119</v>
          </cell>
          <cell r="J1413" t="str">
            <v>102동 13층 바닥</v>
          </cell>
          <cell r="K1413">
            <v>280</v>
          </cell>
          <cell r="L1413">
            <v>276</v>
          </cell>
          <cell r="M1413">
            <v>3018</v>
          </cell>
          <cell r="N1413" t="str">
            <v>대성</v>
          </cell>
          <cell r="O1413" t="str">
            <v>펌프카(1대)</v>
          </cell>
          <cell r="P1413">
            <v>1329</v>
          </cell>
          <cell r="Q1413">
            <v>1718</v>
          </cell>
          <cell r="R1413">
            <v>180</v>
          </cell>
          <cell r="S1413">
            <v>50</v>
          </cell>
          <cell r="T1413">
            <v>32</v>
          </cell>
          <cell r="U1413">
            <v>195</v>
          </cell>
          <cell r="V1413"/>
          <cell r="W1413" t="str">
            <v>박순홍</v>
          </cell>
          <cell r="X1413" t="str">
            <v>(인)</v>
          </cell>
          <cell r="Y1413" t="str">
            <v>박순홍</v>
          </cell>
          <cell r="Z1413" t="str">
            <v>(인)</v>
          </cell>
          <cell r="AA1413" t="str">
            <v>박기원</v>
          </cell>
          <cell r="AB1413" t="str">
            <v>(인)</v>
          </cell>
          <cell r="AC1413" t="str">
            <v>박상갑</v>
          </cell>
          <cell r="AD1413" t="str">
            <v>(인)</v>
          </cell>
          <cell r="AE1413">
            <v>188.2</v>
          </cell>
          <cell r="AF1413" t="str">
            <v>동절기</v>
          </cell>
          <cell r="AG1413">
            <v>1</v>
          </cell>
          <cell r="AH1413">
            <v>1</v>
          </cell>
          <cell r="AI1413">
            <v>2813</v>
          </cell>
          <cell r="AJ1413">
            <v>2743</v>
          </cell>
          <cell r="AK1413">
            <v>213000</v>
          </cell>
          <cell r="AL1413">
            <v>3629</v>
          </cell>
          <cell r="AM1413">
            <v>3738</v>
          </cell>
          <cell r="AN1413">
            <v>3763</v>
          </cell>
          <cell r="AO1413">
            <v>3817</v>
          </cell>
          <cell r="AP1413">
            <v>3692</v>
          </cell>
          <cell r="AQ1413">
            <v>3682</v>
          </cell>
          <cell r="AR1413">
            <v>3717</v>
          </cell>
          <cell r="AS1413">
            <v>3791</v>
          </cell>
          <cell r="AT1413">
            <v>292600</v>
          </cell>
        </row>
        <row r="1414">
          <cell r="G1414">
            <v>2411190602</v>
          </cell>
          <cell r="H1414" t="str">
            <v>102동</v>
          </cell>
          <cell r="I1414">
            <v>241119</v>
          </cell>
          <cell r="J1414" t="str">
            <v>102동 13층 바닥</v>
          </cell>
          <cell r="K1414">
            <v>280</v>
          </cell>
          <cell r="L1414">
            <v>276</v>
          </cell>
          <cell r="M1414">
            <v>3018</v>
          </cell>
          <cell r="N1414" t="str">
            <v>대성</v>
          </cell>
          <cell r="O1414" t="str">
            <v>펌프카(1대)</v>
          </cell>
          <cell r="P1414">
            <v>1329</v>
          </cell>
          <cell r="Q1414">
            <v>1718</v>
          </cell>
          <cell r="R1414">
            <v>175</v>
          </cell>
          <cell r="S1414">
            <v>46</v>
          </cell>
          <cell r="T1414">
            <v>54</v>
          </cell>
          <cell r="U1414">
            <v>206</v>
          </cell>
          <cell r="V1414"/>
          <cell r="W1414" t="str">
            <v>박순홍</v>
          </cell>
          <cell r="X1414" t="str">
            <v>(인)</v>
          </cell>
          <cell r="Y1414" t="str">
            <v>박순홍</v>
          </cell>
          <cell r="Z1414" t="str">
            <v>(인)</v>
          </cell>
          <cell r="AA1414" t="str">
            <v>박기원</v>
          </cell>
          <cell r="AB1414" t="str">
            <v>(인)</v>
          </cell>
          <cell r="AC1414" t="str">
            <v>박상갑</v>
          </cell>
          <cell r="AD1414" t="str">
            <v>(인)</v>
          </cell>
          <cell r="AE1414">
            <v>188.6</v>
          </cell>
          <cell r="AF1414" t="str">
            <v>동절기</v>
          </cell>
          <cell r="AG1414">
            <v>2</v>
          </cell>
          <cell r="AH1414">
            <v>0</v>
          </cell>
        </row>
        <row r="1415">
          <cell r="G1415">
            <v>2411190603</v>
          </cell>
          <cell r="H1415" t="str">
            <v>102동</v>
          </cell>
          <cell r="I1415">
            <v>241119</v>
          </cell>
          <cell r="J1415" t="str">
            <v>102동 13층 바닥</v>
          </cell>
          <cell r="K1415">
            <v>280</v>
          </cell>
          <cell r="L1415">
            <v>276</v>
          </cell>
          <cell r="M1415">
            <v>3018</v>
          </cell>
          <cell r="N1415" t="str">
            <v>대성</v>
          </cell>
          <cell r="O1415" t="str">
            <v>펌프카(1대)</v>
          </cell>
          <cell r="P1415">
            <v>1329</v>
          </cell>
          <cell r="Q1415">
            <v>1718</v>
          </cell>
          <cell r="R1415">
            <v>180</v>
          </cell>
          <cell r="S1415">
            <v>52</v>
          </cell>
          <cell r="T1415">
            <v>78</v>
          </cell>
          <cell r="U1415">
            <v>224</v>
          </cell>
          <cell r="V1415"/>
          <cell r="W1415" t="str">
            <v>박순홍</v>
          </cell>
          <cell r="X1415" t="str">
            <v>(인)</v>
          </cell>
          <cell r="Y1415" t="str">
            <v>박순홍</v>
          </cell>
          <cell r="Z1415" t="str">
            <v>(인)</v>
          </cell>
          <cell r="AA1415" t="str">
            <v>박기원</v>
          </cell>
          <cell r="AB1415" t="str">
            <v>(인)</v>
          </cell>
          <cell r="AC1415" t="str">
            <v>박상갑</v>
          </cell>
          <cell r="AD1415" t="str">
            <v>(인)</v>
          </cell>
          <cell r="AE1415">
            <v>186.1</v>
          </cell>
          <cell r="AF1415" t="str">
            <v>동절기</v>
          </cell>
          <cell r="AG1415">
            <v>3</v>
          </cell>
          <cell r="AH1415">
            <v>0</v>
          </cell>
        </row>
        <row r="1416">
          <cell r="G1416">
            <v>2411190701</v>
          </cell>
          <cell r="H1416" t="str">
            <v>110동</v>
          </cell>
          <cell r="I1416">
            <v>241119</v>
          </cell>
          <cell r="J1416" t="str">
            <v>110동 주변 누름</v>
          </cell>
          <cell r="K1416">
            <v>60</v>
          </cell>
          <cell r="L1416">
            <v>60</v>
          </cell>
          <cell r="M1416">
            <v>1815</v>
          </cell>
          <cell r="N1416" t="str">
            <v>대공</v>
          </cell>
          <cell r="O1416" t="str">
            <v>펌프카(1대)</v>
          </cell>
          <cell r="P1416">
            <v>1513</v>
          </cell>
          <cell r="Q1416">
            <v>1647</v>
          </cell>
          <cell r="R1416">
            <v>140</v>
          </cell>
          <cell r="S1416">
            <v>52</v>
          </cell>
          <cell r="T1416">
            <v>39</v>
          </cell>
          <cell r="U1416">
            <v>195</v>
          </cell>
          <cell r="V1416"/>
          <cell r="W1416" t="str">
            <v>박순홍</v>
          </cell>
          <cell r="X1416" t="str">
            <v>(인)</v>
          </cell>
          <cell r="Y1416" t="str">
            <v>박순홍</v>
          </cell>
          <cell r="Z1416" t="str">
            <v>(인)</v>
          </cell>
          <cell r="AA1416" t="str">
            <v>박기원</v>
          </cell>
          <cell r="AB1416" t="str">
            <v>(인)</v>
          </cell>
          <cell r="AC1416" t="str">
            <v>박상갑</v>
          </cell>
          <cell r="AD1416" t="str">
            <v>(인)</v>
          </cell>
          <cell r="AE1416">
            <v>168.7</v>
          </cell>
          <cell r="AF1416" t="str">
            <v>동절기</v>
          </cell>
          <cell r="AG1416">
            <v>1</v>
          </cell>
          <cell r="AH1416">
            <v>1</v>
          </cell>
          <cell r="AI1416">
            <v>1530</v>
          </cell>
          <cell r="AJ1416">
            <v>1572</v>
          </cell>
          <cell r="AK1416">
            <v>122400</v>
          </cell>
          <cell r="AL1416">
            <v>2369</v>
          </cell>
          <cell r="AM1416">
            <v>2384</v>
          </cell>
          <cell r="AN1416">
            <v>2268</v>
          </cell>
          <cell r="AO1416">
            <v>2281</v>
          </cell>
          <cell r="AP1416">
            <v>2384</v>
          </cell>
          <cell r="AQ1416">
            <v>2374</v>
          </cell>
          <cell r="AR1416">
            <v>2291</v>
          </cell>
          <cell r="AS1416">
            <v>2261</v>
          </cell>
          <cell r="AT1416">
            <v>193600</v>
          </cell>
        </row>
        <row r="1417">
          <cell r="G1417">
            <v>2411200101</v>
          </cell>
          <cell r="H1417" t="str">
            <v>117동</v>
          </cell>
          <cell r="I1417">
            <v>241120</v>
          </cell>
          <cell r="J1417" t="str">
            <v>117동 1층 바닥</v>
          </cell>
          <cell r="K1417">
            <v>490</v>
          </cell>
          <cell r="L1417">
            <v>486</v>
          </cell>
          <cell r="M1417">
            <v>3015</v>
          </cell>
          <cell r="N1417" t="str">
            <v>대공</v>
          </cell>
          <cell r="O1417" t="str">
            <v>펌프카(1대)</v>
          </cell>
          <cell r="P1417">
            <v>741</v>
          </cell>
          <cell r="Q1417">
            <v>1554</v>
          </cell>
          <cell r="R1417">
            <v>175</v>
          </cell>
          <cell r="S1417">
            <v>48</v>
          </cell>
          <cell r="T1417">
            <v>32</v>
          </cell>
          <cell r="U1417">
            <v>158</v>
          </cell>
          <cell r="V1417"/>
          <cell r="W1417" t="str">
            <v>김광록</v>
          </cell>
          <cell r="X1417" t="str">
            <v>(인)</v>
          </cell>
          <cell r="Y1417" t="str">
            <v>박순홍</v>
          </cell>
          <cell r="Z1417" t="str">
            <v>(인)</v>
          </cell>
          <cell r="AA1417" t="str">
            <v>박기원</v>
          </cell>
          <cell r="AB1417" t="str">
            <v>(인)</v>
          </cell>
          <cell r="AC1417" t="str">
            <v>박상갑</v>
          </cell>
          <cell r="AD1417" t="str">
            <v>(인)</v>
          </cell>
          <cell r="AE1417">
            <v>182.6</v>
          </cell>
          <cell r="AF1417" t="str">
            <v>동절기</v>
          </cell>
          <cell r="AG1417">
            <v>1</v>
          </cell>
          <cell r="AH1417">
            <v>1</v>
          </cell>
          <cell r="AI1417">
            <v>2658</v>
          </cell>
          <cell r="AJ1417">
            <v>2710</v>
          </cell>
          <cell r="AK1417">
            <v>209600</v>
          </cell>
          <cell r="AL1417">
            <v>3863</v>
          </cell>
          <cell r="AM1417">
            <v>3824</v>
          </cell>
          <cell r="AN1417">
            <v>3769</v>
          </cell>
          <cell r="AO1417">
            <v>3762</v>
          </cell>
          <cell r="AP1417">
            <v>3817</v>
          </cell>
          <cell r="AQ1417">
            <v>3639</v>
          </cell>
          <cell r="AR1417">
            <v>3804</v>
          </cell>
          <cell r="AS1417">
            <v>3855</v>
          </cell>
          <cell r="AT1417">
            <v>296400</v>
          </cell>
        </row>
        <row r="1418">
          <cell r="G1418">
            <v>2411200102</v>
          </cell>
          <cell r="H1418" t="str">
            <v>117동</v>
          </cell>
          <cell r="I1418">
            <v>241120</v>
          </cell>
          <cell r="J1418" t="str">
            <v>117동 1층 바닥</v>
          </cell>
          <cell r="K1418">
            <v>490</v>
          </cell>
          <cell r="L1418">
            <v>486</v>
          </cell>
          <cell r="M1418">
            <v>3015</v>
          </cell>
          <cell r="N1418" t="str">
            <v>대공</v>
          </cell>
          <cell r="O1418" t="str">
            <v>펌프카(1대)</v>
          </cell>
          <cell r="P1418">
            <v>741</v>
          </cell>
          <cell r="Q1418">
            <v>1554</v>
          </cell>
          <cell r="R1418">
            <v>170</v>
          </cell>
          <cell r="S1418">
            <v>43</v>
          </cell>
          <cell r="T1418">
            <v>37</v>
          </cell>
          <cell r="U1418">
            <v>168</v>
          </cell>
          <cell r="V1418"/>
          <cell r="W1418" t="str">
            <v>김광록</v>
          </cell>
          <cell r="X1418" t="str">
            <v>(인)</v>
          </cell>
          <cell r="Y1418" t="str">
            <v>박순홍</v>
          </cell>
          <cell r="Z1418" t="str">
            <v>(인)</v>
          </cell>
          <cell r="AA1418" t="str">
            <v>박기원</v>
          </cell>
          <cell r="AB1418" t="str">
            <v>(인)</v>
          </cell>
          <cell r="AC1418" t="str">
            <v>박상갑</v>
          </cell>
          <cell r="AD1418" t="str">
            <v>(인)</v>
          </cell>
          <cell r="AE1418">
            <v>179.6</v>
          </cell>
          <cell r="AF1418" t="str">
            <v>동절기</v>
          </cell>
          <cell r="AG1418">
            <v>2</v>
          </cell>
          <cell r="AH1418">
            <v>0</v>
          </cell>
        </row>
        <row r="1419">
          <cell r="G1419">
            <v>2411200103</v>
          </cell>
          <cell r="H1419" t="str">
            <v>117동</v>
          </cell>
          <cell r="I1419">
            <v>241120</v>
          </cell>
          <cell r="J1419" t="str">
            <v>117동 1층 바닥</v>
          </cell>
          <cell r="K1419">
            <v>490</v>
          </cell>
          <cell r="L1419">
            <v>486</v>
          </cell>
          <cell r="M1419">
            <v>3015</v>
          </cell>
          <cell r="N1419" t="str">
            <v>대공</v>
          </cell>
          <cell r="O1419" t="str">
            <v>펌프카(1대)</v>
          </cell>
          <cell r="P1419">
            <v>741</v>
          </cell>
          <cell r="Q1419">
            <v>1554</v>
          </cell>
          <cell r="R1419">
            <v>160</v>
          </cell>
          <cell r="S1419">
            <v>53</v>
          </cell>
          <cell r="T1419">
            <v>21</v>
          </cell>
          <cell r="U1419">
            <v>150</v>
          </cell>
          <cell r="V1419"/>
          <cell r="W1419" t="str">
            <v>김광록</v>
          </cell>
          <cell r="X1419" t="str">
            <v>(인)</v>
          </cell>
          <cell r="Y1419" t="str">
            <v>박순홍</v>
          </cell>
          <cell r="Z1419" t="str">
            <v>(인)</v>
          </cell>
          <cell r="AA1419" t="str">
            <v>박기원</v>
          </cell>
          <cell r="AB1419" t="str">
            <v>(인)</v>
          </cell>
          <cell r="AC1419" t="str">
            <v>박상갑</v>
          </cell>
          <cell r="AD1419" t="str">
            <v>(인)</v>
          </cell>
          <cell r="AE1419">
            <v>181.4</v>
          </cell>
          <cell r="AF1419" t="str">
            <v>동절기</v>
          </cell>
          <cell r="AG1419">
            <v>3</v>
          </cell>
          <cell r="AH1419">
            <v>0</v>
          </cell>
        </row>
        <row r="1420">
          <cell r="G1420">
            <v>2411200104</v>
          </cell>
          <cell r="H1420" t="str">
            <v>117동</v>
          </cell>
          <cell r="I1420">
            <v>241120</v>
          </cell>
          <cell r="J1420" t="str">
            <v>117동 1층 바닥</v>
          </cell>
          <cell r="K1420">
            <v>490</v>
          </cell>
          <cell r="L1420">
            <v>486</v>
          </cell>
          <cell r="M1420">
            <v>3015</v>
          </cell>
          <cell r="N1420" t="str">
            <v>대공</v>
          </cell>
          <cell r="O1420" t="str">
            <v>펌프카(1대)</v>
          </cell>
          <cell r="P1420">
            <v>741</v>
          </cell>
          <cell r="Q1420">
            <v>1554</v>
          </cell>
          <cell r="R1420">
            <v>160</v>
          </cell>
          <cell r="S1420">
            <v>44</v>
          </cell>
          <cell r="T1420">
            <v>90</v>
          </cell>
          <cell r="U1420">
            <v>180</v>
          </cell>
          <cell r="V1420"/>
          <cell r="W1420" t="str">
            <v>박순홍</v>
          </cell>
          <cell r="X1420" t="str">
            <v>(인)</v>
          </cell>
          <cell r="Y1420" t="str">
            <v>박순홍</v>
          </cell>
          <cell r="Z1420" t="str">
            <v>(인)</v>
          </cell>
          <cell r="AA1420" t="str">
            <v>박기원</v>
          </cell>
          <cell r="AB1420" t="str">
            <v>(인)</v>
          </cell>
          <cell r="AC1420" t="str">
            <v>박상갑</v>
          </cell>
          <cell r="AD1420" t="str">
            <v>(인)</v>
          </cell>
          <cell r="AE1420">
            <v>180.6</v>
          </cell>
          <cell r="AF1420" t="str">
            <v>동절기</v>
          </cell>
          <cell r="AG1420">
            <v>4</v>
          </cell>
          <cell r="AH1420">
            <v>1</v>
          </cell>
          <cell r="AL1420">
            <v>3832</v>
          </cell>
          <cell r="AM1420">
            <v>3729</v>
          </cell>
          <cell r="AN1420">
            <v>3763</v>
          </cell>
          <cell r="AO1420">
            <v>3868</v>
          </cell>
          <cell r="AP1420">
            <v>3857</v>
          </cell>
          <cell r="AQ1420">
            <v>3719</v>
          </cell>
          <cell r="AR1420">
            <v>3865</v>
          </cell>
          <cell r="AS1420">
            <v>3629</v>
          </cell>
          <cell r="AT1420">
            <v>293400</v>
          </cell>
        </row>
        <row r="1421">
          <cell r="G1421">
            <v>2411200201</v>
          </cell>
          <cell r="H1421" t="str">
            <v>101동</v>
          </cell>
          <cell r="I1421">
            <v>241120</v>
          </cell>
          <cell r="J1421" t="str">
            <v>101동 12층 바닥</v>
          </cell>
          <cell r="K1421">
            <v>290</v>
          </cell>
          <cell r="L1421">
            <v>286</v>
          </cell>
          <cell r="M1421">
            <v>3018</v>
          </cell>
          <cell r="N1421" t="str">
            <v>대원</v>
          </cell>
          <cell r="O1421" t="str">
            <v>펌프카(1대)</v>
          </cell>
          <cell r="P1421">
            <v>826</v>
          </cell>
          <cell r="Q1421">
            <v>1214</v>
          </cell>
          <cell r="R1421">
            <v>190</v>
          </cell>
          <cell r="S1421">
            <v>48</v>
          </cell>
          <cell r="T1421">
            <v>104</v>
          </cell>
          <cell r="U1421">
            <v>170</v>
          </cell>
          <cell r="V1421"/>
          <cell r="W1421" t="str">
            <v>박순홍</v>
          </cell>
          <cell r="X1421" t="str">
            <v>(인)</v>
          </cell>
          <cell r="Y1421" t="str">
            <v>박순홍</v>
          </cell>
          <cell r="Z1421" t="str">
            <v>(인)</v>
          </cell>
          <cell r="AA1421" t="str">
            <v>박기원</v>
          </cell>
          <cell r="AB1421" t="str">
            <v>(인)</v>
          </cell>
          <cell r="AC1421" t="str">
            <v>박상갑</v>
          </cell>
          <cell r="AD1421" t="str">
            <v>(인)</v>
          </cell>
          <cell r="AE1421">
            <v>184.3</v>
          </cell>
          <cell r="AF1421" t="str">
            <v>동절기</v>
          </cell>
          <cell r="AG1421">
            <v>1</v>
          </cell>
          <cell r="AH1421">
            <v>1</v>
          </cell>
          <cell r="AI1421">
            <v>2755</v>
          </cell>
          <cell r="AJ1421">
            <v>2700</v>
          </cell>
          <cell r="AK1421">
            <v>212400</v>
          </cell>
          <cell r="AL1421">
            <v>3830</v>
          </cell>
          <cell r="AM1421">
            <v>3751</v>
          </cell>
          <cell r="AN1421">
            <v>3847</v>
          </cell>
          <cell r="AO1421">
            <v>3836</v>
          </cell>
          <cell r="AP1421">
            <v>3729</v>
          </cell>
          <cell r="AQ1421">
            <v>3763</v>
          </cell>
          <cell r="AR1421">
            <v>3712</v>
          </cell>
          <cell r="AS1421">
            <v>3812</v>
          </cell>
          <cell r="AT1421">
            <v>302000</v>
          </cell>
        </row>
        <row r="1422">
          <cell r="G1422">
            <v>2411200202</v>
          </cell>
          <cell r="H1422" t="str">
            <v>101동</v>
          </cell>
          <cell r="I1422">
            <v>241120</v>
          </cell>
          <cell r="J1422" t="str">
            <v>101동 12층 바닥</v>
          </cell>
          <cell r="K1422">
            <v>290</v>
          </cell>
          <cell r="L1422">
            <v>286</v>
          </cell>
          <cell r="M1422">
            <v>3018</v>
          </cell>
          <cell r="N1422" t="str">
            <v>대원</v>
          </cell>
          <cell r="O1422" t="str">
            <v>펌프카(1대)</v>
          </cell>
          <cell r="P1422">
            <v>826</v>
          </cell>
          <cell r="Q1422">
            <v>1214</v>
          </cell>
          <cell r="R1422">
            <v>190</v>
          </cell>
          <cell r="S1422">
            <v>49</v>
          </cell>
          <cell r="T1422">
            <v>116</v>
          </cell>
          <cell r="U1422">
            <v>169</v>
          </cell>
          <cell r="V1422"/>
          <cell r="W1422" t="str">
            <v>박순홍</v>
          </cell>
          <cell r="X1422" t="str">
            <v>(인)</v>
          </cell>
          <cell r="Y1422" t="str">
            <v>박순홍</v>
          </cell>
          <cell r="Z1422" t="str">
            <v>(인)</v>
          </cell>
          <cell r="AA1422" t="str">
            <v>박기원</v>
          </cell>
          <cell r="AB1422" t="str">
            <v>(인)</v>
          </cell>
          <cell r="AC1422" t="str">
            <v>박상갑</v>
          </cell>
          <cell r="AD1422" t="str">
            <v>(인)</v>
          </cell>
          <cell r="AE1422">
            <v>181.4</v>
          </cell>
          <cell r="AF1422" t="str">
            <v>동절기</v>
          </cell>
          <cell r="AG1422">
            <v>2</v>
          </cell>
          <cell r="AH1422">
            <v>0</v>
          </cell>
        </row>
        <row r="1423">
          <cell r="G1423">
            <v>2411200203</v>
          </cell>
          <cell r="H1423" t="str">
            <v>101동</v>
          </cell>
          <cell r="I1423">
            <v>241120</v>
          </cell>
          <cell r="J1423" t="str">
            <v>101동 12층 바닥</v>
          </cell>
          <cell r="K1423">
            <v>290</v>
          </cell>
          <cell r="L1423">
            <v>286</v>
          </cell>
          <cell r="M1423">
            <v>3018</v>
          </cell>
          <cell r="N1423" t="str">
            <v>대원</v>
          </cell>
          <cell r="O1423" t="str">
            <v>펌프카(1대)</v>
          </cell>
          <cell r="P1423">
            <v>826</v>
          </cell>
          <cell r="Q1423">
            <v>1214</v>
          </cell>
          <cell r="R1423">
            <v>180</v>
          </cell>
          <cell r="S1423">
            <v>45</v>
          </cell>
          <cell r="T1423">
            <v>31</v>
          </cell>
          <cell r="U1423">
            <v>154</v>
          </cell>
          <cell r="V1423"/>
          <cell r="W1423" t="str">
            <v>박순홍</v>
          </cell>
          <cell r="X1423" t="str">
            <v>(인)</v>
          </cell>
          <cell r="Y1423" t="str">
            <v>박순홍</v>
          </cell>
          <cell r="Z1423" t="str">
            <v>(인)</v>
          </cell>
          <cell r="AA1423" t="str">
            <v>박기원</v>
          </cell>
          <cell r="AB1423" t="str">
            <v>(인)</v>
          </cell>
          <cell r="AC1423" t="str">
            <v>박상갑</v>
          </cell>
          <cell r="AD1423" t="str">
            <v>(인)</v>
          </cell>
          <cell r="AE1423">
            <v>165</v>
          </cell>
          <cell r="AF1423" t="str">
            <v>동절기</v>
          </cell>
          <cell r="AG1423">
            <v>3</v>
          </cell>
          <cell r="AH1423">
            <v>0</v>
          </cell>
        </row>
        <row r="1424">
          <cell r="G1424">
            <v>2411200301</v>
          </cell>
          <cell r="H1424" t="str">
            <v>112동</v>
          </cell>
          <cell r="I1424">
            <v>241120</v>
          </cell>
          <cell r="J1424" t="str">
            <v>H-1구간</v>
          </cell>
          <cell r="K1424">
            <v>180</v>
          </cell>
          <cell r="L1424">
            <v>186</v>
          </cell>
          <cell r="M1424">
            <v>2715</v>
          </cell>
          <cell r="N1424" t="str">
            <v>용호</v>
          </cell>
          <cell r="O1424" t="str">
            <v>펌프카(1대)</v>
          </cell>
          <cell r="P1424">
            <v>1330</v>
          </cell>
          <cell r="Q1424">
            <v>1606</v>
          </cell>
          <cell r="R1424">
            <v>160</v>
          </cell>
          <cell r="S1424">
            <v>38</v>
          </cell>
          <cell r="T1424">
            <v>37</v>
          </cell>
          <cell r="U1424">
            <v>195</v>
          </cell>
          <cell r="V1424"/>
          <cell r="W1424" t="str">
            <v>박순홍</v>
          </cell>
          <cell r="X1424" t="str">
            <v>(인)</v>
          </cell>
          <cell r="Y1424" t="str">
            <v>박순홍</v>
          </cell>
          <cell r="Z1424" t="str">
            <v>(인)</v>
          </cell>
          <cell r="AA1424" t="str">
            <v>박기원</v>
          </cell>
          <cell r="AB1424" t="str">
            <v>(인)</v>
          </cell>
          <cell r="AC1424" t="str">
            <v>박상갑</v>
          </cell>
          <cell r="AD1424" t="str">
            <v>(인)</v>
          </cell>
          <cell r="AE1424">
            <v>164.3</v>
          </cell>
          <cell r="AF1424" t="str">
            <v>동절기</v>
          </cell>
          <cell r="AG1424">
            <v>1</v>
          </cell>
          <cell r="AH1424">
            <v>1</v>
          </cell>
          <cell r="AI1424">
            <v>2261</v>
          </cell>
          <cell r="AJ1424">
            <v>2271</v>
          </cell>
          <cell r="AK1424">
            <v>186000</v>
          </cell>
          <cell r="AL1424">
            <v>3308</v>
          </cell>
          <cell r="AM1424">
            <v>3270</v>
          </cell>
          <cell r="AN1424">
            <v>3380</v>
          </cell>
          <cell r="AO1424">
            <v>3360</v>
          </cell>
          <cell r="AP1424">
            <v>3280</v>
          </cell>
          <cell r="AQ1424">
            <v>3273</v>
          </cell>
          <cell r="AR1424">
            <v>3223</v>
          </cell>
          <cell r="AS1424">
            <v>3320</v>
          </cell>
          <cell r="AT1424">
            <v>263400</v>
          </cell>
        </row>
        <row r="1425">
          <cell r="G1425">
            <v>2411200302</v>
          </cell>
          <cell r="H1425" t="str">
            <v>112동</v>
          </cell>
          <cell r="I1425">
            <v>241120</v>
          </cell>
          <cell r="J1425" t="str">
            <v>H-1구간</v>
          </cell>
          <cell r="K1425">
            <v>180</v>
          </cell>
          <cell r="L1425">
            <v>186</v>
          </cell>
          <cell r="M1425">
            <v>2715</v>
          </cell>
          <cell r="N1425" t="str">
            <v>용호</v>
          </cell>
          <cell r="O1425" t="str">
            <v>펌프카(1대)</v>
          </cell>
          <cell r="P1425">
            <v>1330</v>
          </cell>
          <cell r="Q1425">
            <v>1606</v>
          </cell>
          <cell r="R1425">
            <v>175</v>
          </cell>
          <cell r="S1425">
            <v>44</v>
          </cell>
          <cell r="T1425">
            <v>41</v>
          </cell>
          <cell r="U1425">
            <v>175</v>
          </cell>
          <cell r="V1425"/>
          <cell r="W1425" t="str">
            <v>박순홍</v>
          </cell>
          <cell r="X1425" t="str">
            <v>(인)</v>
          </cell>
          <cell r="Y1425" t="str">
            <v>박순홍</v>
          </cell>
          <cell r="Z1425" t="str">
            <v>(인)</v>
          </cell>
          <cell r="AA1425" t="str">
            <v>박기원</v>
          </cell>
          <cell r="AB1425" t="str">
            <v>(인)</v>
          </cell>
          <cell r="AC1425" t="str">
            <v>박상갑</v>
          </cell>
          <cell r="AD1425" t="str">
            <v>(인)</v>
          </cell>
          <cell r="AE1425">
            <v>164.7</v>
          </cell>
          <cell r="AF1425" t="str">
            <v>동절기</v>
          </cell>
          <cell r="AG1425">
            <v>2</v>
          </cell>
          <cell r="AH1425">
            <v>0</v>
          </cell>
        </row>
        <row r="1426">
          <cell r="G1426">
            <v>2411210101</v>
          </cell>
          <cell r="H1426" t="str">
            <v>110동</v>
          </cell>
          <cell r="I1426">
            <v>241121</v>
          </cell>
          <cell r="J1426" t="str">
            <v>110동 7층 바닥</v>
          </cell>
          <cell r="K1426">
            <v>282</v>
          </cell>
          <cell r="L1426">
            <v>282</v>
          </cell>
          <cell r="M1426">
            <v>3018</v>
          </cell>
          <cell r="N1426" t="str">
            <v>영진</v>
          </cell>
          <cell r="O1426" t="str">
            <v>펌프카(1대)</v>
          </cell>
          <cell r="P1426">
            <v>1235</v>
          </cell>
          <cell r="Q1426">
            <v>1545</v>
          </cell>
          <cell r="R1426">
            <v>180</v>
          </cell>
          <cell r="S1426">
            <v>50</v>
          </cell>
          <cell r="T1426">
            <v>25</v>
          </cell>
          <cell r="U1426">
            <v>212</v>
          </cell>
          <cell r="V1426"/>
          <cell r="W1426" t="str">
            <v>김광록</v>
          </cell>
          <cell r="X1426" t="str">
            <v>(인)</v>
          </cell>
          <cell r="Y1426" t="str">
            <v>박순홍</v>
          </cell>
          <cell r="Z1426" t="str">
            <v>(인)</v>
          </cell>
          <cell r="AA1426" t="str">
            <v>박기원</v>
          </cell>
          <cell r="AB1426" t="str">
            <v>(인)</v>
          </cell>
          <cell r="AC1426" t="str">
            <v>박상갑</v>
          </cell>
          <cell r="AD1426" t="str">
            <v>(인)</v>
          </cell>
          <cell r="AE1426">
            <v>180.7</v>
          </cell>
          <cell r="AF1426" t="str">
            <v>동절기</v>
          </cell>
          <cell r="AG1426">
            <v>1</v>
          </cell>
          <cell r="AH1426">
            <v>1</v>
          </cell>
          <cell r="AI1426">
            <v>2668</v>
          </cell>
          <cell r="AJ1426">
            <v>2637</v>
          </cell>
          <cell r="AK1426">
            <v>213000</v>
          </cell>
          <cell r="AL1426">
            <v>3865</v>
          </cell>
          <cell r="AM1426">
            <v>3773</v>
          </cell>
          <cell r="AN1426">
            <v>3798</v>
          </cell>
          <cell r="AO1426">
            <v>3879</v>
          </cell>
          <cell r="AP1426">
            <v>3763</v>
          </cell>
          <cell r="AQ1426">
            <v>3828</v>
          </cell>
          <cell r="AR1426">
            <v>3822</v>
          </cell>
          <cell r="AS1426">
            <v>3766</v>
          </cell>
          <cell r="AT1426">
            <v>298000</v>
          </cell>
        </row>
        <row r="1427">
          <cell r="G1427">
            <v>2411210102</v>
          </cell>
          <cell r="H1427" t="str">
            <v>110동</v>
          </cell>
          <cell r="I1427">
            <v>241121</v>
          </cell>
          <cell r="J1427" t="str">
            <v>110동 7층 바닥</v>
          </cell>
          <cell r="K1427">
            <v>282</v>
          </cell>
          <cell r="L1427">
            <v>282</v>
          </cell>
          <cell r="M1427">
            <v>3018</v>
          </cell>
          <cell r="N1427" t="str">
            <v>영진</v>
          </cell>
          <cell r="O1427" t="str">
            <v>펌프카(1대)</v>
          </cell>
          <cell r="P1427">
            <v>1235</v>
          </cell>
          <cell r="Q1427">
            <v>1545</v>
          </cell>
          <cell r="R1427">
            <v>180</v>
          </cell>
          <cell r="S1427">
            <v>44</v>
          </cell>
          <cell r="T1427">
            <v>47</v>
          </cell>
          <cell r="U1427">
            <v>218</v>
          </cell>
          <cell r="V1427"/>
          <cell r="W1427" t="str">
            <v>김광록</v>
          </cell>
          <cell r="X1427" t="str">
            <v>(인)</v>
          </cell>
          <cell r="Y1427" t="str">
            <v>박순홍</v>
          </cell>
          <cell r="Z1427" t="str">
            <v>(인)</v>
          </cell>
          <cell r="AA1427" t="str">
            <v>박기원</v>
          </cell>
          <cell r="AB1427" t="str">
            <v>(인)</v>
          </cell>
          <cell r="AC1427" t="str">
            <v>박상갑</v>
          </cell>
          <cell r="AD1427" t="str">
            <v>(인)</v>
          </cell>
          <cell r="AE1427">
            <v>170.8</v>
          </cell>
          <cell r="AF1427" t="str">
            <v>동절기</v>
          </cell>
          <cell r="AG1427">
            <v>2</v>
          </cell>
          <cell r="AH1427">
            <v>0</v>
          </cell>
        </row>
        <row r="1428">
          <cell r="G1428">
            <v>2411210103</v>
          </cell>
          <cell r="H1428" t="str">
            <v>110동</v>
          </cell>
          <cell r="I1428">
            <v>241121</v>
          </cell>
          <cell r="J1428" t="str">
            <v>110동 7층 바닥</v>
          </cell>
          <cell r="K1428">
            <v>282</v>
          </cell>
          <cell r="L1428">
            <v>282</v>
          </cell>
          <cell r="M1428">
            <v>3018</v>
          </cell>
          <cell r="N1428" t="str">
            <v>영진</v>
          </cell>
          <cell r="O1428" t="str">
            <v>펌프카(1대)</v>
          </cell>
          <cell r="P1428">
            <v>1235</v>
          </cell>
          <cell r="Q1428">
            <v>1545</v>
          </cell>
          <cell r="R1428">
            <v>190</v>
          </cell>
          <cell r="S1428">
            <v>46</v>
          </cell>
          <cell r="T1428">
            <v>41</v>
          </cell>
          <cell r="U1428">
            <v>215</v>
          </cell>
          <cell r="V1428"/>
          <cell r="W1428" t="str">
            <v>김광록</v>
          </cell>
          <cell r="X1428" t="str">
            <v>(인)</v>
          </cell>
          <cell r="Y1428" t="str">
            <v>박순홍</v>
          </cell>
          <cell r="Z1428" t="str">
            <v>(인)</v>
          </cell>
          <cell r="AA1428" t="str">
            <v>박기원</v>
          </cell>
          <cell r="AB1428" t="str">
            <v>(인)</v>
          </cell>
          <cell r="AC1428" t="str">
            <v>박상갑</v>
          </cell>
          <cell r="AD1428" t="str">
            <v>(인)</v>
          </cell>
          <cell r="AE1428">
            <v>173.1</v>
          </cell>
          <cell r="AF1428" t="str">
            <v>동절기</v>
          </cell>
          <cell r="AG1428">
            <v>3</v>
          </cell>
          <cell r="AH1428">
            <v>0</v>
          </cell>
        </row>
        <row r="1429">
          <cell r="G1429">
            <v>2411210201</v>
          </cell>
          <cell r="H1429" t="str">
            <v>115동</v>
          </cell>
          <cell r="I1429">
            <v>241121</v>
          </cell>
          <cell r="J1429" t="str">
            <v>115동 3층 바닥</v>
          </cell>
          <cell r="K1429">
            <v>312</v>
          </cell>
          <cell r="L1429">
            <v>312</v>
          </cell>
          <cell r="M1429">
            <v>3018</v>
          </cell>
          <cell r="N1429" t="str">
            <v>영진</v>
          </cell>
          <cell r="O1429" t="str">
            <v>펌프카(1대)</v>
          </cell>
          <cell r="P1429">
            <v>735</v>
          </cell>
          <cell r="Q1429">
            <v>1100</v>
          </cell>
          <cell r="R1429">
            <v>200</v>
          </cell>
          <cell r="S1429">
            <v>49</v>
          </cell>
          <cell r="T1429">
            <v>49</v>
          </cell>
          <cell r="U1429">
            <v>211</v>
          </cell>
          <cell r="V1429"/>
          <cell r="W1429" t="str">
            <v>김광록</v>
          </cell>
          <cell r="X1429" t="str">
            <v>(인)</v>
          </cell>
          <cell r="Y1429" t="str">
            <v>박순홍</v>
          </cell>
          <cell r="Z1429" t="str">
            <v>(인)</v>
          </cell>
          <cell r="AA1429" t="str">
            <v>박기원</v>
          </cell>
          <cell r="AB1429" t="str">
            <v>(인)</v>
          </cell>
          <cell r="AC1429" t="str">
            <v>박상갑</v>
          </cell>
          <cell r="AD1429" t="str">
            <v>(인)</v>
          </cell>
          <cell r="AE1429">
            <v>180.4</v>
          </cell>
          <cell r="AF1429" t="str">
            <v>동절기</v>
          </cell>
          <cell r="AG1429">
            <v>1</v>
          </cell>
          <cell r="AH1429">
            <v>1</v>
          </cell>
          <cell r="AI1429">
            <v>2750</v>
          </cell>
          <cell r="AJ1429">
            <v>2634</v>
          </cell>
          <cell r="AK1429">
            <v>209800</v>
          </cell>
          <cell r="AL1429">
            <v>3865</v>
          </cell>
          <cell r="AM1429">
            <v>3782</v>
          </cell>
          <cell r="AN1429">
            <v>3853</v>
          </cell>
          <cell r="AO1429">
            <v>3765</v>
          </cell>
          <cell r="AP1429">
            <v>3789</v>
          </cell>
          <cell r="AQ1429">
            <v>3829</v>
          </cell>
          <cell r="AR1429">
            <v>3829</v>
          </cell>
          <cell r="AS1429">
            <v>3717</v>
          </cell>
          <cell r="AT1429">
            <v>304600</v>
          </cell>
        </row>
        <row r="1430">
          <cell r="G1430">
            <v>2411210202</v>
          </cell>
          <cell r="H1430" t="str">
            <v>115동</v>
          </cell>
          <cell r="I1430">
            <v>241121</v>
          </cell>
          <cell r="J1430" t="str">
            <v>115동 3층 바닥</v>
          </cell>
          <cell r="K1430">
            <v>312</v>
          </cell>
          <cell r="L1430">
            <v>312</v>
          </cell>
          <cell r="M1430">
            <v>3018</v>
          </cell>
          <cell r="N1430" t="str">
            <v>영진</v>
          </cell>
          <cell r="O1430" t="str">
            <v>펌프카(1대)</v>
          </cell>
          <cell r="P1430">
            <v>735</v>
          </cell>
          <cell r="Q1430">
            <v>1100</v>
          </cell>
          <cell r="R1430">
            <v>190</v>
          </cell>
          <cell r="S1430">
            <v>47</v>
          </cell>
          <cell r="T1430">
            <v>51</v>
          </cell>
          <cell r="U1430">
            <v>190</v>
          </cell>
          <cell r="V1430"/>
          <cell r="W1430" t="str">
            <v>김광록</v>
          </cell>
          <cell r="X1430" t="str">
            <v>(인)</v>
          </cell>
          <cell r="Y1430" t="str">
            <v>박순홍</v>
          </cell>
          <cell r="Z1430" t="str">
            <v>(인)</v>
          </cell>
          <cell r="AA1430" t="str">
            <v>박기원</v>
          </cell>
          <cell r="AB1430" t="str">
            <v>(인)</v>
          </cell>
          <cell r="AC1430" t="str">
            <v>박상갑</v>
          </cell>
          <cell r="AD1430" t="str">
            <v>(인)</v>
          </cell>
          <cell r="AE1430">
            <v>180</v>
          </cell>
          <cell r="AF1430" t="str">
            <v>동절기</v>
          </cell>
          <cell r="AG1430">
            <v>2</v>
          </cell>
          <cell r="AH1430">
            <v>0</v>
          </cell>
        </row>
        <row r="1431">
          <cell r="G1431">
            <v>2411210203</v>
          </cell>
          <cell r="H1431" t="str">
            <v>115동</v>
          </cell>
          <cell r="I1431">
            <v>241121</v>
          </cell>
          <cell r="J1431" t="str">
            <v>115동 3층 바닥</v>
          </cell>
          <cell r="K1431">
            <v>312</v>
          </cell>
          <cell r="L1431">
            <v>312</v>
          </cell>
          <cell r="M1431">
            <v>3018</v>
          </cell>
          <cell r="N1431" t="str">
            <v>영진</v>
          </cell>
          <cell r="O1431" t="str">
            <v>펌프카(1대)</v>
          </cell>
          <cell r="P1431">
            <v>735</v>
          </cell>
          <cell r="Q1431">
            <v>1100</v>
          </cell>
          <cell r="R1431">
            <v>195</v>
          </cell>
          <cell r="S1431">
            <v>45</v>
          </cell>
          <cell r="T1431">
            <v>41</v>
          </cell>
          <cell r="U1431">
            <v>183</v>
          </cell>
          <cell r="V1431"/>
          <cell r="W1431" t="str">
            <v>김광록</v>
          </cell>
          <cell r="X1431" t="str">
            <v>(인)</v>
          </cell>
          <cell r="Y1431" t="str">
            <v>박순홍</v>
          </cell>
          <cell r="Z1431" t="str">
            <v>(인)</v>
          </cell>
          <cell r="AA1431" t="str">
            <v>박기원</v>
          </cell>
          <cell r="AB1431" t="str">
            <v>(인)</v>
          </cell>
          <cell r="AC1431" t="str">
            <v>박상갑</v>
          </cell>
          <cell r="AD1431" t="str">
            <v>(인)</v>
          </cell>
          <cell r="AE1431">
            <v>178.6</v>
          </cell>
          <cell r="AF1431" t="str">
            <v>동절기</v>
          </cell>
          <cell r="AG1431">
            <v>3</v>
          </cell>
          <cell r="AH1431">
            <v>0</v>
          </cell>
        </row>
        <row r="1432">
          <cell r="G1432">
            <v>2411210301</v>
          </cell>
          <cell r="H1432" t="str">
            <v>120동</v>
          </cell>
          <cell r="I1432">
            <v>241121</v>
          </cell>
          <cell r="J1432" t="str">
            <v>120동 1차</v>
          </cell>
          <cell r="K1432">
            <v>286</v>
          </cell>
          <cell r="L1432">
            <v>286</v>
          </cell>
          <cell r="M1432">
            <v>3015</v>
          </cell>
          <cell r="N1432" t="str">
            <v>용호</v>
          </cell>
          <cell r="O1432" t="str">
            <v>펌프카(1대)</v>
          </cell>
          <cell r="P1432">
            <v>837</v>
          </cell>
          <cell r="Q1432">
            <v>1249</v>
          </cell>
          <cell r="R1432">
            <v>170</v>
          </cell>
          <cell r="S1432">
            <v>45</v>
          </cell>
          <cell r="T1432">
            <v>26</v>
          </cell>
          <cell r="U1432">
            <v>195</v>
          </cell>
          <cell r="V1432"/>
          <cell r="W1432" t="str">
            <v>김광록</v>
          </cell>
          <cell r="X1432" t="str">
            <v>(인)</v>
          </cell>
          <cell r="Y1432" t="str">
            <v>박순홍</v>
          </cell>
          <cell r="Z1432" t="str">
            <v>(인)</v>
          </cell>
          <cell r="AA1432" t="str">
            <v>박기원</v>
          </cell>
          <cell r="AB1432" t="str">
            <v>(인)</v>
          </cell>
          <cell r="AC1432" t="str">
            <v>박상갑</v>
          </cell>
          <cell r="AD1432" t="str">
            <v>(인)</v>
          </cell>
          <cell r="AE1432">
            <v>185.2</v>
          </cell>
          <cell r="AF1432" t="str">
            <v>동절기</v>
          </cell>
          <cell r="AG1432">
            <v>1</v>
          </cell>
          <cell r="AH1432">
            <v>1</v>
          </cell>
          <cell r="AI1432">
            <v>2826</v>
          </cell>
          <cell r="AJ1432">
            <v>2730</v>
          </cell>
          <cell r="AK1432">
            <v>213000</v>
          </cell>
          <cell r="AL1432">
            <v>3766</v>
          </cell>
          <cell r="AM1432">
            <v>3824</v>
          </cell>
          <cell r="AN1432">
            <v>3697</v>
          </cell>
          <cell r="AO1432">
            <v>3861</v>
          </cell>
          <cell r="AP1432">
            <v>3782</v>
          </cell>
          <cell r="AQ1432">
            <v>3765</v>
          </cell>
          <cell r="AR1432">
            <v>3840</v>
          </cell>
          <cell r="AS1432">
            <v>3844</v>
          </cell>
          <cell r="AT1432">
            <v>298800</v>
          </cell>
        </row>
        <row r="1433">
          <cell r="G1433">
            <v>2411210302</v>
          </cell>
          <cell r="H1433" t="str">
            <v>120동</v>
          </cell>
          <cell r="I1433">
            <v>241121</v>
          </cell>
          <cell r="J1433" t="str">
            <v>120동 1차</v>
          </cell>
          <cell r="K1433">
            <v>286</v>
          </cell>
          <cell r="L1433">
            <v>286</v>
          </cell>
          <cell r="M1433">
            <v>3015</v>
          </cell>
          <cell r="N1433" t="str">
            <v>용호</v>
          </cell>
          <cell r="O1433" t="str">
            <v>펌프카(1대)</v>
          </cell>
          <cell r="P1433">
            <v>837</v>
          </cell>
          <cell r="Q1433">
            <v>1249</v>
          </cell>
          <cell r="R1433">
            <v>170</v>
          </cell>
          <cell r="S1433">
            <v>42</v>
          </cell>
          <cell r="T1433">
            <v>48</v>
          </cell>
          <cell r="U1433">
            <v>204</v>
          </cell>
          <cell r="V1433"/>
          <cell r="W1433" t="str">
            <v>김광록</v>
          </cell>
          <cell r="X1433" t="str">
            <v>(인)</v>
          </cell>
          <cell r="Y1433" t="str">
            <v>박순홍</v>
          </cell>
          <cell r="Z1433" t="str">
            <v>(인)</v>
          </cell>
          <cell r="AA1433" t="str">
            <v>박기원</v>
          </cell>
          <cell r="AB1433" t="str">
            <v>(인)</v>
          </cell>
          <cell r="AC1433" t="str">
            <v>박상갑</v>
          </cell>
          <cell r="AD1433" t="str">
            <v>(인)</v>
          </cell>
          <cell r="AE1433">
            <v>181.2</v>
          </cell>
          <cell r="AF1433" t="str">
            <v>동절기</v>
          </cell>
          <cell r="AG1433">
            <v>2</v>
          </cell>
          <cell r="AH1433">
            <v>0</v>
          </cell>
        </row>
        <row r="1434">
          <cell r="G1434">
            <v>2411210303</v>
          </cell>
          <cell r="H1434" t="str">
            <v>120동</v>
          </cell>
          <cell r="I1434">
            <v>241121</v>
          </cell>
          <cell r="J1434" t="str">
            <v>120동 1차</v>
          </cell>
          <cell r="K1434">
            <v>286</v>
          </cell>
          <cell r="L1434">
            <v>286</v>
          </cell>
          <cell r="M1434">
            <v>3015</v>
          </cell>
          <cell r="N1434" t="str">
            <v>용호</v>
          </cell>
          <cell r="O1434" t="str">
            <v>펌프카(1대)</v>
          </cell>
          <cell r="P1434">
            <v>837</v>
          </cell>
          <cell r="Q1434">
            <v>1249</v>
          </cell>
          <cell r="R1434">
            <v>160</v>
          </cell>
          <cell r="S1434">
            <v>39</v>
          </cell>
          <cell r="T1434">
            <v>32</v>
          </cell>
          <cell r="U1434">
            <v>196</v>
          </cell>
          <cell r="V1434"/>
          <cell r="W1434" t="str">
            <v>김광록</v>
          </cell>
          <cell r="X1434" t="str">
            <v>(인)</v>
          </cell>
          <cell r="Y1434" t="str">
            <v>박순홍</v>
          </cell>
          <cell r="Z1434" t="str">
            <v>(인)</v>
          </cell>
          <cell r="AA1434" t="str">
            <v>박기원</v>
          </cell>
          <cell r="AB1434" t="str">
            <v>(인)</v>
          </cell>
          <cell r="AC1434" t="str">
            <v>박상갑</v>
          </cell>
          <cell r="AD1434" t="str">
            <v>(인)</v>
          </cell>
          <cell r="AE1434">
            <v>182.6</v>
          </cell>
          <cell r="AF1434" t="str">
            <v>동절기</v>
          </cell>
          <cell r="AG1434">
            <v>3</v>
          </cell>
          <cell r="AH1434">
            <v>0</v>
          </cell>
        </row>
        <row r="1435">
          <cell r="G1435">
            <v>2411210401</v>
          </cell>
          <cell r="H1435" t="str">
            <v>120동</v>
          </cell>
          <cell r="I1435">
            <v>241121</v>
          </cell>
          <cell r="J1435" t="str">
            <v>120동 1차</v>
          </cell>
          <cell r="K1435">
            <v>305</v>
          </cell>
          <cell r="L1435">
            <v>305</v>
          </cell>
          <cell r="M1435">
            <v>2715</v>
          </cell>
          <cell r="N1435" t="str">
            <v>용호</v>
          </cell>
          <cell r="O1435" t="str">
            <v>펌프카(1대)</v>
          </cell>
          <cell r="P1435">
            <v>1250</v>
          </cell>
          <cell r="Q1435">
            <v>1728</v>
          </cell>
          <cell r="R1435">
            <v>155</v>
          </cell>
          <cell r="S1435">
            <v>38</v>
          </cell>
          <cell r="T1435">
            <v>32</v>
          </cell>
          <cell r="U1435">
            <v>222</v>
          </cell>
          <cell r="V1435"/>
          <cell r="W1435" t="str">
            <v>김광록</v>
          </cell>
          <cell r="X1435" t="str">
            <v>(인)</v>
          </cell>
          <cell r="Y1435" t="str">
            <v>박순홍</v>
          </cell>
          <cell r="Z1435" t="str">
            <v>(인)</v>
          </cell>
          <cell r="AA1435" t="str">
            <v>박기원</v>
          </cell>
          <cell r="AB1435" t="str">
            <v>(인)</v>
          </cell>
          <cell r="AC1435" t="str">
            <v>박상갑</v>
          </cell>
          <cell r="AD1435" t="str">
            <v>(인)</v>
          </cell>
          <cell r="AE1435">
            <v>182.4</v>
          </cell>
          <cell r="AF1435" t="str">
            <v>동절기</v>
          </cell>
          <cell r="AG1435">
            <v>1</v>
          </cell>
          <cell r="AH1435">
            <v>1</v>
          </cell>
          <cell r="AI1435">
            <v>2261</v>
          </cell>
          <cell r="AJ1435">
            <v>2302</v>
          </cell>
          <cell r="AK1435">
            <v>177800</v>
          </cell>
          <cell r="AL1435">
            <v>3381</v>
          </cell>
          <cell r="AM1435">
            <v>3271</v>
          </cell>
          <cell r="AN1435">
            <v>3328</v>
          </cell>
          <cell r="AO1435">
            <v>3296</v>
          </cell>
          <cell r="AP1435">
            <v>3249</v>
          </cell>
          <cell r="AQ1435">
            <v>3268</v>
          </cell>
          <cell r="AR1435">
            <v>3399</v>
          </cell>
          <cell r="AS1435">
            <v>3389</v>
          </cell>
          <cell r="AT1435">
            <v>263200</v>
          </cell>
        </row>
        <row r="1436">
          <cell r="G1436">
            <v>2411210402</v>
          </cell>
          <cell r="H1436" t="str">
            <v>120동</v>
          </cell>
          <cell r="I1436">
            <v>241121</v>
          </cell>
          <cell r="J1436" t="str">
            <v>120동 1차</v>
          </cell>
          <cell r="K1436">
            <v>305</v>
          </cell>
          <cell r="L1436">
            <v>305</v>
          </cell>
          <cell r="M1436">
            <v>2715</v>
          </cell>
          <cell r="N1436" t="str">
            <v>용호</v>
          </cell>
          <cell r="O1436" t="str">
            <v>펌프카(1대)</v>
          </cell>
          <cell r="P1436">
            <v>1250</v>
          </cell>
          <cell r="Q1436">
            <v>1728</v>
          </cell>
          <cell r="R1436">
            <v>160</v>
          </cell>
          <cell r="S1436">
            <v>40</v>
          </cell>
          <cell r="T1436">
            <v>34</v>
          </cell>
          <cell r="U1436">
            <v>211</v>
          </cell>
          <cell r="V1436"/>
          <cell r="W1436" t="str">
            <v>김광록</v>
          </cell>
          <cell r="X1436" t="str">
            <v>(인)</v>
          </cell>
          <cell r="Y1436" t="str">
            <v>박순홍</v>
          </cell>
          <cell r="Z1436" t="str">
            <v>(인)</v>
          </cell>
          <cell r="AA1436" t="str">
            <v>박기원</v>
          </cell>
          <cell r="AB1436" t="str">
            <v>(인)</v>
          </cell>
          <cell r="AC1436" t="str">
            <v>박상갑</v>
          </cell>
          <cell r="AD1436" t="str">
            <v>(인)</v>
          </cell>
          <cell r="AE1436">
            <v>183.5</v>
          </cell>
          <cell r="AF1436" t="str">
            <v>동절기</v>
          </cell>
          <cell r="AG1436">
            <v>2</v>
          </cell>
          <cell r="AH1436">
            <v>0</v>
          </cell>
        </row>
        <row r="1437">
          <cell r="G1437">
            <v>2411210403</v>
          </cell>
          <cell r="H1437" t="str">
            <v>120동</v>
          </cell>
          <cell r="I1437">
            <v>241121</v>
          </cell>
          <cell r="J1437" t="str">
            <v>120동 1차</v>
          </cell>
          <cell r="K1437">
            <v>305</v>
          </cell>
          <cell r="L1437">
            <v>305</v>
          </cell>
          <cell r="M1437">
            <v>2715</v>
          </cell>
          <cell r="N1437" t="str">
            <v>용호</v>
          </cell>
          <cell r="O1437" t="str">
            <v>펌프카(1대)</v>
          </cell>
          <cell r="P1437">
            <v>1250</v>
          </cell>
          <cell r="Q1437">
            <v>1728</v>
          </cell>
          <cell r="R1437">
            <v>170</v>
          </cell>
          <cell r="S1437">
            <v>53</v>
          </cell>
          <cell r="T1437">
            <v>32</v>
          </cell>
          <cell r="U1437">
            <v>214</v>
          </cell>
          <cell r="V1437"/>
          <cell r="W1437" t="str">
            <v>김광록</v>
          </cell>
          <cell r="X1437" t="str">
            <v>(인)</v>
          </cell>
          <cell r="Y1437" t="str">
            <v>박순홍</v>
          </cell>
          <cell r="Z1437" t="str">
            <v>(인)</v>
          </cell>
          <cell r="AA1437" t="str">
            <v>박기원</v>
          </cell>
          <cell r="AB1437" t="str">
            <v>(인)</v>
          </cell>
          <cell r="AC1437" t="str">
            <v>박상갑</v>
          </cell>
          <cell r="AD1437" t="str">
            <v>(인)</v>
          </cell>
          <cell r="AE1437">
            <v>181.4</v>
          </cell>
          <cell r="AF1437" t="str">
            <v>동절기</v>
          </cell>
          <cell r="AG1437">
            <v>3</v>
          </cell>
          <cell r="AH1437">
            <v>0</v>
          </cell>
        </row>
        <row r="1438">
          <cell r="G1438">
            <v>2411220101</v>
          </cell>
          <cell r="H1438" t="str">
            <v>113동</v>
          </cell>
          <cell r="I1438">
            <v>241122</v>
          </cell>
          <cell r="J1438" t="str">
            <v>113동 13층 바닥 및 112동 중층</v>
          </cell>
          <cell r="K1438">
            <v>380</v>
          </cell>
          <cell r="L1438">
            <v>384</v>
          </cell>
          <cell r="M1438">
            <v>3018</v>
          </cell>
          <cell r="N1438" t="str">
            <v>영진</v>
          </cell>
          <cell r="O1438" t="str">
            <v>펌프카(1대)</v>
          </cell>
          <cell r="P1438">
            <v>734</v>
          </cell>
          <cell r="Q1438">
            <v>1429</v>
          </cell>
          <cell r="R1438">
            <v>180</v>
          </cell>
          <cell r="S1438">
            <v>35</v>
          </cell>
          <cell r="T1438">
            <v>83</v>
          </cell>
          <cell r="U1438">
            <v>184</v>
          </cell>
          <cell r="V1438"/>
          <cell r="W1438" t="str">
            <v>박순홍</v>
          </cell>
          <cell r="X1438" t="str">
            <v>(인)</v>
          </cell>
          <cell r="Y1438" t="str">
            <v>박순홍</v>
          </cell>
          <cell r="Z1438" t="str">
            <v>(인)</v>
          </cell>
          <cell r="AA1438" t="str">
            <v>박기원</v>
          </cell>
          <cell r="AB1438" t="str">
            <v>(인)</v>
          </cell>
          <cell r="AC1438" t="str">
            <v>박상갑</v>
          </cell>
          <cell r="AD1438" t="str">
            <v>(인)</v>
          </cell>
          <cell r="AE1438">
            <v>186.4</v>
          </cell>
          <cell r="AF1438" t="str">
            <v>동절기</v>
          </cell>
          <cell r="AG1438">
            <v>1</v>
          </cell>
          <cell r="AH1438">
            <v>1</v>
          </cell>
          <cell r="AI1438">
            <v>2785</v>
          </cell>
          <cell r="AJ1438">
            <v>2729</v>
          </cell>
          <cell r="AK1438">
            <v>217800</v>
          </cell>
          <cell r="AL1438">
            <v>3781</v>
          </cell>
          <cell r="AM1438">
            <v>3822</v>
          </cell>
          <cell r="AN1438">
            <v>3862</v>
          </cell>
          <cell r="AO1438">
            <v>3902</v>
          </cell>
          <cell r="AP1438">
            <v>3972</v>
          </cell>
          <cell r="AQ1438">
            <v>3924</v>
          </cell>
          <cell r="AR1438">
            <v>3866</v>
          </cell>
          <cell r="AS1438">
            <v>3872</v>
          </cell>
          <cell r="AT1438">
            <v>304000</v>
          </cell>
        </row>
        <row r="1439">
          <cell r="G1439">
            <v>2411220102</v>
          </cell>
          <cell r="H1439" t="str">
            <v>113동</v>
          </cell>
          <cell r="I1439">
            <v>241122</v>
          </cell>
          <cell r="J1439" t="str">
            <v>113동 13층 바닥 및 112동 중층</v>
          </cell>
          <cell r="K1439">
            <v>380</v>
          </cell>
          <cell r="L1439">
            <v>384</v>
          </cell>
          <cell r="M1439">
            <v>3018</v>
          </cell>
          <cell r="N1439" t="str">
            <v>영진</v>
          </cell>
          <cell r="O1439" t="str">
            <v>펌프카(1대)</v>
          </cell>
          <cell r="P1439">
            <v>734</v>
          </cell>
          <cell r="Q1439">
            <v>1429</v>
          </cell>
          <cell r="R1439">
            <v>190</v>
          </cell>
          <cell r="S1439">
            <v>39</v>
          </cell>
          <cell r="T1439">
            <v>21</v>
          </cell>
          <cell r="U1439">
            <v>188</v>
          </cell>
          <cell r="V1439"/>
          <cell r="W1439" t="str">
            <v>박순홍</v>
          </cell>
          <cell r="X1439" t="str">
            <v>(인)</v>
          </cell>
          <cell r="Y1439" t="str">
            <v>박순홍</v>
          </cell>
          <cell r="Z1439" t="str">
            <v>(인)</v>
          </cell>
          <cell r="AA1439" t="str">
            <v>박기원</v>
          </cell>
          <cell r="AB1439" t="str">
            <v>(인)</v>
          </cell>
          <cell r="AC1439" t="str">
            <v>박상갑</v>
          </cell>
          <cell r="AD1439" t="str">
            <v>(인)</v>
          </cell>
          <cell r="AE1439">
            <v>183.4</v>
          </cell>
          <cell r="AF1439" t="str">
            <v>동절기</v>
          </cell>
          <cell r="AG1439">
            <v>2</v>
          </cell>
          <cell r="AH1439">
            <v>0</v>
          </cell>
        </row>
        <row r="1440">
          <cell r="G1440">
            <v>2411220103</v>
          </cell>
          <cell r="H1440" t="str">
            <v>113동</v>
          </cell>
          <cell r="I1440">
            <v>241122</v>
          </cell>
          <cell r="J1440" t="str">
            <v>113동 13층 바닥 및 112동 중층</v>
          </cell>
          <cell r="K1440">
            <v>380</v>
          </cell>
          <cell r="L1440">
            <v>384</v>
          </cell>
          <cell r="M1440">
            <v>3018</v>
          </cell>
          <cell r="N1440" t="str">
            <v>영진</v>
          </cell>
          <cell r="O1440" t="str">
            <v>펌프카(1대)</v>
          </cell>
          <cell r="P1440">
            <v>734</v>
          </cell>
          <cell r="Q1440">
            <v>1429</v>
          </cell>
          <cell r="R1440">
            <v>180</v>
          </cell>
          <cell r="S1440">
            <v>49</v>
          </cell>
          <cell r="T1440">
            <v>21</v>
          </cell>
          <cell r="U1440">
            <v>202</v>
          </cell>
          <cell r="V1440"/>
          <cell r="W1440" t="str">
            <v>김광록</v>
          </cell>
          <cell r="X1440" t="str">
            <v>(인)</v>
          </cell>
          <cell r="Y1440" t="str">
            <v>박순홍</v>
          </cell>
          <cell r="Z1440" t="str">
            <v>(인)</v>
          </cell>
          <cell r="AA1440" t="str">
            <v>박기원</v>
          </cell>
          <cell r="AB1440" t="str">
            <v>(인)</v>
          </cell>
          <cell r="AC1440" t="str">
            <v>박상갑</v>
          </cell>
          <cell r="AD1440" t="str">
            <v>(인)</v>
          </cell>
          <cell r="AE1440">
            <v>172.9</v>
          </cell>
          <cell r="AF1440" t="str">
            <v>동절기</v>
          </cell>
          <cell r="AG1440">
            <v>3</v>
          </cell>
          <cell r="AH1440">
            <v>0</v>
          </cell>
        </row>
        <row r="1441">
          <cell r="G1441">
            <v>2411220104</v>
          </cell>
          <cell r="H1441" t="str">
            <v>113동</v>
          </cell>
          <cell r="I1441">
            <v>241122</v>
          </cell>
          <cell r="J1441" t="str">
            <v>113동 13층 바닥 및 112동 중층</v>
          </cell>
          <cell r="K1441">
            <v>380</v>
          </cell>
          <cell r="L1441">
            <v>384</v>
          </cell>
          <cell r="M1441">
            <v>3018</v>
          </cell>
          <cell r="N1441" t="str">
            <v>영진</v>
          </cell>
          <cell r="O1441" t="str">
            <v>펌프카(1대)</v>
          </cell>
          <cell r="P1441">
            <v>734</v>
          </cell>
          <cell r="Q1441">
            <v>1429</v>
          </cell>
          <cell r="R1441">
            <v>200</v>
          </cell>
          <cell r="S1441">
            <v>43</v>
          </cell>
          <cell r="T1441">
            <v>115</v>
          </cell>
          <cell r="U1441">
            <v>186</v>
          </cell>
          <cell r="V1441"/>
          <cell r="W1441" t="str">
            <v>김광록</v>
          </cell>
          <cell r="X1441" t="str">
            <v>(인)</v>
          </cell>
          <cell r="Y1441" t="str">
            <v>박순홍</v>
          </cell>
          <cell r="Z1441" t="str">
            <v>(인)</v>
          </cell>
          <cell r="AA1441" t="str">
            <v>박기원</v>
          </cell>
          <cell r="AB1441" t="str">
            <v>(인)</v>
          </cell>
          <cell r="AC1441" t="str">
            <v>박상갑</v>
          </cell>
          <cell r="AD1441" t="str">
            <v>(인)</v>
          </cell>
          <cell r="AE1441">
            <v>176.3</v>
          </cell>
          <cell r="AF1441" t="str">
            <v>동절기</v>
          </cell>
          <cell r="AG1441">
            <v>4</v>
          </cell>
          <cell r="AH1441">
            <v>1</v>
          </cell>
          <cell r="AL1441">
            <v>3852</v>
          </cell>
          <cell r="AM1441">
            <v>3834</v>
          </cell>
          <cell r="AN1441">
            <v>3726</v>
          </cell>
          <cell r="AO1441">
            <v>3726</v>
          </cell>
          <cell r="AP1441">
            <v>3902</v>
          </cell>
          <cell r="AQ1441">
            <v>3834</v>
          </cell>
          <cell r="AR1441">
            <v>3864</v>
          </cell>
          <cell r="AS1441">
            <v>3922</v>
          </cell>
          <cell r="AT1441">
            <v>299200</v>
          </cell>
        </row>
        <row r="1442">
          <cell r="G1442">
            <v>2411220201</v>
          </cell>
          <cell r="H1442" t="str">
            <v>119동</v>
          </cell>
          <cell r="I1442">
            <v>241122</v>
          </cell>
          <cell r="J1442" t="str">
            <v>119동 2차</v>
          </cell>
          <cell r="K1442">
            <v>402</v>
          </cell>
          <cell r="L1442">
            <v>402</v>
          </cell>
          <cell r="M1442">
            <v>3015</v>
          </cell>
          <cell r="N1442" t="str">
            <v>용호</v>
          </cell>
          <cell r="O1442" t="str">
            <v>펌프카(1대)</v>
          </cell>
          <cell r="P1442">
            <v>835</v>
          </cell>
          <cell r="Q1442">
            <v>1435</v>
          </cell>
          <cell r="R1442">
            <v>170</v>
          </cell>
          <cell r="S1442">
            <v>53</v>
          </cell>
          <cell r="T1442">
            <v>34</v>
          </cell>
          <cell r="U1442">
            <v>198</v>
          </cell>
          <cell r="V1442"/>
          <cell r="W1442" t="str">
            <v>김광록</v>
          </cell>
          <cell r="X1442" t="str">
            <v>(인)</v>
          </cell>
          <cell r="Y1442" t="str">
            <v>박순홍</v>
          </cell>
          <cell r="Z1442" t="str">
            <v>(인)</v>
          </cell>
          <cell r="AA1442" t="str">
            <v>박기원</v>
          </cell>
          <cell r="AB1442" t="str">
            <v>(인)</v>
          </cell>
          <cell r="AC1442" t="str">
            <v>박상갑</v>
          </cell>
          <cell r="AD1442" t="str">
            <v>(인)</v>
          </cell>
          <cell r="AE1442">
            <v>177.3</v>
          </cell>
          <cell r="AF1442" t="str">
            <v>동절기</v>
          </cell>
          <cell r="AG1442">
            <v>1</v>
          </cell>
          <cell r="AH1442">
            <v>1</v>
          </cell>
          <cell r="AI1442">
            <v>2620</v>
          </cell>
          <cell r="AJ1442">
            <v>2692</v>
          </cell>
          <cell r="AK1442">
            <v>208600</v>
          </cell>
          <cell r="AL1442">
            <v>3690</v>
          </cell>
          <cell r="AM1442">
            <v>3778</v>
          </cell>
          <cell r="AN1442">
            <v>3627</v>
          </cell>
          <cell r="AO1442">
            <v>3714</v>
          </cell>
          <cell r="AP1442">
            <v>3730</v>
          </cell>
          <cell r="AQ1442">
            <v>3704</v>
          </cell>
          <cell r="AR1442">
            <v>3711</v>
          </cell>
          <cell r="AS1442">
            <v>3718</v>
          </cell>
          <cell r="AT1442">
            <v>288800</v>
          </cell>
        </row>
        <row r="1443">
          <cell r="G1443">
            <v>2411220202</v>
          </cell>
          <cell r="H1443" t="str">
            <v>119동</v>
          </cell>
          <cell r="I1443">
            <v>241122</v>
          </cell>
          <cell r="J1443" t="str">
            <v>119동 2차</v>
          </cell>
          <cell r="K1443">
            <v>402</v>
          </cell>
          <cell r="L1443">
            <v>402</v>
          </cell>
          <cell r="M1443">
            <v>3015</v>
          </cell>
          <cell r="N1443" t="str">
            <v>용호</v>
          </cell>
          <cell r="O1443" t="str">
            <v>펌프카(1대)</v>
          </cell>
          <cell r="P1443">
            <v>835</v>
          </cell>
          <cell r="Q1443">
            <v>1435</v>
          </cell>
          <cell r="R1443">
            <v>160</v>
          </cell>
          <cell r="S1443">
            <v>51</v>
          </cell>
          <cell r="T1443">
            <v>37</v>
          </cell>
          <cell r="U1443">
            <v>202</v>
          </cell>
          <cell r="V1443"/>
          <cell r="W1443" t="str">
            <v>김광록</v>
          </cell>
          <cell r="X1443" t="str">
            <v>(인)</v>
          </cell>
          <cell r="Y1443" t="str">
            <v>박순홍</v>
          </cell>
          <cell r="Z1443" t="str">
            <v>(인)</v>
          </cell>
          <cell r="AA1443" t="str">
            <v>박기원</v>
          </cell>
          <cell r="AB1443" t="str">
            <v>(인)</v>
          </cell>
          <cell r="AC1443" t="str">
            <v>박상갑</v>
          </cell>
          <cell r="AD1443" t="str">
            <v>(인)</v>
          </cell>
          <cell r="AE1443">
            <v>176.8</v>
          </cell>
          <cell r="AF1443" t="str">
            <v>동절기</v>
          </cell>
          <cell r="AG1443">
            <v>2</v>
          </cell>
          <cell r="AH1443">
            <v>0</v>
          </cell>
        </row>
        <row r="1444">
          <cell r="G1444">
            <v>2411220203</v>
          </cell>
          <cell r="H1444" t="str">
            <v>119동</v>
          </cell>
          <cell r="I1444">
            <v>241122</v>
          </cell>
          <cell r="J1444" t="str">
            <v>119동 2차</v>
          </cell>
          <cell r="K1444">
            <v>402</v>
          </cell>
          <cell r="L1444">
            <v>402</v>
          </cell>
          <cell r="M1444">
            <v>3015</v>
          </cell>
          <cell r="N1444" t="str">
            <v>용호</v>
          </cell>
          <cell r="O1444" t="str">
            <v>펌프카(1대)</v>
          </cell>
          <cell r="P1444">
            <v>835</v>
          </cell>
          <cell r="Q1444">
            <v>1435</v>
          </cell>
          <cell r="R1444">
            <v>165</v>
          </cell>
          <cell r="S1444">
            <v>56</v>
          </cell>
          <cell r="T1444">
            <v>48</v>
          </cell>
          <cell r="U1444">
            <v>195</v>
          </cell>
          <cell r="V1444"/>
          <cell r="W1444" t="str">
            <v>김광록</v>
          </cell>
          <cell r="X1444" t="str">
            <v>(인)</v>
          </cell>
          <cell r="Y1444" t="str">
            <v>박순홍</v>
          </cell>
          <cell r="Z1444" t="str">
            <v>(인)</v>
          </cell>
          <cell r="AA1444" t="str">
            <v>박기원</v>
          </cell>
          <cell r="AB1444" t="str">
            <v>(인)</v>
          </cell>
          <cell r="AC1444" t="str">
            <v>박상갑</v>
          </cell>
          <cell r="AD1444" t="str">
            <v>(인)</v>
          </cell>
          <cell r="AE1444">
            <v>177.5</v>
          </cell>
          <cell r="AF1444" t="str">
            <v>동절기</v>
          </cell>
          <cell r="AG1444">
            <v>3</v>
          </cell>
          <cell r="AH1444">
            <v>0</v>
          </cell>
        </row>
        <row r="1445">
          <cell r="G1445">
            <v>2411220204</v>
          </cell>
          <cell r="H1445" t="str">
            <v>119동</v>
          </cell>
          <cell r="I1445">
            <v>241122</v>
          </cell>
          <cell r="J1445" t="str">
            <v>119동 2차</v>
          </cell>
          <cell r="K1445">
            <v>402</v>
          </cell>
          <cell r="L1445">
            <v>402</v>
          </cell>
          <cell r="M1445">
            <v>3015</v>
          </cell>
          <cell r="N1445" t="str">
            <v>용호</v>
          </cell>
          <cell r="O1445" t="str">
            <v>펌프카(1대)</v>
          </cell>
          <cell r="P1445">
            <v>835</v>
          </cell>
          <cell r="Q1445">
            <v>1435</v>
          </cell>
          <cell r="R1445">
            <v>150</v>
          </cell>
          <cell r="S1445">
            <v>42</v>
          </cell>
          <cell r="T1445">
            <v>49</v>
          </cell>
          <cell r="U1445">
            <v>203</v>
          </cell>
          <cell r="V1445"/>
          <cell r="W1445" t="str">
            <v>김광록</v>
          </cell>
          <cell r="X1445" t="str">
            <v>(인)</v>
          </cell>
          <cell r="Y1445" t="str">
            <v>박순홍</v>
          </cell>
          <cell r="Z1445" t="str">
            <v>(인)</v>
          </cell>
          <cell r="AA1445" t="str">
            <v>박기원</v>
          </cell>
          <cell r="AB1445" t="str">
            <v>(인)</v>
          </cell>
          <cell r="AC1445" t="str">
            <v>박상갑</v>
          </cell>
          <cell r="AD1445" t="str">
            <v>(인)</v>
          </cell>
          <cell r="AE1445">
            <v>173.1</v>
          </cell>
          <cell r="AF1445" t="str">
            <v>동절기</v>
          </cell>
          <cell r="AG1445">
            <v>4</v>
          </cell>
          <cell r="AH1445">
            <v>1</v>
          </cell>
          <cell r="AL1445">
            <v>3883</v>
          </cell>
          <cell r="AM1445">
            <v>3799</v>
          </cell>
          <cell r="AN1445">
            <v>3720</v>
          </cell>
          <cell r="AO1445">
            <v>3816</v>
          </cell>
          <cell r="AP1445">
            <v>3794</v>
          </cell>
          <cell r="AQ1445">
            <v>3806</v>
          </cell>
          <cell r="AR1445">
            <v>3712</v>
          </cell>
          <cell r="AS1445">
            <v>3804</v>
          </cell>
          <cell r="AT1445">
            <v>300400</v>
          </cell>
        </row>
        <row r="1446">
          <cell r="G1446">
            <v>2411220301</v>
          </cell>
          <cell r="H1446" t="str">
            <v>108동</v>
          </cell>
          <cell r="I1446">
            <v>241122</v>
          </cell>
          <cell r="J1446" t="str">
            <v>108동 주변주차장</v>
          </cell>
          <cell r="K1446">
            <v>60</v>
          </cell>
          <cell r="L1446">
            <v>60</v>
          </cell>
          <cell r="M1446">
            <v>2715</v>
          </cell>
          <cell r="N1446" t="str">
            <v>영진</v>
          </cell>
          <cell r="O1446" t="str">
            <v>펌프카(1대)</v>
          </cell>
          <cell r="P1446">
            <v>1530</v>
          </cell>
          <cell r="Q1446">
            <v>1620</v>
          </cell>
          <cell r="R1446">
            <v>150</v>
          </cell>
          <cell r="S1446">
            <v>46</v>
          </cell>
          <cell r="T1446">
            <v>24</v>
          </cell>
          <cell r="U1446">
            <v>211</v>
          </cell>
          <cell r="V1446"/>
          <cell r="W1446" t="str">
            <v>박순홍</v>
          </cell>
          <cell r="X1446" t="str">
            <v>(인)</v>
          </cell>
          <cell r="Y1446" t="str">
            <v>박순홍</v>
          </cell>
          <cell r="Z1446" t="str">
            <v>(인)</v>
          </cell>
          <cell r="AA1446" t="str">
            <v>박기원</v>
          </cell>
          <cell r="AB1446" t="str">
            <v>(인)</v>
          </cell>
          <cell r="AC1446" t="str">
            <v>박상갑</v>
          </cell>
          <cell r="AD1446" t="str">
            <v>(인)</v>
          </cell>
          <cell r="AE1446">
            <v>170.5</v>
          </cell>
          <cell r="AF1446" t="str">
            <v>동절기</v>
          </cell>
          <cell r="AG1446">
            <v>1</v>
          </cell>
          <cell r="AH1446">
            <v>1</v>
          </cell>
          <cell r="AI1446">
            <v>2294</v>
          </cell>
          <cell r="AJ1446">
            <v>2276</v>
          </cell>
          <cell r="AK1446">
            <v>185400</v>
          </cell>
          <cell r="AL1446">
            <v>3386</v>
          </cell>
          <cell r="AM1446">
            <v>3356</v>
          </cell>
          <cell r="AN1446">
            <v>3329</v>
          </cell>
          <cell r="AO1446">
            <v>3389</v>
          </cell>
          <cell r="AP1446">
            <v>3426</v>
          </cell>
          <cell r="AQ1446">
            <v>3506</v>
          </cell>
          <cell r="AR1446">
            <v>3427</v>
          </cell>
          <cell r="AS1446">
            <v>3500</v>
          </cell>
          <cell r="AT1446">
            <v>276800</v>
          </cell>
        </row>
        <row r="1447">
          <cell r="G1447">
            <v>2411220401</v>
          </cell>
          <cell r="H1447" t="str">
            <v>110동</v>
          </cell>
          <cell r="I1447">
            <v>241122</v>
          </cell>
          <cell r="J1447" t="str">
            <v>110동 주변 누름</v>
          </cell>
          <cell r="K1447">
            <v>113</v>
          </cell>
          <cell r="L1447">
            <v>113</v>
          </cell>
          <cell r="M1447">
            <v>1815</v>
          </cell>
          <cell r="N1447" t="str">
            <v>대공</v>
          </cell>
          <cell r="O1447" t="str">
            <v>펌프카(1대)</v>
          </cell>
          <cell r="P1447">
            <v>1505</v>
          </cell>
          <cell r="Q1447">
            <v>1726</v>
          </cell>
          <cell r="R1447">
            <v>170</v>
          </cell>
          <cell r="S1447">
            <v>42</v>
          </cell>
          <cell r="T1447">
            <v>37</v>
          </cell>
          <cell r="U1447">
            <v>211</v>
          </cell>
          <cell r="V1447"/>
          <cell r="W1447" t="str">
            <v>박순홍</v>
          </cell>
          <cell r="X1447" t="str">
            <v>(인)</v>
          </cell>
          <cell r="Y1447" t="str">
            <v>박순홍</v>
          </cell>
          <cell r="Z1447" t="str">
            <v>(인)</v>
          </cell>
          <cell r="AA1447" t="str">
            <v>박기원</v>
          </cell>
          <cell r="AB1447" t="str">
            <v>(인)</v>
          </cell>
          <cell r="AC1447" t="str">
            <v>박상갑</v>
          </cell>
          <cell r="AD1447" t="str">
            <v>(인)</v>
          </cell>
          <cell r="AE1447">
            <v>163.6</v>
          </cell>
          <cell r="AF1447" t="str">
            <v>동절기</v>
          </cell>
          <cell r="AG1447">
            <v>1</v>
          </cell>
          <cell r="AH1447">
            <v>1</v>
          </cell>
          <cell r="AI1447">
            <v>1423</v>
          </cell>
          <cell r="AJ1447">
            <v>1490</v>
          </cell>
          <cell r="AK1447">
            <v>112200</v>
          </cell>
          <cell r="AL1447">
            <v>2345</v>
          </cell>
          <cell r="AM1447">
            <v>2424</v>
          </cell>
          <cell r="AN1447">
            <v>2406</v>
          </cell>
          <cell r="AO1447">
            <v>2327</v>
          </cell>
          <cell r="AP1447">
            <v>2400</v>
          </cell>
          <cell r="AQ1447">
            <v>2411</v>
          </cell>
          <cell r="AR1447">
            <v>2309</v>
          </cell>
          <cell r="AS1447">
            <v>2372</v>
          </cell>
          <cell r="AT1447">
            <v>186000</v>
          </cell>
        </row>
        <row r="1448">
          <cell r="G1448">
            <v>2411250101</v>
          </cell>
          <cell r="H1448" t="str">
            <v>111동</v>
          </cell>
          <cell r="I1448">
            <v>241125</v>
          </cell>
          <cell r="J1448" t="str">
            <v>111동 10층 바닥</v>
          </cell>
          <cell r="K1448">
            <v>288</v>
          </cell>
          <cell r="L1448">
            <v>288</v>
          </cell>
          <cell r="M1448">
            <v>3018</v>
          </cell>
          <cell r="N1448" t="str">
            <v>대원</v>
          </cell>
          <cell r="O1448" t="str">
            <v>펌프카(1대)</v>
          </cell>
          <cell r="P1448">
            <v>906</v>
          </cell>
          <cell r="Q1448">
            <v>1320</v>
          </cell>
          <cell r="R1448">
            <v>180</v>
          </cell>
          <cell r="S1448">
            <v>37</v>
          </cell>
          <cell r="T1448">
            <v>41</v>
          </cell>
          <cell r="U1448">
            <v>203</v>
          </cell>
          <cell r="V1448"/>
          <cell r="W1448" t="str">
            <v>박순홍</v>
          </cell>
          <cell r="X1448" t="str">
            <v>(인)</v>
          </cell>
          <cell r="Y1448" t="str">
            <v>박순홍</v>
          </cell>
          <cell r="Z1448" t="str">
            <v>(인)</v>
          </cell>
          <cell r="AA1448" t="str">
            <v>박상갑</v>
          </cell>
          <cell r="AB1448" t="str">
            <v>(인)</v>
          </cell>
          <cell r="AC1448" t="str">
            <v>박기원</v>
          </cell>
          <cell r="AD1448" t="str">
            <v>(인)</v>
          </cell>
          <cell r="AE1448">
            <v>173.3</v>
          </cell>
          <cell r="AF1448" t="str">
            <v>동절기</v>
          </cell>
          <cell r="AG1448">
            <v>1</v>
          </cell>
          <cell r="AH1448">
            <v>1</v>
          </cell>
          <cell r="AI1448">
            <v>2765</v>
          </cell>
          <cell r="AJ1448">
            <v>2706</v>
          </cell>
          <cell r="AK1448">
            <v>218200</v>
          </cell>
          <cell r="AL1448">
            <v>3649</v>
          </cell>
          <cell r="AM1448">
            <v>3587</v>
          </cell>
          <cell r="AN1448">
            <v>3629</v>
          </cell>
          <cell r="AO1448">
            <v>3706</v>
          </cell>
          <cell r="AP1448">
            <v>3711</v>
          </cell>
          <cell r="AQ1448">
            <v>3629</v>
          </cell>
          <cell r="AR1448">
            <v>3584</v>
          </cell>
          <cell r="AS1448">
            <v>3802</v>
          </cell>
          <cell r="AT1448">
            <v>298000</v>
          </cell>
        </row>
        <row r="1449">
          <cell r="G1449">
            <v>2411250102</v>
          </cell>
          <cell r="H1449" t="str">
            <v>111동</v>
          </cell>
          <cell r="I1449">
            <v>241125</v>
          </cell>
          <cell r="J1449" t="str">
            <v>111동 10층 바닥</v>
          </cell>
          <cell r="K1449">
            <v>288</v>
          </cell>
          <cell r="L1449">
            <v>288</v>
          </cell>
          <cell r="M1449">
            <v>3018</v>
          </cell>
          <cell r="N1449" t="str">
            <v>대원</v>
          </cell>
          <cell r="O1449" t="str">
            <v>펌프카(1대)</v>
          </cell>
          <cell r="P1449">
            <v>906</v>
          </cell>
          <cell r="Q1449">
            <v>1321</v>
          </cell>
          <cell r="R1449">
            <v>195</v>
          </cell>
          <cell r="S1449">
            <v>48</v>
          </cell>
          <cell r="T1449">
            <v>39</v>
          </cell>
          <cell r="U1449">
            <v>207</v>
          </cell>
          <cell r="V1449"/>
          <cell r="W1449" t="str">
            <v>박순홍</v>
          </cell>
          <cell r="X1449" t="str">
            <v>(인)</v>
          </cell>
          <cell r="Y1449" t="str">
            <v>박순홍</v>
          </cell>
          <cell r="Z1449" t="str">
            <v>(인)</v>
          </cell>
          <cell r="AA1449" t="str">
            <v>박상갑</v>
          </cell>
          <cell r="AB1449" t="str">
            <v>(인)</v>
          </cell>
          <cell r="AC1449" t="str">
            <v>박기원</v>
          </cell>
          <cell r="AD1449" t="str">
            <v>(인)</v>
          </cell>
          <cell r="AE1449">
            <v>171.3</v>
          </cell>
          <cell r="AF1449" t="str">
            <v>동절기</v>
          </cell>
          <cell r="AG1449">
            <v>2</v>
          </cell>
          <cell r="AH1449">
            <v>0</v>
          </cell>
        </row>
        <row r="1450">
          <cell r="G1450">
            <v>2411250103</v>
          </cell>
          <cell r="H1450" t="str">
            <v>111동</v>
          </cell>
          <cell r="I1450">
            <v>241125</v>
          </cell>
          <cell r="J1450" t="str">
            <v>111동 10층 바닥</v>
          </cell>
          <cell r="K1450">
            <v>288</v>
          </cell>
          <cell r="L1450">
            <v>288</v>
          </cell>
          <cell r="M1450">
            <v>3018</v>
          </cell>
          <cell r="N1450" t="str">
            <v>대원</v>
          </cell>
          <cell r="O1450" t="str">
            <v>펌프카(1대)</v>
          </cell>
          <cell r="P1450">
            <v>906</v>
          </cell>
          <cell r="Q1450">
            <v>1322</v>
          </cell>
          <cell r="R1450">
            <v>195</v>
          </cell>
          <cell r="S1450">
            <v>43</v>
          </cell>
          <cell r="T1450">
            <v>48</v>
          </cell>
          <cell r="U1450">
            <v>220</v>
          </cell>
          <cell r="V1450"/>
          <cell r="W1450" t="str">
            <v>박순홍</v>
          </cell>
          <cell r="X1450" t="str">
            <v>(인)</v>
          </cell>
          <cell r="Y1450" t="str">
            <v>박순홍</v>
          </cell>
          <cell r="Z1450" t="str">
            <v>(인)</v>
          </cell>
          <cell r="AA1450" t="str">
            <v>박상갑</v>
          </cell>
          <cell r="AB1450" t="str">
            <v>(인)</v>
          </cell>
          <cell r="AC1450" t="str">
            <v>박기원</v>
          </cell>
          <cell r="AD1450" t="str">
            <v>(인)</v>
          </cell>
          <cell r="AE1450">
            <v>172.4</v>
          </cell>
          <cell r="AF1450" t="str">
            <v>동절기</v>
          </cell>
          <cell r="AG1450">
            <v>3</v>
          </cell>
          <cell r="AH1450">
            <v>0</v>
          </cell>
        </row>
        <row r="1451">
          <cell r="G1451">
            <v>2411250201</v>
          </cell>
          <cell r="H1451" t="str">
            <v>109동</v>
          </cell>
          <cell r="I1451">
            <v>241125</v>
          </cell>
          <cell r="J1451" t="str">
            <v>109동 8층 바닥 외1</v>
          </cell>
          <cell r="K1451">
            <v>300</v>
          </cell>
          <cell r="L1451">
            <v>300</v>
          </cell>
          <cell r="M1451">
            <v>3018</v>
          </cell>
          <cell r="N1451" t="str">
            <v>영진</v>
          </cell>
          <cell r="O1451" t="str">
            <v>펌프카(1대)</v>
          </cell>
          <cell r="P1451">
            <v>800</v>
          </cell>
          <cell r="Q1451">
            <v>1133</v>
          </cell>
          <cell r="R1451">
            <v>180</v>
          </cell>
          <cell r="S1451">
            <v>42</v>
          </cell>
          <cell r="T1451">
            <v>47</v>
          </cell>
          <cell r="U1451">
            <v>177</v>
          </cell>
          <cell r="V1451"/>
          <cell r="W1451" t="str">
            <v>김광록</v>
          </cell>
          <cell r="X1451" t="str">
            <v>(인)</v>
          </cell>
          <cell r="Y1451" t="str">
            <v>박순홍</v>
          </cell>
          <cell r="Z1451" t="str">
            <v>(인)</v>
          </cell>
          <cell r="AA1451" t="str">
            <v>박상갑</v>
          </cell>
          <cell r="AB1451" t="str">
            <v>(인)</v>
          </cell>
          <cell r="AC1451" t="str">
            <v>박기원</v>
          </cell>
          <cell r="AD1451" t="str">
            <v>(인)</v>
          </cell>
          <cell r="AE1451">
            <v>180.3</v>
          </cell>
          <cell r="AF1451" t="str">
            <v>동절기</v>
          </cell>
          <cell r="AG1451">
            <v>1</v>
          </cell>
          <cell r="AH1451">
            <v>1</v>
          </cell>
          <cell r="AI1451">
            <v>2925</v>
          </cell>
          <cell r="AJ1451">
            <v>2827</v>
          </cell>
          <cell r="AK1451">
            <v>220400</v>
          </cell>
          <cell r="AL1451">
            <v>3725</v>
          </cell>
          <cell r="AM1451">
            <v>3664</v>
          </cell>
          <cell r="AN1451">
            <v>3729</v>
          </cell>
          <cell r="AO1451">
            <v>3704</v>
          </cell>
          <cell r="AP1451">
            <v>3712</v>
          </cell>
          <cell r="AQ1451">
            <v>3829</v>
          </cell>
          <cell r="AR1451">
            <v>3833</v>
          </cell>
          <cell r="AS1451">
            <v>3766</v>
          </cell>
          <cell r="AT1451">
            <v>301200</v>
          </cell>
        </row>
        <row r="1452">
          <cell r="G1452">
            <v>2411250202</v>
          </cell>
          <cell r="H1452" t="str">
            <v>109동</v>
          </cell>
          <cell r="I1452">
            <v>241125</v>
          </cell>
          <cell r="J1452" t="str">
            <v>109동 8층 바닥 외1</v>
          </cell>
          <cell r="K1452">
            <v>300</v>
          </cell>
          <cell r="L1452">
            <v>300</v>
          </cell>
          <cell r="M1452">
            <v>3018</v>
          </cell>
          <cell r="N1452" t="str">
            <v>영진</v>
          </cell>
          <cell r="O1452" t="str">
            <v>펌프카(1대)</v>
          </cell>
          <cell r="P1452">
            <v>800</v>
          </cell>
          <cell r="Q1452">
            <v>1133</v>
          </cell>
          <cell r="R1452">
            <v>185</v>
          </cell>
          <cell r="S1452">
            <v>50</v>
          </cell>
          <cell r="T1452">
            <v>19</v>
          </cell>
          <cell r="U1452">
            <v>176</v>
          </cell>
          <cell r="V1452"/>
          <cell r="W1452" t="str">
            <v>김광록</v>
          </cell>
          <cell r="X1452" t="str">
            <v>(인)</v>
          </cell>
          <cell r="Y1452" t="str">
            <v>박순홍</v>
          </cell>
          <cell r="Z1452" t="str">
            <v>(인)</v>
          </cell>
          <cell r="AA1452" t="str">
            <v>박상갑</v>
          </cell>
          <cell r="AB1452" t="str">
            <v>(인)</v>
          </cell>
          <cell r="AC1452" t="str">
            <v>박기원</v>
          </cell>
          <cell r="AD1452" t="str">
            <v>(인)</v>
          </cell>
          <cell r="AE1452">
            <v>170.3</v>
          </cell>
          <cell r="AF1452" t="str">
            <v>동절기</v>
          </cell>
          <cell r="AG1452">
            <v>2</v>
          </cell>
          <cell r="AH1452">
            <v>0</v>
          </cell>
        </row>
        <row r="1453">
          <cell r="G1453">
            <v>2411250203</v>
          </cell>
          <cell r="H1453" t="str">
            <v>109동</v>
          </cell>
          <cell r="I1453">
            <v>241125</v>
          </cell>
          <cell r="J1453" t="str">
            <v>109동 8층 바닥 외1</v>
          </cell>
          <cell r="K1453">
            <v>300</v>
          </cell>
          <cell r="L1453">
            <v>300</v>
          </cell>
          <cell r="M1453">
            <v>3018</v>
          </cell>
          <cell r="N1453" t="str">
            <v>영진</v>
          </cell>
          <cell r="O1453" t="str">
            <v>펌프카(1대)</v>
          </cell>
          <cell r="P1453">
            <v>800</v>
          </cell>
          <cell r="Q1453">
            <v>1133</v>
          </cell>
          <cell r="R1453">
            <v>190</v>
          </cell>
          <cell r="S1453">
            <v>46</v>
          </cell>
          <cell r="T1453">
            <v>64</v>
          </cell>
          <cell r="U1453">
            <v>181</v>
          </cell>
          <cell r="V1453"/>
          <cell r="W1453" t="str">
            <v>김광록</v>
          </cell>
          <cell r="X1453" t="str">
            <v>(인)</v>
          </cell>
          <cell r="Y1453" t="str">
            <v>박순홍</v>
          </cell>
          <cell r="Z1453" t="str">
            <v>(인)</v>
          </cell>
          <cell r="AA1453" t="str">
            <v>박상갑</v>
          </cell>
          <cell r="AB1453" t="str">
            <v>(인)</v>
          </cell>
          <cell r="AC1453" t="str">
            <v>박기원</v>
          </cell>
          <cell r="AD1453" t="str">
            <v>(인)</v>
          </cell>
          <cell r="AE1453">
            <v>168.2</v>
          </cell>
          <cell r="AF1453" t="str">
            <v>동절기</v>
          </cell>
          <cell r="AG1453">
            <v>3</v>
          </cell>
          <cell r="AH1453">
            <v>0</v>
          </cell>
        </row>
        <row r="1454">
          <cell r="G1454">
            <v>2411250301</v>
          </cell>
          <cell r="H1454" t="str">
            <v>108동</v>
          </cell>
          <cell r="I1454">
            <v>241125</v>
          </cell>
          <cell r="J1454" t="str">
            <v>108동 2층 바닥</v>
          </cell>
          <cell r="K1454">
            <v>282</v>
          </cell>
          <cell r="L1454">
            <v>282</v>
          </cell>
          <cell r="M1454">
            <v>3018</v>
          </cell>
          <cell r="N1454" t="str">
            <v>영진</v>
          </cell>
          <cell r="O1454" t="str">
            <v>펌프카(1대)</v>
          </cell>
          <cell r="P1454">
            <v>1303</v>
          </cell>
          <cell r="Q1454">
            <v>1630</v>
          </cell>
          <cell r="R1454">
            <v>195</v>
          </cell>
          <cell r="S1454">
            <v>45</v>
          </cell>
          <cell r="T1454">
            <v>47</v>
          </cell>
          <cell r="U1454">
            <v>221</v>
          </cell>
          <cell r="V1454"/>
          <cell r="W1454" t="str">
            <v>박순홍</v>
          </cell>
          <cell r="X1454" t="str">
            <v>(인)</v>
          </cell>
          <cell r="Y1454" t="str">
            <v>박순홍</v>
          </cell>
          <cell r="Z1454" t="str">
            <v>(인)</v>
          </cell>
          <cell r="AA1454" t="str">
            <v>박상갑</v>
          </cell>
          <cell r="AB1454" t="str">
            <v>(인)</v>
          </cell>
          <cell r="AC1454" t="str">
            <v>박기원</v>
          </cell>
          <cell r="AD1454" t="str">
            <v>(인)</v>
          </cell>
          <cell r="AE1454">
            <v>183.4</v>
          </cell>
          <cell r="AF1454" t="str">
            <v>동절기</v>
          </cell>
          <cell r="AG1454">
            <v>1</v>
          </cell>
          <cell r="AH1454">
            <v>1</v>
          </cell>
          <cell r="AI1454">
            <v>2610</v>
          </cell>
          <cell r="AJ1454">
            <v>2673</v>
          </cell>
          <cell r="AK1454">
            <v>211200</v>
          </cell>
          <cell r="AL1454">
            <v>3773</v>
          </cell>
          <cell r="AM1454">
            <v>3891</v>
          </cell>
          <cell r="AN1454">
            <v>3712</v>
          </cell>
          <cell r="AO1454">
            <v>3804</v>
          </cell>
          <cell r="AP1454">
            <v>3862</v>
          </cell>
          <cell r="AQ1454">
            <v>3712</v>
          </cell>
          <cell r="AR1454">
            <v>3734</v>
          </cell>
          <cell r="AS1454">
            <v>3702</v>
          </cell>
          <cell r="AT1454">
            <v>293400</v>
          </cell>
        </row>
        <row r="1455">
          <cell r="G1455">
            <v>2411250302</v>
          </cell>
          <cell r="H1455" t="str">
            <v>108동</v>
          </cell>
          <cell r="I1455">
            <v>241125</v>
          </cell>
          <cell r="J1455" t="str">
            <v>108동 2층 바닥</v>
          </cell>
          <cell r="K1455">
            <v>282</v>
          </cell>
          <cell r="L1455">
            <v>282</v>
          </cell>
          <cell r="M1455">
            <v>3018</v>
          </cell>
          <cell r="N1455" t="str">
            <v>영진</v>
          </cell>
          <cell r="O1455" t="str">
            <v>펌프카(1대)</v>
          </cell>
          <cell r="P1455">
            <v>1303</v>
          </cell>
          <cell r="Q1455">
            <v>1630</v>
          </cell>
          <cell r="R1455">
            <v>200</v>
          </cell>
          <cell r="S1455">
            <v>48</v>
          </cell>
          <cell r="T1455">
            <v>28</v>
          </cell>
          <cell r="U1455">
            <v>200</v>
          </cell>
          <cell r="V1455"/>
          <cell r="W1455" t="str">
            <v>박순홍</v>
          </cell>
          <cell r="X1455" t="str">
            <v>(인)</v>
          </cell>
          <cell r="Y1455" t="str">
            <v>박순홍</v>
          </cell>
          <cell r="Z1455" t="str">
            <v>(인)</v>
          </cell>
          <cell r="AA1455" t="str">
            <v>박상갑</v>
          </cell>
          <cell r="AB1455" t="str">
            <v>(인)</v>
          </cell>
          <cell r="AC1455" t="str">
            <v>박기원</v>
          </cell>
          <cell r="AD1455" t="str">
            <v>(인)</v>
          </cell>
          <cell r="AE1455">
            <v>185.3</v>
          </cell>
          <cell r="AF1455" t="str">
            <v>동절기</v>
          </cell>
          <cell r="AG1455">
            <v>2</v>
          </cell>
          <cell r="AH1455">
            <v>0</v>
          </cell>
        </row>
        <row r="1456">
          <cell r="G1456">
            <v>2411250303</v>
          </cell>
          <cell r="H1456" t="str">
            <v>108동</v>
          </cell>
          <cell r="I1456">
            <v>241125</v>
          </cell>
          <cell r="J1456" t="str">
            <v>108동 2층 바닥</v>
          </cell>
          <cell r="K1456">
            <v>282</v>
          </cell>
          <cell r="L1456">
            <v>282</v>
          </cell>
          <cell r="M1456">
            <v>3018</v>
          </cell>
          <cell r="N1456" t="str">
            <v>영진</v>
          </cell>
          <cell r="O1456" t="str">
            <v>펌프카(1대)</v>
          </cell>
          <cell r="P1456">
            <v>1303</v>
          </cell>
          <cell r="Q1456">
            <v>1630</v>
          </cell>
          <cell r="R1456">
            <v>170</v>
          </cell>
          <cell r="S1456">
            <v>57</v>
          </cell>
          <cell r="T1456">
            <v>21</v>
          </cell>
          <cell r="U1456">
            <v>219</v>
          </cell>
          <cell r="V1456"/>
          <cell r="W1456" t="str">
            <v>박순홍</v>
          </cell>
          <cell r="X1456" t="str">
            <v>(인)</v>
          </cell>
          <cell r="Y1456" t="str">
            <v>박순홍</v>
          </cell>
          <cell r="Z1456" t="str">
            <v>(인)</v>
          </cell>
          <cell r="AA1456" t="str">
            <v>박상갑</v>
          </cell>
          <cell r="AB1456" t="str">
            <v>(인)</v>
          </cell>
          <cell r="AC1456" t="str">
            <v>박기원</v>
          </cell>
          <cell r="AD1456" t="str">
            <v>(인)</v>
          </cell>
          <cell r="AE1456">
            <v>185.4</v>
          </cell>
          <cell r="AF1456" t="str">
            <v>동절기</v>
          </cell>
          <cell r="AG1456">
            <v>3</v>
          </cell>
          <cell r="AH1456">
            <v>0</v>
          </cell>
        </row>
        <row r="1457">
          <cell r="G1457">
            <v>2411250401</v>
          </cell>
          <cell r="H1457" t="str">
            <v>근생1</v>
          </cell>
          <cell r="I1457">
            <v>241125</v>
          </cell>
          <cell r="J1457" t="str">
            <v>근린생활시설1</v>
          </cell>
          <cell r="K1457">
            <v>156</v>
          </cell>
          <cell r="L1457">
            <v>156</v>
          </cell>
          <cell r="M1457">
            <v>3015</v>
          </cell>
          <cell r="N1457" t="str">
            <v>대원</v>
          </cell>
          <cell r="O1457" t="str">
            <v>펌프카(1대)</v>
          </cell>
          <cell r="P1457">
            <v>906</v>
          </cell>
          <cell r="Q1457">
            <v>1145</v>
          </cell>
          <cell r="R1457">
            <v>150</v>
          </cell>
          <cell r="S1457">
            <v>39</v>
          </cell>
          <cell r="T1457">
            <v>79</v>
          </cell>
          <cell r="U1457">
            <v>193</v>
          </cell>
          <cell r="V1457"/>
          <cell r="W1457" t="str">
            <v>박순홍</v>
          </cell>
          <cell r="X1457" t="str">
            <v>(인)</v>
          </cell>
          <cell r="Y1457" t="str">
            <v>박순홍</v>
          </cell>
          <cell r="Z1457" t="str">
            <v>(인)</v>
          </cell>
          <cell r="AA1457" t="str">
            <v>박상갑</v>
          </cell>
          <cell r="AB1457" t="str">
            <v>(인)</v>
          </cell>
          <cell r="AC1457" t="str">
            <v>박기원</v>
          </cell>
          <cell r="AD1457" t="str">
            <v>(인)</v>
          </cell>
          <cell r="AE1457">
            <v>175.2</v>
          </cell>
          <cell r="AF1457" t="str">
            <v>동절기</v>
          </cell>
          <cell r="AG1457">
            <v>1</v>
          </cell>
          <cell r="AH1457">
            <v>1</v>
          </cell>
          <cell r="AI1457">
            <v>2683</v>
          </cell>
          <cell r="AJ1457">
            <v>2704</v>
          </cell>
          <cell r="AK1457">
            <v>214200</v>
          </cell>
          <cell r="AL1457">
            <v>3733</v>
          </cell>
          <cell r="AM1457">
            <v>3654</v>
          </cell>
          <cell r="AN1457">
            <v>3687</v>
          </cell>
          <cell r="AO1457">
            <v>3802</v>
          </cell>
          <cell r="AP1457">
            <v>3716</v>
          </cell>
          <cell r="AQ1457">
            <v>3714</v>
          </cell>
          <cell r="AR1457">
            <v>3702</v>
          </cell>
          <cell r="AS1457">
            <v>3729</v>
          </cell>
          <cell r="AT1457">
            <v>286600</v>
          </cell>
        </row>
        <row r="1458">
          <cell r="G1458">
            <v>2411250402</v>
          </cell>
          <cell r="H1458" t="str">
            <v>근생1</v>
          </cell>
          <cell r="I1458">
            <v>241125</v>
          </cell>
          <cell r="J1458" t="str">
            <v>근린생활시설1</v>
          </cell>
          <cell r="K1458">
            <v>156</v>
          </cell>
          <cell r="L1458">
            <v>156</v>
          </cell>
          <cell r="M1458">
            <v>3015</v>
          </cell>
          <cell r="N1458" t="str">
            <v>대원</v>
          </cell>
          <cell r="O1458" t="str">
            <v>펌프카(1대)</v>
          </cell>
          <cell r="P1458">
            <v>906</v>
          </cell>
          <cell r="Q1458">
            <v>1145</v>
          </cell>
          <cell r="R1458">
            <v>160</v>
          </cell>
          <cell r="S1458">
            <v>46</v>
          </cell>
          <cell r="T1458">
            <v>36</v>
          </cell>
          <cell r="U1458">
            <v>197</v>
          </cell>
          <cell r="V1458"/>
          <cell r="W1458" t="str">
            <v>박순홍</v>
          </cell>
          <cell r="X1458" t="str">
            <v>(인)</v>
          </cell>
          <cell r="Y1458" t="str">
            <v>박순홍</v>
          </cell>
          <cell r="Z1458" t="str">
            <v>(인)</v>
          </cell>
          <cell r="AA1458" t="str">
            <v>박상갑</v>
          </cell>
          <cell r="AB1458" t="str">
            <v>(인)</v>
          </cell>
          <cell r="AC1458" t="str">
            <v>박기원</v>
          </cell>
          <cell r="AD1458" t="str">
            <v>(인)</v>
          </cell>
          <cell r="AE1458">
            <v>173.8</v>
          </cell>
          <cell r="AF1458" t="str">
            <v>동절기</v>
          </cell>
          <cell r="AG1458">
            <v>2</v>
          </cell>
          <cell r="AH1458">
            <v>0</v>
          </cell>
        </row>
        <row r="1459">
          <cell r="G1459">
            <v>2411250501</v>
          </cell>
          <cell r="H1459" t="str">
            <v>118동</v>
          </cell>
          <cell r="I1459">
            <v>241125</v>
          </cell>
          <cell r="J1459" t="str">
            <v>118동 기초</v>
          </cell>
          <cell r="K1459">
            <v>32</v>
          </cell>
          <cell r="L1459">
            <v>32</v>
          </cell>
          <cell r="M1459">
            <v>2415</v>
          </cell>
          <cell r="N1459" t="str">
            <v>대원</v>
          </cell>
          <cell r="O1459" t="str">
            <v>펌프카(1대)</v>
          </cell>
          <cell r="P1459">
            <v>1325</v>
          </cell>
          <cell r="Q1459">
            <v>1442</v>
          </cell>
          <cell r="R1459">
            <v>170</v>
          </cell>
          <cell r="S1459">
            <v>46</v>
          </cell>
          <cell r="T1459">
            <v>25</v>
          </cell>
          <cell r="U1459">
            <v>208</v>
          </cell>
          <cell r="V1459"/>
          <cell r="W1459" t="str">
            <v>박순홍</v>
          </cell>
          <cell r="X1459" t="str">
            <v>(인)</v>
          </cell>
          <cell r="Y1459" t="str">
            <v>박순홍</v>
          </cell>
          <cell r="Z1459" t="str">
            <v>(인)</v>
          </cell>
          <cell r="AA1459" t="str">
            <v>박상갑</v>
          </cell>
          <cell r="AB1459" t="str">
            <v>(인)</v>
          </cell>
          <cell r="AC1459" t="str">
            <v>박기원</v>
          </cell>
          <cell r="AD1459" t="str">
            <v>(인)</v>
          </cell>
          <cell r="AE1459">
            <v>182.5</v>
          </cell>
          <cell r="AF1459" t="str">
            <v>동절기</v>
          </cell>
          <cell r="AG1459">
            <v>1</v>
          </cell>
          <cell r="AH1459">
            <v>1</v>
          </cell>
          <cell r="AI1459">
            <v>2291</v>
          </cell>
          <cell r="AJ1459">
            <v>2286</v>
          </cell>
          <cell r="AK1459">
            <v>175800</v>
          </cell>
          <cell r="AL1459">
            <v>3056</v>
          </cell>
          <cell r="AM1459">
            <v>3045</v>
          </cell>
          <cell r="AN1459">
            <v>3027</v>
          </cell>
          <cell r="AO1459">
            <v>3029</v>
          </cell>
          <cell r="AP1459">
            <v>2902</v>
          </cell>
          <cell r="AQ1459">
            <v>3034</v>
          </cell>
          <cell r="AR1459">
            <v>3016</v>
          </cell>
          <cell r="AS1459">
            <v>2976</v>
          </cell>
          <cell r="AT1459">
            <v>238400</v>
          </cell>
        </row>
        <row r="1460">
          <cell r="G1460">
            <v>2411260101</v>
          </cell>
          <cell r="H1460" t="str">
            <v>114동</v>
          </cell>
          <cell r="I1460">
            <v>241126</v>
          </cell>
          <cell r="J1460" t="str">
            <v>114동 6층 바닥</v>
          </cell>
          <cell r="K1460">
            <v>285</v>
          </cell>
          <cell r="L1460">
            <v>285</v>
          </cell>
          <cell r="M1460">
            <v>3018</v>
          </cell>
          <cell r="N1460" t="str">
            <v>용호</v>
          </cell>
          <cell r="O1460" t="str">
            <v>펌프카(1대)</v>
          </cell>
          <cell r="P1460">
            <v>1102</v>
          </cell>
          <cell r="Q1460">
            <v>1510</v>
          </cell>
          <cell r="R1460">
            <v>200</v>
          </cell>
          <cell r="S1460">
            <v>43</v>
          </cell>
          <cell r="T1460">
            <v>21</v>
          </cell>
          <cell r="U1460">
            <v>159</v>
          </cell>
          <cell r="V1460"/>
          <cell r="W1460" t="str">
            <v>김광록</v>
          </cell>
          <cell r="X1460" t="str">
            <v>(인)</v>
          </cell>
          <cell r="Y1460" t="str">
            <v>박순홍</v>
          </cell>
          <cell r="Z1460" t="str">
            <v>(인)</v>
          </cell>
          <cell r="AA1460" t="str">
            <v>박상갑</v>
          </cell>
          <cell r="AB1460" t="str">
            <v>(인)</v>
          </cell>
          <cell r="AC1460" t="str">
            <v>박기원</v>
          </cell>
          <cell r="AD1460" t="str">
            <v>(인)</v>
          </cell>
          <cell r="AE1460">
            <v>184.3</v>
          </cell>
          <cell r="AF1460" t="str">
            <v>동절기</v>
          </cell>
          <cell r="AG1460">
            <v>1</v>
          </cell>
          <cell r="AH1460">
            <v>1</v>
          </cell>
          <cell r="AI1460">
            <v>2846</v>
          </cell>
          <cell r="AJ1460">
            <v>2802</v>
          </cell>
          <cell r="AK1460">
            <v>214000</v>
          </cell>
          <cell r="AL1460">
            <v>3766</v>
          </cell>
          <cell r="AM1460">
            <v>3717</v>
          </cell>
          <cell r="AN1460">
            <v>3716</v>
          </cell>
          <cell r="AO1460">
            <v>3811</v>
          </cell>
          <cell r="AP1460">
            <v>3736</v>
          </cell>
          <cell r="AQ1460">
            <v>3722</v>
          </cell>
          <cell r="AR1460">
            <v>3684</v>
          </cell>
          <cell r="AS1460">
            <v>3604</v>
          </cell>
          <cell r="AT1460">
            <v>283800</v>
          </cell>
        </row>
        <row r="1461">
          <cell r="G1461">
            <v>2411260102</v>
          </cell>
          <cell r="H1461" t="str">
            <v>114동</v>
          </cell>
          <cell r="I1461">
            <v>241126</v>
          </cell>
          <cell r="J1461" t="str">
            <v>114동 6층 바닥</v>
          </cell>
          <cell r="K1461">
            <v>285</v>
          </cell>
          <cell r="L1461">
            <v>285</v>
          </cell>
          <cell r="M1461">
            <v>3018</v>
          </cell>
          <cell r="N1461" t="str">
            <v>용호</v>
          </cell>
          <cell r="O1461" t="str">
            <v>펌프카(1대)</v>
          </cell>
          <cell r="P1461">
            <v>1102</v>
          </cell>
          <cell r="Q1461">
            <v>1510</v>
          </cell>
          <cell r="R1461">
            <v>180</v>
          </cell>
          <cell r="S1461">
            <v>40</v>
          </cell>
          <cell r="T1461">
            <v>18</v>
          </cell>
          <cell r="U1461">
            <v>154</v>
          </cell>
          <cell r="V1461"/>
          <cell r="W1461" t="str">
            <v>김광록</v>
          </cell>
          <cell r="X1461" t="str">
            <v>(인)</v>
          </cell>
          <cell r="Y1461" t="str">
            <v>박순홍</v>
          </cell>
          <cell r="Z1461" t="str">
            <v>(인)</v>
          </cell>
          <cell r="AA1461" t="str">
            <v>박상갑</v>
          </cell>
          <cell r="AB1461" t="str">
            <v>(인)</v>
          </cell>
          <cell r="AC1461" t="str">
            <v>박기원</v>
          </cell>
          <cell r="AD1461" t="str">
            <v>(인)</v>
          </cell>
          <cell r="AE1461">
            <v>184.5</v>
          </cell>
          <cell r="AF1461" t="str">
            <v>동절기</v>
          </cell>
          <cell r="AG1461">
            <v>2</v>
          </cell>
          <cell r="AH1461">
            <v>0</v>
          </cell>
        </row>
        <row r="1462">
          <cell r="G1462">
            <v>2411260103</v>
          </cell>
          <cell r="H1462" t="str">
            <v>114동</v>
          </cell>
          <cell r="I1462">
            <v>241126</v>
          </cell>
          <cell r="J1462" t="str">
            <v>114동 6층 바닥</v>
          </cell>
          <cell r="K1462">
            <v>285</v>
          </cell>
          <cell r="L1462">
            <v>285</v>
          </cell>
          <cell r="M1462">
            <v>3018</v>
          </cell>
          <cell r="N1462" t="str">
            <v>용호</v>
          </cell>
          <cell r="O1462" t="str">
            <v>펌프카(1대)</v>
          </cell>
          <cell r="P1462">
            <v>1102</v>
          </cell>
          <cell r="Q1462">
            <v>1510</v>
          </cell>
          <cell r="R1462">
            <v>185</v>
          </cell>
          <cell r="S1462">
            <v>38</v>
          </cell>
          <cell r="T1462">
            <v>19</v>
          </cell>
          <cell r="U1462">
            <v>140</v>
          </cell>
          <cell r="V1462"/>
          <cell r="W1462" t="str">
            <v>김광록</v>
          </cell>
          <cell r="X1462" t="str">
            <v>(인)</v>
          </cell>
          <cell r="Y1462" t="str">
            <v>박순홍</v>
          </cell>
          <cell r="Z1462" t="str">
            <v>(인)</v>
          </cell>
          <cell r="AA1462" t="str">
            <v>박상갑</v>
          </cell>
          <cell r="AB1462" t="str">
            <v>(인)</v>
          </cell>
          <cell r="AC1462" t="str">
            <v>박기원</v>
          </cell>
          <cell r="AD1462" t="str">
            <v>(인)</v>
          </cell>
          <cell r="AE1462">
            <v>184.2</v>
          </cell>
          <cell r="AF1462" t="str">
            <v>동절기</v>
          </cell>
          <cell r="AG1462">
            <v>3</v>
          </cell>
          <cell r="AH1462">
            <v>0</v>
          </cell>
        </row>
        <row r="1463">
          <cell r="G1463">
            <v>2411260201</v>
          </cell>
          <cell r="H1463" t="str">
            <v>115동</v>
          </cell>
          <cell r="I1463">
            <v>241126</v>
          </cell>
          <cell r="J1463" t="str">
            <v>115동 주변 누름</v>
          </cell>
          <cell r="K1463">
            <v>72</v>
          </cell>
          <cell r="L1463">
            <v>72</v>
          </cell>
          <cell r="M1463">
            <v>1815</v>
          </cell>
          <cell r="N1463" t="str">
            <v>용호</v>
          </cell>
          <cell r="O1463" t="str">
            <v>펌프카(1대)</v>
          </cell>
          <cell r="P1463">
            <v>1500</v>
          </cell>
          <cell r="Q1463">
            <v>1616</v>
          </cell>
          <cell r="R1463">
            <v>160</v>
          </cell>
          <cell r="S1463">
            <v>56</v>
          </cell>
          <cell r="T1463">
            <v>24</v>
          </cell>
          <cell r="U1463">
            <v>143</v>
          </cell>
          <cell r="V1463"/>
          <cell r="W1463" t="str">
            <v>김광록</v>
          </cell>
          <cell r="X1463" t="str">
            <v>(인)</v>
          </cell>
          <cell r="Y1463" t="str">
            <v>박순홍</v>
          </cell>
          <cell r="Z1463" t="str">
            <v>(인)</v>
          </cell>
          <cell r="AA1463" t="str">
            <v>박상갑</v>
          </cell>
          <cell r="AB1463" t="str">
            <v>(인)</v>
          </cell>
          <cell r="AC1463" t="str">
            <v>박기원</v>
          </cell>
          <cell r="AD1463" t="str">
            <v>(인)</v>
          </cell>
          <cell r="AE1463">
            <v>164.5</v>
          </cell>
          <cell r="AF1463" t="str">
            <v>동절기</v>
          </cell>
          <cell r="AG1463">
            <v>1</v>
          </cell>
          <cell r="AH1463">
            <v>1</v>
          </cell>
          <cell r="AI1463">
            <v>1471</v>
          </cell>
          <cell r="AJ1463">
            <v>1430</v>
          </cell>
          <cell r="AK1463">
            <v>114000</v>
          </cell>
          <cell r="AL1463">
            <v>2419</v>
          </cell>
          <cell r="AM1463">
            <v>2383</v>
          </cell>
          <cell r="AN1463">
            <v>2302</v>
          </cell>
          <cell r="AO1463">
            <v>2272</v>
          </cell>
          <cell r="AP1463">
            <v>2406</v>
          </cell>
          <cell r="AQ1463">
            <v>2294</v>
          </cell>
          <cell r="AR1463">
            <v>2267</v>
          </cell>
          <cell r="AS1463">
            <v>2388</v>
          </cell>
          <cell r="AT1463">
            <v>177000</v>
          </cell>
        </row>
        <row r="1464">
          <cell r="G1464">
            <v>2411270101</v>
          </cell>
          <cell r="H1464" t="str">
            <v>102동, 106동</v>
          </cell>
          <cell r="I1464">
            <v>241127</v>
          </cell>
          <cell r="J1464" t="str">
            <v>102동 14층 바닥, 106동 옥탑</v>
          </cell>
          <cell r="K1464">
            <v>324</v>
          </cell>
          <cell r="L1464">
            <v>324</v>
          </cell>
          <cell r="M1464">
            <v>3018</v>
          </cell>
          <cell r="N1464" t="str">
            <v>한진</v>
          </cell>
          <cell r="O1464" t="str">
            <v>펌프카(1대)</v>
          </cell>
          <cell r="P1464">
            <v>816</v>
          </cell>
          <cell r="Q1464">
            <v>1551</v>
          </cell>
          <cell r="R1464">
            <v>185</v>
          </cell>
          <cell r="S1464">
            <v>51</v>
          </cell>
          <cell r="T1464">
            <v>27</v>
          </cell>
          <cell r="U1464">
            <v>164</v>
          </cell>
          <cell r="V1464"/>
          <cell r="W1464" t="str">
            <v>박순홍</v>
          </cell>
          <cell r="X1464" t="str">
            <v>(인)</v>
          </cell>
          <cell r="Y1464" t="str">
            <v>박순홍</v>
          </cell>
          <cell r="Z1464" t="str">
            <v>(인)</v>
          </cell>
          <cell r="AA1464" t="str">
            <v>박상갑</v>
          </cell>
          <cell r="AB1464" t="str">
            <v>(인)</v>
          </cell>
          <cell r="AC1464" t="str">
            <v>박정환</v>
          </cell>
          <cell r="AD1464" t="str">
            <v>(인)</v>
          </cell>
          <cell r="AE1464">
            <v>190.2</v>
          </cell>
          <cell r="AF1464" t="str">
            <v>동절기</v>
          </cell>
          <cell r="AG1464">
            <v>1</v>
          </cell>
          <cell r="AH1464">
            <v>1</v>
          </cell>
          <cell r="AI1464">
            <v>2711</v>
          </cell>
          <cell r="AJ1464">
            <v>2672</v>
          </cell>
          <cell r="AK1464">
            <v>208400</v>
          </cell>
          <cell r="AL1464">
            <v>3687</v>
          </cell>
          <cell r="AM1464">
            <v>3679</v>
          </cell>
          <cell r="AN1464">
            <v>3706</v>
          </cell>
          <cell r="AO1464">
            <v>3679</v>
          </cell>
          <cell r="AP1464">
            <v>3688</v>
          </cell>
          <cell r="AQ1464">
            <v>3672</v>
          </cell>
          <cell r="AR1464">
            <v>3704</v>
          </cell>
          <cell r="AS1464">
            <v>3729</v>
          </cell>
          <cell r="AT1464">
            <v>291800</v>
          </cell>
        </row>
        <row r="1465">
          <cell r="G1465">
            <v>2411270102</v>
          </cell>
          <cell r="H1465" t="str">
            <v>102동, 106동</v>
          </cell>
          <cell r="I1465">
            <v>241127</v>
          </cell>
          <cell r="J1465" t="str">
            <v>102동 14층 바닥, 106동 옥탑</v>
          </cell>
          <cell r="K1465">
            <v>324</v>
          </cell>
          <cell r="L1465">
            <v>324</v>
          </cell>
          <cell r="M1465">
            <v>3018</v>
          </cell>
          <cell r="N1465" t="str">
            <v>한진</v>
          </cell>
          <cell r="O1465" t="str">
            <v>펌프카(1대)</v>
          </cell>
          <cell r="P1465">
            <v>816</v>
          </cell>
          <cell r="Q1465">
            <v>1551</v>
          </cell>
          <cell r="R1465">
            <v>200</v>
          </cell>
          <cell r="S1465">
            <v>49</v>
          </cell>
          <cell r="T1465">
            <v>150</v>
          </cell>
          <cell r="U1465">
            <v>201</v>
          </cell>
          <cell r="V1465"/>
          <cell r="W1465" t="str">
            <v>박순홍</v>
          </cell>
          <cell r="X1465" t="str">
            <v>(인)</v>
          </cell>
          <cell r="Y1465" t="str">
            <v>박순홍</v>
          </cell>
          <cell r="Z1465" t="str">
            <v>(인)</v>
          </cell>
          <cell r="AA1465" t="str">
            <v>박상갑</v>
          </cell>
          <cell r="AB1465" t="str">
            <v>(인)</v>
          </cell>
          <cell r="AC1465" t="str">
            <v>박정환</v>
          </cell>
          <cell r="AD1465" t="str">
            <v>(인)</v>
          </cell>
          <cell r="AE1465">
            <v>187.5</v>
          </cell>
          <cell r="AF1465" t="str">
            <v>동절기</v>
          </cell>
          <cell r="AG1465">
            <v>2</v>
          </cell>
          <cell r="AH1465">
            <v>0</v>
          </cell>
        </row>
        <row r="1466">
          <cell r="G1466">
            <v>2411270103</v>
          </cell>
          <cell r="H1466" t="str">
            <v>102동, 106동</v>
          </cell>
          <cell r="I1466">
            <v>241127</v>
          </cell>
          <cell r="J1466" t="str">
            <v>102동 14층 바닥, 106동 옥탑</v>
          </cell>
          <cell r="K1466">
            <v>324</v>
          </cell>
          <cell r="L1466">
            <v>324</v>
          </cell>
          <cell r="M1466">
            <v>3018</v>
          </cell>
          <cell r="N1466" t="str">
            <v>한진</v>
          </cell>
          <cell r="O1466" t="str">
            <v>펌프카(1대)</v>
          </cell>
          <cell r="P1466">
            <v>816</v>
          </cell>
          <cell r="Q1466">
            <v>1551</v>
          </cell>
          <cell r="R1466">
            <v>190</v>
          </cell>
          <cell r="S1466">
            <v>45</v>
          </cell>
          <cell r="T1466">
            <v>13</v>
          </cell>
          <cell r="U1466">
            <v>195</v>
          </cell>
          <cell r="V1466"/>
          <cell r="W1466" t="str">
            <v>박순홍</v>
          </cell>
          <cell r="X1466" t="str">
            <v>(인)</v>
          </cell>
          <cell r="Y1466" t="str">
            <v>박순홍</v>
          </cell>
          <cell r="Z1466" t="str">
            <v>(인)</v>
          </cell>
          <cell r="AA1466" t="str">
            <v>박상갑</v>
          </cell>
          <cell r="AB1466" t="str">
            <v>(인)</v>
          </cell>
          <cell r="AC1466" t="str">
            <v>박정환</v>
          </cell>
          <cell r="AD1466" t="str">
            <v>(인)</v>
          </cell>
          <cell r="AE1466">
            <v>191.4</v>
          </cell>
          <cell r="AF1466" t="str">
            <v>동절기</v>
          </cell>
          <cell r="AG1466">
            <v>3</v>
          </cell>
          <cell r="AH1466">
            <v>0</v>
          </cell>
        </row>
        <row r="1467">
          <cell r="G1467">
            <v>2411280101</v>
          </cell>
          <cell r="H1467" t="str">
            <v>116동</v>
          </cell>
          <cell r="I1467">
            <v>241128</v>
          </cell>
          <cell r="J1467" t="str">
            <v>116동 2층 바닥</v>
          </cell>
          <cell r="K1467">
            <v>300</v>
          </cell>
          <cell r="L1467">
            <v>300</v>
          </cell>
          <cell r="M1467">
            <v>3018</v>
          </cell>
          <cell r="N1467" t="str">
            <v>영진</v>
          </cell>
          <cell r="O1467" t="str">
            <v>펌프카(1대)</v>
          </cell>
          <cell r="P1467">
            <v>855</v>
          </cell>
          <cell r="Q1467">
            <v>1250</v>
          </cell>
          <cell r="R1467">
            <v>195</v>
          </cell>
          <cell r="S1467">
            <v>39</v>
          </cell>
          <cell r="T1467">
            <v>41</v>
          </cell>
          <cell r="U1467">
            <v>165</v>
          </cell>
          <cell r="V1467"/>
          <cell r="W1467" t="str">
            <v>박순홍</v>
          </cell>
          <cell r="X1467" t="str">
            <v>(인)</v>
          </cell>
          <cell r="Y1467" t="str">
            <v>김광록</v>
          </cell>
          <cell r="Z1467" t="str">
            <v>(인)</v>
          </cell>
          <cell r="AA1467" t="str">
            <v>박상갑</v>
          </cell>
          <cell r="AB1467" t="str">
            <v>(인)</v>
          </cell>
          <cell r="AC1467" t="str">
            <v>박기원</v>
          </cell>
          <cell r="AD1467" t="str">
            <v>(인)</v>
          </cell>
          <cell r="AE1467">
            <v>187.6</v>
          </cell>
          <cell r="AF1467" t="str">
            <v>동절기</v>
          </cell>
          <cell r="AG1467">
            <v>1</v>
          </cell>
          <cell r="AH1467">
            <v>1</v>
          </cell>
          <cell r="AI1467">
            <v>2648</v>
          </cell>
          <cell r="AJ1467">
            <v>2607</v>
          </cell>
          <cell r="AK1467">
            <v>207000</v>
          </cell>
          <cell r="AL1467">
            <v>3628</v>
          </cell>
          <cell r="AM1467">
            <v>3798</v>
          </cell>
          <cell r="AN1467">
            <v>3828</v>
          </cell>
          <cell r="AO1467">
            <v>3821</v>
          </cell>
          <cell r="AP1467">
            <v>3682</v>
          </cell>
          <cell r="AQ1467">
            <v>3779</v>
          </cell>
          <cell r="AR1467">
            <v>3827</v>
          </cell>
          <cell r="AS1467">
            <v>3796</v>
          </cell>
          <cell r="AT1467">
            <v>296400</v>
          </cell>
        </row>
        <row r="1468">
          <cell r="G1468">
            <v>2411280102</v>
          </cell>
          <cell r="H1468" t="str">
            <v>116동</v>
          </cell>
          <cell r="I1468">
            <v>241128</v>
          </cell>
          <cell r="J1468" t="str">
            <v>116동 2층 바닥</v>
          </cell>
          <cell r="K1468">
            <v>300</v>
          </cell>
          <cell r="L1468">
            <v>300</v>
          </cell>
          <cell r="M1468">
            <v>3018</v>
          </cell>
          <cell r="N1468" t="str">
            <v>영진</v>
          </cell>
          <cell r="O1468" t="str">
            <v>펌프카(1대)</v>
          </cell>
          <cell r="P1468">
            <v>855</v>
          </cell>
          <cell r="Q1468">
            <v>1250</v>
          </cell>
          <cell r="R1468">
            <v>185</v>
          </cell>
          <cell r="S1468">
            <v>50</v>
          </cell>
          <cell r="T1468">
            <v>48</v>
          </cell>
          <cell r="U1468">
            <v>161</v>
          </cell>
          <cell r="V1468"/>
          <cell r="W1468" t="str">
            <v>박순홍</v>
          </cell>
          <cell r="X1468" t="str">
            <v>(인)</v>
          </cell>
          <cell r="Y1468" t="str">
            <v>김광록</v>
          </cell>
          <cell r="Z1468" t="str">
            <v>(인)</v>
          </cell>
          <cell r="AA1468" t="str">
            <v>박상갑</v>
          </cell>
          <cell r="AB1468" t="str">
            <v>(인)</v>
          </cell>
          <cell r="AC1468" t="str">
            <v>박기원</v>
          </cell>
          <cell r="AD1468" t="str">
            <v>(인)</v>
          </cell>
          <cell r="AE1468">
            <v>190.6</v>
          </cell>
          <cell r="AF1468" t="str">
            <v>동절기</v>
          </cell>
          <cell r="AG1468">
            <v>2</v>
          </cell>
          <cell r="AH1468">
            <v>0</v>
          </cell>
        </row>
        <row r="1469">
          <cell r="G1469">
            <v>2411280103</v>
          </cell>
          <cell r="H1469" t="str">
            <v>116동</v>
          </cell>
          <cell r="I1469">
            <v>241128</v>
          </cell>
          <cell r="J1469" t="str">
            <v>116동 2층 바닥</v>
          </cell>
          <cell r="K1469">
            <v>300</v>
          </cell>
          <cell r="L1469">
            <v>300</v>
          </cell>
          <cell r="M1469">
            <v>3018</v>
          </cell>
          <cell r="N1469" t="str">
            <v>영진</v>
          </cell>
          <cell r="O1469" t="str">
            <v>펌프카(1대)</v>
          </cell>
          <cell r="P1469">
            <v>855</v>
          </cell>
          <cell r="Q1469">
            <v>1250</v>
          </cell>
          <cell r="R1469">
            <v>170</v>
          </cell>
          <cell r="S1469">
            <v>42</v>
          </cell>
          <cell r="T1469">
            <v>43</v>
          </cell>
          <cell r="U1469">
            <v>173</v>
          </cell>
          <cell r="V1469"/>
          <cell r="W1469" t="str">
            <v>박순홍</v>
          </cell>
          <cell r="X1469" t="str">
            <v>(인)</v>
          </cell>
          <cell r="Y1469" t="str">
            <v>김광록</v>
          </cell>
          <cell r="Z1469" t="str">
            <v>(인)</v>
          </cell>
          <cell r="AA1469" t="str">
            <v>박상갑</v>
          </cell>
          <cell r="AB1469" t="str">
            <v>(인)</v>
          </cell>
          <cell r="AC1469" t="str">
            <v>박기원</v>
          </cell>
          <cell r="AD1469" t="str">
            <v>(인)</v>
          </cell>
          <cell r="AE1469">
            <v>185.3</v>
          </cell>
          <cell r="AF1469" t="str">
            <v>동절기</v>
          </cell>
          <cell r="AG1469">
            <v>3</v>
          </cell>
          <cell r="AH1469">
            <v>0</v>
          </cell>
        </row>
        <row r="1470">
          <cell r="G1470">
            <v>2411280201</v>
          </cell>
          <cell r="H1470" t="str">
            <v>104동, 118동</v>
          </cell>
          <cell r="I1470">
            <v>241128</v>
          </cell>
          <cell r="J1470" t="str">
            <v>118동 1층바닥, 104동 1코어 주출입구</v>
          </cell>
          <cell r="K1470">
            <v>390</v>
          </cell>
          <cell r="L1470">
            <v>390</v>
          </cell>
          <cell r="M1470">
            <v>3015</v>
          </cell>
          <cell r="N1470" t="str">
            <v>대원</v>
          </cell>
          <cell r="O1470" t="str">
            <v>펌프카(1대)</v>
          </cell>
          <cell r="P1470">
            <v>950</v>
          </cell>
          <cell r="Q1470">
            <v>1612</v>
          </cell>
          <cell r="R1470">
            <v>155</v>
          </cell>
          <cell r="S1470">
            <v>41</v>
          </cell>
          <cell r="T1470">
            <v>50</v>
          </cell>
          <cell r="U1470">
            <v>179</v>
          </cell>
          <cell r="V1470"/>
          <cell r="W1470" t="str">
            <v>박순홍</v>
          </cell>
          <cell r="X1470" t="str">
            <v>(인)</v>
          </cell>
          <cell r="Y1470" t="str">
            <v>김광록</v>
          </cell>
          <cell r="Z1470" t="str">
            <v>(인)</v>
          </cell>
          <cell r="AA1470" t="str">
            <v>박상갑</v>
          </cell>
          <cell r="AB1470" t="str">
            <v>(인)</v>
          </cell>
          <cell r="AC1470" t="str">
            <v>박기원</v>
          </cell>
          <cell r="AD1470" t="str">
            <v>(인)</v>
          </cell>
          <cell r="AE1470">
            <v>162.30000000000001</v>
          </cell>
          <cell r="AF1470" t="str">
            <v>동절기</v>
          </cell>
          <cell r="AG1470">
            <v>1</v>
          </cell>
          <cell r="AH1470">
            <v>1</v>
          </cell>
          <cell r="AI1470">
            <v>2574</v>
          </cell>
          <cell r="AJ1470">
            <v>2534</v>
          </cell>
          <cell r="AK1470">
            <v>3743</v>
          </cell>
          <cell r="AL1470">
            <v>3743</v>
          </cell>
          <cell r="AM1470">
            <v>3811</v>
          </cell>
          <cell r="AN1470">
            <v>3726</v>
          </cell>
          <cell r="AO1470">
            <v>3729</v>
          </cell>
          <cell r="AP1470">
            <v>3696</v>
          </cell>
          <cell r="AQ1470">
            <v>3854</v>
          </cell>
          <cell r="AR1470">
            <v>3778</v>
          </cell>
          <cell r="AS1470">
            <v>3861</v>
          </cell>
          <cell r="AT1470">
            <v>294800</v>
          </cell>
        </row>
        <row r="1471">
          <cell r="G1471">
            <v>2411280202</v>
          </cell>
          <cell r="H1471" t="str">
            <v>104동, 118동</v>
          </cell>
          <cell r="I1471">
            <v>241128</v>
          </cell>
          <cell r="J1471" t="str">
            <v>118동 1층바닥, 104동 1코어 주출입구</v>
          </cell>
          <cell r="K1471">
            <v>390</v>
          </cell>
          <cell r="L1471">
            <v>390</v>
          </cell>
          <cell r="M1471">
            <v>3015</v>
          </cell>
          <cell r="N1471" t="str">
            <v>대원</v>
          </cell>
          <cell r="O1471" t="str">
            <v>펌프카(1대)</v>
          </cell>
          <cell r="P1471">
            <v>950</v>
          </cell>
          <cell r="Q1471">
            <v>1612</v>
          </cell>
          <cell r="R1471">
            <v>175</v>
          </cell>
          <cell r="S1471">
            <v>50</v>
          </cell>
          <cell r="T1471">
            <v>40</v>
          </cell>
          <cell r="U1471">
            <v>171</v>
          </cell>
          <cell r="V1471"/>
          <cell r="W1471" t="str">
            <v>박순홍</v>
          </cell>
          <cell r="X1471" t="str">
            <v>(인)</v>
          </cell>
          <cell r="Y1471" t="str">
            <v>김광록</v>
          </cell>
          <cell r="Z1471" t="str">
            <v>(인)</v>
          </cell>
          <cell r="AA1471" t="str">
            <v>박상갑</v>
          </cell>
          <cell r="AB1471" t="str">
            <v>(인)</v>
          </cell>
          <cell r="AC1471" t="str">
            <v>박기원</v>
          </cell>
          <cell r="AD1471" t="str">
            <v>(인)</v>
          </cell>
          <cell r="AE1471">
            <v>166.2</v>
          </cell>
          <cell r="AF1471" t="str">
            <v>동절기</v>
          </cell>
          <cell r="AG1471">
            <v>2</v>
          </cell>
          <cell r="AH1471">
            <v>0</v>
          </cell>
        </row>
        <row r="1472">
          <cell r="G1472">
            <v>2411280203</v>
          </cell>
          <cell r="H1472" t="str">
            <v>104동, 118동</v>
          </cell>
          <cell r="I1472">
            <v>241128</v>
          </cell>
          <cell r="J1472" t="str">
            <v>118동 1층바닥, 104동 1코어 주출입구</v>
          </cell>
          <cell r="K1472">
            <v>390</v>
          </cell>
          <cell r="L1472">
            <v>390</v>
          </cell>
          <cell r="M1472">
            <v>3015</v>
          </cell>
          <cell r="N1472" t="str">
            <v>대원</v>
          </cell>
          <cell r="O1472" t="str">
            <v>펌프카(1대)</v>
          </cell>
          <cell r="P1472">
            <v>950</v>
          </cell>
          <cell r="Q1472">
            <v>1612</v>
          </cell>
          <cell r="R1472">
            <v>175</v>
          </cell>
          <cell r="S1472">
            <v>47</v>
          </cell>
          <cell r="T1472">
            <v>50</v>
          </cell>
          <cell r="U1472">
            <v>165</v>
          </cell>
          <cell r="V1472"/>
          <cell r="W1472" t="str">
            <v>박순홍</v>
          </cell>
          <cell r="X1472" t="str">
            <v>(인)</v>
          </cell>
          <cell r="Y1472" t="str">
            <v>김광록</v>
          </cell>
          <cell r="Z1472" t="str">
            <v>(인)</v>
          </cell>
          <cell r="AA1472" t="str">
            <v>박상갑</v>
          </cell>
          <cell r="AB1472" t="str">
            <v>(인)</v>
          </cell>
          <cell r="AC1472" t="str">
            <v>박기원</v>
          </cell>
          <cell r="AD1472" t="str">
            <v>(인)</v>
          </cell>
          <cell r="AE1472">
            <v>166.5</v>
          </cell>
          <cell r="AF1472" t="str">
            <v>동절기</v>
          </cell>
          <cell r="AG1472">
            <v>3</v>
          </cell>
          <cell r="AH1472">
            <v>0</v>
          </cell>
        </row>
        <row r="1473">
          <cell r="G1473">
            <v>2411280204</v>
          </cell>
          <cell r="H1473" t="str">
            <v>104동, 118동</v>
          </cell>
          <cell r="I1473">
            <v>241128</v>
          </cell>
          <cell r="J1473" t="str">
            <v>118동 1층바닥, 104동 1코어 주출입구</v>
          </cell>
          <cell r="K1473">
            <v>390</v>
          </cell>
          <cell r="L1473">
            <v>390</v>
          </cell>
          <cell r="M1473">
            <v>3015</v>
          </cell>
          <cell r="N1473" t="str">
            <v>대원</v>
          </cell>
          <cell r="O1473" t="str">
            <v>펌프카(1대)</v>
          </cell>
          <cell r="P1473">
            <v>950</v>
          </cell>
          <cell r="Q1473">
            <v>1612</v>
          </cell>
          <cell r="R1473">
            <v>160</v>
          </cell>
          <cell r="S1473">
            <v>49</v>
          </cell>
          <cell r="T1473">
            <v>48</v>
          </cell>
          <cell r="U1473">
            <v>169</v>
          </cell>
          <cell r="V1473"/>
          <cell r="W1473" t="str">
            <v>박순홍</v>
          </cell>
          <cell r="X1473" t="str">
            <v>(인)</v>
          </cell>
          <cell r="Y1473" t="str">
            <v>김광록</v>
          </cell>
          <cell r="Z1473" t="str">
            <v>(인)</v>
          </cell>
          <cell r="AA1473" t="str">
            <v>박상갑</v>
          </cell>
          <cell r="AB1473" t="str">
            <v>(인)</v>
          </cell>
          <cell r="AC1473" t="str">
            <v>박기원</v>
          </cell>
          <cell r="AD1473" t="str">
            <v>(인)</v>
          </cell>
          <cell r="AE1473">
            <v>169.2</v>
          </cell>
          <cell r="AF1473" t="str">
            <v>동절기</v>
          </cell>
          <cell r="AG1473">
            <v>4</v>
          </cell>
          <cell r="AH1473">
            <v>1</v>
          </cell>
          <cell r="AL1473">
            <v>3629</v>
          </cell>
          <cell r="AM1473">
            <v>3637</v>
          </cell>
          <cell r="AN1473">
            <v>3640</v>
          </cell>
          <cell r="AO1473">
            <v>3710</v>
          </cell>
          <cell r="AP1473">
            <v>3634</v>
          </cell>
          <cell r="AQ1473">
            <v>3618</v>
          </cell>
          <cell r="AR1473">
            <v>3684</v>
          </cell>
          <cell r="AS1473">
            <v>3706</v>
          </cell>
          <cell r="AT1473">
            <v>294800</v>
          </cell>
        </row>
        <row r="1474">
          <cell r="G1474">
            <v>2411290101</v>
          </cell>
          <cell r="H1474" t="str">
            <v>101동</v>
          </cell>
          <cell r="I1474">
            <v>241129</v>
          </cell>
          <cell r="J1474" t="str">
            <v>101동 13층 바닥</v>
          </cell>
          <cell r="K1474">
            <v>282</v>
          </cell>
          <cell r="L1474">
            <v>282</v>
          </cell>
          <cell r="M1474">
            <v>3018</v>
          </cell>
          <cell r="N1474" t="str">
            <v>용호</v>
          </cell>
          <cell r="O1474" t="str">
            <v>펌프카(1대)</v>
          </cell>
          <cell r="P1474">
            <v>827</v>
          </cell>
          <cell r="Q1474">
            <v>1243</v>
          </cell>
          <cell r="R1474">
            <v>190</v>
          </cell>
          <cell r="S1474">
            <v>42</v>
          </cell>
          <cell r="T1474">
            <v>81</v>
          </cell>
          <cell r="U1474">
            <v>172</v>
          </cell>
          <cell r="V1474"/>
          <cell r="W1474" t="str">
            <v>박순홍</v>
          </cell>
          <cell r="X1474" t="str">
            <v>(인)</v>
          </cell>
          <cell r="Y1474" t="str">
            <v>박순홍</v>
          </cell>
          <cell r="Z1474" t="str">
            <v>(인)</v>
          </cell>
          <cell r="AA1474" t="str">
            <v>박상갑</v>
          </cell>
          <cell r="AB1474" t="str">
            <v>(인)</v>
          </cell>
          <cell r="AC1474" t="str">
            <v>박기원</v>
          </cell>
          <cell r="AD1474" t="str">
            <v>(인)</v>
          </cell>
          <cell r="AE1474">
            <v>179.4</v>
          </cell>
          <cell r="AF1474" t="str">
            <v>동절기</v>
          </cell>
          <cell r="AG1474">
            <v>1</v>
          </cell>
          <cell r="AH1474">
            <v>1</v>
          </cell>
          <cell r="AI1474">
            <v>2508</v>
          </cell>
          <cell r="AJ1474">
            <v>2627</v>
          </cell>
          <cell r="AK1474">
            <v>214400</v>
          </cell>
          <cell r="AL1474">
            <v>3603</v>
          </cell>
          <cell r="AM1474">
            <v>3679</v>
          </cell>
          <cell r="AN1474">
            <v>3702</v>
          </cell>
          <cell r="AO1474">
            <v>3671</v>
          </cell>
          <cell r="AP1474">
            <v>3634</v>
          </cell>
          <cell r="AQ1474">
            <v>3690</v>
          </cell>
          <cell r="AR1474">
            <v>3684</v>
          </cell>
          <cell r="AS1474">
            <v>3711</v>
          </cell>
          <cell r="AT1474">
            <v>287800</v>
          </cell>
        </row>
        <row r="1475">
          <cell r="G1475">
            <v>2411290102</v>
          </cell>
          <cell r="H1475" t="str">
            <v>101동</v>
          </cell>
          <cell r="I1475">
            <v>241129</v>
          </cell>
          <cell r="J1475" t="str">
            <v>101동 13층 바닥</v>
          </cell>
          <cell r="K1475">
            <v>282</v>
          </cell>
          <cell r="L1475">
            <v>282</v>
          </cell>
          <cell r="M1475">
            <v>3018</v>
          </cell>
          <cell r="N1475" t="str">
            <v>용호</v>
          </cell>
          <cell r="O1475" t="str">
            <v>펌프카(1대)</v>
          </cell>
          <cell r="P1475">
            <v>827</v>
          </cell>
          <cell r="Q1475">
            <v>1243</v>
          </cell>
          <cell r="R1475">
            <v>200</v>
          </cell>
          <cell r="S1475">
            <v>45</v>
          </cell>
          <cell r="T1475">
            <v>78</v>
          </cell>
          <cell r="U1475">
            <v>175</v>
          </cell>
          <cell r="V1475"/>
          <cell r="W1475" t="str">
            <v>박순홍</v>
          </cell>
          <cell r="X1475" t="str">
            <v>(인)</v>
          </cell>
          <cell r="Y1475" t="str">
            <v>박순홍</v>
          </cell>
          <cell r="Z1475" t="str">
            <v>(인)</v>
          </cell>
          <cell r="AA1475" t="str">
            <v>박상갑</v>
          </cell>
          <cell r="AB1475" t="str">
            <v>(인)</v>
          </cell>
          <cell r="AC1475" t="str">
            <v>박기원</v>
          </cell>
          <cell r="AD1475" t="str">
            <v>(인)</v>
          </cell>
          <cell r="AE1475">
            <v>176.4</v>
          </cell>
          <cell r="AF1475" t="str">
            <v>동절기</v>
          </cell>
          <cell r="AG1475">
            <v>2</v>
          </cell>
          <cell r="AH1475">
            <v>0</v>
          </cell>
        </row>
        <row r="1476">
          <cell r="G1476">
            <v>2411290103</v>
          </cell>
          <cell r="H1476" t="str">
            <v>101동</v>
          </cell>
          <cell r="I1476">
            <v>241129</v>
          </cell>
          <cell r="J1476" t="str">
            <v>101동 13층 바닥</v>
          </cell>
          <cell r="K1476">
            <v>282</v>
          </cell>
          <cell r="L1476">
            <v>282</v>
          </cell>
          <cell r="M1476">
            <v>3018</v>
          </cell>
          <cell r="N1476" t="str">
            <v>용호</v>
          </cell>
          <cell r="O1476" t="str">
            <v>펌프카(1대)</v>
          </cell>
          <cell r="P1476">
            <v>827</v>
          </cell>
          <cell r="Q1476">
            <v>1243</v>
          </cell>
          <cell r="R1476">
            <v>180</v>
          </cell>
          <cell r="S1476">
            <v>39</v>
          </cell>
          <cell r="T1476">
            <v>56</v>
          </cell>
          <cell r="U1476">
            <v>179</v>
          </cell>
          <cell r="V1476"/>
          <cell r="W1476" t="str">
            <v>박순홍</v>
          </cell>
          <cell r="X1476" t="str">
            <v>(인)</v>
          </cell>
          <cell r="Y1476" t="str">
            <v>박순홍</v>
          </cell>
          <cell r="Z1476" t="str">
            <v>(인)</v>
          </cell>
          <cell r="AA1476" t="str">
            <v>박상갑</v>
          </cell>
          <cell r="AB1476" t="str">
            <v>(인)</v>
          </cell>
          <cell r="AC1476" t="str">
            <v>박기원</v>
          </cell>
          <cell r="AD1476" t="str">
            <v>(인)</v>
          </cell>
          <cell r="AE1476">
            <v>186.3</v>
          </cell>
          <cell r="AF1476" t="str">
            <v>동절기</v>
          </cell>
          <cell r="AG1476">
            <v>3</v>
          </cell>
          <cell r="AH1476">
            <v>0</v>
          </cell>
        </row>
        <row r="1477">
          <cell r="G1477">
            <v>2411290201</v>
          </cell>
          <cell r="H1477" t="str">
            <v>110동</v>
          </cell>
          <cell r="I1477">
            <v>241129</v>
          </cell>
          <cell r="J1477" t="str">
            <v>110동 8층 바닥</v>
          </cell>
          <cell r="K1477">
            <v>286</v>
          </cell>
          <cell r="L1477">
            <v>286</v>
          </cell>
          <cell r="M1477">
            <v>3018</v>
          </cell>
          <cell r="N1477" t="str">
            <v>용호</v>
          </cell>
          <cell r="O1477" t="str">
            <v>펌프카(1대)</v>
          </cell>
          <cell r="P1477">
            <v>1334</v>
          </cell>
          <cell r="Q1477">
            <v>1658</v>
          </cell>
          <cell r="R1477">
            <v>195</v>
          </cell>
          <cell r="S1477">
            <v>52</v>
          </cell>
          <cell r="T1477">
            <v>55</v>
          </cell>
          <cell r="U1477">
            <v>171</v>
          </cell>
          <cell r="V1477"/>
          <cell r="W1477" t="str">
            <v>박순홍</v>
          </cell>
          <cell r="X1477" t="str">
            <v>(인)</v>
          </cell>
          <cell r="Y1477" t="str">
            <v>박순홍</v>
          </cell>
          <cell r="Z1477" t="str">
            <v>(인)</v>
          </cell>
          <cell r="AA1477" t="str">
            <v>박상갑</v>
          </cell>
          <cell r="AB1477" t="str">
            <v>(인)</v>
          </cell>
          <cell r="AC1477" t="str">
            <v>박기원</v>
          </cell>
          <cell r="AD1477" t="str">
            <v>(인)</v>
          </cell>
          <cell r="AE1477">
            <v>181.9</v>
          </cell>
          <cell r="AF1477" t="str">
            <v>동절기</v>
          </cell>
          <cell r="AG1477">
            <v>1</v>
          </cell>
          <cell r="AH1477">
            <v>1</v>
          </cell>
          <cell r="AI1477">
            <v>2633</v>
          </cell>
          <cell r="AJ1477">
            <v>2602</v>
          </cell>
          <cell r="AK1477">
            <v>214400</v>
          </cell>
          <cell r="AL1477">
            <v>3707</v>
          </cell>
          <cell r="AM1477">
            <v>3748</v>
          </cell>
          <cell r="AN1477">
            <v>3629</v>
          </cell>
          <cell r="AO1477">
            <v>3688</v>
          </cell>
          <cell r="AP1477">
            <v>3720</v>
          </cell>
          <cell r="AQ1477">
            <v>3804</v>
          </cell>
          <cell r="AR1477">
            <v>3712</v>
          </cell>
          <cell r="AS1477">
            <v>3730</v>
          </cell>
          <cell r="AT1477">
            <v>292600</v>
          </cell>
        </row>
        <row r="1478">
          <cell r="G1478">
            <v>2411290202</v>
          </cell>
          <cell r="H1478" t="str">
            <v>110동</v>
          </cell>
          <cell r="I1478">
            <v>241129</v>
          </cell>
          <cell r="J1478" t="str">
            <v>110동 8층 바닥</v>
          </cell>
          <cell r="K1478">
            <v>286</v>
          </cell>
          <cell r="L1478">
            <v>286</v>
          </cell>
          <cell r="M1478">
            <v>3018</v>
          </cell>
          <cell r="N1478" t="str">
            <v>용호</v>
          </cell>
          <cell r="O1478" t="str">
            <v>펌프카(1대)</v>
          </cell>
          <cell r="P1478">
            <v>1334</v>
          </cell>
          <cell r="Q1478">
            <v>1658</v>
          </cell>
          <cell r="R1478">
            <v>195</v>
          </cell>
          <cell r="S1478">
            <v>46</v>
          </cell>
          <cell r="T1478">
            <v>59</v>
          </cell>
          <cell r="U1478">
            <v>165</v>
          </cell>
          <cell r="V1478"/>
          <cell r="W1478" t="str">
            <v>박순홍</v>
          </cell>
          <cell r="X1478" t="str">
            <v>(인)</v>
          </cell>
          <cell r="Y1478" t="str">
            <v>박순홍</v>
          </cell>
          <cell r="Z1478" t="str">
            <v>(인)</v>
          </cell>
          <cell r="AA1478" t="str">
            <v>박상갑</v>
          </cell>
          <cell r="AB1478" t="str">
            <v>(인)</v>
          </cell>
          <cell r="AC1478" t="str">
            <v>박기원</v>
          </cell>
          <cell r="AD1478" t="str">
            <v>(인)</v>
          </cell>
          <cell r="AE1478">
            <v>179.4</v>
          </cell>
          <cell r="AF1478" t="str">
            <v>동절기</v>
          </cell>
          <cell r="AG1478">
            <v>2</v>
          </cell>
          <cell r="AH1478">
            <v>0</v>
          </cell>
        </row>
        <row r="1479">
          <cell r="G1479">
            <v>2411290203</v>
          </cell>
          <cell r="H1479" t="str">
            <v>110동</v>
          </cell>
          <cell r="I1479">
            <v>241129</v>
          </cell>
          <cell r="J1479" t="str">
            <v>110동 8층 바닥</v>
          </cell>
          <cell r="K1479">
            <v>286</v>
          </cell>
          <cell r="L1479">
            <v>286</v>
          </cell>
          <cell r="M1479">
            <v>3018</v>
          </cell>
          <cell r="N1479" t="str">
            <v>용호</v>
          </cell>
          <cell r="O1479" t="str">
            <v>펌프카(1대)</v>
          </cell>
          <cell r="P1479">
            <v>1334</v>
          </cell>
          <cell r="Q1479">
            <v>1658</v>
          </cell>
          <cell r="R1479">
            <v>170</v>
          </cell>
          <cell r="S1479">
            <v>47</v>
          </cell>
          <cell r="T1479">
            <v>61</v>
          </cell>
          <cell r="U1479">
            <v>166</v>
          </cell>
          <cell r="V1479"/>
          <cell r="W1479" t="str">
            <v>박순홍</v>
          </cell>
          <cell r="X1479" t="str">
            <v>(인)</v>
          </cell>
          <cell r="Y1479" t="str">
            <v>박순홍</v>
          </cell>
          <cell r="Z1479" t="str">
            <v>(인)</v>
          </cell>
          <cell r="AA1479" t="str">
            <v>박상갑</v>
          </cell>
          <cell r="AB1479" t="str">
            <v>(인)</v>
          </cell>
          <cell r="AC1479" t="str">
            <v>박기원</v>
          </cell>
          <cell r="AD1479" t="str">
            <v>(인)</v>
          </cell>
          <cell r="AE1479">
            <v>175.9</v>
          </cell>
          <cell r="AF1479" t="str">
            <v>동절기</v>
          </cell>
          <cell r="AG1479">
            <v>3</v>
          </cell>
          <cell r="AH1479">
            <v>0</v>
          </cell>
        </row>
        <row r="1480">
          <cell r="G1480">
            <v>2411290301</v>
          </cell>
          <cell r="H1480" t="str">
            <v>115동</v>
          </cell>
          <cell r="I1480">
            <v>241129</v>
          </cell>
          <cell r="J1480" t="str">
            <v>115동 4층 바닥</v>
          </cell>
          <cell r="K1480">
            <v>282</v>
          </cell>
          <cell r="L1480">
            <v>282</v>
          </cell>
          <cell r="M1480">
            <v>3018</v>
          </cell>
          <cell r="N1480" t="str">
            <v>대원</v>
          </cell>
          <cell r="O1480" t="str">
            <v>펌프카(1대)</v>
          </cell>
          <cell r="P1480">
            <v>1442</v>
          </cell>
          <cell r="Q1480">
            <v>1710</v>
          </cell>
          <cell r="R1480">
            <v>205</v>
          </cell>
          <cell r="S1480">
            <v>51</v>
          </cell>
          <cell r="T1480">
            <v>51</v>
          </cell>
          <cell r="U1480">
            <v>170</v>
          </cell>
          <cell r="V1480"/>
          <cell r="W1480" t="str">
            <v>박순홍</v>
          </cell>
          <cell r="X1480" t="str">
            <v>(인)</v>
          </cell>
          <cell r="Y1480" t="str">
            <v>박순홍</v>
          </cell>
          <cell r="Z1480" t="str">
            <v>(인)</v>
          </cell>
          <cell r="AA1480" t="str">
            <v>박상갑</v>
          </cell>
          <cell r="AB1480" t="str">
            <v>(인)</v>
          </cell>
          <cell r="AC1480" t="str">
            <v>박기원</v>
          </cell>
          <cell r="AD1480" t="str">
            <v>(인)</v>
          </cell>
          <cell r="AE1480">
            <v>176.7</v>
          </cell>
          <cell r="AF1480" t="str">
            <v>동절기</v>
          </cell>
          <cell r="AG1480">
            <v>1</v>
          </cell>
          <cell r="AH1480">
            <v>1</v>
          </cell>
          <cell r="AI1480">
            <v>2808</v>
          </cell>
          <cell r="AJ1480">
            <v>2784</v>
          </cell>
          <cell r="AK1480">
            <v>216800</v>
          </cell>
          <cell r="AL1480">
            <v>3722</v>
          </cell>
          <cell r="AM1480">
            <v>3692</v>
          </cell>
          <cell r="AN1480">
            <v>3688</v>
          </cell>
          <cell r="AO1480">
            <v>3702</v>
          </cell>
          <cell r="AP1480">
            <v>3654</v>
          </cell>
          <cell r="AQ1480">
            <v>3676</v>
          </cell>
          <cell r="AR1480">
            <v>3584</v>
          </cell>
          <cell r="AS1480">
            <v>3690</v>
          </cell>
          <cell r="AT1480">
            <v>293200</v>
          </cell>
        </row>
        <row r="1481">
          <cell r="G1481">
            <v>2411290302</v>
          </cell>
          <cell r="H1481" t="str">
            <v>115동</v>
          </cell>
          <cell r="I1481">
            <v>241129</v>
          </cell>
          <cell r="J1481" t="str">
            <v>115동 4층 바닥</v>
          </cell>
          <cell r="K1481">
            <v>282</v>
          </cell>
          <cell r="L1481">
            <v>282</v>
          </cell>
          <cell r="M1481">
            <v>3018</v>
          </cell>
          <cell r="N1481" t="str">
            <v>대원</v>
          </cell>
          <cell r="O1481" t="str">
            <v>펌프카(1대)</v>
          </cell>
          <cell r="P1481">
            <v>1442</v>
          </cell>
          <cell r="Q1481">
            <v>1710</v>
          </cell>
          <cell r="R1481">
            <v>200</v>
          </cell>
          <cell r="S1481">
            <v>46</v>
          </cell>
          <cell r="T1481">
            <v>40</v>
          </cell>
          <cell r="U1481">
            <v>164</v>
          </cell>
          <cell r="V1481"/>
          <cell r="W1481" t="str">
            <v>박순홍</v>
          </cell>
          <cell r="X1481" t="str">
            <v>(인)</v>
          </cell>
          <cell r="Y1481" t="str">
            <v>박순홍</v>
          </cell>
          <cell r="Z1481" t="str">
            <v>(인)</v>
          </cell>
          <cell r="AA1481" t="str">
            <v>박상갑</v>
          </cell>
          <cell r="AB1481" t="str">
            <v>(인)</v>
          </cell>
          <cell r="AC1481" t="str">
            <v>박기원</v>
          </cell>
          <cell r="AD1481" t="str">
            <v>(인)</v>
          </cell>
          <cell r="AE1481">
            <v>170.8</v>
          </cell>
          <cell r="AF1481" t="str">
            <v>동절기</v>
          </cell>
          <cell r="AG1481">
            <v>2</v>
          </cell>
          <cell r="AH1481">
            <v>0</v>
          </cell>
        </row>
        <row r="1482">
          <cell r="G1482">
            <v>2411290303</v>
          </cell>
          <cell r="H1482" t="str">
            <v>115동</v>
          </cell>
          <cell r="I1482">
            <v>241129</v>
          </cell>
          <cell r="J1482" t="str">
            <v>115동 4층 바닥</v>
          </cell>
          <cell r="K1482">
            <v>282</v>
          </cell>
          <cell r="L1482">
            <v>282</v>
          </cell>
          <cell r="M1482">
            <v>3018</v>
          </cell>
          <cell r="N1482" t="str">
            <v>대원</v>
          </cell>
          <cell r="O1482" t="str">
            <v>펌프카(1대)</v>
          </cell>
          <cell r="P1482">
            <v>1442</v>
          </cell>
          <cell r="Q1482">
            <v>1710</v>
          </cell>
          <cell r="R1482">
            <v>190</v>
          </cell>
          <cell r="S1482">
            <v>42</v>
          </cell>
          <cell r="T1482">
            <v>45</v>
          </cell>
          <cell r="U1482">
            <v>167</v>
          </cell>
          <cell r="V1482"/>
          <cell r="W1482" t="str">
            <v>박순홍</v>
          </cell>
          <cell r="X1482" t="str">
            <v>(인)</v>
          </cell>
          <cell r="Y1482" t="str">
            <v>박순홍</v>
          </cell>
          <cell r="Z1482" t="str">
            <v>(인)</v>
          </cell>
          <cell r="AA1482" t="str">
            <v>박상갑</v>
          </cell>
          <cell r="AB1482" t="str">
            <v>(인)</v>
          </cell>
          <cell r="AC1482" t="str">
            <v>박기원</v>
          </cell>
          <cell r="AD1482" t="str">
            <v>(인)</v>
          </cell>
          <cell r="AE1482">
            <v>177.3</v>
          </cell>
          <cell r="AF1482" t="str">
            <v>동절기</v>
          </cell>
          <cell r="AG1482">
            <v>3</v>
          </cell>
          <cell r="AH1482">
            <v>0</v>
          </cell>
        </row>
        <row r="1483">
          <cell r="G1483">
            <v>2411290401</v>
          </cell>
          <cell r="H1483" t="str">
            <v>120동</v>
          </cell>
          <cell r="I1483">
            <v>241129</v>
          </cell>
          <cell r="J1483" t="str">
            <v>120동 1층 바닥</v>
          </cell>
          <cell r="K1483">
            <v>354</v>
          </cell>
          <cell r="L1483">
            <v>354</v>
          </cell>
          <cell r="M1483">
            <v>3015</v>
          </cell>
          <cell r="N1483" t="str">
            <v>대공</v>
          </cell>
          <cell r="O1483" t="str">
            <v>펌프카(1대)</v>
          </cell>
          <cell r="P1483">
            <v>801</v>
          </cell>
          <cell r="Q1483">
            <v>1357</v>
          </cell>
          <cell r="R1483">
            <v>165</v>
          </cell>
          <cell r="S1483">
            <v>52</v>
          </cell>
          <cell r="T1483">
            <v>4</v>
          </cell>
          <cell r="U1483">
            <v>189</v>
          </cell>
          <cell r="V1483"/>
          <cell r="W1483" t="str">
            <v>김광록</v>
          </cell>
          <cell r="X1483" t="str">
            <v>(인)</v>
          </cell>
          <cell r="Y1483" t="str">
            <v>박순홍</v>
          </cell>
          <cell r="Z1483" t="str">
            <v>(인)</v>
          </cell>
          <cell r="AA1483" t="str">
            <v>박상갑</v>
          </cell>
          <cell r="AB1483" t="str">
            <v>(인)</v>
          </cell>
          <cell r="AC1483" t="str">
            <v>박기원</v>
          </cell>
          <cell r="AD1483" t="str">
            <v>(인)</v>
          </cell>
          <cell r="AE1483">
            <v>169.1</v>
          </cell>
          <cell r="AF1483" t="str">
            <v>동절기</v>
          </cell>
          <cell r="AG1483">
            <v>1</v>
          </cell>
          <cell r="AH1483">
            <v>1</v>
          </cell>
          <cell r="AI1483">
            <v>2704</v>
          </cell>
          <cell r="AJ1483">
            <v>2629</v>
          </cell>
          <cell r="AK1483">
            <v>221000</v>
          </cell>
          <cell r="AL1483">
            <v>3664</v>
          </cell>
          <cell r="AM1483">
            <v>3613</v>
          </cell>
          <cell r="AN1483">
            <v>3587</v>
          </cell>
          <cell r="AO1483">
            <v>3536</v>
          </cell>
          <cell r="AP1483">
            <v>3622</v>
          </cell>
          <cell r="AQ1483">
            <v>3586</v>
          </cell>
          <cell r="AR1483">
            <v>3704</v>
          </cell>
          <cell r="AS1483">
            <v>3512</v>
          </cell>
          <cell r="AT1483">
            <v>286600</v>
          </cell>
        </row>
        <row r="1484">
          <cell r="G1484">
            <v>2411290402</v>
          </cell>
          <cell r="H1484" t="str">
            <v>120동</v>
          </cell>
          <cell r="I1484">
            <v>241129</v>
          </cell>
          <cell r="J1484" t="str">
            <v>120동 1층 바닥</v>
          </cell>
          <cell r="K1484">
            <v>354</v>
          </cell>
          <cell r="L1484">
            <v>354</v>
          </cell>
          <cell r="M1484">
            <v>3015</v>
          </cell>
          <cell r="N1484" t="str">
            <v>대공</v>
          </cell>
          <cell r="O1484" t="str">
            <v>펌프카(1대)</v>
          </cell>
          <cell r="P1484">
            <v>801</v>
          </cell>
          <cell r="Q1484">
            <v>1357</v>
          </cell>
          <cell r="R1484">
            <v>165</v>
          </cell>
          <cell r="S1484">
            <v>48</v>
          </cell>
          <cell r="T1484">
            <v>28</v>
          </cell>
          <cell r="U1484">
            <v>184</v>
          </cell>
          <cell r="V1484"/>
          <cell r="W1484" t="str">
            <v>김광록</v>
          </cell>
          <cell r="X1484" t="str">
            <v>(인)</v>
          </cell>
          <cell r="Y1484" t="str">
            <v>박순홍</v>
          </cell>
          <cell r="Z1484" t="str">
            <v>(인)</v>
          </cell>
          <cell r="AA1484" t="str">
            <v>박상갑</v>
          </cell>
          <cell r="AB1484" t="str">
            <v>(인)</v>
          </cell>
          <cell r="AC1484" t="str">
            <v>박기원</v>
          </cell>
          <cell r="AD1484" t="str">
            <v>(인)</v>
          </cell>
          <cell r="AE1484">
            <v>172.4</v>
          </cell>
          <cell r="AF1484" t="str">
            <v>동절기</v>
          </cell>
          <cell r="AG1484">
            <v>2</v>
          </cell>
          <cell r="AH1484">
            <v>0</v>
          </cell>
        </row>
        <row r="1485">
          <cell r="G1485">
            <v>2411290403</v>
          </cell>
          <cell r="H1485" t="str">
            <v>120동</v>
          </cell>
          <cell r="I1485">
            <v>241129</v>
          </cell>
          <cell r="J1485" t="str">
            <v>120동 1층 바닥</v>
          </cell>
          <cell r="K1485">
            <v>354</v>
          </cell>
          <cell r="L1485">
            <v>354</v>
          </cell>
          <cell r="M1485">
            <v>3015</v>
          </cell>
          <cell r="N1485" t="str">
            <v>대공</v>
          </cell>
          <cell r="O1485" t="str">
            <v>펌프카(1대)</v>
          </cell>
          <cell r="P1485">
            <v>801</v>
          </cell>
          <cell r="Q1485">
            <v>1357</v>
          </cell>
          <cell r="R1485">
            <v>150</v>
          </cell>
          <cell r="S1485">
            <v>60</v>
          </cell>
          <cell r="T1485">
            <v>6</v>
          </cell>
          <cell r="U1485">
            <v>152</v>
          </cell>
          <cell r="V1485"/>
          <cell r="W1485" t="str">
            <v>김광록</v>
          </cell>
          <cell r="X1485" t="str">
            <v>(인)</v>
          </cell>
          <cell r="Y1485" t="str">
            <v>박순홍</v>
          </cell>
          <cell r="Z1485" t="str">
            <v>(인)</v>
          </cell>
          <cell r="AA1485" t="str">
            <v>박상갑</v>
          </cell>
          <cell r="AB1485" t="str">
            <v>(인)</v>
          </cell>
          <cell r="AC1485" t="str">
            <v>박기원</v>
          </cell>
          <cell r="AD1485" t="str">
            <v>(인)</v>
          </cell>
          <cell r="AE1485">
            <v>170.5</v>
          </cell>
          <cell r="AF1485" t="str">
            <v>동절기</v>
          </cell>
          <cell r="AG1485">
            <v>3</v>
          </cell>
          <cell r="AH1485">
            <v>0</v>
          </cell>
        </row>
        <row r="1486">
          <cell r="G1486">
            <v>2411290501</v>
          </cell>
          <cell r="H1486" t="str">
            <v>113동</v>
          </cell>
          <cell r="I1486">
            <v>241129</v>
          </cell>
          <cell r="J1486" t="str">
            <v>113동 주변주차장 누름</v>
          </cell>
          <cell r="K1486">
            <v>48</v>
          </cell>
          <cell r="L1486">
            <v>48</v>
          </cell>
          <cell r="M1486">
            <v>1815</v>
          </cell>
          <cell r="N1486" t="str">
            <v>대공</v>
          </cell>
          <cell r="O1486" t="str">
            <v>펌프카(1대)</v>
          </cell>
          <cell r="P1486">
            <v>1442</v>
          </cell>
          <cell r="Q1486">
            <v>1604</v>
          </cell>
          <cell r="R1486">
            <v>150</v>
          </cell>
          <cell r="S1486">
            <v>49</v>
          </cell>
          <cell r="T1486">
            <v>16</v>
          </cell>
          <cell r="U1486">
            <v>180</v>
          </cell>
          <cell r="V1486"/>
          <cell r="W1486" t="str">
            <v>김광록</v>
          </cell>
          <cell r="X1486" t="str">
            <v>(인)</v>
          </cell>
          <cell r="Y1486" t="str">
            <v>박순홍</v>
          </cell>
          <cell r="Z1486" t="str">
            <v>(인)</v>
          </cell>
          <cell r="AA1486" t="str">
            <v>박상갑</v>
          </cell>
          <cell r="AB1486" t="str">
            <v>(인)</v>
          </cell>
          <cell r="AC1486" t="str">
            <v>박기원</v>
          </cell>
          <cell r="AD1486" t="str">
            <v>(인)</v>
          </cell>
          <cell r="AE1486">
            <v>174.4</v>
          </cell>
          <cell r="AF1486" t="str">
            <v>동절기</v>
          </cell>
          <cell r="AG1486">
            <v>1</v>
          </cell>
          <cell r="AH1486">
            <v>1</v>
          </cell>
          <cell r="AI1486">
            <v>1430</v>
          </cell>
          <cell r="AJ1486">
            <v>1529</v>
          </cell>
          <cell r="AK1486">
            <v>112200</v>
          </cell>
          <cell r="AL1486">
            <v>2360</v>
          </cell>
          <cell r="AM1486">
            <v>2220</v>
          </cell>
          <cell r="AN1486">
            <v>2312</v>
          </cell>
          <cell r="AO1486">
            <v>2276</v>
          </cell>
          <cell r="AP1486">
            <v>2304</v>
          </cell>
          <cell r="AQ1486">
            <v>2312</v>
          </cell>
          <cell r="AR1486">
            <v>2216</v>
          </cell>
          <cell r="AS1486">
            <v>2307</v>
          </cell>
          <cell r="AT1486">
            <v>183000</v>
          </cell>
        </row>
        <row r="1487">
          <cell r="G1487">
            <v>2412020101</v>
          </cell>
          <cell r="H1487" t="str">
            <v>109동</v>
          </cell>
          <cell r="I1487">
            <v>241202</v>
          </cell>
          <cell r="J1487" t="str">
            <v>109동 9층 바닥 외 2</v>
          </cell>
          <cell r="K1487">
            <v>294</v>
          </cell>
          <cell r="L1487">
            <v>294</v>
          </cell>
          <cell r="M1487">
            <v>3018</v>
          </cell>
          <cell r="N1487" t="str">
            <v>대공</v>
          </cell>
          <cell r="O1487" t="str">
            <v>펌프카(1대)</v>
          </cell>
          <cell r="P1487">
            <v>900</v>
          </cell>
          <cell r="Q1487">
            <v>1447</v>
          </cell>
          <cell r="R1487">
            <v>185</v>
          </cell>
          <cell r="S1487">
            <v>44</v>
          </cell>
          <cell r="T1487">
            <v>22</v>
          </cell>
          <cell r="U1487">
            <v>231</v>
          </cell>
          <cell r="V1487"/>
          <cell r="W1487" t="str">
            <v>김광록</v>
          </cell>
          <cell r="X1487" t="str">
            <v>(인)</v>
          </cell>
          <cell r="Y1487" t="str">
            <v>박순홍</v>
          </cell>
          <cell r="Z1487" t="str">
            <v>(인)</v>
          </cell>
          <cell r="AA1487" t="str">
            <v>박기원</v>
          </cell>
          <cell r="AB1487" t="str">
            <v>(인)</v>
          </cell>
          <cell r="AC1487" t="str">
            <v>박상갑</v>
          </cell>
          <cell r="AD1487" t="str">
            <v>(인)</v>
          </cell>
          <cell r="AE1487">
            <v>172.6</v>
          </cell>
          <cell r="AF1487" t="str">
            <v>동절기</v>
          </cell>
          <cell r="AG1487">
            <v>1</v>
          </cell>
          <cell r="AH1487">
            <v>1</v>
          </cell>
          <cell r="AI1487">
            <v>2728</v>
          </cell>
          <cell r="AJ1487">
            <v>2706</v>
          </cell>
          <cell r="AK1487">
            <v>218000</v>
          </cell>
          <cell r="AL1487">
            <v>3702</v>
          </cell>
          <cell r="AM1487">
            <v>3684</v>
          </cell>
          <cell r="AN1487">
            <v>3712</v>
          </cell>
          <cell r="AO1487">
            <v>3692</v>
          </cell>
          <cell r="AP1487">
            <v>3802</v>
          </cell>
          <cell r="AQ1487">
            <v>3711</v>
          </cell>
          <cell r="AR1487">
            <v>3730</v>
          </cell>
          <cell r="AS1487">
            <v>3629</v>
          </cell>
          <cell r="AT1487">
            <v>287800</v>
          </cell>
        </row>
        <row r="1488">
          <cell r="G1488">
            <v>2412020102</v>
          </cell>
          <cell r="H1488" t="str">
            <v>109동</v>
          </cell>
          <cell r="I1488">
            <v>241202</v>
          </cell>
          <cell r="J1488" t="str">
            <v>109동 9층 바닥 외 2</v>
          </cell>
          <cell r="K1488">
            <v>294</v>
          </cell>
          <cell r="L1488">
            <v>294</v>
          </cell>
          <cell r="M1488">
            <v>3018</v>
          </cell>
          <cell r="N1488" t="str">
            <v>대공</v>
          </cell>
          <cell r="O1488" t="str">
            <v>펌프카(1대)</v>
          </cell>
          <cell r="P1488">
            <v>900</v>
          </cell>
          <cell r="Q1488">
            <v>1447</v>
          </cell>
          <cell r="R1488">
            <v>170</v>
          </cell>
          <cell r="S1488">
            <v>40</v>
          </cell>
          <cell r="T1488">
            <v>39</v>
          </cell>
          <cell r="U1488">
            <v>220</v>
          </cell>
          <cell r="V1488"/>
          <cell r="W1488" t="str">
            <v>김광록</v>
          </cell>
          <cell r="X1488" t="str">
            <v>(인)</v>
          </cell>
          <cell r="Y1488" t="str">
            <v>박순홍</v>
          </cell>
          <cell r="Z1488" t="str">
            <v>(인)</v>
          </cell>
          <cell r="AA1488" t="str">
            <v>박기원</v>
          </cell>
          <cell r="AB1488" t="str">
            <v>(인)</v>
          </cell>
          <cell r="AC1488" t="str">
            <v>박상갑</v>
          </cell>
          <cell r="AD1488" t="str">
            <v>(인)</v>
          </cell>
          <cell r="AE1488">
            <v>171.5</v>
          </cell>
          <cell r="AF1488" t="str">
            <v>동절기</v>
          </cell>
          <cell r="AG1488">
            <v>2</v>
          </cell>
          <cell r="AH1488">
            <v>0</v>
          </cell>
        </row>
        <row r="1489">
          <cell r="G1489">
            <v>2412020103</v>
          </cell>
          <cell r="H1489" t="str">
            <v>109동</v>
          </cell>
          <cell r="I1489">
            <v>241202</v>
          </cell>
          <cell r="J1489" t="str">
            <v>109동 9층 바닥 외 2</v>
          </cell>
          <cell r="K1489">
            <v>294</v>
          </cell>
          <cell r="L1489">
            <v>294</v>
          </cell>
          <cell r="M1489">
            <v>3018</v>
          </cell>
          <cell r="N1489" t="str">
            <v>대공</v>
          </cell>
          <cell r="O1489" t="str">
            <v>펌프카(1대)</v>
          </cell>
          <cell r="P1489">
            <v>900</v>
          </cell>
          <cell r="Q1489">
            <v>1447</v>
          </cell>
          <cell r="R1489">
            <v>190</v>
          </cell>
          <cell r="S1489">
            <v>48</v>
          </cell>
          <cell r="T1489">
            <v>35</v>
          </cell>
          <cell r="U1489">
            <v>241</v>
          </cell>
          <cell r="V1489"/>
          <cell r="W1489" t="str">
            <v>김광록</v>
          </cell>
          <cell r="X1489" t="str">
            <v>(인)</v>
          </cell>
          <cell r="Y1489" t="str">
            <v>박순홍</v>
          </cell>
          <cell r="Z1489" t="str">
            <v>(인)</v>
          </cell>
          <cell r="AA1489" t="str">
            <v>박기원</v>
          </cell>
          <cell r="AB1489" t="str">
            <v>(인)</v>
          </cell>
          <cell r="AC1489" t="str">
            <v>박상갑</v>
          </cell>
          <cell r="AD1489" t="str">
            <v>(인)</v>
          </cell>
          <cell r="AE1489">
            <v>170.6</v>
          </cell>
          <cell r="AF1489" t="str">
            <v>동절기</v>
          </cell>
          <cell r="AG1489">
            <v>3</v>
          </cell>
          <cell r="AH1489">
            <v>0</v>
          </cell>
        </row>
        <row r="1490">
          <cell r="G1490">
            <v>2412020201</v>
          </cell>
          <cell r="H1490" t="str">
            <v>103동</v>
          </cell>
          <cell r="I1490">
            <v>241202</v>
          </cell>
          <cell r="J1490" t="str">
            <v>103동 주출입구</v>
          </cell>
          <cell r="K1490">
            <v>6</v>
          </cell>
          <cell r="L1490">
            <v>6</v>
          </cell>
          <cell r="M1490">
            <v>3015</v>
          </cell>
          <cell r="N1490" t="str">
            <v>용호</v>
          </cell>
          <cell r="O1490" t="str">
            <v>펌프카(1대)</v>
          </cell>
          <cell r="P1490">
            <v>1605</v>
          </cell>
          <cell r="Q1490">
            <v>1625</v>
          </cell>
          <cell r="R1490">
            <v>170</v>
          </cell>
          <cell r="S1490">
            <v>48</v>
          </cell>
          <cell r="T1490">
            <v>25</v>
          </cell>
          <cell r="U1490">
            <v>154</v>
          </cell>
          <cell r="V1490"/>
          <cell r="W1490" t="str">
            <v>박순홍</v>
          </cell>
          <cell r="X1490" t="str">
            <v>(인)</v>
          </cell>
          <cell r="Y1490" t="str">
            <v>박순홍</v>
          </cell>
          <cell r="Z1490" t="str">
            <v>(인)</v>
          </cell>
          <cell r="AA1490" t="str">
            <v>박기원</v>
          </cell>
          <cell r="AB1490" t="str">
            <v>(인)</v>
          </cell>
          <cell r="AC1490" t="str">
            <v>박상갑</v>
          </cell>
          <cell r="AD1490" t="str">
            <v>(인)</v>
          </cell>
          <cell r="AE1490">
            <v>184.9</v>
          </cell>
          <cell r="AF1490" t="str">
            <v>동절기</v>
          </cell>
          <cell r="AG1490">
            <v>1</v>
          </cell>
          <cell r="AH1490">
            <v>1</v>
          </cell>
          <cell r="AI1490">
            <v>2564</v>
          </cell>
          <cell r="AJ1490">
            <v>2506</v>
          </cell>
          <cell r="AK1490">
            <v>193600</v>
          </cell>
          <cell r="AL1490">
            <v>3726</v>
          </cell>
          <cell r="AM1490">
            <v>3773</v>
          </cell>
          <cell r="AN1490">
            <v>3712</v>
          </cell>
          <cell r="AO1490">
            <v>3706</v>
          </cell>
          <cell r="AP1490">
            <v>3812</v>
          </cell>
          <cell r="AQ1490">
            <v>3709</v>
          </cell>
          <cell r="AR1490">
            <v>3716</v>
          </cell>
          <cell r="AS1490">
            <v>3782</v>
          </cell>
          <cell r="AT1490">
            <v>289400</v>
          </cell>
        </row>
        <row r="1491">
          <cell r="G1491">
            <v>2412020301</v>
          </cell>
          <cell r="H1491" t="str">
            <v>108동</v>
          </cell>
          <cell r="I1491">
            <v>241202</v>
          </cell>
          <cell r="J1491" t="str">
            <v>108동 주변주차장</v>
          </cell>
          <cell r="K1491">
            <v>150</v>
          </cell>
          <cell r="L1491">
            <v>150</v>
          </cell>
          <cell r="M1491">
            <v>2715</v>
          </cell>
          <cell r="N1491" t="str">
            <v>대원</v>
          </cell>
          <cell r="O1491" t="str">
            <v>펌프카(1대)</v>
          </cell>
          <cell r="P1491">
            <v>915</v>
          </cell>
          <cell r="Q1491">
            <v>1305</v>
          </cell>
          <cell r="R1491">
            <v>160</v>
          </cell>
          <cell r="S1491">
            <v>42</v>
          </cell>
          <cell r="T1491">
            <v>20</v>
          </cell>
          <cell r="U1491">
            <v>238</v>
          </cell>
          <cell r="V1491"/>
          <cell r="W1491" t="str">
            <v>김광록</v>
          </cell>
          <cell r="X1491" t="str">
            <v>(인)</v>
          </cell>
          <cell r="Y1491" t="str">
            <v>박순홍</v>
          </cell>
          <cell r="Z1491" t="str">
            <v>(인)</v>
          </cell>
          <cell r="AA1491" t="str">
            <v>박기원</v>
          </cell>
          <cell r="AB1491" t="str">
            <v>(인)</v>
          </cell>
          <cell r="AC1491" t="str">
            <v>박상갑</v>
          </cell>
          <cell r="AD1491" t="str">
            <v>(인)</v>
          </cell>
          <cell r="AE1491">
            <v>170.8</v>
          </cell>
          <cell r="AF1491" t="str">
            <v>동절기</v>
          </cell>
          <cell r="AG1491">
            <v>1</v>
          </cell>
          <cell r="AH1491">
            <v>1</v>
          </cell>
          <cell r="AI1491">
            <v>2365</v>
          </cell>
          <cell r="AJ1491">
            <v>2372</v>
          </cell>
          <cell r="AK1491">
            <v>188600</v>
          </cell>
          <cell r="AL1491">
            <v>3282</v>
          </cell>
          <cell r="AM1491">
            <v>3213</v>
          </cell>
          <cell r="AN1491">
            <v>3198</v>
          </cell>
          <cell r="AO1491">
            <v>3172</v>
          </cell>
          <cell r="AP1491">
            <v>3162</v>
          </cell>
          <cell r="AQ1491">
            <v>3217</v>
          </cell>
          <cell r="AR1491">
            <v>3201</v>
          </cell>
          <cell r="AS1491">
            <v>3194</v>
          </cell>
          <cell r="AT1491">
            <v>252000</v>
          </cell>
        </row>
        <row r="1492">
          <cell r="G1492">
            <v>2412020302</v>
          </cell>
          <cell r="H1492" t="str">
            <v>108동</v>
          </cell>
          <cell r="I1492">
            <v>241202</v>
          </cell>
          <cell r="J1492" t="str">
            <v>108동 주변주차장</v>
          </cell>
          <cell r="K1492">
            <v>150</v>
          </cell>
          <cell r="L1492">
            <v>150</v>
          </cell>
          <cell r="M1492">
            <v>2715</v>
          </cell>
          <cell r="N1492" t="str">
            <v>대원</v>
          </cell>
          <cell r="O1492" t="str">
            <v>펌프카(1대)</v>
          </cell>
          <cell r="P1492">
            <v>915</v>
          </cell>
          <cell r="Q1492">
            <v>1305</v>
          </cell>
          <cell r="R1492">
            <v>155</v>
          </cell>
          <cell r="S1492">
            <v>45</v>
          </cell>
          <cell r="T1492">
            <v>102</v>
          </cell>
          <cell r="U1492">
            <v>181</v>
          </cell>
          <cell r="V1492"/>
          <cell r="W1492" t="str">
            <v>박순홍</v>
          </cell>
          <cell r="X1492" t="str">
            <v>(인)</v>
          </cell>
          <cell r="Y1492" t="str">
            <v>박순홍</v>
          </cell>
          <cell r="Z1492" t="str">
            <v>(인)</v>
          </cell>
          <cell r="AA1492" t="str">
            <v>박기원</v>
          </cell>
          <cell r="AB1492" t="str">
            <v>(인)</v>
          </cell>
          <cell r="AC1492" t="str">
            <v>박상갑</v>
          </cell>
          <cell r="AD1492" t="str">
            <v>(인)</v>
          </cell>
          <cell r="AE1492">
            <v>173.6</v>
          </cell>
          <cell r="AF1492" t="str">
            <v>동절기</v>
          </cell>
          <cell r="AG1492">
            <v>2</v>
          </cell>
          <cell r="AH1492">
            <v>0</v>
          </cell>
        </row>
        <row r="1493">
          <cell r="G1493">
            <v>2412020401</v>
          </cell>
          <cell r="H1493" t="str">
            <v>112동</v>
          </cell>
          <cell r="I1493">
            <v>241202</v>
          </cell>
          <cell r="J1493" t="str">
            <v>112동 주변 누름</v>
          </cell>
          <cell r="K1493">
            <v>48</v>
          </cell>
          <cell r="L1493">
            <v>48</v>
          </cell>
          <cell r="M1493">
            <v>1815</v>
          </cell>
          <cell r="N1493" t="str">
            <v>용호</v>
          </cell>
          <cell r="O1493" t="str">
            <v>펌프카(1대)</v>
          </cell>
          <cell r="P1493">
            <v>1335</v>
          </cell>
          <cell r="Q1493">
            <v>1435</v>
          </cell>
          <cell r="R1493">
            <v>160</v>
          </cell>
          <cell r="S1493">
            <v>45</v>
          </cell>
          <cell r="T1493">
            <v>20</v>
          </cell>
          <cell r="U1493">
            <v>206</v>
          </cell>
          <cell r="V1493"/>
          <cell r="W1493" t="str">
            <v>박순홍</v>
          </cell>
          <cell r="X1493" t="str">
            <v>(인)</v>
          </cell>
          <cell r="Y1493" t="str">
            <v>박순홍</v>
          </cell>
          <cell r="Z1493" t="str">
            <v>(인)</v>
          </cell>
          <cell r="AA1493" t="str">
            <v>박기원</v>
          </cell>
          <cell r="AB1493" t="str">
            <v>(인)</v>
          </cell>
          <cell r="AC1493" t="str">
            <v>박상갑</v>
          </cell>
          <cell r="AD1493" t="str">
            <v>(인)</v>
          </cell>
          <cell r="AE1493">
            <v>172.9</v>
          </cell>
          <cell r="AF1493" t="str">
            <v>동절기</v>
          </cell>
          <cell r="AG1493">
            <v>1</v>
          </cell>
          <cell r="AH1493">
            <v>1</v>
          </cell>
          <cell r="AI1493">
            <v>1515</v>
          </cell>
          <cell r="AJ1493">
            <v>1601</v>
          </cell>
          <cell r="AK1493">
            <v>118400</v>
          </cell>
          <cell r="AL1493">
            <v>2299</v>
          </cell>
          <cell r="AM1493">
            <v>2279</v>
          </cell>
          <cell r="AN1493">
            <v>2312</v>
          </cell>
          <cell r="AO1493">
            <v>2307</v>
          </cell>
          <cell r="AP1493">
            <v>2219</v>
          </cell>
          <cell r="AQ1493">
            <v>2308</v>
          </cell>
          <cell r="AR1493">
            <v>2311</v>
          </cell>
          <cell r="AS1493">
            <v>2287</v>
          </cell>
          <cell r="AT1493">
            <v>186600</v>
          </cell>
        </row>
        <row r="1494">
          <cell r="G1494">
            <v>2412030101</v>
          </cell>
          <cell r="H1494" t="str">
            <v>107동</v>
          </cell>
          <cell r="I1494">
            <v>241203</v>
          </cell>
          <cell r="J1494" t="str">
            <v>107동 17층 바닥</v>
          </cell>
          <cell r="K1494">
            <v>318</v>
          </cell>
          <cell r="L1494">
            <v>318</v>
          </cell>
          <cell r="M1494">
            <v>3018</v>
          </cell>
          <cell r="N1494" t="str">
            <v>대원</v>
          </cell>
          <cell r="O1494" t="str">
            <v>펌프카(1대)</v>
          </cell>
          <cell r="P1494">
            <v>723</v>
          </cell>
          <cell r="Q1494">
            <v>1359</v>
          </cell>
          <cell r="R1494">
            <v>190</v>
          </cell>
          <cell r="S1494">
            <v>50</v>
          </cell>
          <cell r="T1494">
            <v>84</v>
          </cell>
          <cell r="U1494">
            <v>192</v>
          </cell>
          <cell r="V1494"/>
          <cell r="W1494" t="str">
            <v>박순홍</v>
          </cell>
          <cell r="X1494" t="str">
            <v>(인)</v>
          </cell>
          <cell r="Y1494" t="str">
            <v>박순홍</v>
          </cell>
          <cell r="Z1494" t="str">
            <v>(인)</v>
          </cell>
          <cell r="AA1494" t="str">
            <v>박기원</v>
          </cell>
          <cell r="AB1494" t="str">
            <v>(인)</v>
          </cell>
          <cell r="AC1494" t="str">
            <v>박상갑</v>
          </cell>
          <cell r="AD1494" t="str">
            <v>(인)</v>
          </cell>
          <cell r="AE1494">
            <v>189.4</v>
          </cell>
          <cell r="AF1494" t="str">
            <v>동절기</v>
          </cell>
          <cell r="AG1494">
            <v>1</v>
          </cell>
          <cell r="AH1494">
            <v>1</v>
          </cell>
          <cell r="AI1494">
            <v>2607</v>
          </cell>
          <cell r="AJ1494">
            <v>2780</v>
          </cell>
          <cell r="AK1494">
            <v>214000</v>
          </cell>
          <cell r="AL1494">
            <v>3702</v>
          </cell>
          <cell r="AM1494">
            <v>3697</v>
          </cell>
          <cell r="AN1494">
            <v>3679</v>
          </cell>
          <cell r="AO1494">
            <v>3684</v>
          </cell>
          <cell r="AP1494">
            <v>3619</v>
          </cell>
          <cell r="AQ1494">
            <v>3706</v>
          </cell>
          <cell r="AR1494">
            <v>3619</v>
          </cell>
          <cell r="AS1494">
            <v>3684</v>
          </cell>
          <cell r="AT1494">
            <v>294000</v>
          </cell>
        </row>
        <row r="1495">
          <cell r="G1495">
            <v>2412030102</v>
          </cell>
          <cell r="H1495" t="str">
            <v>107동</v>
          </cell>
          <cell r="I1495">
            <v>241203</v>
          </cell>
          <cell r="J1495" t="str">
            <v>107동 17층 바닥</v>
          </cell>
          <cell r="K1495">
            <v>318</v>
          </cell>
          <cell r="L1495">
            <v>318</v>
          </cell>
          <cell r="M1495">
            <v>3018</v>
          </cell>
          <cell r="N1495" t="str">
            <v>대원</v>
          </cell>
          <cell r="O1495" t="str">
            <v>펌프카(1대)</v>
          </cell>
          <cell r="P1495">
            <v>723</v>
          </cell>
          <cell r="Q1495">
            <v>1359</v>
          </cell>
          <cell r="R1495">
            <v>185</v>
          </cell>
          <cell r="S1495">
            <v>42</v>
          </cell>
          <cell r="T1495">
            <v>13</v>
          </cell>
          <cell r="U1495">
            <v>176</v>
          </cell>
          <cell r="V1495"/>
          <cell r="W1495" t="str">
            <v>박순홍</v>
          </cell>
          <cell r="X1495" t="str">
            <v>(인)</v>
          </cell>
          <cell r="Y1495" t="str">
            <v>박순홍</v>
          </cell>
          <cell r="Z1495" t="str">
            <v>(인)</v>
          </cell>
          <cell r="AA1495" t="str">
            <v>박기원</v>
          </cell>
          <cell r="AB1495" t="str">
            <v>(인)</v>
          </cell>
          <cell r="AC1495" t="str">
            <v>박상갑</v>
          </cell>
          <cell r="AD1495" t="str">
            <v>(인)</v>
          </cell>
          <cell r="AE1495">
            <v>187.3</v>
          </cell>
          <cell r="AF1495" t="str">
            <v>동절기</v>
          </cell>
          <cell r="AG1495">
            <v>2</v>
          </cell>
          <cell r="AH1495">
            <v>0</v>
          </cell>
        </row>
        <row r="1496">
          <cell r="G1496">
            <v>2412030103</v>
          </cell>
          <cell r="H1496" t="str">
            <v>107동</v>
          </cell>
          <cell r="I1496">
            <v>241203</v>
          </cell>
          <cell r="J1496" t="str">
            <v>107동 17층 바닥</v>
          </cell>
          <cell r="K1496">
            <v>318</v>
          </cell>
          <cell r="L1496">
            <v>318</v>
          </cell>
          <cell r="M1496">
            <v>3018</v>
          </cell>
          <cell r="N1496" t="str">
            <v>대원</v>
          </cell>
          <cell r="O1496" t="str">
            <v>펌프카(1대)</v>
          </cell>
          <cell r="P1496">
            <v>723</v>
          </cell>
          <cell r="Q1496">
            <v>1359</v>
          </cell>
          <cell r="R1496">
            <v>175</v>
          </cell>
          <cell r="S1496">
            <v>48</v>
          </cell>
          <cell r="T1496">
            <v>37</v>
          </cell>
          <cell r="U1496">
            <v>183</v>
          </cell>
          <cell r="V1496"/>
          <cell r="W1496" t="str">
            <v>박순홍</v>
          </cell>
          <cell r="X1496" t="str">
            <v>(인)</v>
          </cell>
          <cell r="Y1496" t="str">
            <v>박순홍</v>
          </cell>
          <cell r="Z1496" t="str">
            <v>(인)</v>
          </cell>
          <cell r="AA1496" t="str">
            <v>박기원</v>
          </cell>
          <cell r="AB1496" t="str">
            <v>(인)</v>
          </cell>
          <cell r="AC1496" t="str">
            <v>박상갑</v>
          </cell>
          <cell r="AD1496" t="str">
            <v>(인)</v>
          </cell>
          <cell r="AE1496">
            <v>186.3</v>
          </cell>
          <cell r="AF1496" t="str">
            <v>동절기</v>
          </cell>
          <cell r="AG1496">
            <v>3</v>
          </cell>
          <cell r="AH1496">
            <v>0</v>
          </cell>
        </row>
        <row r="1497">
          <cell r="G1497">
            <v>2412030201</v>
          </cell>
          <cell r="H1497" t="str">
            <v>112동</v>
          </cell>
          <cell r="I1497">
            <v>241203</v>
          </cell>
          <cell r="J1497" t="str">
            <v>112동 주변주차장 누름</v>
          </cell>
          <cell r="K1497">
            <v>48</v>
          </cell>
          <cell r="L1497">
            <v>48</v>
          </cell>
          <cell r="M1497">
            <v>1815</v>
          </cell>
          <cell r="N1497" t="str">
            <v>대공</v>
          </cell>
          <cell r="O1497" t="str">
            <v>펌프카(1대)</v>
          </cell>
          <cell r="P1497">
            <v>1502</v>
          </cell>
          <cell r="Q1497">
            <v>1549</v>
          </cell>
          <cell r="R1497">
            <v>140</v>
          </cell>
          <cell r="S1497">
            <v>50</v>
          </cell>
          <cell r="T1497">
            <v>83</v>
          </cell>
          <cell r="U1497">
            <v>237</v>
          </cell>
          <cell r="V1497"/>
          <cell r="W1497" t="str">
            <v>박순홍</v>
          </cell>
          <cell r="X1497" t="str">
            <v>(인)</v>
          </cell>
          <cell r="Y1497" t="str">
            <v>박순홍</v>
          </cell>
          <cell r="Z1497" t="str">
            <v>(인)</v>
          </cell>
          <cell r="AA1497" t="str">
            <v>박기원</v>
          </cell>
          <cell r="AB1497" t="str">
            <v>(인)</v>
          </cell>
          <cell r="AC1497" t="str">
            <v>박상갑</v>
          </cell>
          <cell r="AD1497" t="str">
            <v>(인)</v>
          </cell>
          <cell r="AE1497">
            <v>168</v>
          </cell>
          <cell r="AF1497" t="str">
            <v>동절기</v>
          </cell>
          <cell r="AG1497">
            <v>1</v>
          </cell>
          <cell r="AH1497">
            <v>1</v>
          </cell>
          <cell r="AI1497">
            <v>1652</v>
          </cell>
          <cell r="AJ1497">
            <v>1608</v>
          </cell>
          <cell r="AK1497">
            <v>128400</v>
          </cell>
          <cell r="AL1497">
            <v>2307</v>
          </cell>
          <cell r="AM1497">
            <v>2202</v>
          </cell>
          <cell r="AN1497">
            <v>2301</v>
          </cell>
          <cell r="AO1497">
            <v>2309</v>
          </cell>
          <cell r="AP1497">
            <v>2218</v>
          </cell>
          <cell r="AQ1497">
            <v>2236</v>
          </cell>
          <cell r="AR1497">
            <v>2296</v>
          </cell>
          <cell r="AS1497">
            <v>2282</v>
          </cell>
          <cell r="AT1497">
            <v>183600</v>
          </cell>
        </row>
        <row r="1498">
          <cell r="G1498">
            <v>2412040101</v>
          </cell>
          <cell r="H1498" t="str">
            <v>114동</v>
          </cell>
          <cell r="I1498">
            <v>241204</v>
          </cell>
          <cell r="J1498" t="str">
            <v>114동 7층 바닥</v>
          </cell>
          <cell r="K1498">
            <v>288</v>
          </cell>
          <cell r="L1498">
            <v>288</v>
          </cell>
          <cell r="M1498">
            <v>3018</v>
          </cell>
          <cell r="N1498" t="str">
            <v>동양</v>
          </cell>
          <cell r="O1498" t="str">
            <v>펌프카(1대)</v>
          </cell>
          <cell r="P1498">
            <v>744</v>
          </cell>
          <cell r="Q1498">
            <v>1240</v>
          </cell>
          <cell r="R1498">
            <v>195</v>
          </cell>
          <cell r="S1498">
            <v>41</v>
          </cell>
          <cell r="T1498">
            <v>36</v>
          </cell>
          <cell r="U1498">
            <v>162</v>
          </cell>
          <cell r="V1498"/>
          <cell r="W1498" t="str">
            <v>김광록</v>
          </cell>
          <cell r="X1498" t="str">
            <v>(인)</v>
          </cell>
          <cell r="Y1498" t="str">
            <v>박순홍</v>
          </cell>
          <cell r="Z1498" t="str">
            <v>(인)</v>
          </cell>
          <cell r="AA1498" t="str">
            <v>박기원</v>
          </cell>
          <cell r="AB1498" t="str">
            <v>(인)</v>
          </cell>
          <cell r="AC1498" t="str">
            <v>박상갑</v>
          </cell>
          <cell r="AD1498" t="str">
            <v>(인)</v>
          </cell>
          <cell r="AE1498">
            <v>198.7</v>
          </cell>
          <cell r="AF1498" t="str">
            <v>동절기</v>
          </cell>
          <cell r="AG1498">
            <v>1</v>
          </cell>
          <cell r="AH1498">
            <v>1</v>
          </cell>
          <cell r="AI1498">
            <v>2704</v>
          </cell>
          <cell r="AJ1498">
            <v>2706</v>
          </cell>
          <cell r="AK1498">
            <v>21700</v>
          </cell>
          <cell r="AL1498">
            <v>3791</v>
          </cell>
          <cell r="AM1498">
            <v>3738</v>
          </cell>
          <cell r="AN1498">
            <v>3712</v>
          </cell>
          <cell r="AO1498">
            <v>3714</v>
          </cell>
          <cell r="AP1498">
            <v>3692</v>
          </cell>
          <cell r="AQ1498">
            <v>3720</v>
          </cell>
          <cell r="AR1498">
            <v>3684</v>
          </cell>
          <cell r="AS1498">
            <v>3681</v>
          </cell>
          <cell r="AT1498">
            <v>290600</v>
          </cell>
        </row>
        <row r="1499">
          <cell r="G1499">
            <v>2412040102</v>
          </cell>
          <cell r="H1499" t="str">
            <v>114동</v>
          </cell>
          <cell r="I1499">
            <v>241204</v>
          </cell>
          <cell r="J1499" t="str">
            <v>114동 7층 바닥</v>
          </cell>
          <cell r="K1499">
            <v>288</v>
          </cell>
          <cell r="L1499">
            <v>288</v>
          </cell>
          <cell r="M1499">
            <v>3018</v>
          </cell>
          <cell r="N1499" t="str">
            <v>동양</v>
          </cell>
          <cell r="O1499" t="str">
            <v>펌프카(1대)</v>
          </cell>
          <cell r="P1499">
            <v>744</v>
          </cell>
          <cell r="Q1499">
            <v>1240</v>
          </cell>
          <cell r="R1499">
            <v>200</v>
          </cell>
          <cell r="S1499">
            <v>44</v>
          </cell>
          <cell r="T1499">
            <v>40</v>
          </cell>
          <cell r="U1499">
            <v>185</v>
          </cell>
          <cell r="V1499"/>
          <cell r="W1499" t="str">
            <v>김광록</v>
          </cell>
          <cell r="X1499" t="str">
            <v>(인)</v>
          </cell>
          <cell r="Y1499" t="str">
            <v>박순홍</v>
          </cell>
          <cell r="Z1499" t="str">
            <v>(인)</v>
          </cell>
          <cell r="AA1499" t="str">
            <v>박기원</v>
          </cell>
          <cell r="AB1499" t="str">
            <v>(인)</v>
          </cell>
          <cell r="AC1499" t="str">
            <v>박상갑</v>
          </cell>
          <cell r="AD1499" t="str">
            <v>(인)</v>
          </cell>
          <cell r="AE1499">
            <v>197.8</v>
          </cell>
          <cell r="AF1499" t="str">
            <v>동절기</v>
          </cell>
          <cell r="AG1499">
            <v>2</v>
          </cell>
          <cell r="AH1499">
            <v>0</v>
          </cell>
        </row>
        <row r="1500">
          <cell r="G1500">
            <v>2412040103</v>
          </cell>
          <cell r="H1500" t="str">
            <v>114동</v>
          </cell>
          <cell r="I1500">
            <v>241204</v>
          </cell>
          <cell r="J1500" t="str">
            <v>114동 7층 바닥</v>
          </cell>
          <cell r="K1500">
            <v>288</v>
          </cell>
          <cell r="L1500">
            <v>288</v>
          </cell>
          <cell r="M1500">
            <v>3018</v>
          </cell>
          <cell r="N1500" t="str">
            <v>동양</v>
          </cell>
          <cell r="O1500" t="str">
            <v>펌프카(1대)</v>
          </cell>
          <cell r="P1500">
            <v>744</v>
          </cell>
          <cell r="Q1500">
            <v>1240</v>
          </cell>
          <cell r="R1500">
            <v>190</v>
          </cell>
          <cell r="S1500">
            <v>39</v>
          </cell>
          <cell r="T1500">
            <v>28</v>
          </cell>
          <cell r="U1500">
            <v>130</v>
          </cell>
          <cell r="V1500"/>
          <cell r="W1500" t="str">
            <v>김광록</v>
          </cell>
          <cell r="X1500" t="str">
            <v>(인)</v>
          </cell>
          <cell r="Y1500" t="str">
            <v>박순홍</v>
          </cell>
          <cell r="Z1500" t="str">
            <v>(인)</v>
          </cell>
          <cell r="AA1500" t="str">
            <v>박기원</v>
          </cell>
          <cell r="AB1500" t="str">
            <v>(인)</v>
          </cell>
          <cell r="AC1500" t="str">
            <v>박상갑</v>
          </cell>
          <cell r="AD1500" t="str">
            <v>(인)</v>
          </cell>
          <cell r="AE1500">
            <v>198.6</v>
          </cell>
          <cell r="AF1500" t="str">
            <v>동절기</v>
          </cell>
          <cell r="AG1500">
            <v>3</v>
          </cell>
          <cell r="AH1500">
            <v>0</v>
          </cell>
        </row>
        <row r="1501">
          <cell r="G1501">
            <v>2412040201</v>
          </cell>
          <cell r="H1501" t="str">
            <v>102동</v>
          </cell>
          <cell r="I1501">
            <v>241204</v>
          </cell>
          <cell r="J1501" t="str">
            <v>102동 15층 바닥, 103동 주출입구</v>
          </cell>
          <cell r="K1501">
            <v>294</v>
          </cell>
          <cell r="L1501">
            <v>294</v>
          </cell>
          <cell r="M1501">
            <v>3018</v>
          </cell>
          <cell r="N1501" t="str">
            <v>영진</v>
          </cell>
          <cell r="O1501" t="str">
            <v>펌프카(1대)</v>
          </cell>
          <cell r="P1501">
            <v>820</v>
          </cell>
          <cell r="Q1501">
            <v>1205</v>
          </cell>
          <cell r="R1501">
            <v>190</v>
          </cell>
          <cell r="S1501">
            <v>48</v>
          </cell>
          <cell r="T1501">
            <v>21</v>
          </cell>
          <cell r="U1501">
            <v>188</v>
          </cell>
          <cell r="V1501"/>
          <cell r="W1501" t="str">
            <v>박순홍</v>
          </cell>
          <cell r="X1501" t="str">
            <v>(인)</v>
          </cell>
          <cell r="Y1501" t="str">
            <v>박순홍</v>
          </cell>
          <cell r="Z1501" t="str">
            <v>(인)</v>
          </cell>
          <cell r="AA1501" t="str">
            <v>박기원</v>
          </cell>
          <cell r="AB1501" t="str">
            <v>(인)</v>
          </cell>
          <cell r="AC1501" t="str">
            <v>박상갑</v>
          </cell>
          <cell r="AD1501" t="str">
            <v>(인)</v>
          </cell>
          <cell r="AE1501">
            <v>171</v>
          </cell>
          <cell r="AF1501" t="str">
            <v>동절기</v>
          </cell>
          <cell r="AG1501">
            <v>1</v>
          </cell>
          <cell r="AH1501">
            <v>1</v>
          </cell>
          <cell r="AI1501">
            <v>2664</v>
          </cell>
          <cell r="AJ1501">
            <v>2629</v>
          </cell>
          <cell r="AK1501">
            <v>20700</v>
          </cell>
          <cell r="AL1501">
            <v>3567</v>
          </cell>
          <cell r="AM1501">
            <v>3679</v>
          </cell>
          <cell r="AN1501">
            <v>3589</v>
          </cell>
          <cell r="AO1501">
            <v>3626</v>
          </cell>
          <cell r="AP1501">
            <v>3602</v>
          </cell>
          <cell r="AQ1501">
            <v>3588</v>
          </cell>
          <cell r="AR1501">
            <v>3610</v>
          </cell>
          <cell r="AS1501">
            <v>3682</v>
          </cell>
          <cell r="AT1501">
            <v>288400</v>
          </cell>
        </row>
        <row r="1502">
          <cell r="G1502">
            <v>2412040202</v>
          </cell>
          <cell r="H1502" t="str">
            <v>102동</v>
          </cell>
          <cell r="I1502">
            <v>241204</v>
          </cell>
          <cell r="J1502" t="str">
            <v>102동 15층 바닥, 103동 주출입구</v>
          </cell>
          <cell r="K1502">
            <v>294</v>
          </cell>
          <cell r="L1502">
            <v>294</v>
          </cell>
          <cell r="M1502">
            <v>3018</v>
          </cell>
          <cell r="N1502" t="str">
            <v>영진</v>
          </cell>
          <cell r="O1502" t="str">
            <v>펌프카(1대)</v>
          </cell>
          <cell r="P1502">
            <v>820</v>
          </cell>
          <cell r="Q1502">
            <v>1205</v>
          </cell>
          <cell r="R1502">
            <v>200</v>
          </cell>
          <cell r="S1502">
            <v>50</v>
          </cell>
          <cell r="T1502">
            <v>69</v>
          </cell>
          <cell r="U1502">
            <v>192</v>
          </cell>
          <cell r="V1502"/>
          <cell r="W1502" t="str">
            <v>박순홍</v>
          </cell>
          <cell r="X1502" t="str">
            <v>(인)</v>
          </cell>
          <cell r="Y1502" t="str">
            <v>박순홍</v>
          </cell>
          <cell r="Z1502" t="str">
            <v>(인)</v>
          </cell>
          <cell r="AA1502" t="str">
            <v>박기원</v>
          </cell>
          <cell r="AB1502" t="str">
            <v>(인)</v>
          </cell>
          <cell r="AC1502" t="str">
            <v>박상갑</v>
          </cell>
          <cell r="AD1502" t="str">
            <v>(인)</v>
          </cell>
          <cell r="AE1502">
            <v>177.7</v>
          </cell>
          <cell r="AF1502" t="str">
            <v>동절기</v>
          </cell>
          <cell r="AG1502">
            <v>2</v>
          </cell>
          <cell r="AH1502">
            <v>0</v>
          </cell>
        </row>
        <row r="1503">
          <cell r="G1503">
            <v>2412040203</v>
          </cell>
          <cell r="H1503" t="str">
            <v>102동</v>
          </cell>
          <cell r="I1503">
            <v>241204</v>
          </cell>
          <cell r="J1503" t="str">
            <v>102동 15층 바닥, 103동 주출입구</v>
          </cell>
          <cell r="K1503">
            <v>294</v>
          </cell>
          <cell r="L1503">
            <v>294</v>
          </cell>
          <cell r="M1503">
            <v>3018</v>
          </cell>
          <cell r="N1503" t="str">
            <v>영진</v>
          </cell>
          <cell r="O1503" t="str">
            <v>펌프카(1대)</v>
          </cell>
          <cell r="P1503">
            <v>820</v>
          </cell>
          <cell r="Q1503">
            <v>1205</v>
          </cell>
          <cell r="R1503">
            <v>185</v>
          </cell>
          <cell r="S1503">
            <v>49</v>
          </cell>
          <cell r="T1503">
            <v>131</v>
          </cell>
          <cell r="U1503">
            <v>180</v>
          </cell>
          <cell r="V1503"/>
          <cell r="W1503" t="str">
            <v>박순홍</v>
          </cell>
          <cell r="X1503" t="str">
            <v>(인)</v>
          </cell>
          <cell r="Y1503" t="str">
            <v>박순홍</v>
          </cell>
          <cell r="Z1503" t="str">
            <v>(인)</v>
          </cell>
          <cell r="AA1503" t="str">
            <v>박기원</v>
          </cell>
          <cell r="AB1503" t="str">
            <v>(인)</v>
          </cell>
          <cell r="AC1503" t="str">
            <v>박상갑</v>
          </cell>
          <cell r="AD1503" t="str">
            <v>(인)</v>
          </cell>
          <cell r="AE1503">
            <v>163.80000000000001</v>
          </cell>
          <cell r="AF1503" t="str">
            <v>동절기</v>
          </cell>
          <cell r="AG1503">
            <v>3</v>
          </cell>
          <cell r="AH1503">
            <v>0</v>
          </cell>
        </row>
        <row r="1504">
          <cell r="G1504">
            <v>2412040301</v>
          </cell>
          <cell r="H1504" t="str">
            <v>108동</v>
          </cell>
          <cell r="I1504">
            <v>241204</v>
          </cell>
          <cell r="J1504" t="str">
            <v>108동 3층 바닥, 수영장 주변 파라펫</v>
          </cell>
          <cell r="K1504">
            <v>306</v>
          </cell>
          <cell r="L1504">
            <v>306</v>
          </cell>
          <cell r="M1504">
            <v>3018</v>
          </cell>
          <cell r="N1504" t="str">
            <v>영진</v>
          </cell>
          <cell r="O1504" t="str">
            <v>펌프카(1대)</v>
          </cell>
          <cell r="P1504">
            <v>1345</v>
          </cell>
          <cell r="Q1504">
            <v>1723</v>
          </cell>
          <cell r="R1504">
            <v>195</v>
          </cell>
          <cell r="S1504">
            <v>48</v>
          </cell>
          <cell r="T1504">
            <v>43</v>
          </cell>
          <cell r="U1504">
            <v>172</v>
          </cell>
          <cell r="V1504"/>
          <cell r="W1504" t="str">
            <v>박순홍</v>
          </cell>
          <cell r="X1504" t="str">
            <v>(인)</v>
          </cell>
          <cell r="Y1504" t="str">
            <v>박순홍</v>
          </cell>
          <cell r="Z1504" t="str">
            <v>(인)</v>
          </cell>
          <cell r="AA1504" t="str">
            <v>박기원</v>
          </cell>
          <cell r="AB1504" t="str">
            <v>(인)</v>
          </cell>
          <cell r="AC1504" t="str">
            <v>박상갑</v>
          </cell>
          <cell r="AD1504" t="str">
            <v>(인)</v>
          </cell>
          <cell r="AE1504">
            <v>184.3</v>
          </cell>
          <cell r="AF1504" t="str">
            <v>동절기</v>
          </cell>
          <cell r="AG1504">
            <v>1</v>
          </cell>
          <cell r="AH1504">
            <v>1</v>
          </cell>
          <cell r="AI1504">
            <v>2752</v>
          </cell>
          <cell r="AJ1504">
            <v>2609</v>
          </cell>
          <cell r="AK1504">
            <v>21100</v>
          </cell>
          <cell r="AL1504">
            <v>3666</v>
          </cell>
          <cell r="AM1504">
            <v>3679</v>
          </cell>
          <cell r="AN1504">
            <v>3710</v>
          </cell>
          <cell r="AO1504">
            <v>3630</v>
          </cell>
          <cell r="AP1504">
            <v>3681</v>
          </cell>
          <cell r="AQ1504">
            <v>3687</v>
          </cell>
          <cell r="AR1504">
            <v>3682</v>
          </cell>
          <cell r="AS1504">
            <v>3701</v>
          </cell>
          <cell r="AT1504">
            <v>287000</v>
          </cell>
        </row>
        <row r="1505">
          <cell r="G1505">
            <v>2412040302</v>
          </cell>
          <cell r="H1505" t="str">
            <v>108동</v>
          </cell>
          <cell r="I1505">
            <v>241204</v>
          </cell>
          <cell r="J1505" t="str">
            <v>108동 3층 바닥, 수영장 주변 파라펫</v>
          </cell>
          <cell r="K1505">
            <v>306</v>
          </cell>
          <cell r="L1505">
            <v>306</v>
          </cell>
          <cell r="M1505">
            <v>3018</v>
          </cell>
          <cell r="N1505" t="str">
            <v>영진</v>
          </cell>
          <cell r="O1505" t="str">
            <v>펌프카(1대)</v>
          </cell>
          <cell r="P1505">
            <v>1345</v>
          </cell>
          <cell r="Q1505">
            <v>1723</v>
          </cell>
          <cell r="R1505">
            <v>185</v>
          </cell>
          <cell r="S1505">
            <v>43</v>
          </cell>
          <cell r="T1505">
            <v>10</v>
          </cell>
          <cell r="U1505">
            <v>174</v>
          </cell>
          <cell r="V1505"/>
          <cell r="W1505" t="str">
            <v>박순홍</v>
          </cell>
          <cell r="X1505" t="str">
            <v>(인)</v>
          </cell>
          <cell r="Y1505" t="str">
            <v>박순홍</v>
          </cell>
          <cell r="Z1505" t="str">
            <v>(인)</v>
          </cell>
          <cell r="AA1505" t="str">
            <v>박기원</v>
          </cell>
          <cell r="AB1505" t="str">
            <v>(인)</v>
          </cell>
          <cell r="AC1505" t="str">
            <v>박상갑</v>
          </cell>
          <cell r="AD1505" t="str">
            <v>(인)</v>
          </cell>
          <cell r="AE1505">
            <v>184.3</v>
          </cell>
          <cell r="AF1505" t="str">
            <v>동절기</v>
          </cell>
          <cell r="AG1505">
            <v>2</v>
          </cell>
          <cell r="AH1505">
            <v>0</v>
          </cell>
        </row>
        <row r="1506">
          <cell r="G1506">
            <v>2412040303</v>
          </cell>
          <cell r="H1506" t="str">
            <v>108동</v>
          </cell>
          <cell r="I1506">
            <v>241204</v>
          </cell>
          <cell r="J1506" t="str">
            <v>108동 3층 바닥, 수영장 주변 파라펫</v>
          </cell>
          <cell r="K1506">
            <v>306</v>
          </cell>
          <cell r="L1506">
            <v>306</v>
          </cell>
          <cell r="M1506">
            <v>3018</v>
          </cell>
          <cell r="N1506" t="str">
            <v>영진</v>
          </cell>
          <cell r="O1506" t="str">
            <v>펌프카(1대)</v>
          </cell>
          <cell r="P1506">
            <v>1345</v>
          </cell>
          <cell r="Q1506">
            <v>1723</v>
          </cell>
          <cell r="R1506">
            <v>190</v>
          </cell>
          <cell r="S1506">
            <v>42</v>
          </cell>
          <cell r="T1506">
            <v>31</v>
          </cell>
          <cell r="U1506">
            <v>185</v>
          </cell>
          <cell r="V1506"/>
          <cell r="W1506" t="str">
            <v>박순홍</v>
          </cell>
          <cell r="X1506" t="str">
            <v>(인)</v>
          </cell>
          <cell r="Y1506" t="str">
            <v>박순홍</v>
          </cell>
          <cell r="Z1506" t="str">
            <v>(인)</v>
          </cell>
          <cell r="AA1506" t="str">
            <v>박기원</v>
          </cell>
          <cell r="AB1506" t="str">
            <v>(인)</v>
          </cell>
          <cell r="AC1506" t="str">
            <v>박상갑</v>
          </cell>
          <cell r="AD1506" t="str">
            <v>(인)</v>
          </cell>
          <cell r="AE1506">
            <v>186</v>
          </cell>
          <cell r="AF1506" t="str">
            <v>동절기</v>
          </cell>
          <cell r="AG1506">
            <v>3</v>
          </cell>
          <cell r="AH1506">
            <v>0</v>
          </cell>
        </row>
        <row r="1507">
          <cell r="G1507">
            <v>2412050101</v>
          </cell>
          <cell r="H1507" t="str">
            <v>111동</v>
          </cell>
          <cell r="I1507">
            <v>241205</v>
          </cell>
          <cell r="J1507" t="str">
            <v>111동 11층 바닥</v>
          </cell>
          <cell r="K1507">
            <v>293</v>
          </cell>
          <cell r="L1507">
            <v>293</v>
          </cell>
          <cell r="M1507">
            <v>3018</v>
          </cell>
          <cell r="N1507" t="str">
            <v>대공</v>
          </cell>
          <cell r="O1507" t="str">
            <v>펌프카(1대)</v>
          </cell>
          <cell r="P1507">
            <v>917</v>
          </cell>
          <cell r="Q1507">
            <v>1612</v>
          </cell>
          <cell r="R1507">
            <v>185</v>
          </cell>
          <cell r="S1507">
            <v>42</v>
          </cell>
          <cell r="T1507">
            <v>33</v>
          </cell>
          <cell r="U1507">
            <v>162</v>
          </cell>
          <cell r="V1507"/>
          <cell r="W1507" t="str">
            <v>김광록</v>
          </cell>
          <cell r="X1507" t="str">
            <v>(인)</v>
          </cell>
          <cell r="Y1507" t="str">
            <v>박순홍</v>
          </cell>
          <cell r="Z1507" t="str">
            <v>(인)</v>
          </cell>
          <cell r="AA1507" t="str">
            <v>박기원</v>
          </cell>
          <cell r="AB1507" t="str">
            <v>(인)</v>
          </cell>
          <cell r="AC1507" t="str">
            <v>박상갑</v>
          </cell>
          <cell r="AD1507" t="str">
            <v>(인)</v>
          </cell>
          <cell r="AE1507">
            <v>179.3</v>
          </cell>
          <cell r="AF1507" t="str">
            <v>동절기</v>
          </cell>
          <cell r="AG1507">
            <v>1</v>
          </cell>
          <cell r="AH1507">
            <v>1</v>
          </cell>
          <cell r="AI1507">
            <v>2824</v>
          </cell>
          <cell r="AJ1507">
            <v>2794</v>
          </cell>
          <cell r="AK1507">
            <v>221400</v>
          </cell>
          <cell r="AL1507">
            <v>3661</v>
          </cell>
          <cell r="AM1507">
            <v>3756</v>
          </cell>
          <cell r="AN1507">
            <v>3712</v>
          </cell>
          <cell r="AO1507">
            <v>3684</v>
          </cell>
          <cell r="AP1507">
            <v>3719</v>
          </cell>
          <cell r="AQ1507">
            <v>3736</v>
          </cell>
          <cell r="AR1507">
            <v>3802</v>
          </cell>
          <cell r="AS1507">
            <v>3684</v>
          </cell>
          <cell r="AT1507">
            <v>297600</v>
          </cell>
        </row>
        <row r="1508">
          <cell r="G1508">
            <v>2412050102</v>
          </cell>
          <cell r="H1508" t="str">
            <v>111동</v>
          </cell>
          <cell r="I1508">
            <v>241205</v>
          </cell>
          <cell r="J1508" t="str">
            <v>111동 11층 바닥</v>
          </cell>
          <cell r="K1508">
            <v>293</v>
          </cell>
          <cell r="L1508">
            <v>293</v>
          </cell>
          <cell r="M1508">
            <v>3018</v>
          </cell>
          <cell r="N1508" t="str">
            <v>대공</v>
          </cell>
          <cell r="O1508" t="str">
            <v>펌프카(1대)</v>
          </cell>
          <cell r="P1508">
            <v>917</v>
          </cell>
          <cell r="Q1508">
            <v>1612</v>
          </cell>
          <cell r="R1508">
            <v>190</v>
          </cell>
          <cell r="S1508">
            <v>46</v>
          </cell>
          <cell r="T1508">
            <v>115</v>
          </cell>
          <cell r="U1508">
            <v>170</v>
          </cell>
          <cell r="V1508"/>
          <cell r="W1508" t="str">
            <v>김광록</v>
          </cell>
          <cell r="X1508" t="str">
            <v>(인)</v>
          </cell>
          <cell r="Y1508" t="str">
            <v>박순홍</v>
          </cell>
          <cell r="Z1508" t="str">
            <v>(인)</v>
          </cell>
          <cell r="AA1508" t="str">
            <v>박기원</v>
          </cell>
          <cell r="AB1508" t="str">
            <v>(인)</v>
          </cell>
          <cell r="AC1508" t="str">
            <v>박상갑</v>
          </cell>
          <cell r="AD1508" t="str">
            <v>(인)</v>
          </cell>
          <cell r="AE1508">
            <v>178.2</v>
          </cell>
          <cell r="AF1508" t="str">
            <v>동절기</v>
          </cell>
          <cell r="AG1508">
            <v>2</v>
          </cell>
          <cell r="AH1508">
            <v>0</v>
          </cell>
        </row>
        <row r="1509">
          <cell r="G1509">
            <v>2412050103</v>
          </cell>
          <cell r="H1509" t="str">
            <v>111동</v>
          </cell>
          <cell r="I1509">
            <v>241205</v>
          </cell>
          <cell r="J1509" t="str">
            <v>111동 11층 바닥</v>
          </cell>
          <cell r="K1509">
            <v>293</v>
          </cell>
          <cell r="L1509">
            <v>293</v>
          </cell>
          <cell r="M1509">
            <v>3018</v>
          </cell>
          <cell r="N1509" t="str">
            <v>대공</v>
          </cell>
          <cell r="O1509" t="str">
            <v>펌프카(1대)</v>
          </cell>
          <cell r="P1509">
            <v>917</v>
          </cell>
          <cell r="Q1509">
            <v>1612</v>
          </cell>
          <cell r="R1509">
            <v>170</v>
          </cell>
          <cell r="S1509">
            <v>40</v>
          </cell>
          <cell r="T1509">
            <v>34</v>
          </cell>
          <cell r="U1509">
            <v>171</v>
          </cell>
          <cell r="V1509"/>
          <cell r="W1509" t="str">
            <v>김광록</v>
          </cell>
          <cell r="X1509" t="str">
            <v>(인)</v>
          </cell>
          <cell r="Y1509" t="str">
            <v>박순홍</v>
          </cell>
          <cell r="Z1509" t="str">
            <v>(인)</v>
          </cell>
          <cell r="AA1509" t="str">
            <v>박기원</v>
          </cell>
          <cell r="AB1509" t="str">
            <v>(인)</v>
          </cell>
          <cell r="AC1509" t="str">
            <v>박상갑</v>
          </cell>
          <cell r="AD1509" t="str">
            <v>(인)</v>
          </cell>
          <cell r="AE1509">
            <v>178.9</v>
          </cell>
          <cell r="AF1509" t="str">
            <v>동절기</v>
          </cell>
          <cell r="AG1509">
            <v>3</v>
          </cell>
          <cell r="AH1509">
            <v>0</v>
          </cell>
        </row>
        <row r="1510">
          <cell r="G1510">
            <v>2412050201</v>
          </cell>
          <cell r="H1510" t="str">
            <v>112동</v>
          </cell>
          <cell r="I1510">
            <v>241205</v>
          </cell>
          <cell r="J1510" t="str">
            <v>112동 2층 바닥, 102동 105동 필로티 램프</v>
          </cell>
          <cell r="K1510">
            <v>282</v>
          </cell>
          <cell r="L1510">
            <v>282</v>
          </cell>
          <cell r="M1510">
            <v>3018</v>
          </cell>
          <cell r="N1510" t="str">
            <v>용호</v>
          </cell>
          <cell r="O1510" t="str">
            <v>펌프카(1대)</v>
          </cell>
          <cell r="P1510">
            <v>746</v>
          </cell>
          <cell r="Q1510">
            <v>1550</v>
          </cell>
          <cell r="R1510">
            <v>195</v>
          </cell>
          <cell r="S1510">
            <v>44</v>
          </cell>
          <cell r="T1510">
            <v>23</v>
          </cell>
          <cell r="U1510">
            <v>138</v>
          </cell>
          <cell r="V1510"/>
          <cell r="W1510" t="str">
            <v>김광록</v>
          </cell>
          <cell r="X1510" t="str">
            <v>(인)</v>
          </cell>
          <cell r="Y1510" t="str">
            <v>박순홍</v>
          </cell>
          <cell r="Z1510" t="str">
            <v>(인)</v>
          </cell>
          <cell r="AA1510" t="str">
            <v>박기원</v>
          </cell>
          <cell r="AB1510" t="str">
            <v>(인)</v>
          </cell>
          <cell r="AC1510" t="str">
            <v>박상갑</v>
          </cell>
          <cell r="AD1510" t="str">
            <v>(인)</v>
          </cell>
          <cell r="AE1510">
            <v>184.6</v>
          </cell>
          <cell r="AF1510" t="str">
            <v>동절기</v>
          </cell>
          <cell r="AG1510">
            <v>1</v>
          </cell>
          <cell r="AH1510">
            <v>1</v>
          </cell>
          <cell r="AI1510">
            <v>2811</v>
          </cell>
          <cell r="AJ1510">
            <v>2785</v>
          </cell>
          <cell r="AK1510">
            <v>214200</v>
          </cell>
          <cell r="AL1510">
            <v>3710</v>
          </cell>
          <cell r="AM1510">
            <v>3575</v>
          </cell>
          <cell r="AN1510">
            <v>3589</v>
          </cell>
          <cell r="AO1510">
            <v>3636</v>
          </cell>
          <cell r="AP1510">
            <v>3682</v>
          </cell>
          <cell r="AQ1510">
            <v>3702</v>
          </cell>
          <cell r="AR1510">
            <v>3702</v>
          </cell>
          <cell r="AS1510">
            <v>3711</v>
          </cell>
          <cell r="AT1510">
            <v>290600</v>
          </cell>
        </row>
        <row r="1511">
          <cell r="G1511">
            <v>2412050202</v>
          </cell>
          <cell r="H1511" t="str">
            <v>112동</v>
          </cell>
          <cell r="I1511">
            <v>241205</v>
          </cell>
          <cell r="J1511" t="str">
            <v>112동 2층바닥, 102동 105동 필로티 램프</v>
          </cell>
          <cell r="K1511">
            <v>282</v>
          </cell>
          <cell r="L1511">
            <v>282</v>
          </cell>
          <cell r="M1511">
            <v>3018</v>
          </cell>
          <cell r="N1511" t="str">
            <v>용호</v>
          </cell>
          <cell r="O1511" t="str">
            <v>펌프카(1대)</v>
          </cell>
          <cell r="P1511">
            <v>746</v>
          </cell>
          <cell r="Q1511">
            <v>1550</v>
          </cell>
          <cell r="R1511">
            <v>190</v>
          </cell>
          <cell r="S1511">
            <v>41</v>
          </cell>
          <cell r="T1511">
            <v>81</v>
          </cell>
          <cell r="U1511">
            <v>121</v>
          </cell>
          <cell r="V1511"/>
          <cell r="W1511" t="str">
            <v>김광록</v>
          </cell>
          <cell r="X1511" t="str">
            <v>(인)</v>
          </cell>
          <cell r="Y1511" t="str">
            <v>박순홍</v>
          </cell>
          <cell r="Z1511" t="str">
            <v>(인)</v>
          </cell>
          <cell r="AA1511" t="str">
            <v>박기원</v>
          </cell>
          <cell r="AB1511" t="str">
            <v>(인)</v>
          </cell>
          <cell r="AC1511" t="str">
            <v>박상갑</v>
          </cell>
          <cell r="AD1511" t="str">
            <v>(인)</v>
          </cell>
          <cell r="AE1511">
            <v>187.4</v>
          </cell>
          <cell r="AF1511" t="str">
            <v>동절기</v>
          </cell>
          <cell r="AG1511">
            <v>2</v>
          </cell>
          <cell r="AH1511">
            <v>0</v>
          </cell>
        </row>
        <row r="1512">
          <cell r="G1512">
            <v>2412050203</v>
          </cell>
          <cell r="H1512" t="str">
            <v>112동</v>
          </cell>
          <cell r="I1512">
            <v>241205</v>
          </cell>
          <cell r="J1512" t="str">
            <v>112동 2층바닥, 102동 105동 필로티 램프</v>
          </cell>
          <cell r="K1512">
            <v>282</v>
          </cell>
          <cell r="L1512">
            <v>282</v>
          </cell>
          <cell r="M1512">
            <v>3018</v>
          </cell>
          <cell r="N1512" t="str">
            <v>용호</v>
          </cell>
          <cell r="O1512" t="str">
            <v>펌프카(1대)</v>
          </cell>
          <cell r="P1512">
            <v>746</v>
          </cell>
          <cell r="Q1512">
            <v>1550</v>
          </cell>
          <cell r="R1512">
            <v>180</v>
          </cell>
          <cell r="S1512">
            <v>39</v>
          </cell>
          <cell r="T1512">
            <v>58</v>
          </cell>
          <cell r="U1512">
            <v>131</v>
          </cell>
          <cell r="V1512"/>
          <cell r="W1512" t="str">
            <v>김광록</v>
          </cell>
          <cell r="X1512" t="str">
            <v>(인)</v>
          </cell>
          <cell r="Y1512" t="str">
            <v>박순홍</v>
          </cell>
          <cell r="Z1512" t="str">
            <v>(인)</v>
          </cell>
          <cell r="AA1512" t="str">
            <v>박기원</v>
          </cell>
          <cell r="AB1512" t="str">
            <v>(인)</v>
          </cell>
          <cell r="AC1512" t="str">
            <v>박상갑</v>
          </cell>
          <cell r="AD1512" t="str">
            <v>(인)</v>
          </cell>
          <cell r="AE1512">
            <v>196.3</v>
          </cell>
          <cell r="AF1512" t="str">
            <v>동절기</v>
          </cell>
          <cell r="AG1512">
            <v>3</v>
          </cell>
          <cell r="AH1512">
            <v>0</v>
          </cell>
        </row>
        <row r="1513">
          <cell r="G1513">
            <v>2412060101</v>
          </cell>
          <cell r="H1513" t="str">
            <v>110동</v>
          </cell>
          <cell r="I1513">
            <v>241206</v>
          </cell>
          <cell r="J1513" t="str">
            <v>110동 9층 바닥</v>
          </cell>
          <cell r="K1513">
            <v>288</v>
          </cell>
          <cell r="L1513">
            <v>288</v>
          </cell>
          <cell r="M1513">
            <v>3018</v>
          </cell>
          <cell r="N1513" t="str">
            <v>용호</v>
          </cell>
          <cell r="O1513" t="str">
            <v>펌프카(1대)</v>
          </cell>
          <cell r="P1513">
            <v>900</v>
          </cell>
          <cell r="Q1513">
            <v>1240</v>
          </cell>
          <cell r="R1513">
            <v>190</v>
          </cell>
          <cell r="S1513">
            <v>44</v>
          </cell>
          <cell r="T1513">
            <v>12</v>
          </cell>
          <cell r="U1513">
            <v>153</v>
          </cell>
          <cell r="V1513"/>
          <cell r="W1513" t="str">
            <v>박순홍</v>
          </cell>
          <cell r="X1513" t="str">
            <v>(인)</v>
          </cell>
          <cell r="Y1513" t="str">
            <v>박순홍</v>
          </cell>
          <cell r="Z1513" t="str">
            <v>(인)</v>
          </cell>
          <cell r="AA1513" t="str">
            <v>박기원</v>
          </cell>
          <cell r="AB1513" t="str">
            <v>(인)</v>
          </cell>
          <cell r="AC1513" t="str">
            <v>박상갑</v>
          </cell>
          <cell r="AD1513" t="str">
            <v>(인)</v>
          </cell>
          <cell r="AE1513">
            <v>186.7</v>
          </cell>
          <cell r="AF1513" t="str">
            <v>동절기</v>
          </cell>
          <cell r="AG1513">
            <v>1</v>
          </cell>
          <cell r="AH1513">
            <v>1</v>
          </cell>
          <cell r="AI1513">
            <v>2768</v>
          </cell>
          <cell r="AJ1513">
            <v>2702</v>
          </cell>
          <cell r="AK1513">
            <v>218000</v>
          </cell>
          <cell r="AL1513">
            <v>3728</v>
          </cell>
          <cell r="AM1513">
            <v>3845</v>
          </cell>
          <cell r="AN1513">
            <v>3780</v>
          </cell>
          <cell r="AO1513">
            <v>3684</v>
          </cell>
          <cell r="AP1513">
            <v>3692</v>
          </cell>
          <cell r="AQ1513">
            <v>3813</v>
          </cell>
          <cell r="AR1513">
            <v>3807</v>
          </cell>
          <cell r="AS1513">
            <v>3797</v>
          </cell>
          <cell r="AT1513">
            <v>290800</v>
          </cell>
        </row>
        <row r="1514">
          <cell r="G1514">
            <v>2412060102</v>
          </cell>
          <cell r="H1514" t="str">
            <v>110동</v>
          </cell>
          <cell r="I1514">
            <v>241206</v>
          </cell>
          <cell r="J1514" t="str">
            <v>110동 9층 바닥</v>
          </cell>
          <cell r="K1514">
            <v>288</v>
          </cell>
          <cell r="L1514">
            <v>288</v>
          </cell>
          <cell r="M1514">
            <v>3018</v>
          </cell>
          <cell r="N1514" t="str">
            <v>용호</v>
          </cell>
          <cell r="O1514" t="str">
            <v>펌프카(1대)</v>
          </cell>
          <cell r="P1514">
            <v>900</v>
          </cell>
          <cell r="Q1514">
            <v>1240</v>
          </cell>
          <cell r="R1514">
            <v>185</v>
          </cell>
          <cell r="S1514">
            <v>46</v>
          </cell>
          <cell r="T1514">
            <v>65</v>
          </cell>
          <cell r="U1514">
            <v>155</v>
          </cell>
          <cell r="V1514"/>
          <cell r="W1514" t="str">
            <v>박순홍</v>
          </cell>
          <cell r="X1514" t="str">
            <v>(인)</v>
          </cell>
          <cell r="Y1514" t="str">
            <v>박순홍</v>
          </cell>
          <cell r="Z1514" t="str">
            <v>(인)</v>
          </cell>
          <cell r="AA1514" t="str">
            <v>박기원</v>
          </cell>
          <cell r="AB1514" t="str">
            <v>(인)</v>
          </cell>
          <cell r="AC1514" t="str">
            <v>박상갑</v>
          </cell>
          <cell r="AD1514" t="str">
            <v>(인)</v>
          </cell>
          <cell r="AE1514">
            <v>184.3</v>
          </cell>
          <cell r="AF1514" t="str">
            <v>동절기</v>
          </cell>
          <cell r="AG1514">
            <v>2</v>
          </cell>
          <cell r="AH1514">
            <v>0</v>
          </cell>
        </row>
        <row r="1515">
          <cell r="G1515">
            <v>2412060103</v>
          </cell>
          <cell r="H1515" t="str">
            <v>110동</v>
          </cell>
          <cell r="I1515">
            <v>241206</v>
          </cell>
          <cell r="J1515" t="str">
            <v>110동 9층 바닥</v>
          </cell>
          <cell r="K1515">
            <v>288</v>
          </cell>
          <cell r="L1515">
            <v>288</v>
          </cell>
          <cell r="M1515">
            <v>3018</v>
          </cell>
          <cell r="N1515" t="str">
            <v>용호</v>
          </cell>
          <cell r="O1515" t="str">
            <v>펌프카(1대)</v>
          </cell>
          <cell r="P1515">
            <v>900</v>
          </cell>
          <cell r="Q1515">
            <v>1240</v>
          </cell>
          <cell r="R1515">
            <v>180</v>
          </cell>
          <cell r="S1515">
            <v>48</v>
          </cell>
          <cell r="T1515">
            <v>18</v>
          </cell>
          <cell r="U1515">
            <v>148</v>
          </cell>
          <cell r="V1515"/>
          <cell r="W1515" t="str">
            <v>박순홍</v>
          </cell>
          <cell r="X1515" t="str">
            <v>(인)</v>
          </cell>
          <cell r="Y1515" t="str">
            <v>박순홍</v>
          </cell>
          <cell r="Z1515" t="str">
            <v>(인)</v>
          </cell>
          <cell r="AA1515" t="str">
            <v>박기원</v>
          </cell>
          <cell r="AB1515" t="str">
            <v>(인)</v>
          </cell>
          <cell r="AC1515" t="str">
            <v>박상갑</v>
          </cell>
          <cell r="AD1515" t="str">
            <v>(인)</v>
          </cell>
          <cell r="AE1515">
            <v>191.2</v>
          </cell>
          <cell r="AF1515" t="str">
            <v>동절기</v>
          </cell>
          <cell r="AG1515">
            <v>3</v>
          </cell>
          <cell r="AH1515">
            <v>0</v>
          </cell>
        </row>
        <row r="1516">
          <cell r="G1516">
            <v>2412060201</v>
          </cell>
          <cell r="H1516" t="str">
            <v>118동</v>
          </cell>
          <cell r="I1516">
            <v>241206</v>
          </cell>
          <cell r="J1516" t="str">
            <v>가설램프 주변 기초</v>
          </cell>
          <cell r="K1516">
            <v>29</v>
          </cell>
          <cell r="L1516">
            <v>29</v>
          </cell>
          <cell r="M1516">
            <v>2415</v>
          </cell>
          <cell r="N1516" t="str">
            <v>영진</v>
          </cell>
          <cell r="O1516" t="str">
            <v>펌프카(1대)</v>
          </cell>
          <cell r="P1516">
            <v>1400</v>
          </cell>
          <cell r="Q1516">
            <v>1430</v>
          </cell>
          <cell r="R1516">
            <v>150</v>
          </cell>
          <cell r="S1516">
            <v>49</v>
          </cell>
          <cell r="T1516">
            <v>58</v>
          </cell>
          <cell r="U1516">
            <v>143</v>
          </cell>
          <cell r="V1516"/>
          <cell r="W1516" t="str">
            <v>김광록</v>
          </cell>
          <cell r="X1516" t="str">
            <v>(인)</v>
          </cell>
          <cell r="Y1516" t="str">
            <v>박순홍</v>
          </cell>
          <cell r="Z1516" t="str">
            <v>(인)</v>
          </cell>
          <cell r="AA1516" t="str">
            <v>박기원</v>
          </cell>
          <cell r="AB1516" t="str">
            <v>(인)</v>
          </cell>
          <cell r="AC1516" t="str">
            <v>박상갑</v>
          </cell>
          <cell r="AD1516" t="str">
            <v>(인)</v>
          </cell>
          <cell r="AE1516">
            <v>168.9</v>
          </cell>
          <cell r="AF1516" t="str">
            <v>동절기</v>
          </cell>
          <cell r="AG1516">
            <v>1</v>
          </cell>
          <cell r="AH1516">
            <v>1</v>
          </cell>
          <cell r="AI1516">
            <v>2205</v>
          </cell>
          <cell r="AJ1516">
            <v>2109</v>
          </cell>
          <cell r="AK1516">
            <v>168000</v>
          </cell>
          <cell r="AL1516">
            <v>3144</v>
          </cell>
          <cell r="AM1516">
            <v>3129</v>
          </cell>
          <cell r="AN1516">
            <v>3084</v>
          </cell>
          <cell r="AO1516">
            <v>3069</v>
          </cell>
          <cell r="AP1516">
            <v>3112</v>
          </cell>
          <cell r="AQ1516">
            <v>3084</v>
          </cell>
          <cell r="AR1516">
            <v>3017</v>
          </cell>
          <cell r="AS1516">
            <v>3127</v>
          </cell>
          <cell r="AT1516">
            <v>250800</v>
          </cell>
        </row>
        <row r="1517">
          <cell r="G1517">
            <v>2412060301</v>
          </cell>
          <cell r="H1517" t="str">
            <v>어린이집</v>
          </cell>
          <cell r="I1517">
            <v>241206</v>
          </cell>
          <cell r="J1517" t="str">
            <v>어린이집 주변 누름</v>
          </cell>
          <cell r="K1517">
            <v>95</v>
          </cell>
          <cell r="L1517">
            <v>95</v>
          </cell>
          <cell r="M1517">
            <v>1815</v>
          </cell>
          <cell r="N1517" t="str">
            <v>용호</v>
          </cell>
          <cell r="O1517" t="str">
            <v>펌프카(1대)</v>
          </cell>
          <cell r="P1517">
            <v>1420</v>
          </cell>
          <cell r="Q1517">
            <v>1603</v>
          </cell>
          <cell r="R1517">
            <v>155</v>
          </cell>
          <cell r="S1517">
            <v>38</v>
          </cell>
          <cell r="T1517">
            <v>13</v>
          </cell>
          <cell r="U1517">
            <v>153</v>
          </cell>
          <cell r="V1517"/>
          <cell r="W1517" t="str">
            <v>김광록</v>
          </cell>
          <cell r="X1517" t="str">
            <v>(인)</v>
          </cell>
          <cell r="Y1517" t="str">
            <v>박순홍</v>
          </cell>
          <cell r="Z1517" t="str">
            <v>(인)</v>
          </cell>
          <cell r="AA1517" t="str">
            <v>박기원</v>
          </cell>
          <cell r="AB1517" t="str">
            <v>(인)</v>
          </cell>
          <cell r="AC1517" t="str">
            <v>박상갑</v>
          </cell>
          <cell r="AD1517" t="str">
            <v>(인)</v>
          </cell>
          <cell r="AE1517">
            <v>170.5</v>
          </cell>
          <cell r="AF1517" t="str">
            <v>동절기</v>
          </cell>
          <cell r="AG1517">
            <v>1</v>
          </cell>
          <cell r="AH1517">
            <v>1</v>
          </cell>
          <cell r="AI1517">
            <v>1499</v>
          </cell>
          <cell r="AJ1517">
            <v>1509</v>
          </cell>
          <cell r="AK1517">
            <v>125400</v>
          </cell>
          <cell r="AL1517">
            <v>2429</v>
          </cell>
          <cell r="AM1517">
            <v>2375</v>
          </cell>
          <cell r="AN1517">
            <v>2370</v>
          </cell>
          <cell r="AO1517">
            <v>2412</v>
          </cell>
          <cell r="AP1517">
            <v>2402</v>
          </cell>
          <cell r="AQ1517">
            <v>2386</v>
          </cell>
          <cell r="AR1517">
            <v>2386</v>
          </cell>
          <cell r="AS1517">
            <v>2378</v>
          </cell>
          <cell r="AT1517">
            <v>183400</v>
          </cell>
        </row>
        <row r="1518">
          <cell r="G1518">
            <v>2412090101</v>
          </cell>
          <cell r="H1518" t="str">
            <v>101동</v>
          </cell>
          <cell r="I1518">
            <v>241209</v>
          </cell>
          <cell r="J1518" t="str">
            <v>101동 14층 바닥 및 105동, 107동 필로티</v>
          </cell>
          <cell r="K1518">
            <v>300</v>
          </cell>
          <cell r="L1518">
            <v>300</v>
          </cell>
          <cell r="M1518">
            <v>3018</v>
          </cell>
          <cell r="N1518" t="str">
            <v>대원</v>
          </cell>
          <cell r="O1518" t="str">
            <v>펌프카(1대)</v>
          </cell>
          <cell r="P1518">
            <v>814</v>
          </cell>
          <cell r="Q1518">
            <v>1324</v>
          </cell>
          <cell r="R1518">
            <v>175</v>
          </cell>
          <cell r="S1518">
            <v>48</v>
          </cell>
          <cell r="T1518">
            <v>102</v>
          </cell>
          <cell r="U1518">
            <v>164</v>
          </cell>
          <cell r="V1518"/>
          <cell r="W1518" t="str">
            <v>김광록</v>
          </cell>
          <cell r="X1518" t="str">
            <v>(인)</v>
          </cell>
          <cell r="Y1518" t="str">
            <v>박순홍</v>
          </cell>
          <cell r="Z1518" t="str">
            <v>(인)</v>
          </cell>
          <cell r="AA1518" t="str">
            <v>이홍걸</v>
          </cell>
          <cell r="AB1518" t="str">
            <v>(인)</v>
          </cell>
          <cell r="AC1518" t="str">
            <v>박상갑</v>
          </cell>
          <cell r="AD1518" t="str">
            <v>(인)</v>
          </cell>
          <cell r="AE1518">
            <v>180.4</v>
          </cell>
          <cell r="AF1518" t="str">
            <v>동절기</v>
          </cell>
          <cell r="AG1518">
            <v>1</v>
          </cell>
          <cell r="AH1518">
            <v>1</v>
          </cell>
          <cell r="AI1518">
            <v>2765</v>
          </cell>
          <cell r="AJ1518">
            <v>2702</v>
          </cell>
          <cell r="AK1518">
            <v>218800</v>
          </cell>
          <cell r="AL1518">
            <v>3949</v>
          </cell>
          <cell r="AM1518">
            <v>3883</v>
          </cell>
          <cell r="AN1518">
            <v>3819</v>
          </cell>
          <cell r="AO1518">
            <v>3783</v>
          </cell>
          <cell r="AP1518">
            <v>3862</v>
          </cell>
          <cell r="AQ1518">
            <v>3904</v>
          </cell>
          <cell r="AR1518">
            <v>3716</v>
          </cell>
          <cell r="AS1518">
            <v>3796</v>
          </cell>
          <cell r="AT1518">
            <v>293800</v>
          </cell>
        </row>
        <row r="1519">
          <cell r="G1519">
            <v>2412090102</v>
          </cell>
          <cell r="H1519" t="str">
            <v>101동</v>
          </cell>
          <cell r="I1519">
            <v>241209</v>
          </cell>
          <cell r="J1519" t="str">
            <v>101동 14층 바닥 및 105동, 107동 필로티</v>
          </cell>
          <cell r="K1519">
            <v>300</v>
          </cell>
          <cell r="L1519">
            <v>300</v>
          </cell>
          <cell r="M1519">
            <v>3018</v>
          </cell>
          <cell r="N1519" t="str">
            <v>대원</v>
          </cell>
          <cell r="O1519" t="str">
            <v>펌프카(1대)</v>
          </cell>
          <cell r="P1519">
            <v>814</v>
          </cell>
          <cell r="Q1519">
            <v>1324</v>
          </cell>
          <cell r="R1519">
            <v>195</v>
          </cell>
          <cell r="S1519">
            <v>51</v>
          </cell>
          <cell r="T1519">
            <v>83</v>
          </cell>
          <cell r="U1519">
            <v>178</v>
          </cell>
          <cell r="V1519"/>
          <cell r="W1519" t="str">
            <v>김광록</v>
          </cell>
          <cell r="X1519" t="str">
            <v>(인)</v>
          </cell>
          <cell r="Y1519" t="str">
            <v>박순홍</v>
          </cell>
          <cell r="Z1519" t="str">
            <v>(인)</v>
          </cell>
          <cell r="AA1519" t="str">
            <v>이홍걸</v>
          </cell>
          <cell r="AB1519" t="str">
            <v>(인)</v>
          </cell>
          <cell r="AC1519" t="str">
            <v>박상갑</v>
          </cell>
          <cell r="AD1519" t="str">
            <v>(인)</v>
          </cell>
          <cell r="AE1519">
            <v>179.4</v>
          </cell>
          <cell r="AF1519" t="str">
            <v>동절기</v>
          </cell>
          <cell r="AG1519">
            <v>2</v>
          </cell>
          <cell r="AH1519">
            <v>0</v>
          </cell>
        </row>
        <row r="1520">
          <cell r="G1520">
            <v>2412090103</v>
          </cell>
          <cell r="H1520" t="str">
            <v>101동</v>
          </cell>
          <cell r="I1520">
            <v>241209</v>
          </cell>
          <cell r="J1520" t="str">
            <v>101동 14층 바닥 및 105동, 107동 필로티</v>
          </cell>
          <cell r="K1520">
            <v>300</v>
          </cell>
          <cell r="L1520">
            <v>300</v>
          </cell>
          <cell r="M1520">
            <v>3018</v>
          </cell>
          <cell r="N1520" t="str">
            <v>대원</v>
          </cell>
          <cell r="O1520" t="str">
            <v>펌프카(1대)</v>
          </cell>
          <cell r="P1520">
            <v>814</v>
          </cell>
          <cell r="Q1520">
            <v>1324</v>
          </cell>
          <cell r="R1520">
            <v>200</v>
          </cell>
          <cell r="S1520">
            <v>50</v>
          </cell>
          <cell r="T1520">
            <v>79</v>
          </cell>
          <cell r="U1520">
            <v>234</v>
          </cell>
          <cell r="V1520"/>
          <cell r="W1520" t="str">
            <v>김광록</v>
          </cell>
          <cell r="X1520" t="str">
            <v>(인)</v>
          </cell>
          <cell r="Y1520" t="str">
            <v>박순홍</v>
          </cell>
          <cell r="Z1520" t="str">
            <v>(인)</v>
          </cell>
          <cell r="AA1520" t="str">
            <v>이홍걸</v>
          </cell>
          <cell r="AB1520" t="str">
            <v>(인)</v>
          </cell>
          <cell r="AC1520" t="str">
            <v>박상갑</v>
          </cell>
          <cell r="AD1520" t="str">
            <v>(인)</v>
          </cell>
          <cell r="AE1520">
            <v>184.4</v>
          </cell>
          <cell r="AF1520" t="str">
            <v>동절기</v>
          </cell>
          <cell r="AG1520">
            <v>3</v>
          </cell>
          <cell r="AH1520">
            <v>0</v>
          </cell>
        </row>
        <row r="1521">
          <cell r="G1521">
            <v>2412090201</v>
          </cell>
          <cell r="H1521" t="str">
            <v>113동</v>
          </cell>
          <cell r="I1521">
            <v>241209</v>
          </cell>
          <cell r="J1521" t="str">
            <v>113동 14층 바닥</v>
          </cell>
          <cell r="K1521">
            <v>346</v>
          </cell>
          <cell r="L1521">
            <v>346</v>
          </cell>
          <cell r="M1521">
            <v>3018</v>
          </cell>
          <cell r="N1521" t="str">
            <v>대공</v>
          </cell>
          <cell r="O1521" t="str">
            <v>펌프카(1대)</v>
          </cell>
          <cell r="P1521">
            <v>748</v>
          </cell>
          <cell r="Q1521">
            <v>1541</v>
          </cell>
          <cell r="R1521">
            <v>190</v>
          </cell>
          <cell r="S1521">
            <v>50</v>
          </cell>
          <cell r="T1521">
            <v>67</v>
          </cell>
          <cell r="U1521">
            <v>215</v>
          </cell>
          <cell r="V1521"/>
          <cell r="W1521" t="str">
            <v>박순홍</v>
          </cell>
          <cell r="X1521" t="str">
            <v>(인)</v>
          </cell>
          <cell r="Y1521" t="str">
            <v>박순홍</v>
          </cell>
          <cell r="Z1521" t="str">
            <v>(인)</v>
          </cell>
          <cell r="AA1521" t="str">
            <v>이홍걸</v>
          </cell>
          <cell r="AB1521" t="str">
            <v>(인)</v>
          </cell>
          <cell r="AC1521" t="str">
            <v>박상갑</v>
          </cell>
          <cell r="AD1521" t="str">
            <v>(인)</v>
          </cell>
          <cell r="AE1521">
            <v>182.3</v>
          </cell>
          <cell r="AF1521" t="str">
            <v>동절기</v>
          </cell>
          <cell r="AG1521">
            <v>1</v>
          </cell>
          <cell r="AH1521">
            <v>1</v>
          </cell>
          <cell r="AI1521">
            <v>2673</v>
          </cell>
          <cell r="AJ1521">
            <v>2688</v>
          </cell>
          <cell r="AK1521">
            <v>211600</v>
          </cell>
          <cell r="AL1521">
            <v>3883</v>
          </cell>
          <cell r="AM1521">
            <v>3875</v>
          </cell>
          <cell r="AN1521">
            <v>3829</v>
          </cell>
          <cell r="AO1521">
            <v>3862</v>
          </cell>
          <cell r="AP1521">
            <v>3902</v>
          </cell>
          <cell r="AQ1521">
            <v>3927</v>
          </cell>
          <cell r="AR1521">
            <v>3862</v>
          </cell>
          <cell r="AS1521">
            <v>3931</v>
          </cell>
          <cell r="AT1521">
            <v>309200</v>
          </cell>
        </row>
        <row r="1522">
          <cell r="G1522">
            <v>2412090202</v>
          </cell>
          <cell r="H1522" t="str">
            <v>113동</v>
          </cell>
          <cell r="I1522">
            <v>241209</v>
          </cell>
          <cell r="J1522" t="str">
            <v>113동 14층 바닥</v>
          </cell>
          <cell r="K1522">
            <v>346</v>
          </cell>
          <cell r="L1522">
            <v>346</v>
          </cell>
          <cell r="M1522">
            <v>3018</v>
          </cell>
          <cell r="N1522" t="str">
            <v>대공</v>
          </cell>
          <cell r="O1522" t="str">
            <v>펌프카(1대)</v>
          </cell>
          <cell r="P1522">
            <v>748</v>
          </cell>
          <cell r="Q1522">
            <v>1541</v>
          </cell>
          <cell r="R1522">
            <v>200</v>
          </cell>
          <cell r="S1522">
            <v>45</v>
          </cell>
          <cell r="T1522">
            <v>9</v>
          </cell>
          <cell r="U1522">
            <v>200</v>
          </cell>
          <cell r="V1522"/>
          <cell r="W1522" t="str">
            <v>박순홍</v>
          </cell>
          <cell r="X1522" t="str">
            <v>(인)</v>
          </cell>
          <cell r="Y1522" t="str">
            <v>박순홍</v>
          </cell>
          <cell r="Z1522" t="str">
            <v>(인)</v>
          </cell>
          <cell r="AA1522" t="str">
            <v>이홍걸</v>
          </cell>
          <cell r="AB1522" t="str">
            <v>(인)</v>
          </cell>
          <cell r="AC1522" t="str">
            <v>박상갑</v>
          </cell>
          <cell r="AD1522" t="str">
            <v>(인)</v>
          </cell>
          <cell r="AE1522">
            <v>183.4</v>
          </cell>
          <cell r="AF1522" t="str">
            <v>동절기</v>
          </cell>
          <cell r="AG1522">
            <v>2</v>
          </cell>
          <cell r="AH1522">
            <v>0</v>
          </cell>
        </row>
        <row r="1523">
          <cell r="G1523">
            <v>2412090203</v>
          </cell>
          <cell r="H1523" t="str">
            <v>113동</v>
          </cell>
          <cell r="I1523">
            <v>241209</v>
          </cell>
          <cell r="J1523" t="str">
            <v>113동 14층 바닥</v>
          </cell>
          <cell r="K1523">
            <v>346</v>
          </cell>
          <cell r="L1523">
            <v>346</v>
          </cell>
          <cell r="M1523">
            <v>3018</v>
          </cell>
          <cell r="N1523" t="str">
            <v>대공</v>
          </cell>
          <cell r="O1523" t="str">
            <v>펌프카(1대)</v>
          </cell>
          <cell r="P1523">
            <v>748</v>
          </cell>
          <cell r="Q1523">
            <v>1541</v>
          </cell>
          <cell r="R1523">
            <v>195</v>
          </cell>
          <cell r="S1523">
            <v>40</v>
          </cell>
          <cell r="T1523">
            <v>15</v>
          </cell>
          <cell r="U1523">
            <v>188</v>
          </cell>
          <cell r="V1523"/>
          <cell r="W1523" t="str">
            <v>박순홍</v>
          </cell>
          <cell r="X1523" t="str">
            <v>(인)</v>
          </cell>
          <cell r="Y1523" t="str">
            <v>박순홍</v>
          </cell>
          <cell r="Z1523" t="str">
            <v>(인)</v>
          </cell>
          <cell r="AA1523" t="str">
            <v>이홍걸</v>
          </cell>
          <cell r="AB1523" t="str">
            <v>(인)</v>
          </cell>
          <cell r="AC1523" t="str">
            <v>박상갑</v>
          </cell>
          <cell r="AD1523" t="str">
            <v>(인)</v>
          </cell>
          <cell r="AE1523">
            <v>178.3</v>
          </cell>
          <cell r="AF1523" t="str">
            <v>동절기</v>
          </cell>
          <cell r="AG1523">
            <v>3</v>
          </cell>
          <cell r="AH1523">
            <v>0</v>
          </cell>
        </row>
        <row r="1524">
          <cell r="G1524">
            <v>2412090301</v>
          </cell>
          <cell r="H1524" t="str">
            <v>109동</v>
          </cell>
          <cell r="I1524">
            <v>241209</v>
          </cell>
          <cell r="J1524" t="str">
            <v>109동 10층 바닥</v>
          </cell>
          <cell r="K1524">
            <v>284</v>
          </cell>
          <cell r="L1524">
            <v>284</v>
          </cell>
          <cell r="M1524">
            <v>3018</v>
          </cell>
          <cell r="N1524" t="str">
            <v>대원</v>
          </cell>
          <cell r="O1524" t="str">
            <v>펌프카(1대)</v>
          </cell>
          <cell r="P1524">
            <v>1342</v>
          </cell>
          <cell r="Q1524">
            <v>1730</v>
          </cell>
          <cell r="R1524">
            <v>190</v>
          </cell>
          <cell r="S1524">
            <v>45</v>
          </cell>
          <cell r="T1524">
            <v>60</v>
          </cell>
          <cell r="U1524">
            <v>223</v>
          </cell>
          <cell r="V1524"/>
          <cell r="W1524" t="str">
            <v>박순홍</v>
          </cell>
          <cell r="X1524" t="str">
            <v>(인)</v>
          </cell>
          <cell r="Y1524" t="str">
            <v>박순홍</v>
          </cell>
          <cell r="Z1524" t="str">
            <v>(인)</v>
          </cell>
          <cell r="AA1524" t="str">
            <v>박기원</v>
          </cell>
          <cell r="AB1524" t="str">
            <v>(인)</v>
          </cell>
          <cell r="AC1524" t="str">
            <v>박상갑</v>
          </cell>
          <cell r="AD1524" t="str">
            <v>(인)</v>
          </cell>
          <cell r="AE1524">
            <v>183.8</v>
          </cell>
          <cell r="AF1524" t="str">
            <v>동절기</v>
          </cell>
          <cell r="AG1524">
            <v>1</v>
          </cell>
          <cell r="AH1524">
            <v>1</v>
          </cell>
          <cell r="AI1524">
            <v>2778</v>
          </cell>
          <cell r="AJ1524">
            <v>2706</v>
          </cell>
          <cell r="AK1524">
            <v>214200</v>
          </cell>
          <cell r="AL1524">
            <v>378</v>
          </cell>
          <cell r="AM1524">
            <v>3750</v>
          </cell>
          <cell r="AN1524">
            <v>3862</v>
          </cell>
          <cell r="AO1524">
            <v>3684</v>
          </cell>
          <cell r="AP1524">
            <v>3902</v>
          </cell>
          <cell r="AQ1524">
            <v>3687</v>
          </cell>
          <cell r="AR1524">
            <v>3816</v>
          </cell>
          <cell r="AS1524">
            <v>3692</v>
          </cell>
          <cell r="AT1524">
            <v>301600</v>
          </cell>
        </row>
        <row r="1525">
          <cell r="G1525">
            <v>2412090302</v>
          </cell>
          <cell r="H1525" t="str">
            <v>109동</v>
          </cell>
          <cell r="I1525">
            <v>241209</v>
          </cell>
          <cell r="J1525" t="str">
            <v>109동 10층 바닥</v>
          </cell>
          <cell r="K1525">
            <v>284</v>
          </cell>
          <cell r="L1525">
            <v>284</v>
          </cell>
          <cell r="M1525">
            <v>3018</v>
          </cell>
          <cell r="N1525" t="str">
            <v>대원</v>
          </cell>
          <cell r="O1525" t="str">
            <v>펌프카(1대)</v>
          </cell>
          <cell r="P1525">
            <v>1342</v>
          </cell>
          <cell r="Q1525">
            <v>1730</v>
          </cell>
          <cell r="R1525">
            <v>200</v>
          </cell>
          <cell r="S1525">
            <v>42</v>
          </cell>
          <cell r="T1525">
            <v>75</v>
          </cell>
          <cell r="U1525">
            <v>223</v>
          </cell>
          <cell r="V1525"/>
          <cell r="W1525" t="str">
            <v>박순홍</v>
          </cell>
          <cell r="X1525" t="str">
            <v>(인)</v>
          </cell>
          <cell r="Y1525" t="str">
            <v>박순홍</v>
          </cell>
          <cell r="Z1525" t="str">
            <v>(인)</v>
          </cell>
          <cell r="AA1525" t="str">
            <v>박기원</v>
          </cell>
          <cell r="AB1525" t="str">
            <v>(인)</v>
          </cell>
          <cell r="AC1525" t="str">
            <v>박상갑</v>
          </cell>
          <cell r="AD1525" t="str">
            <v>(인)</v>
          </cell>
          <cell r="AE1525">
            <v>190.2</v>
          </cell>
          <cell r="AF1525" t="str">
            <v>동절기</v>
          </cell>
          <cell r="AG1525">
            <v>2</v>
          </cell>
          <cell r="AH1525">
            <v>0</v>
          </cell>
        </row>
        <row r="1526">
          <cell r="G1526">
            <v>2412090303</v>
          </cell>
          <cell r="H1526" t="str">
            <v>109동</v>
          </cell>
          <cell r="I1526">
            <v>241209</v>
          </cell>
          <cell r="J1526" t="str">
            <v>109동 10층 바닥</v>
          </cell>
          <cell r="K1526">
            <v>284</v>
          </cell>
          <cell r="L1526">
            <v>284</v>
          </cell>
          <cell r="M1526">
            <v>3018</v>
          </cell>
          <cell r="N1526" t="str">
            <v>대원</v>
          </cell>
          <cell r="O1526" t="str">
            <v>펌프카(1대)</v>
          </cell>
          <cell r="P1526">
            <v>1342</v>
          </cell>
          <cell r="Q1526">
            <v>1730</v>
          </cell>
          <cell r="R1526">
            <v>190</v>
          </cell>
          <cell r="S1526">
            <v>40</v>
          </cell>
          <cell r="T1526">
            <v>35</v>
          </cell>
          <cell r="U1526">
            <v>217</v>
          </cell>
          <cell r="V1526"/>
          <cell r="W1526" t="str">
            <v>박순홍</v>
          </cell>
          <cell r="X1526" t="str">
            <v>(인)</v>
          </cell>
          <cell r="Y1526" t="str">
            <v>박순홍</v>
          </cell>
          <cell r="Z1526" t="str">
            <v>(인)</v>
          </cell>
          <cell r="AA1526" t="str">
            <v>박기원</v>
          </cell>
          <cell r="AB1526" t="str">
            <v>(인)</v>
          </cell>
          <cell r="AC1526" t="str">
            <v>박상갑</v>
          </cell>
          <cell r="AD1526" t="str">
            <v>(인)</v>
          </cell>
          <cell r="AE1526">
            <v>182.9</v>
          </cell>
          <cell r="AF1526" t="str">
            <v>동절기</v>
          </cell>
          <cell r="AG1526">
            <v>3</v>
          </cell>
          <cell r="AH1526">
            <v>0</v>
          </cell>
        </row>
        <row r="1527">
          <cell r="G1527">
            <v>2412090401</v>
          </cell>
          <cell r="H1527" t="str">
            <v>117동</v>
          </cell>
          <cell r="I1527">
            <v>241209</v>
          </cell>
          <cell r="J1527" t="str">
            <v>117동 2층 바닥</v>
          </cell>
          <cell r="K1527">
            <v>369</v>
          </cell>
          <cell r="L1527">
            <v>369</v>
          </cell>
          <cell r="M1527">
            <v>3018</v>
          </cell>
          <cell r="N1527" t="str">
            <v>영진</v>
          </cell>
          <cell r="O1527" t="str">
            <v>펌프카(1대)</v>
          </cell>
          <cell r="P1527">
            <v>801</v>
          </cell>
          <cell r="Q1527">
            <v>1505</v>
          </cell>
          <cell r="R1527">
            <v>180</v>
          </cell>
          <cell r="S1527">
            <v>56</v>
          </cell>
          <cell r="T1527">
            <v>66</v>
          </cell>
          <cell r="U1527">
            <v>219</v>
          </cell>
          <cell r="V1527"/>
          <cell r="W1527" t="str">
            <v>박순홍</v>
          </cell>
          <cell r="X1527" t="str">
            <v>(인)</v>
          </cell>
          <cell r="Y1527" t="str">
            <v>박순홍</v>
          </cell>
          <cell r="Z1527" t="str">
            <v>(인)</v>
          </cell>
          <cell r="AA1527" t="str">
            <v>이홍걸</v>
          </cell>
          <cell r="AB1527" t="str">
            <v>(인)</v>
          </cell>
          <cell r="AC1527" t="str">
            <v>박상갑</v>
          </cell>
          <cell r="AD1527" t="str">
            <v>(인)</v>
          </cell>
          <cell r="AE1527">
            <v>175.7</v>
          </cell>
          <cell r="AF1527" t="str">
            <v>동절기</v>
          </cell>
          <cell r="AG1527">
            <v>1</v>
          </cell>
          <cell r="AH1527">
            <v>1</v>
          </cell>
          <cell r="AI1527">
            <v>2663</v>
          </cell>
          <cell r="AJ1527">
            <v>2654</v>
          </cell>
          <cell r="AK1527">
            <v>210600</v>
          </cell>
          <cell r="AL1527">
            <v>3740</v>
          </cell>
          <cell r="AM1527">
            <v>3860</v>
          </cell>
          <cell r="AN1527">
            <v>3726</v>
          </cell>
          <cell r="AO1527">
            <v>3731</v>
          </cell>
          <cell r="AP1527">
            <v>3706</v>
          </cell>
          <cell r="AQ1527">
            <v>3684</v>
          </cell>
          <cell r="AR1527">
            <v>3712</v>
          </cell>
          <cell r="AS1527">
            <v>3730</v>
          </cell>
          <cell r="AT1527">
            <v>300600</v>
          </cell>
        </row>
        <row r="1528">
          <cell r="G1528">
            <v>2412090402</v>
          </cell>
          <cell r="H1528" t="str">
            <v>117동</v>
          </cell>
          <cell r="I1528">
            <v>241209</v>
          </cell>
          <cell r="J1528" t="str">
            <v>117동 2층 바닥</v>
          </cell>
          <cell r="K1528">
            <v>369</v>
          </cell>
          <cell r="L1528">
            <v>369</v>
          </cell>
          <cell r="M1528">
            <v>3018</v>
          </cell>
          <cell r="N1528" t="str">
            <v>영진</v>
          </cell>
          <cell r="O1528" t="str">
            <v>펌프카(1대)</v>
          </cell>
          <cell r="P1528">
            <v>801</v>
          </cell>
          <cell r="Q1528">
            <v>1505</v>
          </cell>
          <cell r="R1528">
            <v>195</v>
          </cell>
          <cell r="S1528">
            <v>39</v>
          </cell>
          <cell r="T1528">
            <v>83</v>
          </cell>
          <cell r="U1528">
            <v>225</v>
          </cell>
          <cell r="V1528"/>
          <cell r="W1528" t="str">
            <v>박순홍</v>
          </cell>
          <cell r="X1528" t="str">
            <v>(인)</v>
          </cell>
          <cell r="Y1528" t="str">
            <v>박순홍</v>
          </cell>
          <cell r="Z1528" t="str">
            <v>(인)</v>
          </cell>
          <cell r="AA1528" t="str">
            <v>이홍걸</v>
          </cell>
          <cell r="AB1528" t="str">
            <v>(인)</v>
          </cell>
          <cell r="AC1528" t="str">
            <v>박상갑</v>
          </cell>
          <cell r="AD1528" t="str">
            <v>(인)</v>
          </cell>
          <cell r="AE1528">
            <v>175.8</v>
          </cell>
          <cell r="AF1528" t="str">
            <v>동절기</v>
          </cell>
          <cell r="AG1528">
            <v>2</v>
          </cell>
          <cell r="AH1528">
            <v>0</v>
          </cell>
        </row>
        <row r="1529">
          <cell r="G1529">
            <v>2412090403</v>
          </cell>
          <cell r="H1529" t="str">
            <v>117동</v>
          </cell>
          <cell r="I1529">
            <v>241209</v>
          </cell>
          <cell r="J1529" t="str">
            <v>117동 2층 바닥</v>
          </cell>
          <cell r="K1529">
            <v>369</v>
          </cell>
          <cell r="L1529">
            <v>369</v>
          </cell>
          <cell r="M1529">
            <v>3018</v>
          </cell>
          <cell r="N1529" t="str">
            <v>영진</v>
          </cell>
          <cell r="O1529" t="str">
            <v>펌프카(1대)</v>
          </cell>
          <cell r="P1529">
            <v>801</v>
          </cell>
          <cell r="Q1529">
            <v>1505</v>
          </cell>
          <cell r="R1529">
            <v>180</v>
          </cell>
          <cell r="S1529">
            <v>50</v>
          </cell>
          <cell r="T1529">
            <v>69</v>
          </cell>
          <cell r="U1529">
            <v>221</v>
          </cell>
          <cell r="V1529"/>
          <cell r="W1529" t="str">
            <v>박순홍</v>
          </cell>
          <cell r="X1529" t="str">
            <v>(인)</v>
          </cell>
          <cell r="Y1529" t="str">
            <v>박순홍</v>
          </cell>
          <cell r="Z1529" t="str">
            <v>(인)</v>
          </cell>
          <cell r="AA1529" t="str">
            <v>이홍걸</v>
          </cell>
          <cell r="AB1529" t="str">
            <v>(인)</v>
          </cell>
          <cell r="AC1529" t="str">
            <v>박상갑</v>
          </cell>
          <cell r="AD1529" t="str">
            <v>(인)</v>
          </cell>
          <cell r="AE1529">
            <v>178.3</v>
          </cell>
          <cell r="AF1529" t="str">
            <v>동절기</v>
          </cell>
          <cell r="AG1529">
            <v>3</v>
          </cell>
          <cell r="AH1529">
            <v>0</v>
          </cell>
        </row>
        <row r="1530">
          <cell r="G1530">
            <v>2412090404</v>
          </cell>
          <cell r="H1530" t="str">
            <v>117동</v>
          </cell>
          <cell r="I1530">
            <v>241209</v>
          </cell>
          <cell r="J1530" t="str">
            <v>117동 2층 바닥</v>
          </cell>
          <cell r="K1530">
            <v>369</v>
          </cell>
          <cell r="L1530">
            <v>369</v>
          </cell>
          <cell r="M1530">
            <v>3018</v>
          </cell>
          <cell r="N1530" t="str">
            <v>영진</v>
          </cell>
          <cell r="O1530" t="str">
            <v>펌프카(1대)</v>
          </cell>
          <cell r="P1530">
            <v>801</v>
          </cell>
          <cell r="Q1530">
            <v>1505</v>
          </cell>
          <cell r="R1530">
            <v>185</v>
          </cell>
          <cell r="S1530">
            <v>47</v>
          </cell>
          <cell r="T1530">
            <v>38</v>
          </cell>
          <cell r="U1530">
            <v>198</v>
          </cell>
          <cell r="V1530"/>
          <cell r="W1530" t="str">
            <v>박순홍</v>
          </cell>
          <cell r="X1530" t="str">
            <v>(인)</v>
          </cell>
          <cell r="Y1530" t="str">
            <v>박순홍</v>
          </cell>
          <cell r="Z1530" t="str">
            <v>(인)</v>
          </cell>
          <cell r="AA1530" t="str">
            <v>이홍걸</v>
          </cell>
          <cell r="AB1530" t="str">
            <v>(인)</v>
          </cell>
          <cell r="AC1530" t="str">
            <v>박상갑</v>
          </cell>
          <cell r="AD1530" t="str">
            <v>(인)</v>
          </cell>
          <cell r="AE1530">
            <v>179.2</v>
          </cell>
          <cell r="AF1530" t="str">
            <v>동절기</v>
          </cell>
          <cell r="AG1530">
            <v>4</v>
          </cell>
          <cell r="AH1530">
            <v>1</v>
          </cell>
          <cell r="AL1530">
            <v>3870</v>
          </cell>
          <cell r="AM1530">
            <v>3824</v>
          </cell>
          <cell r="AN1530">
            <v>3816</v>
          </cell>
          <cell r="AO1530">
            <v>3726</v>
          </cell>
          <cell r="AP1530">
            <v>3714</v>
          </cell>
          <cell r="AQ1530">
            <v>3830</v>
          </cell>
          <cell r="AR1530">
            <v>3727</v>
          </cell>
          <cell r="AS1530">
            <v>3692</v>
          </cell>
          <cell r="AT1530">
            <v>298600</v>
          </cell>
        </row>
        <row r="1531">
          <cell r="G1531">
            <v>2412100101</v>
          </cell>
          <cell r="H1531" t="str">
            <v>102동</v>
          </cell>
          <cell r="I1531">
            <v>241210</v>
          </cell>
          <cell r="J1531" t="str">
            <v>102동 16층 바닥</v>
          </cell>
          <cell r="K1531">
            <v>280</v>
          </cell>
          <cell r="L1531">
            <v>280</v>
          </cell>
          <cell r="M1531">
            <v>3018</v>
          </cell>
          <cell r="N1531" t="str">
            <v>용호</v>
          </cell>
          <cell r="O1531" t="str">
            <v>펌프카(1대)</v>
          </cell>
          <cell r="P1531">
            <v>825</v>
          </cell>
          <cell r="Q1531">
            <v>1300</v>
          </cell>
          <cell r="R1531">
            <v>190</v>
          </cell>
          <cell r="S1531">
            <v>46</v>
          </cell>
          <cell r="T1531">
            <v>135</v>
          </cell>
          <cell r="U1531">
            <v>176</v>
          </cell>
          <cell r="V1531"/>
          <cell r="W1531" t="str">
            <v>김광록</v>
          </cell>
          <cell r="X1531" t="str">
            <v>(인)</v>
          </cell>
          <cell r="Y1531" t="str">
            <v>박순홍</v>
          </cell>
          <cell r="Z1531" t="str">
            <v>(인)</v>
          </cell>
          <cell r="AA1531" t="str">
            <v>박기원</v>
          </cell>
          <cell r="AB1531" t="str">
            <v>(인)</v>
          </cell>
          <cell r="AC1531" t="str">
            <v>이홍걸</v>
          </cell>
          <cell r="AD1531" t="str">
            <v>(인)</v>
          </cell>
          <cell r="AE1531">
            <v>185.1</v>
          </cell>
          <cell r="AF1531" t="str">
            <v>동절기</v>
          </cell>
          <cell r="AG1531">
            <v>1</v>
          </cell>
          <cell r="AH1531">
            <v>1</v>
          </cell>
          <cell r="AI1531">
            <v>2711</v>
          </cell>
          <cell r="AJ1531">
            <v>2688</v>
          </cell>
          <cell r="AK1531">
            <v>210000</v>
          </cell>
          <cell r="AL1531">
            <v>3677</v>
          </cell>
          <cell r="AM1531">
            <v>3664</v>
          </cell>
          <cell r="AN1531">
            <v>3729</v>
          </cell>
          <cell r="AO1531">
            <v>3860</v>
          </cell>
          <cell r="AP1531">
            <v>3724</v>
          </cell>
          <cell r="AQ1531">
            <v>3606</v>
          </cell>
          <cell r="AR1531">
            <v>3684</v>
          </cell>
          <cell r="AS1531">
            <v>3688</v>
          </cell>
          <cell r="AT1531">
            <v>285600</v>
          </cell>
        </row>
        <row r="1532">
          <cell r="G1532">
            <v>2412100102</v>
          </cell>
          <cell r="H1532" t="str">
            <v>102동</v>
          </cell>
          <cell r="I1532">
            <v>241210</v>
          </cell>
          <cell r="J1532" t="str">
            <v>102동 16층 바닥</v>
          </cell>
          <cell r="K1532">
            <v>280</v>
          </cell>
          <cell r="L1532">
            <v>280</v>
          </cell>
          <cell r="M1532">
            <v>3018</v>
          </cell>
          <cell r="N1532" t="str">
            <v>용호</v>
          </cell>
          <cell r="O1532" t="str">
            <v>펌프카(1대)</v>
          </cell>
          <cell r="P1532">
            <v>825</v>
          </cell>
          <cell r="Q1532">
            <v>1300</v>
          </cell>
          <cell r="R1532">
            <v>195</v>
          </cell>
          <cell r="S1532">
            <v>48</v>
          </cell>
          <cell r="T1532">
            <v>41</v>
          </cell>
          <cell r="U1532">
            <v>179</v>
          </cell>
          <cell r="V1532"/>
          <cell r="W1532" t="str">
            <v>김광록</v>
          </cell>
          <cell r="X1532" t="str">
            <v>(인)</v>
          </cell>
          <cell r="Y1532" t="str">
            <v>박순홍</v>
          </cell>
          <cell r="Z1532" t="str">
            <v>(인)</v>
          </cell>
          <cell r="AA1532" t="str">
            <v>박기원</v>
          </cell>
          <cell r="AB1532" t="str">
            <v>(인)</v>
          </cell>
          <cell r="AC1532" t="str">
            <v>이홍걸</v>
          </cell>
          <cell r="AD1532" t="str">
            <v>(인)</v>
          </cell>
          <cell r="AE1532">
            <v>188.4</v>
          </cell>
          <cell r="AF1532" t="str">
            <v>동절기</v>
          </cell>
          <cell r="AG1532">
            <v>2</v>
          </cell>
          <cell r="AH1532">
            <v>0</v>
          </cell>
        </row>
        <row r="1533">
          <cell r="G1533">
            <v>2412100103</v>
          </cell>
          <cell r="H1533" t="str">
            <v>102동</v>
          </cell>
          <cell r="I1533">
            <v>241210</v>
          </cell>
          <cell r="J1533" t="str">
            <v>102동 16층 바닥</v>
          </cell>
          <cell r="K1533">
            <v>280</v>
          </cell>
          <cell r="L1533">
            <v>280</v>
          </cell>
          <cell r="M1533">
            <v>3018</v>
          </cell>
          <cell r="N1533" t="str">
            <v>용호</v>
          </cell>
          <cell r="O1533" t="str">
            <v>펌프카(1대)</v>
          </cell>
          <cell r="P1533">
            <v>825</v>
          </cell>
          <cell r="Q1533">
            <v>1300</v>
          </cell>
          <cell r="R1533">
            <v>200</v>
          </cell>
          <cell r="S1533">
            <v>43</v>
          </cell>
          <cell r="T1533">
            <v>52</v>
          </cell>
          <cell r="U1533">
            <v>180</v>
          </cell>
          <cell r="V1533"/>
          <cell r="W1533" t="str">
            <v>김광록</v>
          </cell>
          <cell r="X1533" t="str">
            <v>(인)</v>
          </cell>
          <cell r="Y1533" t="str">
            <v>박순홍</v>
          </cell>
          <cell r="Z1533" t="str">
            <v>(인)</v>
          </cell>
          <cell r="AA1533" t="str">
            <v>박기원</v>
          </cell>
          <cell r="AB1533" t="str">
            <v>(인)</v>
          </cell>
          <cell r="AC1533" t="str">
            <v>이홍걸</v>
          </cell>
          <cell r="AD1533" t="str">
            <v>(인)</v>
          </cell>
          <cell r="AE1533">
            <v>188.2</v>
          </cell>
          <cell r="AF1533" t="str">
            <v>동절기</v>
          </cell>
          <cell r="AG1533">
            <v>3</v>
          </cell>
          <cell r="AH1533">
            <v>0</v>
          </cell>
        </row>
        <row r="1534">
          <cell r="G1534">
            <v>2412100201</v>
          </cell>
          <cell r="H1534" t="str">
            <v>108동</v>
          </cell>
          <cell r="I1534">
            <v>241210</v>
          </cell>
          <cell r="J1534" t="str">
            <v>108동 4층 바닥</v>
          </cell>
          <cell r="K1534">
            <v>292</v>
          </cell>
          <cell r="L1534">
            <v>292</v>
          </cell>
          <cell r="M1534">
            <v>3018</v>
          </cell>
          <cell r="N1534" t="str">
            <v>용호</v>
          </cell>
          <cell r="O1534" t="str">
            <v>펌프카(1대)</v>
          </cell>
          <cell r="P1534">
            <v>1318</v>
          </cell>
          <cell r="Q1534">
            <v>1700</v>
          </cell>
          <cell r="R1534">
            <v>200</v>
          </cell>
          <cell r="S1534">
            <v>49</v>
          </cell>
          <cell r="T1534">
            <v>122</v>
          </cell>
          <cell r="U1534">
            <v>203</v>
          </cell>
          <cell r="V1534"/>
          <cell r="W1534" t="str">
            <v>박순홍</v>
          </cell>
          <cell r="X1534" t="str">
            <v>(인)</v>
          </cell>
          <cell r="Y1534" t="str">
            <v>박순홍</v>
          </cell>
          <cell r="Z1534" t="str">
            <v>(인)</v>
          </cell>
          <cell r="AA1534" t="str">
            <v>박기원</v>
          </cell>
          <cell r="AB1534" t="str">
            <v>(인)</v>
          </cell>
          <cell r="AC1534" t="str">
            <v>이홍걸</v>
          </cell>
          <cell r="AD1534" t="str">
            <v>(인)</v>
          </cell>
          <cell r="AE1534">
            <v>184.9</v>
          </cell>
          <cell r="AF1534" t="str">
            <v>동절기</v>
          </cell>
          <cell r="AG1534">
            <v>1</v>
          </cell>
          <cell r="AH1534">
            <v>1</v>
          </cell>
          <cell r="AI1534">
            <v>2633</v>
          </cell>
          <cell r="AJ1534">
            <v>2701</v>
          </cell>
          <cell r="AK1534">
            <v>214200</v>
          </cell>
          <cell r="AL1534">
            <v>3633</v>
          </cell>
          <cell r="AM1534">
            <v>3832</v>
          </cell>
          <cell r="AN1534">
            <v>3702</v>
          </cell>
          <cell r="AO1534">
            <v>3684</v>
          </cell>
          <cell r="AP1534">
            <v>3721</v>
          </cell>
          <cell r="AQ1534">
            <v>3736</v>
          </cell>
          <cell r="AR1534">
            <v>3704</v>
          </cell>
          <cell r="AS1534">
            <v>3729</v>
          </cell>
          <cell r="AT1534">
            <v>290200</v>
          </cell>
        </row>
        <row r="1535">
          <cell r="G1535">
            <v>2412100202</v>
          </cell>
          <cell r="H1535" t="str">
            <v>108동</v>
          </cell>
          <cell r="I1535">
            <v>241210</v>
          </cell>
          <cell r="J1535" t="str">
            <v>108동 4층 바닥</v>
          </cell>
          <cell r="K1535">
            <v>292</v>
          </cell>
          <cell r="L1535">
            <v>292</v>
          </cell>
          <cell r="M1535">
            <v>3018</v>
          </cell>
          <cell r="N1535" t="str">
            <v>용호</v>
          </cell>
          <cell r="O1535" t="str">
            <v>펌프카(1대)</v>
          </cell>
          <cell r="P1535">
            <v>1318</v>
          </cell>
          <cell r="Q1535">
            <v>1700</v>
          </cell>
          <cell r="R1535">
            <v>200</v>
          </cell>
          <cell r="S1535">
            <v>45</v>
          </cell>
          <cell r="T1535">
            <v>96</v>
          </cell>
          <cell r="U1535">
            <v>209</v>
          </cell>
          <cell r="V1535"/>
          <cell r="W1535" t="str">
            <v>박순홍</v>
          </cell>
          <cell r="X1535" t="str">
            <v>(인)</v>
          </cell>
          <cell r="Y1535" t="str">
            <v>박순홍</v>
          </cell>
          <cell r="Z1535" t="str">
            <v>(인)</v>
          </cell>
          <cell r="AA1535" t="str">
            <v>박기원</v>
          </cell>
          <cell r="AB1535" t="str">
            <v>(인)</v>
          </cell>
          <cell r="AC1535" t="str">
            <v>이홍걸</v>
          </cell>
          <cell r="AD1535" t="str">
            <v>(인)</v>
          </cell>
          <cell r="AE1535">
            <v>185.4</v>
          </cell>
          <cell r="AF1535" t="str">
            <v>동절기</v>
          </cell>
          <cell r="AG1535">
            <v>2</v>
          </cell>
          <cell r="AH1535">
            <v>0</v>
          </cell>
        </row>
        <row r="1536">
          <cell r="G1536">
            <v>2412100203</v>
          </cell>
          <cell r="H1536" t="str">
            <v>108동</v>
          </cell>
          <cell r="I1536">
            <v>241210</v>
          </cell>
          <cell r="J1536" t="str">
            <v>108동 4층 바닥</v>
          </cell>
          <cell r="K1536">
            <v>292</v>
          </cell>
          <cell r="L1536">
            <v>292</v>
          </cell>
          <cell r="M1536">
            <v>3018</v>
          </cell>
          <cell r="N1536" t="str">
            <v>용호</v>
          </cell>
          <cell r="O1536" t="str">
            <v>펌프카(1대)</v>
          </cell>
          <cell r="P1536">
            <v>1318</v>
          </cell>
          <cell r="Q1536">
            <v>1700</v>
          </cell>
          <cell r="R1536">
            <v>190</v>
          </cell>
          <cell r="S1536">
            <v>41</v>
          </cell>
          <cell r="T1536">
            <v>102</v>
          </cell>
          <cell r="U1536">
            <v>194</v>
          </cell>
          <cell r="V1536"/>
          <cell r="W1536" t="str">
            <v>박순홍</v>
          </cell>
          <cell r="X1536" t="str">
            <v>(인)</v>
          </cell>
          <cell r="Y1536" t="str">
            <v>박순홍</v>
          </cell>
          <cell r="Z1536" t="str">
            <v>(인)</v>
          </cell>
          <cell r="AA1536" t="str">
            <v>박기원</v>
          </cell>
          <cell r="AB1536" t="str">
            <v>(인)</v>
          </cell>
          <cell r="AC1536" t="str">
            <v>이홍걸</v>
          </cell>
          <cell r="AD1536" t="str">
            <v>(인)</v>
          </cell>
          <cell r="AE1536">
            <v>180.3</v>
          </cell>
          <cell r="AF1536" t="str">
            <v>동절기</v>
          </cell>
          <cell r="AG1536">
            <v>3</v>
          </cell>
          <cell r="AH1536">
            <v>0</v>
          </cell>
        </row>
        <row r="1537">
          <cell r="G1537">
            <v>2412100301</v>
          </cell>
          <cell r="H1537" t="str">
            <v>115동</v>
          </cell>
          <cell r="I1537">
            <v>241210</v>
          </cell>
          <cell r="J1537" t="str">
            <v>115동 5층 바닥</v>
          </cell>
          <cell r="K1537">
            <v>276</v>
          </cell>
          <cell r="L1537">
            <v>276</v>
          </cell>
          <cell r="M1537">
            <v>3018</v>
          </cell>
          <cell r="N1537" t="str">
            <v>영진</v>
          </cell>
          <cell r="O1537" t="str">
            <v>펌프카(1대)</v>
          </cell>
          <cell r="P1537">
            <v>1320</v>
          </cell>
          <cell r="Q1537">
            <v>1647</v>
          </cell>
          <cell r="R1537">
            <v>190</v>
          </cell>
          <cell r="S1537">
            <v>48</v>
          </cell>
          <cell r="T1537">
            <v>74</v>
          </cell>
          <cell r="U1537">
            <v>197</v>
          </cell>
          <cell r="V1537"/>
          <cell r="W1537" t="str">
            <v>박순홍</v>
          </cell>
          <cell r="X1537" t="str">
            <v>(인)</v>
          </cell>
          <cell r="Y1537" t="str">
            <v>박순홍</v>
          </cell>
          <cell r="Z1537" t="str">
            <v>(인)</v>
          </cell>
          <cell r="AA1537" t="str">
            <v>빅기원</v>
          </cell>
          <cell r="AB1537" t="str">
            <v>(인)</v>
          </cell>
          <cell r="AC1537" t="str">
            <v>이홍걸</v>
          </cell>
          <cell r="AD1537" t="str">
            <v>(인)</v>
          </cell>
          <cell r="AE1537">
            <v>181.2</v>
          </cell>
          <cell r="AF1537" t="str">
            <v>동절기</v>
          </cell>
          <cell r="AG1537">
            <v>1</v>
          </cell>
          <cell r="AH1537">
            <v>1</v>
          </cell>
          <cell r="AI1537">
            <v>2594</v>
          </cell>
          <cell r="AJ1537">
            <v>2577</v>
          </cell>
          <cell r="AK1537">
            <v>207000</v>
          </cell>
          <cell r="AL1537">
            <v>3623</v>
          </cell>
          <cell r="AM1537">
            <v>3666</v>
          </cell>
          <cell r="AN1537">
            <v>3720</v>
          </cell>
          <cell r="AO1537">
            <v>3684</v>
          </cell>
          <cell r="AP1537">
            <v>3728</v>
          </cell>
          <cell r="AQ1537">
            <v>3736</v>
          </cell>
          <cell r="AR1537">
            <v>3729</v>
          </cell>
          <cell r="AS1537">
            <v>3704</v>
          </cell>
          <cell r="AT1537">
            <v>300400</v>
          </cell>
        </row>
        <row r="1538">
          <cell r="G1538">
            <v>2412100302</v>
          </cell>
          <cell r="H1538" t="str">
            <v>115동</v>
          </cell>
          <cell r="I1538">
            <v>241210</v>
          </cell>
          <cell r="J1538" t="str">
            <v>115동 5층 바닥</v>
          </cell>
          <cell r="K1538">
            <v>276</v>
          </cell>
          <cell r="L1538">
            <v>276</v>
          </cell>
          <cell r="M1538">
            <v>3018</v>
          </cell>
          <cell r="N1538" t="str">
            <v>영진</v>
          </cell>
          <cell r="O1538" t="str">
            <v>펌프카(1대)</v>
          </cell>
          <cell r="P1538">
            <v>1320</v>
          </cell>
          <cell r="Q1538">
            <v>1647</v>
          </cell>
          <cell r="R1538">
            <v>195</v>
          </cell>
          <cell r="S1538">
            <v>49</v>
          </cell>
          <cell r="T1538">
            <v>75</v>
          </cell>
          <cell r="U1538">
            <v>207</v>
          </cell>
          <cell r="V1538"/>
          <cell r="W1538" t="str">
            <v>박순홍</v>
          </cell>
          <cell r="X1538" t="str">
            <v>(인)</v>
          </cell>
          <cell r="Y1538" t="str">
            <v>박순홍</v>
          </cell>
          <cell r="Z1538" t="str">
            <v>(인)</v>
          </cell>
          <cell r="AA1538" t="str">
            <v>빅기원</v>
          </cell>
          <cell r="AB1538" t="str">
            <v>(인)</v>
          </cell>
          <cell r="AC1538" t="str">
            <v>이홍걸</v>
          </cell>
          <cell r="AD1538" t="str">
            <v>(인)</v>
          </cell>
          <cell r="AE1538">
            <v>174.2</v>
          </cell>
          <cell r="AF1538" t="str">
            <v>동절기</v>
          </cell>
          <cell r="AG1538">
            <v>2</v>
          </cell>
          <cell r="AH1538">
            <v>0</v>
          </cell>
        </row>
        <row r="1539">
          <cell r="G1539">
            <v>2412100303</v>
          </cell>
          <cell r="H1539" t="str">
            <v>115동</v>
          </cell>
          <cell r="I1539">
            <v>241210</v>
          </cell>
          <cell r="J1539" t="str">
            <v>115동 5층 바닥</v>
          </cell>
          <cell r="K1539">
            <v>276</v>
          </cell>
          <cell r="L1539">
            <v>276</v>
          </cell>
          <cell r="M1539">
            <v>3018</v>
          </cell>
          <cell r="N1539" t="str">
            <v>영진</v>
          </cell>
          <cell r="O1539" t="str">
            <v>펌프카(1대)</v>
          </cell>
          <cell r="P1539">
            <v>1320</v>
          </cell>
          <cell r="Q1539">
            <v>1647</v>
          </cell>
          <cell r="R1539">
            <v>185</v>
          </cell>
          <cell r="S1539">
            <v>50</v>
          </cell>
          <cell r="T1539">
            <v>66</v>
          </cell>
          <cell r="U1539">
            <v>201</v>
          </cell>
          <cell r="V1539"/>
          <cell r="W1539" t="str">
            <v>박순홍</v>
          </cell>
          <cell r="X1539" t="str">
            <v>(인)</v>
          </cell>
          <cell r="Y1539" t="str">
            <v>박순홍</v>
          </cell>
          <cell r="Z1539" t="str">
            <v>(인)</v>
          </cell>
          <cell r="AA1539" t="str">
            <v>빅기원</v>
          </cell>
          <cell r="AB1539" t="str">
            <v>(인)</v>
          </cell>
          <cell r="AC1539" t="str">
            <v>이홍걸</v>
          </cell>
          <cell r="AD1539" t="str">
            <v>(인)</v>
          </cell>
          <cell r="AE1539">
            <v>179.1</v>
          </cell>
          <cell r="AF1539" t="str">
            <v>동절기</v>
          </cell>
          <cell r="AG1539">
            <v>3</v>
          </cell>
          <cell r="AH1539">
            <v>0</v>
          </cell>
        </row>
        <row r="1540">
          <cell r="G1540">
            <v>2412100401</v>
          </cell>
          <cell r="H1540" t="str">
            <v>116동</v>
          </cell>
          <cell r="I1540">
            <v>241210</v>
          </cell>
          <cell r="J1540" t="str">
            <v>116동 3층 바닥</v>
          </cell>
          <cell r="K1540">
            <v>306</v>
          </cell>
          <cell r="L1540">
            <v>306</v>
          </cell>
          <cell r="M1540">
            <v>3018</v>
          </cell>
          <cell r="N1540" t="str">
            <v>영진</v>
          </cell>
          <cell r="O1540" t="str">
            <v>펌프카(1대)</v>
          </cell>
          <cell r="P1540">
            <v>743</v>
          </cell>
          <cell r="Q1540">
            <v>1236</v>
          </cell>
          <cell r="R1540">
            <v>200</v>
          </cell>
          <cell r="S1540">
            <v>53</v>
          </cell>
          <cell r="T1540">
            <v>21</v>
          </cell>
          <cell r="U1540">
            <v>163</v>
          </cell>
          <cell r="V1540"/>
          <cell r="W1540" t="str">
            <v>김광록</v>
          </cell>
          <cell r="X1540" t="str">
            <v>(인)</v>
          </cell>
          <cell r="Y1540" t="str">
            <v>박순홍</v>
          </cell>
          <cell r="Z1540" t="str">
            <v>(인)</v>
          </cell>
          <cell r="AA1540" t="str">
            <v>박기원</v>
          </cell>
          <cell r="AB1540" t="str">
            <v>(인)</v>
          </cell>
          <cell r="AC1540" t="str">
            <v>이홍걸</v>
          </cell>
          <cell r="AD1540" t="str">
            <v>(인)</v>
          </cell>
          <cell r="AE1540">
            <v>185.6</v>
          </cell>
          <cell r="AF1540" t="str">
            <v>동절기</v>
          </cell>
          <cell r="AG1540">
            <v>1</v>
          </cell>
          <cell r="AH1540">
            <v>1</v>
          </cell>
          <cell r="AI1540">
            <v>2531</v>
          </cell>
          <cell r="AJ1540">
            <v>2582</v>
          </cell>
          <cell r="AK1540">
            <v>201000</v>
          </cell>
          <cell r="AL1540">
            <v>3775</v>
          </cell>
          <cell r="AM1540">
            <v>3682</v>
          </cell>
          <cell r="AN1540">
            <v>3754</v>
          </cell>
          <cell r="AO1540">
            <v>3590</v>
          </cell>
          <cell r="AP1540">
            <v>3628</v>
          </cell>
          <cell r="AQ1540">
            <v>3604</v>
          </cell>
          <cell r="AR1540">
            <v>3728</v>
          </cell>
          <cell r="AS1540">
            <v>3720</v>
          </cell>
          <cell r="AT1540">
            <v>293000</v>
          </cell>
        </row>
        <row r="1541">
          <cell r="G1541">
            <v>2412100402</v>
          </cell>
          <cell r="H1541" t="str">
            <v>116동</v>
          </cell>
          <cell r="I1541">
            <v>241210</v>
          </cell>
          <cell r="J1541" t="str">
            <v>116동 3층 바닥</v>
          </cell>
          <cell r="K1541">
            <v>306</v>
          </cell>
          <cell r="L1541">
            <v>306</v>
          </cell>
          <cell r="M1541">
            <v>3018</v>
          </cell>
          <cell r="N1541" t="str">
            <v>영진</v>
          </cell>
          <cell r="O1541" t="str">
            <v>펌프카(1대)</v>
          </cell>
          <cell r="P1541">
            <v>743</v>
          </cell>
          <cell r="Q1541">
            <v>1236</v>
          </cell>
          <cell r="R1541">
            <v>195</v>
          </cell>
          <cell r="S1541">
            <v>51</v>
          </cell>
          <cell r="T1541">
            <v>19</v>
          </cell>
          <cell r="U1541">
            <v>157</v>
          </cell>
          <cell r="V1541"/>
          <cell r="W1541" t="str">
            <v>김광록</v>
          </cell>
          <cell r="X1541" t="str">
            <v>(인)</v>
          </cell>
          <cell r="Y1541" t="str">
            <v>박순홍</v>
          </cell>
          <cell r="Z1541" t="str">
            <v>(인)</v>
          </cell>
          <cell r="AA1541" t="str">
            <v>박기원</v>
          </cell>
          <cell r="AB1541" t="str">
            <v>(인)</v>
          </cell>
          <cell r="AC1541" t="str">
            <v>이홍걸</v>
          </cell>
          <cell r="AD1541" t="str">
            <v>(인)</v>
          </cell>
          <cell r="AE1541">
            <v>186.4</v>
          </cell>
          <cell r="AF1541" t="str">
            <v>동절기</v>
          </cell>
          <cell r="AG1541">
            <v>2</v>
          </cell>
          <cell r="AH1541">
            <v>0</v>
          </cell>
        </row>
        <row r="1542">
          <cell r="G1542">
            <v>2412100403</v>
          </cell>
          <cell r="H1542" t="str">
            <v>116동</v>
          </cell>
          <cell r="I1542">
            <v>241210</v>
          </cell>
          <cell r="J1542" t="str">
            <v>116동 3층 바닥</v>
          </cell>
          <cell r="K1542">
            <v>306</v>
          </cell>
          <cell r="L1542">
            <v>306</v>
          </cell>
          <cell r="M1542">
            <v>3018</v>
          </cell>
          <cell r="N1542" t="str">
            <v>영진</v>
          </cell>
          <cell r="O1542" t="str">
            <v>펌프카(1대)</v>
          </cell>
          <cell r="P1542">
            <v>743</v>
          </cell>
          <cell r="Q1542">
            <v>1236</v>
          </cell>
          <cell r="R1542">
            <v>190</v>
          </cell>
          <cell r="S1542">
            <v>59</v>
          </cell>
          <cell r="T1542">
            <v>100</v>
          </cell>
          <cell r="U1542">
            <v>156</v>
          </cell>
          <cell r="V1542"/>
          <cell r="W1542" t="str">
            <v>김광록</v>
          </cell>
          <cell r="X1542" t="str">
            <v>(인)</v>
          </cell>
          <cell r="Y1542" t="str">
            <v>박순홍</v>
          </cell>
          <cell r="Z1542" t="str">
            <v>(인)</v>
          </cell>
          <cell r="AA1542" t="str">
            <v>박기원</v>
          </cell>
          <cell r="AB1542" t="str">
            <v>(인)</v>
          </cell>
          <cell r="AC1542" t="str">
            <v>이홍걸</v>
          </cell>
          <cell r="AD1542" t="str">
            <v>(인)</v>
          </cell>
          <cell r="AE1542">
            <v>185.6</v>
          </cell>
          <cell r="AF1542" t="str">
            <v>동절기</v>
          </cell>
          <cell r="AG1542">
            <v>3</v>
          </cell>
          <cell r="AH1542">
            <v>0</v>
          </cell>
        </row>
        <row r="1543">
          <cell r="G1543">
            <v>2412110101</v>
          </cell>
          <cell r="H1543" t="str">
            <v>114동</v>
          </cell>
          <cell r="I1543">
            <v>241211</v>
          </cell>
          <cell r="J1543" t="str">
            <v>114동 8층 바닥</v>
          </cell>
          <cell r="K1543">
            <v>291</v>
          </cell>
          <cell r="L1543">
            <v>291</v>
          </cell>
          <cell r="M1543">
            <v>3018</v>
          </cell>
          <cell r="N1543" t="str">
            <v>용호</v>
          </cell>
          <cell r="O1543" t="str">
            <v>펌프카(1대)</v>
          </cell>
          <cell r="P1543">
            <v>847</v>
          </cell>
          <cell r="Q1543">
            <v>1443</v>
          </cell>
          <cell r="R1543">
            <v>205</v>
          </cell>
          <cell r="S1543">
            <v>44</v>
          </cell>
          <cell r="T1543">
            <v>55</v>
          </cell>
          <cell r="U1543">
            <v>146</v>
          </cell>
          <cell r="V1543"/>
          <cell r="W1543" t="str">
            <v>박순홍</v>
          </cell>
          <cell r="X1543" t="str">
            <v>(인)</v>
          </cell>
          <cell r="Y1543" t="str">
            <v>박순홍</v>
          </cell>
          <cell r="Z1543" t="str">
            <v>(인)</v>
          </cell>
          <cell r="AA1543" t="str">
            <v>박상갑</v>
          </cell>
          <cell r="AB1543" t="str">
            <v>(인)</v>
          </cell>
          <cell r="AC1543" t="str">
            <v>이홍걸</v>
          </cell>
          <cell r="AD1543" t="str">
            <v>(인)</v>
          </cell>
          <cell r="AE1543">
            <v>173</v>
          </cell>
          <cell r="AF1543" t="str">
            <v>동절기</v>
          </cell>
          <cell r="AG1543">
            <v>1</v>
          </cell>
          <cell r="AH1543">
            <v>1</v>
          </cell>
          <cell r="AI1543">
            <v>2752</v>
          </cell>
          <cell r="AJ1543">
            <v>2710</v>
          </cell>
          <cell r="AK1543">
            <v>219600</v>
          </cell>
          <cell r="AL1543">
            <v>3822</v>
          </cell>
          <cell r="AM1543">
            <v>3852</v>
          </cell>
          <cell r="AN1543">
            <v>3726</v>
          </cell>
          <cell r="AO1543">
            <v>3839</v>
          </cell>
          <cell r="AP1543">
            <v>3726</v>
          </cell>
          <cell r="AQ1543">
            <v>3736</v>
          </cell>
          <cell r="AR1543">
            <v>3771</v>
          </cell>
          <cell r="AS1543">
            <v>3806</v>
          </cell>
          <cell r="AT1543">
            <v>295800</v>
          </cell>
        </row>
        <row r="1544">
          <cell r="G1544">
            <v>2412110102</v>
          </cell>
          <cell r="H1544" t="str">
            <v>114동</v>
          </cell>
          <cell r="I1544">
            <v>241211</v>
          </cell>
          <cell r="J1544" t="str">
            <v>114동 8층 바닥</v>
          </cell>
          <cell r="K1544">
            <v>291</v>
          </cell>
          <cell r="L1544">
            <v>291</v>
          </cell>
          <cell r="M1544">
            <v>3018</v>
          </cell>
          <cell r="N1544" t="str">
            <v>용호</v>
          </cell>
          <cell r="O1544" t="str">
            <v>펌프카(1대)</v>
          </cell>
          <cell r="P1544">
            <v>847</v>
          </cell>
          <cell r="Q1544">
            <v>1443</v>
          </cell>
          <cell r="R1544">
            <v>195</v>
          </cell>
          <cell r="S1544">
            <v>42</v>
          </cell>
          <cell r="T1544">
            <v>37</v>
          </cell>
          <cell r="U1544">
            <v>148</v>
          </cell>
          <cell r="V1544"/>
          <cell r="W1544" t="str">
            <v>박순홍</v>
          </cell>
          <cell r="X1544" t="str">
            <v>(인)</v>
          </cell>
          <cell r="Y1544" t="str">
            <v>박순홍</v>
          </cell>
          <cell r="Z1544" t="str">
            <v>(인)</v>
          </cell>
          <cell r="AA1544" t="str">
            <v>박상갑</v>
          </cell>
          <cell r="AB1544" t="str">
            <v>(인)</v>
          </cell>
          <cell r="AC1544" t="str">
            <v>이홍걸</v>
          </cell>
          <cell r="AD1544" t="str">
            <v>(인)</v>
          </cell>
          <cell r="AE1544">
            <v>169.6</v>
          </cell>
          <cell r="AF1544" t="str">
            <v>동절기</v>
          </cell>
          <cell r="AG1544">
            <v>2</v>
          </cell>
          <cell r="AH1544">
            <v>0</v>
          </cell>
        </row>
        <row r="1545">
          <cell r="G1545">
            <v>2412110103</v>
          </cell>
          <cell r="H1545" t="str">
            <v>114동</v>
          </cell>
          <cell r="I1545">
            <v>241211</v>
          </cell>
          <cell r="J1545" t="str">
            <v>114동 8층 바닥</v>
          </cell>
          <cell r="K1545">
            <v>291</v>
          </cell>
          <cell r="L1545">
            <v>291</v>
          </cell>
          <cell r="M1545">
            <v>3018</v>
          </cell>
          <cell r="N1545" t="str">
            <v>용호</v>
          </cell>
          <cell r="O1545" t="str">
            <v>펌프카(1대)</v>
          </cell>
          <cell r="P1545">
            <v>847</v>
          </cell>
          <cell r="Q1545">
            <v>1443</v>
          </cell>
          <cell r="R1545">
            <v>185</v>
          </cell>
          <cell r="S1545">
            <v>40</v>
          </cell>
          <cell r="T1545">
            <v>31</v>
          </cell>
          <cell r="U1545">
            <v>160</v>
          </cell>
          <cell r="V1545"/>
          <cell r="W1545" t="str">
            <v>박순홍</v>
          </cell>
          <cell r="X1545" t="str">
            <v>(인)</v>
          </cell>
          <cell r="Y1545" t="str">
            <v>박순홍</v>
          </cell>
          <cell r="Z1545" t="str">
            <v>(인)</v>
          </cell>
          <cell r="AA1545" t="str">
            <v>박상갑</v>
          </cell>
          <cell r="AB1545" t="str">
            <v>(인)</v>
          </cell>
          <cell r="AC1545" t="str">
            <v>이홍걸</v>
          </cell>
          <cell r="AD1545" t="str">
            <v>(인)</v>
          </cell>
          <cell r="AE1545">
            <v>169.1</v>
          </cell>
          <cell r="AF1545" t="str">
            <v>동절기</v>
          </cell>
          <cell r="AG1545">
            <v>3</v>
          </cell>
          <cell r="AH1545">
            <v>0</v>
          </cell>
        </row>
        <row r="1546">
          <cell r="G1546">
            <v>2412110201</v>
          </cell>
          <cell r="H1546" t="str">
            <v>109동, 113동, 114동</v>
          </cell>
          <cell r="I1546">
            <v>241211</v>
          </cell>
          <cell r="J1546" t="str">
            <v>109동 113동 장애인램프, 113동 114동 휀룸</v>
          </cell>
          <cell r="K1546">
            <v>24</v>
          </cell>
          <cell r="L1546">
            <v>24</v>
          </cell>
          <cell r="M1546">
            <v>2715</v>
          </cell>
          <cell r="N1546" t="str">
            <v>용호</v>
          </cell>
          <cell r="O1546" t="str">
            <v>펌프카(1대)</v>
          </cell>
          <cell r="P1546">
            <v>730</v>
          </cell>
          <cell r="Q1546">
            <v>933</v>
          </cell>
          <cell r="R1546">
            <v>140</v>
          </cell>
          <cell r="S1546">
            <v>37</v>
          </cell>
          <cell r="T1546">
            <v>19</v>
          </cell>
          <cell r="U1546">
            <v>187</v>
          </cell>
          <cell r="V1546"/>
          <cell r="W1546" t="str">
            <v>김광록</v>
          </cell>
          <cell r="X1546" t="str">
            <v>(인)</v>
          </cell>
          <cell r="Y1546" t="str">
            <v>박순홍</v>
          </cell>
          <cell r="Z1546" t="str">
            <v>(인)</v>
          </cell>
          <cell r="AA1546" t="str">
            <v>박상갑</v>
          </cell>
          <cell r="AB1546" t="str">
            <v>(인)</v>
          </cell>
          <cell r="AC1546" t="str">
            <v>이홍걸</v>
          </cell>
          <cell r="AD1546" t="str">
            <v>(인)</v>
          </cell>
          <cell r="AE1546">
            <v>188.4</v>
          </cell>
          <cell r="AF1546" t="str">
            <v>동절기</v>
          </cell>
          <cell r="AG1546">
            <v>1</v>
          </cell>
          <cell r="AH1546">
            <v>1</v>
          </cell>
          <cell r="AI1546">
            <v>2500</v>
          </cell>
          <cell r="AJ1546">
            <v>2561</v>
          </cell>
          <cell r="AK1546">
            <v>191600</v>
          </cell>
          <cell r="AL1546">
            <v>3496</v>
          </cell>
          <cell r="AM1546">
            <v>3481</v>
          </cell>
          <cell r="AN1546">
            <v>3286</v>
          </cell>
          <cell r="AO1546">
            <v>3316</v>
          </cell>
          <cell r="AP1546">
            <v>3404</v>
          </cell>
          <cell r="AQ1546">
            <v>3216</v>
          </cell>
          <cell r="AR1546">
            <v>3237</v>
          </cell>
          <cell r="AS1546">
            <v>3269</v>
          </cell>
          <cell r="AT1546">
            <v>271800</v>
          </cell>
        </row>
        <row r="1547">
          <cell r="G1547">
            <v>2412120101</v>
          </cell>
          <cell r="H1547" t="str">
            <v>110동</v>
          </cell>
          <cell r="I1547">
            <v>241212</v>
          </cell>
          <cell r="J1547" t="str">
            <v>110동 10층 바닥</v>
          </cell>
          <cell r="K1547">
            <v>298</v>
          </cell>
          <cell r="L1547">
            <v>298</v>
          </cell>
          <cell r="M1547">
            <v>3018</v>
          </cell>
          <cell r="N1547" t="str">
            <v>신우</v>
          </cell>
          <cell r="O1547" t="str">
            <v>펌프카(1대)</v>
          </cell>
          <cell r="P1547">
            <v>950</v>
          </cell>
          <cell r="Q1547">
            <v>1630</v>
          </cell>
          <cell r="R1547">
            <v>175</v>
          </cell>
          <cell r="S1547">
            <v>40</v>
          </cell>
          <cell r="T1547">
            <v>47</v>
          </cell>
          <cell r="U1547">
            <v>178</v>
          </cell>
          <cell r="V1547"/>
          <cell r="W1547" t="str">
            <v>박순홍</v>
          </cell>
          <cell r="X1547" t="str">
            <v>(인)</v>
          </cell>
          <cell r="Y1547" t="str">
            <v>박순홍</v>
          </cell>
          <cell r="Z1547" t="str">
            <v>(인)</v>
          </cell>
          <cell r="AA1547" t="str">
            <v>박상갑</v>
          </cell>
          <cell r="AB1547" t="str">
            <v>(인)</v>
          </cell>
          <cell r="AC1547" t="str">
            <v>이홍걸</v>
          </cell>
          <cell r="AD1547" t="str">
            <v>(인)</v>
          </cell>
          <cell r="AE1547">
            <v>186.4</v>
          </cell>
          <cell r="AF1547" t="str">
            <v>동절기</v>
          </cell>
          <cell r="AG1547">
            <v>1</v>
          </cell>
          <cell r="AH1547">
            <v>1</v>
          </cell>
          <cell r="AI1547">
            <v>2714</v>
          </cell>
          <cell r="AJ1547">
            <v>2782</v>
          </cell>
          <cell r="AK1547">
            <v>220200</v>
          </cell>
          <cell r="AL1547">
            <v>3725</v>
          </cell>
          <cell r="AM1547">
            <v>3712</v>
          </cell>
          <cell r="AN1547">
            <v>3767</v>
          </cell>
          <cell r="AO1547">
            <v>3887</v>
          </cell>
          <cell r="AP1547">
            <v>3902</v>
          </cell>
          <cell r="AQ1547">
            <v>3726</v>
          </cell>
          <cell r="AR1547">
            <v>3737</v>
          </cell>
          <cell r="AS1547">
            <v>3786</v>
          </cell>
          <cell r="AT1547">
            <v>299200</v>
          </cell>
        </row>
        <row r="1548">
          <cell r="G1548">
            <v>2412120102</v>
          </cell>
          <cell r="H1548" t="str">
            <v>110동</v>
          </cell>
          <cell r="I1548">
            <v>241212</v>
          </cell>
          <cell r="J1548" t="str">
            <v>110동 10층 바닥</v>
          </cell>
          <cell r="K1548">
            <v>298</v>
          </cell>
          <cell r="L1548">
            <v>298</v>
          </cell>
          <cell r="M1548">
            <v>3018</v>
          </cell>
          <cell r="N1548" t="str">
            <v>신우</v>
          </cell>
          <cell r="O1548" t="str">
            <v>펌프카(1대)</v>
          </cell>
          <cell r="P1548">
            <v>950</v>
          </cell>
          <cell r="Q1548">
            <v>1630</v>
          </cell>
          <cell r="R1548">
            <v>190</v>
          </cell>
          <cell r="S1548">
            <v>37</v>
          </cell>
          <cell r="T1548">
            <v>36</v>
          </cell>
          <cell r="U1548">
            <v>170</v>
          </cell>
          <cell r="V1548"/>
          <cell r="W1548" t="str">
            <v>박순홍</v>
          </cell>
          <cell r="X1548" t="str">
            <v>(인)</v>
          </cell>
          <cell r="Y1548" t="str">
            <v>박순홍</v>
          </cell>
          <cell r="Z1548" t="str">
            <v>(인)</v>
          </cell>
          <cell r="AA1548" t="str">
            <v>박상갑</v>
          </cell>
          <cell r="AB1548" t="str">
            <v>(인)</v>
          </cell>
          <cell r="AC1548" t="str">
            <v>이홍걸</v>
          </cell>
          <cell r="AD1548" t="str">
            <v>(인)</v>
          </cell>
          <cell r="AE1548">
            <v>179.6</v>
          </cell>
          <cell r="AF1548" t="str">
            <v>동절기</v>
          </cell>
          <cell r="AG1548">
            <v>2</v>
          </cell>
          <cell r="AH1548">
            <v>0</v>
          </cell>
        </row>
        <row r="1549">
          <cell r="G1549">
            <v>2412120103</v>
          </cell>
          <cell r="H1549" t="str">
            <v>110동</v>
          </cell>
          <cell r="I1549">
            <v>241212</v>
          </cell>
          <cell r="J1549" t="str">
            <v>110동 10층 바닥</v>
          </cell>
          <cell r="K1549">
            <v>298</v>
          </cell>
          <cell r="L1549">
            <v>298</v>
          </cell>
          <cell r="M1549">
            <v>3018</v>
          </cell>
          <cell r="N1549" t="str">
            <v>신우</v>
          </cell>
          <cell r="O1549" t="str">
            <v>펌프카(1대)</v>
          </cell>
          <cell r="P1549">
            <v>950</v>
          </cell>
          <cell r="Q1549">
            <v>1630</v>
          </cell>
          <cell r="R1549">
            <v>195</v>
          </cell>
          <cell r="S1549">
            <v>42</v>
          </cell>
          <cell r="T1549">
            <v>84</v>
          </cell>
          <cell r="U1549">
            <v>160</v>
          </cell>
          <cell r="V1549"/>
          <cell r="W1549" t="str">
            <v>박순홍</v>
          </cell>
          <cell r="X1549" t="str">
            <v>(인)</v>
          </cell>
          <cell r="Y1549" t="str">
            <v>박순홍</v>
          </cell>
          <cell r="Z1549" t="str">
            <v>(인)</v>
          </cell>
          <cell r="AA1549" t="str">
            <v>박상갑</v>
          </cell>
          <cell r="AB1549" t="str">
            <v>(인)</v>
          </cell>
          <cell r="AC1549" t="str">
            <v>이홍걸</v>
          </cell>
          <cell r="AD1549" t="str">
            <v>(인)</v>
          </cell>
          <cell r="AE1549">
            <v>190.2</v>
          </cell>
          <cell r="AF1549" t="str">
            <v>동절기</v>
          </cell>
          <cell r="AG1549">
            <v>3</v>
          </cell>
          <cell r="AH1549">
            <v>0</v>
          </cell>
        </row>
        <row r="1550">
          <cell r="G1550">
            <v>2412120201</v>
          </cell>
          <cell r="H1550" t="str">
            <v>108동, 116동</v>
          </cell>
          <cell r="I1550">
            <v>241212</v>
          </cell>
          <cell r="J1550" t="str">
            <v>108동, 116동 주변주차장 누름</v>
          </cell>
          <cell r="K1550">
            <v>132</v>
          </cell>
          <cell r="L1550">
            <v>132</v>
          </cell>
          <cell r="M1550">
            <v>1815</v>
          </cell>
          <cell r="N1550" t="str">
            <v>대공</v>
          </cell>
          <cell r="O1550" t="str">
            <v>펌프카(1대)</v>
          </cell>
          <cell r="P1550">
            <v>815</v>
          </cell>
          <cell r="Q1550">
            <v>1710</v>
          </cell>
          <cell r="R1550">
            <v>170</v>
          </cell>
          <cell r="S1550">
            <v>58</v>
          </cell>
          <cell r="T1550">
            <v>51</v>
          </cell>
          <cell r="U1550">
            <v>195</v>
          </cell>
          <cell r="V1550"/>
          <cell r="W1550" t="str">
            <v>박순홍</v>
          </cell>
          <cell r="X1550" t="str">
            <v>(인)</v>
          </cell>
          <cell r="Y1550" t="str">
            <v>박순홍</v>
          </cell>
          <cell r="Z1550" t="str">
            <v>(인)</v>
          </cell>
          <cell r="AA1550" t="str">
            <v>박상갑</v>
          </cell>
          <cell r="AB1550" t="str">
            <v>(인)</v>
          </cell>
          <cell r="AC1550" t="str">
            <v>이홍걸</v>
          </cell>
          <cell r="AD1550" t="str">
            <v>(인)</v>
          </cell>
          <cell r="AE1550">
            <v>168</v>
          </cell>
          <cell r="AF1550" t="str">
            <v>동절기</v>
          </cell>
          <cell r="AG1550">
            <v>1</v>
          </cell>
          <cell r="AH1550">
            <v>1</v>
          </cell>
          <cell r="AI1550">
            <v>1741</v>
          </cell>
          <cell r="AJ1550">
            <v>1651</v>
          </cell>
          <cell r="AK1550">
            <v>131000</v>
          </cell>
          <cell r="AL1550">
            <v>2411</v>
          </cell>
          <cell r="AM1550">
            <v>2263</v>
          </cell>
          <cell r="AN1550">
            <v>2276</v>
          </cell>
          <cell r="AO1550">
            <v>2308</v>
          </cell>
          <cell r="AP1550">
            <v>2219</v>
          </cell>
          <cell r="AQ1550">
            <v>2304</v>
          </cell>
          <cell r="AR1550">
            <v>2316</v>
          </cell>
          <cell r="AS1550">
            <v>2372</v>
          </cell>
          <cell r="AT1550">
            <v>182600</v>
          </cell>
        </row>
        <row r="1551">
          <cell r="G1551">
            <v>2412120202</v>
          </cell>
          <cell r="H1551" t="str">
            <v>108동, 116동</v>
          </cell>
          <cell r="I1551">
            <v>241212</v>
          </cell>
          <cell r="J1551" t="str">
            <v>108동, 116동 주변주차장 누름</v>
          </cell>
          <cell r="K1551">
            <v>132</v>
          </cell>
          <cell r="L1551">
            <v>132</v>
          </cell>
          <cell r="M1551">
            <v>1815</v>
          </cell>
          <cell r="N1551" t="str">
            <v>대공</v>
          </cell>
          <cell r="O1551" t="str">
            <v>펌프카(1대)</v>
          </cell>
          <cell r="P1551">
            <v>815</v>
          </cell>
          <cell r="Q1551">
            <v>1710</v>
          </cell>
          <cell r="R1551">
            <v>170</v>
          </cell>
          <cell r="S1551">
            <v>39</v>
          </cell>
          <cell r="T1551">
            <v>70</v>
          </cell>
          <cell r="U1551">
            <v>176</v>
          </cell>
          <cell r="V1551"/>
          <cell r="W1551" t="str">
            <v>박순홍</v>
          </cell>
          <cell r="X1551" t="str">
            <v>(인)</v>
          </cell>
          <cell r="Y1551" t="str">
            <v>박순홍</v>
          </cell>
          <cell r="Z1551" t="str">
            <v>(인)</v>
          </cell>
          <cell r="AA1551" t="str">
            <v>박상갑</v>
          </cell>
          <cell r="AB1551" t="str">
            <v>(인)</v>
          </cell>
          <cell r="AC1551" t="str">
            <v>이홍걸</v>
          </cell>
          <cell r="AD1551" t="str">
            <v>(인)</v>
          </cell>
          <cell r="AE1551">
            <v>172.3</v>
          </cell>
          <cell r="AF1551" t="str">
            <v>동절기</v>
          </cell>
          <cell r="AG1551">
            <v>2</v>
          </cell>
          <cell r="AH1551">
            <v>0</v>
          </cell>
        </row>
        <row r="1552">
          <cell r="G1552">
            <v>2412130101</v>
          </cell>
          <cell r="H1552" t="str">
            <v>119동</v>
          </cell>
          <cell r="I1552">
            <v>241213</v>
          </cell>
          <cell r="J1552" t="str">
            <v>119동 2층 바닥</v>
          </cell>
          <cell r="K1552">
            <v>318</v>
          </cell>
          <cell r="L1552">
            <v>318</v>
          </cell>
          <cell r="M1552">
            <v>3018</v>
          </cell>
          <cell r="N1552" t="str">
            <v>대공</v>
          </cell>
          <cell r="O1552" t="str">
            <v>펌프카(1대)</v>
          </cell>
          <cell r="P1552">
            <v>822</v>
          </cell>
          <cell r="Q1552">
            <v>1250</v>
          </cell>
          <cell r="R1552">
            <v>165</v>
          </cell>
          <cell r="S1552">
            <v>48</v>
          </cell>
          <cell r="T1552">
            <v>31</v>
          </cell>
          <cell r="U1552">
            <v>183</v>
          </cell>
          <cell r="V1552"/>
          <cell r="W1552" t="str">
            <v>김광록</v>
          </cell>
          <cell r="X1552" t="str">
            <v>(인)</v>
          </cell>
          <cell r="Y1552" t="str">
            <v>김광록</v>
          </cell>
          <cell r="Z1552" t="str">
            <v>(인)</v>
          </cell>
          <cell r="AA1552" t="str">
            <v>박상갑</v>
          </cell>
          <cell r="AB1552" t="str">
            <v>(인)</v>
          </cell>
          <cell r="AC1552" t="str">
            <v>이홍걸</v>
          </cell>
          <cell r="AD1552" t="str">
            <v>(인)</v>
          </cell>
          <cell r="AE1552">
            <v>176.8</v>
          </cell>
          <cell r="AF1552" t="str">
            <v>동절기</v>
          </cell>
          <cell r="AG1552">
            <v>1</v>
          </cell>
          <cell r="AH1552">
            <v>1</v>
          </cell>
          <cell r="AI1552">
            <v>2732</v>
          </cell>
          <cell r="AJ1552">
            <v>2771</v>
          </cell>
          <cell r="AK1552">
            <v>217400</v>
          </cell>
          <cell r="AL1552">
            <v>3810</v>
          </cell>
          <cell r="AM1552">
            <v>3799</v>
          </cell>
          <cell r="AN1552">
            <v>3684</v>
          </cell>
          <cell r="AO1552">
            <v>3669</v>
          </cell>
          <cell r="AP1552">
            <v>3760</v>
          </cell>
          <cell r="AQ1552">
            <v>3781</v>
          </cell>
          <cell r="AR1552">
            <v>3729</v>
          </cell>
          <cell r="AS1552">
            <v>3678</v>
          </cell>
          <cell r="AT1552">
            <v>290600</v>
          </cell>
        </row>
        <row r="1553">
          <cell r="G1553">
            <v>2412130102</v>
          </cell>
          <cell r="H1553" t="str">
            <v>119동</v>
          </cell>
          <cell r="I1553">
            <v>241213</v>
          </cell>
          <cell r="J1553" t="str">
            <v>119동 2층 바닥</v>
          </cell>
          <cell r="K1553">
            <v>318</v>
          </cell>
          <cell r="L1553">
            <v>318</v>
          </cell>
          <cell r="M1553">
            <v>3018</v>
          </cell>
          <cell r="N1553" t="str">
            <v>대공</v>
          </cell>
          <cell r="O1553" t="str">
            <v>펌프카(1대)</v>
          </cell>
          <cell r="P1553">
            <v>822</v>
          </cell>
          <cell r="Q1553">
            <v>1250</v>
          </cell>
          <cell r="R1553">
            <v>185</v>
          </cell>
          <cell r="S1553">
            <v>45</v>
          </cell>
          <cell r="T1553">
            <v>97</v>
          </cell>
          <cell r="U1553">
            <v>188</v>
          </cell>
          <cell r="V1553"/>
          <cell r="W1553" t="str">
            <v>김광록</v>
          </cell>
          <cell r="X1553" t="str">
            <v>(인)</v>
          </cell>
          <cell r="Y1553" t="str">
            <v>김광록</v>
          </cell>
          <cell r="Z1553" t="str">
            <v>(인)</v>
          </cell>
          <cell r="AA1553" t="str">
            <v>박상갑</v>
          </cell>
          <cell r="AB1553" t="str">
            <v>(인)</v>
          </cell>
          <cell r="AC1553" t="str">
            <v>이홍걸</v>
          </cell>
          <cell r="AD1553" t="str">
            <v>(인)</v>
          </cell>
          <cell r="AE1553">
            <v>174.7</v>
          </cell>
          <cell r="AF1553" t="str">
            <v>동절기</v>
          </cell>
          <cell r="AG1553">
            <v>2</v>
          </cell>
          <cell r="AH1553">
            <v>0</v>
          </cell>
        </row>
        <row r="1554">
          <cell r="G1554">
            <v>2412130103</v>
          </cell>
          <cell r="H1554" t="str">
            <v>119동</v>
          </cell>
          <cell r="I1554">
            <v>241213</v>
          </cell>
          <cell r="J1554" t="str">
            <v>119동 2층 바닥</v>
          </cell>
          <cell r="K1554">
            <v>318</v>
          </cell>
          <cell r="L1554">
            <v>318</v>
          </cell>
          <cell r="M1554">
            <v>3018</v>
          </cell>
          <cell r="N1554" t="str">
            <v>대공</v>
          </cell>
          <cell r="O1554" t="str">
            <v>펌프카(1대)</v>
          </cell>
          <cell r="P1554">
            <v>822</v>
          </cell>
          <cell r="Q1554">
            <v>1250</v>
          </cell>
          <cell r="R1554">
            <v>170</v>
          </cell>
          <cell r="S1554">
            <v>40</v>
          </cell>
          <cell r="T1554">
            <v>125</v>
          </cell>
          <cell r="U1554">
            <v>179</v>
          </cell>
          <cell r="V1554"/>
          <cell r="W1554" t="str">
            <v>김광록</v>
          </cell>
          <cell r="X1554" t="str">
            <v>(인)</v>
          </cell>
          <cell r="Y1554" t="str">
            <v>김광록</v>
          </cell>
          <cell r="Z1554" t="str">
            <v>(인)</v>
          </cell>
          <cell r="AA1554" t="str">
            <v>박상갑</v>
          </cell>
          <cell r="AB1554" t="str">
            <v>(인)</v>
          </cell>
          <cell r="AC1554" t="str">
            <v>이홍걸</v>
          </cell>
          <cell r="AD1554" t="str">
            <v>(인)</v>
          </cell>
          <cell r="AE1554">
            <v>174.5</v>
          </cell>
          <cell r="AF1554" t="str">
            <v>동절기</v>
          </cell>
          <cell r="AG1554">
            <v>3</v>
          </cell>
          <cell r="AH1554">
            <v>0</v>
          </cell>
        </row>
        <row r="1555">
          <cell r="G1555">
            <v>2412130201</v>
          </cell>
          <cell r="H1555" t="str">
            <v>타워11호기</v>
          </cell>
          <cell r="I1555">
            <v>241213</v>
          </cell>
          <cell r="J1555" t="str">
            <v>타워11호기 주변주차장 지하1층 바닥</v>
          </cell>
          <cell r="K1555">
            <v>96</v>
          </cell>
          <cell r="L1555">
            <v>96</v>
          </cell>
          <cell r="M1555">
            <v>2715</v>
          </cell>
          <cell r="N1555" t="str">
            <v>대공</v>
          </cell>
          <cell r="O1555" t="str">
            <v>펌프카(1대)</v>
          </cell>
          <cell r="P1555">
            <v>1543</v>
          </cell>
          <cell r="Q1555">
            <v>1733</v>
          </cell>
          <cell r="R1555">
            <v>150</v>
          </cell>
          <cell r="S1555">
            <v>45</v>
          </cell>
          <cell r="T1555">
            <v>110</v>
          </cell>
          <cell r="U1555">
            <v>181</v>
          </cell>
          <cell r="V1555"/>
          <cell r="W1555" t="str">
            <v>김광록</v>
          </cell>
          <cell r="X1555" t="str">
            <v>(인)</v>
          </cell>
          <cell r="Y1555" t="str">
            <v>김광록</v>
          </cell>
          <cell r="Z1555" t="str">
            <v>(인)</v>
          </cell>
          <cell r="AA1555" t="str">
            <v>박상갑</v>
          </cell>
          <cell r="AB1555" t="str">
            <v>(인)</v>
          </cell>
          <cell r="AC1555" t="str">
            <v>이홍걸</v>
          </cell>
          <cell r="AD1555" t="str">
            <v>(인)</v>
          </cell>
          <cell r="AE1555">
            <v>167.1</v>
          </cell>
          <cell r="AF1555" t="str">
            <v>동절기</v>
          </cell>
          <cell r="AG1555">
            <v>1</v>
          </cell>
          <cell r="AH1555">
            <v>1</v>
          </cell>
          <cell r="AI1555">
            <v>2620</v>
          </cell>
          <cell r="AJ1555">
            <v>2536</v>
          </cell>
          <cell r="AK1555">
            <v>2543</v>
          </cell>
          <cell r="AL1555">
            <v>3484</v>
          </cell>
          <cell r="AM1555">
            <v>3367</v>
          </cell>
          <cell r="AN1555">
            <v>3419</v>
          </cell>
          <cell r="AO1555">
            <v>3428</v>
          </cell>
          <cell r="AP1555">
            <v>3369</v>
          </cell>
          <cell r="AQ1555">
            <v>3429</v>
          </cell>
          <cell r="AR1555">
            <v>3381</v>
          </cell>
          <cell r="AS1555">
            <v>3464</v>
          </cell>
          <cell r="AT1555">
            <v>261800</v>
          </cell>
        </row>
        <row r="1556">
          <cell r="G1556">
            <v>2412160101</v>
          </cell>
          <cell r="H1556" t="str">
            <v>103동, 109동</v>
          </cell>
          <cell r="I1556">
            <v>241216</v>
          </cell>
          <cell r="J1556" t="str">
            <v>109동 11층 바닥, 외2</v>
          </cell>
          <cell r="K1556">
            <v>296</v>
          </cell>
          <cell r="L1556">
            <v>296</v>
          </cell>
          <cell r="M1556">
            <v>3018</v>
          </cell>
          <cell r="N1556" t="str">
            <v>한진</v>
          </cell>
          <cell r="O1556" t="str">
            <v>펌프카(1대)</v>
          </cell>
          <cell r="P1556">
            <v>919</v>
          </cell>
          <cell r="Q1556">
            <v>1615</v>
          </cell>
          <cell r="R1556">
            <v>200</v>
          </cell>
          <cell r="S1556">
            <v>44</v>
          </cell>
          <cell r="T1556">
            <v>23</v>
          </cell>
          <cell r="U1556">
            <v>161</v>
          </cell>
          <cell r="V1556"/>
          <cell r="W1556" t="str">
            <v>박순홍</v>
          </cell>
          <cell r="X1556" t="str">
            <v>(인)</v>
          </cell>
          <cell r="Y1556" t="str">
            <v>박순홍</v>
          </cell>
          <cell r="Z1556" t="str">
            <v>(인)</v>
          </cell>
          <cell r="AA1556" t="str">
            <v>박기원</v>
          </cell>
          <cell r="AB1556" t="str">
            <v>(인)</v>
          </cell>
          <cell r="AC1556" t="str">
            <v>박상갑</v>
          </cell>
          <cell r="AD1556" t="str">
            <v>(인)</v>
          </cell>
          <cell r="AE1556">
            <v>182</v>
          </cell>
          <cell r="AF1556" t="str">
            <v>동절기</v>
          </cell>
          <cell r="AG1556">
            <v>1</v>
          </cell>
          <cell r="AH1556">
            <v>1</v>
          </cell>
          <cell r="AI1556">
            <v>2650</v>
          </cell>
          <cell r="AJ1556">
            <v>2621</v>
          </cell>
          <cell r="AK1556">
            <v>209200</v>
          </cell>
          <cell r="AL1556">
            <v>3646</v>
          </cell>
          <cell r="AM1556">
            <v>3654</v>
          </cell>
          <cell r="AN1556">
            <v>3702</v>
          </cell>
          <cell r="AO1556">
            <v>366974</v>
          </cell>
          <cell r="AP1556">
            <v>3689</v>
          </cell>
          <cell r="AQ1556">
            <v>3618</v>
          </cell>
          <cell r="AR1556">
            <v>3708</v>
          </cell>
          <cell r="AS1556">
            <v>3719</v>
          </cell>
          <cell r="AT1556">
            <v>287200</v>
          </cell>
        </row>
        <row r="1557">
          <cell r="G1557">
            <v>2412160102</v>
          </cell>
          <cell r="H1557" t="str">
            <v>103동, 109동</v>
          </cell>
          <cell r="I1557">
            <v>241216</v>
          </cell>
          <cell r="J1557" t="str">
            <v>109동 11층 바닥, 외2</v>
          </cell>
          <cell r="K1557">
            <v>296</v>
          </cell>
          <cell r="L1557">
            <v>296</v>
          </cell>
          <cell r="M1557">
            <v>3018</v>
          </cell>
          <cell r="N1557" t="str">
            <v>한진</v>
          </cell>
          <cell r="O1557" t="str">
            <v>펌프카(1대)</v>
          </cell>
          <cell r="P1557">
            <v>919</v>
          </cell>
          <cell r="Q1557">
            <v>1615</v>
          </cell>
          <cell r="R1557">
            <v>190</v>
          </cell>
          <cell r="S1557">
            <v>42</v>
          </cell>
          <cell r="T1557">
            <v>35</v>
          </cell>
          <cell r="U1557">
            <v>167</v>
          </cell>
          <cell r="V1557"/>
          <cell r="W1557" t="str">
            <v>박순홍</v>
          </cell>
          <cell r="X1557" t="str">
            <v>(인)</v>
          </cell>
          <cell r="Y1557" t="str">
            <v>박순홍</v>
          </cell>
          <cell r="Z1557" t="str">
            <v>(인)</v>
          </cell>
          <cell r="AA1557" t="str">
            <v>박기원</v>
          </cell>
          <cell r="AB1557" t="str">
            <v>(인)</v>
          </cell>
          <cell r="AC1557" t="str">
            <v>박상갑</v>
          </cell>
          <cell r="AD1557" t="str">
            <v>(인)</v>
          </cell>
          <cell r="AE1557">
            <v>180.2</v>
          </cell>
          <cell r="AF1557" t="str">
            <v>동절기</v>
          </cell>
          <cell r="AG1557">
            <v>2</v>
          </cell>
          <cell r="AH1557">
            <v>0</v>
          </cell>
        </row>
        <row r="1558">
          <cell r="G1558">
            <v>2412160103</v>
          </cell>
          <cell r="H1558" t="str">
            <v>103동, 109동</v>
          </cell>
          <cell r="I1558">
            <v>241216</v>
          </cell>
          <cell r="J1558" t="str">
            <v>109동 11층 바닥, 외2</v>
          </cell>
          <cell r="K1558">
            <v>296</v>
          </cell>
          <cell r="L1558">
            <v>296</v>
          </cell>
          <cell r="M1558">
            <v>3018</v>
          </cell>
          <cell r="N1558" t="str">
            <v>한진</v>
          </cell>
          <cell r="O1558" t="str">
            <v>펌프카(1대)</v>
          </cell>
          <cell r="P1558">
            <v>919</v>
          </cell>
          <cell r="Q1558">
            <v>1615</v>
          </cell>
          <cell r="R1558">
            <v>180</v>
          </cell>
          <cell r="S1558">
            <v>55</v>
          </cell>
          <cell r="T1558">
            <v>34</v>
          </cell>
          <cell r="U1558">
            <v>160</v>
          </cell>
          <cell r="V1558"/>
          <cell r="W1558" t="str">
            <v>박순홍</v>
          </cell>
          <cell r="X1558" t="str">
            <v>(인)</v>
          </cell>
          <cell r="Y1558" t="str">
            <v>박순홍</v>
          </cell>
          <cell r="Z1558" t="str">
            <v>(인)</v>
          </cell>
          <cell r="AA1558" t="str">
            <v>박기원</v>
          </cell>
          <cell r="AB1558" t="str">
            <v>(인)</v>
          </cell>
          <cell r="AC1558" t="str">
            <v>박상갑</v>
          </cell>
          <cell r="AD1558" t="str">
            <v>(인)</v>
          </cell>
          <cell r="AE1558">
            <v>171.9</v>
          </cell>
          <cell r="AF1558" t="str">
            <v>동절기</v>
          </cell>
          <cell r="AG1558">
            <v>3</v>
          </cell>
          <cell r="AH1558">
            <v>0</v>
          </cell>
        </row>
        <row r="1559">
          <cell r="G1559">
            <v>2412170101</v>
          </cell>
          <cell r="H1559" t="str">
            <v>117동,104동</v>
          </cell>
          <cell r="I1559">
            <v>241217</v>
          </cell>
          <cell r="J1559" t="str">
            <v>117동 3층 바닥, 104동 주출입구</v>
          </cell>
          <cell r="K1559">
            <v>388</v>
          </cell>
          <cell r="L1559">
            <v>388</v>
          </cell>
          <cell r="M1559">
            <v>3018</v>
          </cell>
          <cell r="N1559" t="str">
            <v>동양</v>
          </cell>
          <cell r="O1559" t="str">
            <v>펌프카(1대)</v>
          </cell>
          <cell r="P1559">
            <v>820</v>
          </cell>
          <cell r="Q1559">
            <v>1625</v>
          </cell>
          <cell r="R1559">
            <v>195</v>
          </cell>
          <cell r="S1559">
            <v>49</v>
          </cell>
          <cell r="T1559">
            <v>53</v>
          </cell>
          <cell r="U1559">
            <v>141</v>
          </cell>
          <cell r="V1559"/>
          <cell r="W1559" t="str">
            <v>박순홍</v>
          </cell>
          <cell r="X1559" t="str">
            <v>(인)</v>
          </cell>
          <cell r="Y1559" t="str">
            <v>박순홍</v>
          </cell>
          <cell r="Z1559" t="str">
            <v>(인)</v>
          </cell>
          <cell r="AA1559" t="str">
            <v>박기원</v>
          </cell>
          <cell r="AB1559" t="str">
            <v>(인)</v>
          </cell>
          <cell r="AC1559" t="str">
            <v>박상갑</v>
          </cell>
          <cell r="AD1559" t="str">
            <v>(인)</v>
          </cell>
          <cell r="AE1559">
            <v>178.6</v>
          </cell>
          <cell r="AF1559" t="str">
            <v>동절기</v>
          </cell>
          <cell r="AG1559">
            <v>1</v>
          </cell>
          <cell r="AH1559">
            <v>1</v>
          </cell>
          <cell r="AI1559">
            <v>2696</v>
          </cell>
          <cell r="AJ1559">
            <v>2672</v>
          </cell>
          <cell r="AK1559">
            <v>199700</v>
          </cell>
          <cell r="AL1559">
            <v>3638</v>
          </cell>
          <cell r="AM1559">
            <v>3722</v>
          </cell>
          <cell r="AN1559">
            <v>3716</v>
          </cell>
          <cell r="AO1559">
            <v>3612</v>
          </cell>
          <cell r="AP1559">
            <v>3618</v>
          </cell>
          <cell r="AQ1559">
            <v>3701</v>
          </cell>
          <cell r="AR1559">
            <v>3630</v>
          </cell>
          <cell r="AS1559">
            <v>3688</v>
          </cell>
          <cell r="AT1559">
            <v>291200</v>
          </cell>
        </row>
        <row r="1560">
          <cell r="G1560">
            <v>2412170102</v>
          </cell>
          <cell r="H1560" t="str">
            <v>117동,104동</v>
          </cell>
          <cell r="I1560">
            <v>241217</v>
          </cell>
          <cell r="J1560" t="str">
            <v>117동 3층 바닥, 104동 주출입구</v>
          </cell>
          <cell r="K1560">
            <v>388</v>
          </cell>
          <cell r="L1560">
            <v>388</v>
          </cell>
          <cell r="M1560">
            <v>3018</v>
          </cell>
          <cell r="N1560" t="str">
            <v>동양</v>
          </cell>
          <cell r="O1560" t="str">
            <v>펌프카(1대)</v>
          </cell>
          <cell r="P1560">
            <v>820</v>
          </cell>
          <cell r="Q1560">
            <v>1625</v>
          </cell>
          <cell r="R1560">
            <v>195</v>
          </cell>
          <cell r="S1560">
            <v>49</v>
          </cell>
          <cell r="T1560">
            <v>68</v>
          </cell>
          <cell r="U1560">
            <v>170</v>
          </cell>
          <cell r="V1560"/>
          <cell r="W1560" t="str">
            <v>박순홍</v>
          </cell>
          <cell r="X1560" t="str">
            <v>(인)</v>
          </cell>
          <cell r="Y1560" t="str">
            <v>박순홍</v>
          </cell>
          <cell r="Z1560" t="str">
            <v>(인)</v>
          </cell>
          <cell r="AA1560" t="str">
            <v>박기원</v>
          </cell>
          <cell r="AB1560" t="str">
            <v>(인)</v>
          </cell>
          <cell r="AC1560" t="str">
            <v>박상갑</v>
          </cell>
          <cell r="AD1560" t="str">
            <v>(인)</v>
          </cell>
          <cell r="AE1560">
            <v>179.8</v>
          </cell>
          <cell r="AF1560" t="str">
            <v>동절기</v>
          </cell>
          <cell r="AG1560">
            <v>2</v>
          </cell>
          <cell r="AH1560">
            <v>0</v>
          </cell>
        </row>
        <row r="1561">
          <cell r="G1561">
            <v>2412170103</v>
          </cell>
          <cell r="H1561" t="str">
            <v>117동,104동</v>
          </cell>
          <cell r="I1561">
            <v>241217</v>
          </cell>
          <cell r="J1561" t="str">
            <v>117동 3층 바닥, 104동 주출입구</v>
          </cell>
          <cell r="K1561">
            <v>388</v>
          </cell>
          <cell r="L1561">
            <v>388</v>
          </cell>
          <cell r="M1561">
            <v>3018</v>
          </cell>
          <cell r="N1561" t="str">
            <v>동양</v>
          </cell>
          <cell r="O1561" t="str">
            <v>펌프카(1대)</v>
          </cell>
          <cell r="P1561">
            <v>820</v>
          </cell>
          <cell r="Q1561">
            <v>1625</v>
          </cell>
          <cell r="R1561">
            <v>190</v>
          </cell>
          <cell r="S1561">
            <v>41</v>
          </cell>
          <cell r="T1561">
            <v>16</v>
          </cell>
          <cell r="U1561">
            <v>133</v>
          </cell>
          <cell r="V1561"/>
          <cell r="W1561" t="str">
            <v>박순홍</v>
          </cell>
          <cell r="X1561" t="str">
            <v>(인)</v>
          </cell>
          <cell r="Y1561" t="str">
            <v>박순홍</v>
          </cell>
          <cell r="Z1561" t="str">
            <v>(인)</v>
          </cell>
          <cell r="AA1561" t="str">
            <v>박기원</v>
          </cell>
          <cell r="AB1561" t="str">
            <v>(인)</v>
          </cell>
          <cell r="AC1561" t="str">
            <v>박상갑</v>
          </cell>
          <cell r="AD1561" t="str">
            <v>(인)</v>
          </cell>
          <cell r="AE1561">
            <v>180.5</v>
          </cell>
          <cell r="AF1561" t="str">
            <v>동절기</v>
          </cell>
          <cell r="AG1561">
            <v>3</v>
          </cell>
          <cell r="AH1561">
            <v>0</v>
          </cell>
        </row>
        <row r="1562">
          <cell r="G1562">
            <v>2412170104</v>
          </cell>
          <cell r="H1562" t="str">
            <v>117동,104동</v>
          </cell>
          <cell r="I1562">
            <v>241217</v>
          </cell>
          <cell r="J1562" t="str">
            <v>117동 3층 바닥, 104동 주출입구</v>
          </cell>
          <cell r="K1562">
            <v>388</v>
          </cell>
          <cell r="L1562">
            <v>388</v>
          </cell>
          <cell r="M1562">
            <v>3018</v>
          </cell>
          <cell r="N1562" t="str">
            <v>동양</v>
          </cell>
          <cell r="O1562" t="str">
            <v>펌프카(1대)</v>
          </cell>
          <cell r="P1562">
            <v>820</v>
          </cell>
          <cell r="Q1562">
            <v>1625</v>
          </cell>
          <cell r="R1562">
            <v>185</v>
          </cell>
          <cell r="S1562">
            <v>49</v>
          </cell>
          <cell r="T1562">
            <v>121</v>
          </cell>
          <cell r="U1562">
            <v>191</v>
          </cell>
          <cell r="V1562"/>
          <cell r="W1562" t="str">
            <v>박순홍</v>
          </cell>
          <cell r="X1562" t="str">
            <v>(인)</v>
          </cell>
          <cell r="Y1562" t="str">
            <v>박순홍</v>
          </cell>
          <cell r="Z1562" t="str">
            <v>(인)</v>
          </cell>
          <cell r="AA1562" t="str">
            <v>박기원</v>
          </cell>
          <cell r="AB1562" t="str">
            <v>(인)</v>
          </cell>
          <cell r="AC1562" t="str">
            <v>박상갑</v>
          </cell>
          <cell r="AD1562" t="str">
            <v>(인)</v>
          </cell>
          <cell r="AE1562">
            <v>182.7</v>
          </cell>
          <cell r="AF1562" t="str">
            <v>동절기</v>
          </cell>
          <cell r="AG1562">
            <v>4</v>
          </cell>
          <cell r="AH1562">
            <v>1</v>
          </cell>
          <cell r="AL1562">
            <v>3608</v>
          </cell>
          <cell r="AM1562">
            <v>3689</v>
          </cell>
          <cell r="AN1562">
            <v>3713</v>
          </cell>
          <cell r="AO1562">
            <v>3762</v>
          </cell>
          <cell r="AP1562">
            <v>3802</v>
          </cell>
          <cell r="AQ1562">
            <v>3819</v>
          </cell>
          <cell r="AR1562">
            <v>3716</v>
          </cell>
          <cell r="AS1562">
            <v>3843</v>
          </cell>
          <cell r="AT1562">
            <v>292800</v>
          </cell>
        </row>
        <row r="1563">
          <cell r="G1563">
            <v>2412170201</v>
          </cell>
          <cell r="H1563" t="str">
            <v>107동</v>
          </cell>
          <cell r="I1563">
            <v>241217</v>
          </cell>
          <cell r="J1563" t="str">
            <v>107동~108동 사이 주차장</v>
          </cell>
          <cell r="K1563">
            <v>144</v>
          </cell>
          <cell r="L1563">
            <v>144</v>
          </cell>
          <cell r="M1563">
            <v>1815</v>
          </cell>
          <cell r="N1563" t="str">
            <v>대공</v>
          </cell>
          <cell r="O1563" t="str">
            <v>펌프카(1대)</v>
          </cell>
          <cell r="P1563">
            <v>1220</v>
          </cell>
          <cell r="Q1563">
            <v>1459</v>
          </cell>
          <cell r="R1563">
            <v>145</v>
          </cell>
          <cell r="S1563">
            <v>54</v>
          </cell>
          <cell r="T1563">
            <v>21</v>
          </cell>
          <cell r="U1563">
            <v>186</v>
          </cell>
          <cell r="V1563"/>
          <cell r="W1563" t="str">
            <v>박순홍</v>
          </cell>
          <cell r="X1563" t="str">
            <v>(인)</v>
          </cell>
          <cell r="Y1563" t="str">
            <v>박순홍</v>
          </cell>
          <cell r="Z1563" t="str">
            <v>(인)</v>
          </cell>
          <cell r="AA1563" t="str">
            <v>박기원</v>
          </cell>
          <cell r="AB1563" t="str">
            <v>(인)</v>
          </cell>
          <cell r="AC1563" t="str">
            <v>박상갑</v>
          </cell>
          <cell r="AD1563" t="str">
            <v>(인)</v>
          </cell>
          <cell r="AE1563">
            <v>174.5</v>
          </cell>
          <cell r="AF1563" t="str">
            <v>동절기</v>
          </cell>
          <cell r="AG1563">
            <v>1</v>
          </cell>
          <cell r="AH1563">
            <v>1</v>
          </cell>
          <cell r="AI1563">
            <v>1512</v>
          </cell>
          <cell r="AJ1563">
            <v>1480</v>
          </cell>
          <cell r="AK1563">
            <v>116000</v>
          </cell>
          <cell r="AL1563">
            <v>2391</v>
          </cell>
          <cell r="AM1563">
            <v>2274</v>
          </cell>
          <cell r="AN1563">
            <v>2411</v>
          </cell>
          <cell r="AO1563">
            <v>2263</v>
          </cell>
          <cell r="AP1563">
            <v>2308</v>
          </cell>
          <cell r="AQ1563">
            <v>2219</v>
          </cell>
          <cell r="AR1563">
            <v>2372</v>
          </cell>
          <cell r="AS1563">
            <v>2324</v>
          </cell>
          <cell r="AT1563">
            <v>173000</v>
          </cell>
        </row>
        <row r="1564">
          <cell r="G1564">
            <v>2412170202</v>
          </cell>
          <cell r="H1564" t="str">
            <v>107동</v>
          </cell>
          <cell r="I1564">
            <v>241217</v>
          </cell>
          <cell r="J1564" t="str">
            <v>107동~108동 사이 주차장</v>
          </cell>
          <cell r="K1564">
            <v>144</v>
          </cell>
          <cell r="L1564">
            <v>144</v>
          </cell>
          <cell r="M1564">
            <v>1815</v>
          </cell>
          <cell r="N1564" t="str">
            <v>대공</v>
          </cell>
          <cell r="O1564" t="str">
            <v>펌프카(1대)</v>
          </cell>
          <cell r="P1564">
            <v>1220</v>
          </cell>
          <cell r="Q1564">
            <v>1459</v>
          </cell>
          <cell r="R1564">
            <v>150</v>
          </cell>
          <cell r="S1564">
            <v>36</v>
          </cell>
          <cell r="T1564">
            <v>41</v>
          </cell>
          <cell r="U1564">
            <v>180</v>
          </cell>
          <cell r="V1564"/>
          <cell r="W1564" t="str">
            <v>박순홍</v>
          </cell>
          <cell r="X1564" t="str">
            <v>(인)</v>
          </cell>
          <cell r="Y1564" t="str">
            <v>박순홍</v>
          </cell>
          <cell r="Z1564" t="str">
            <v>(인)</v>
          </cell>
          <cell r="AA1564" t="str">
            <v>박기원</v>
          </cell>
          <cell r="AB1564" t="str">
            <v>(인)</v>
          </cell>
          <cell r="AC1564" t="str">
            <v>박상갑</v>
          </cell>
          <cell r="AD1564" t="str">
            <v>(인)</v>
          </cell>
          <cell r="AE1564">
            <v>174.2</v>
          </cell>
          <cell r="AF1564" t="str">
            <v>동절기</v>
          </cell>
          <cell r="AG1564">
            <v>2</v>
          </cell>
          <cell r="AH1564">
            <v>0</v>
          </cell>
        </row>
        <row r="1565">
          <cell r="G1565">
            <v>2412180101</v>
          </cell>
          <cell r="H1565" t="str">
            <v>108동</v>
          </cell>
          <cell r="I1565">
            <v>241218</v>
          </cell>
          <cell r="J1565" t="str">
            <v>108동 5층 바닥</v>
          </cell>
          <cell r="K1565">
            <v>282</v>
          </cell>
          <cell r="L1565">
            <v>282</v>
          </cell>
          <cell r="M1565">
            <v>3018</v>
          </cell>
          <cell r="N1565" t="str">
            <v>용호</v>
          </cell>
          <cell r="O1565" t="str">
            <v>펌프카(1대)</v>
          </cell>
          <cell r="P1565">
            <v>1355</v>
          </cell>
          <cell r="Q1565">
            <v>1729</v>
          </cell>
          <cell r="R1565">
            <v>195</v>
          </cell>
          <cell r="S1565">
            <v>48</v>
          </cell>
          <cell r="T1565">
            <v>21</v>
          </cell>
          <cell r="U1565">
            <v>182</v>
          </cell>
          <cell r="V1565"/>
          <cell r="W1565" t="str">
            <v>박순홍</v>
          </cell>
          <cell r="X1565" t="str">
            <v>(인)</v>
          </cell>
          <cell r="Y1565" t="str">
            <v>김광록</v>
          </cell>
          <cell r="Z1565" t="str">
            <v>(인)</v>
          </cell>
          <cell r="AA1565" t="str">
            <v>박기원</v>
          </cell>
          <cell r="AB1565" t="str">
            <v>(인)</v>
          </cell>
          <cell r="AC1565" t="str">
            <v>박상갑</v>
          </cell>
          <cell r="AD1565" t="str">
            <v>(인)</v>
          </cell>
          <cell r="AE1565">
            <v>181.4</v>
          </cell>
          <cell r="AF1565" t="str">
            <v>동절기</v>
          </cell>
          <cell r="AG1565">
            <v>1</v>
          </cell>
          <cell r="AH1565">
            <v>1</v>
          </cell>
          <cell r="AI1565">
            <v>2663</v>
          </cell>
          <cell r="AJ1565">
            <v>2702</v>
          </cell>
          <cell r="AK1565">
            <v>214800</v>
          </cell>
          <cell r="AL1565">
            <v>3694</v>
          </cell>
          <cell r="AM1565">
            <v>3766</v>
          </cell>
          <cell r="AN1565">
            <v>3754</v>
          </cell>
          <cell r="AO1565">
            <v>3619</v>
          </cell>
          <cell r="AP1565">
            <v>3828</v>
          </cell>
          <cell r="AQ1565">
            <v>3712</v>
          </cell>
          <cell r="AR1565">
            <v>3864</v>
          </cell>
          <cell r="AS1565">
            <v>3784</v>
          </cell>
          <cell r="AT1565">
            <v>287000</v>
          </cell>
        </row>
        <row r="1566">
          <cell r="G1566">
            <v>2412180102</v>
          </cell>
          <cell r="H1566" t="str">
            <v>108동</v>
          </cell>
          <cell r="I1566">
            <v>241218</v>
          </cell>
          <cell r="J1566" t="str">
            <v>108동 5층 바닥</v>
          </cell>
          <cell r="K1566">
            <v>282</v>
          </cell>
          <cell r="L1566">
            <v>282</v>
          </cell>
          <cell r="M1566">
            <v>3018</v>
          </cell>
          <cell r="N1566" t="str">
            <v>용호</v>
          </cell>
          <cell r="O1566" t="str">
            <v>펌프카(1대)</v>
          </cell>
          <cell r="P1566">
            <v>1355</v>
          </cell>
          <cell r="Q1566">
            <v>1729</v>
          </cell>
          <cell r="R1566">
            <v>180</v>
          </cell>
          <cell r="S1566">
            <v>40</v>
          </cell>
          <cell r="T1566">
            <v>10</v>
          </cell>
          <cell r="U1566">
            <v>177</v>
          </cell>
          <cell r="V1566"/>
          <cell r="W1566" t="str">
            <v>박순홍</v>
          </cell>
          <cell r="X1566" t="str">
            <v>(인)</v>
          </cell>
          <cell r="Y1566" t="str">
            <v>김광록</v>
          </cell>
          <cell r="Z1566" t="str">
            <v>(인)</v>
          </cell>
          <cell r="AA1566" t="str">
            <v>박기원</v>
          </cell>
          <cell r="AB1566" t="str">
            <v>(인)</v>
          </cell>
          <cell r="AC1566" t="str">
            <v>박상갑</v>
          </cell>
          <cell r="AD1566" t="str">
            <v>(인)</v>
          </cell>
          <cell r="AE1566">
            <v>186.5</v>
          </cell>
          <cell r="AF1566" t="str">
            <v>동절기</v>
          </cell>
          <cell r="AG1566">
            <v>2</v>
          </cell>
          <cell r="AH1566">
            <v>0</v>
          </cell>
        </row>
        <row r="1567">
          <cell r="G1567">
            <v>2412180103</v>
          </cell>
          <cell r="H1567" t="str">
            <v>108동</v>
          </cell>
          <cell r="I1567">
            <v>241218</v>
          </cell>
          <cell r="J1567" t="str">
            <v>108동 5층 바닥</v>
          </cell>
          <cell r="K1567">
            <v>282</v>
          </cell>
          <cell r="L1567">
            <v>282</v>
          </cell>
          <cell r="M1567">
            <v>3018</v>
          </cell>
          <cell r="N1567" t="str">
            <v>용호</v>
          </cell>
          <cell r="O1567" t="str">
            <v>펌프카(1대)</v>
          </cell>
          <cell r="P1567">
            <v>1355</v>
          </cell>
          <cell r="Q1567">
            <v>1729</v>
          </cell>
          <cell r="R1567">
            <v>170</v>
          </cell>
          <cell r="S1567">
            <v>50</v>
          </cell>
          <cell r="T1567">
            <v>13</v>
          </cell>
          <cell r="U1567">
            <v>174</v>
          </cell>
          <cell r="V1567"/>
          <cell r="W1567" t="str">
            <v>박순홍</v>
          </cell>
          <cell r="X1567" t="str">
            <v>(인)</v>
          </cell>
          <cell r="Y1567" t="str">
            <v>김광록</v>
          </cell>
          <cell r="Z1567" t="str">
            <v>(인)</v>
          </cell>
          <cell r="AA1567" t="str">
            <v>박기원</v>
          </cell>
          <cell r="AB1567" t="str">
            <v>(인)</v>
          </cell>
          <cell r="AC1567" t="str">
            <v>박상갑</v>
          </cell>
          <cell r="AD1567" t="str">
            <v>(인)</v>
          </cell>
          <cell r="AE1567">
            <v>186.3</v>
          </cell>
          <cell r="AF1567" t="str">
            <v>동절기</v>
          </cell>
          <cell r="AG1567">
            <v>3</v>
          </cell>
          <cell r="AH1567">
            <v>0</v>
          </cell>
        </row>
        <row r="1568">
          <cell r="G1568">
            <v>2412180201</v>
          </cell>
          <cell r="H1568" t="str">
            <v>115동</v>
          </cell>
          <cell r="I1568">
            <v>241218</v>
          </cell>
          <cell r="J1568" t="str">
            <v>115동 6층 바닥</v>
          </cell>
          <cell r="K1568">
            <v>282</v>
          </cell>
          <cell r="L1568">
            <v>282</v>
          </cell>
          <cell r="M1568">
            <v>3018</v>
          </cell>
          <cell r="N1568" t="str">
            <v>용호</v>
          </cell>
          <cell r="O1568" t="str">
            <v>펌프카(1대)</v>
          </cell>
          <cell r="P1568">
            <v>906</v>
          </cell>
          <cell r="Q1568">
            <v>1238</v>
          </cell>
          <cell r="R1568">
            <v>200</v>
          </cell>
          <cell r="S1568">
            <v>50</v>
          </cell>
          <cell r="T1568">
            <v>81</v>
          </cell>
          <cell r="U1568">
            <v>185</v>
          </cell>
          <cell r="V1568"/>
          <cell r="W1568" t="str">
            <v>박순홍</v>
          </cell>
          <cell r="X1568" t="str">
            <v>(인)</v>
          </cell>
          <cell r="Y1568" t="str">
            <v>김광록</v>
          </cell>
          <cell r="Z1568" t="str">
            <v>(인)</v>
          </cell>
          <cell r="AA1568" t="str">
            <v>박기원</v>
          </cell>
          <cell r="AB1568" t="str">
            <v>(인)</v>
          </cell>
          <cell r="AC1568" t="str">
            <v>박상갑</v>
          </cell>
          <cell r="AD1568" t="str">
            <v>(인)</v>
          </cell>
          <cell r="AE1568">
            <v>181.4</v>
          </cell>
          <cell r="AF1568" t="str">
            <v>동절기</v>
          </cell>
          <cell r="AG1568">
            <v>1</v>
          </cell>
          <cell r="AH1568">
            <v>1</v>
          </cell>
          <cell r="AI1568">
            <v>2630</v>
          </cell>
          <cell r="AJ1568">
            <v>2629</v>
          </cell>
          <cell r="AK1568">
            <v>216000</v>
          </cell>
          <cell r="AL1568">
            <v>3738</v>
          </cell>
          <cell r="AM1568">
            <v>3796</v>
          </cell>
          <cell r="AN1568">
            <v>3629</v>
          </cell>
          <cell r="AO1568">
            <v>3628</v>
          </cell>
          <cell r="AP1568">
            <v>3810</v>
          </cell>
          <cell r="AQ1568">
            <v>3712</v>
          </cell>
          <cell r="AR1568">
            <v>3629</v>
          </cell>
          <cell r="AS1568">
            <v>3812</v>
          </cell>
          <cell r="AT1568">
            <v>299000</v>
          </cell>
        </row>
        <row r="1569">
          <cell r="G1569">
            <v>2412180202</v>
          </cell>
          <cell r="H1569" t="str">
            <v>115동</v>
          </cell>
          <cell r="I1569">
            <v>241218</v>
          </cell>
          <cell r="J1569" t="str">
            <v>115동 6층 바닥</v>
          </cell>
          <cell r="K1569">
            <v>282</v>
          </cell>
          <cell r="L1569">
            <v>282</v>
          </cell>
          <cell r="M1569">
            <v>3018</v>
          </cell>
          <cell r="N1569" t="str">
            <v>용호</v>
          </cell>
          <cell r="O1569" t="str">
            <v>펌프카(1대)</v>
          </cell>
          <cell r="P1569">
            <v>906</v>
          </cell>
          <cell r="Q1569">
            <v>1238</v>
          </cell>
          <cell r="R1569">
            <v>185</v>
          </cell>
          <cell r="S1569">
            <v>36</v>
          </cell>
          <cell r="T1569">
            <v>33</v>
          </cell>
          <cell r="U1569">
            <v>177</v>
          </cell>
          <cell r="V1569"/>
          <cell r="W1569" t="str">
            <v>박순홍</v>
          </cell>
          <cell r="X1569" t="str">
            <v>(인)</v>
          </cell>
          <cell r="Y1569" t="str">
            <v>김광록</v>
          </cell>
          <cell r="Z1569" t="str">
            <v>(인)</v>
          </cell>
          <cell r="AA1569" t="str">
            <v>박기원</v>
          </cell>
          <cell r="AB1569" t="str">
            <v>(인)</v>
          </cell>
          <cell r="AC1569" t="str">
            <v>박상갑</v>
          </cell>
          <cell r="AD1569" t="str">
            <v>(인)</v>
          </cell>
          <cell r="AE1569">
            <v>178</v>
          </cell>
          <cell r="AF1569" t="str">
            <v>동절기</v>
          </cell>
          <cell r="AG1569">
            <v>2</v>
          </cell>
          <cell r="AH1569">
            <v>0</v>
          </cell>
        </row>
        <row r="1570">
          <cell r="G1570">
            <v>2412180203</v>
          </cell>
          <cell r="H1570" t="str">
            <v>115동</v>
          </cell>
          <cell r="I1570">
            <v>241218</v>
          </cell>
          <cell r="J1570" t="str">
            <v>115동 6층 바닥</v>
          </cell>
          <cell r="K1570">
            <v>282</v>
          </cell>
          <cell r="L1570">
            <v>282</v>
          </cell>
          <cell r="M1570">
            <v>3018</v>
          </cell>
          <cell r="N1570" t="str">
            <v>용호</v>
          </cell>
          <cell r="O1570" t="str">
            <v>펌프카(1대)</v>
          </cell>
          <cell r="P1570">
            <v>906</v>
          </cell>
          <cell r="Q1570">
            <v>1238</v>
          </cell>
          <cell r="R1570">
            <v>190</v>
          </cell>
          <cell r="S1570">
            <v>40</v>
          </cell>
          <cell r="T1570">
            <v>34</v>
          </cell>
          <cell r="U1570">
            <v>168</v>
          </cell>
          <cell r="V1570"/>
          <cell r="W1570" t="str">
            <v>박순홍</v>
          </cell>
          <cell r="X1570" t="str">
            <v>(인)</v>
          </cell>
          <cell r="Y1570" t="str">
            <v>김광록</v>
          </cell>
          <cell r="Z1570" t="str">
            <v>(인)</v>
          </cell>
          <cell r="AA1570" t="str">
            <v>박기원</v>
          </cell>
          <cell r="AB1570" t="str">
            <v>(인)</v>
          </cell>
          <cell r="AC1570" t="str">
            <v>박상갑</v>
          </cell>
          <cell r="AD1570" t="str">
            <v>(인)</v>
          </cell>
          <cell r="AE1570">
            <v>181</v>
          </cell>
          <cell r="AF1570" t="str">
            <v>동절기</v>
          </cell>
          <cell r="AG1570">
            <v>3</v>
          </cell>
          <cell r="AH1570">
            <v>0</v>
          </cell>
        </row>
        <row r="1571">
          <cell r="G1571">
            <v>2412180301</v>
          </cell>
          <cell r="H1571" t="str">
            <v>118동</v>
          </cell>
          <cell r="I1571">
            <v>241218</v>
          </cell>
          <cell r="J1571" t="str">
            <v>118동 2층 바닥</v>
          </cell>
          <cell r="K1571">
            <v>294</v>
          </cell>
          <cell r="L1571">
            <v>294</v>
          </cell>
          <cell r="M1571">
            <v>3018</v>
          </cell>
          <cell r="N1571" t="str">
            <v>영진</v>
          </cell>
          <cell r="O1571" t="str">
            <v>펌프카(1대)</v>
          </cell>
          <cell r="P1571">
            <v>905</v>
          </cell>
          <cell r="Q1571">
            <v>1358</v>
          </cell>
          <cell r="R1571">
            <v>175</v>
          </cell>
          <cell r="S1571">
            <v>50</v>
          </cell>
          <cell r="T1571">
            <v>53</v>
          </cell>
          <cell r="U1571">
            <v>160</v>
          </cell>
          <cell r="V1571"/>
          <cell r="W1571" t="str">
            <v>박순홍</v>
          </cell>
          <cell r="X1571" t="str">
            <v>(인)</v>
          </cell>
          <cell r="Y1571" t="str">
            <v>김광록</v>
          </cell>
          <cell r="Z1571" t="str">
            <v>(인)</v>
          </cell>
          <cell r="AA1571" t="str">
            <v>박기원</v>
          </cell>
          <cell r="AB1571" t="str">
            <v>(인)</v>
          </cell>
          <cell r="AC1571" t="str">
            <v>박상갑</v>
          </cell>
          <cell r="AD1571" t="str">
            <v>(인)</v>
          </cell>
          <cell r="AE1571">
            <v>178.2</v>
          </cell>
          <cell r="AF1571" t="str">
            <v>동절기</v>
          </cell>
          <cell r="AG1571">
            <v>1</v>
          </cell>
          <cell r="AH1571">
            <v>1</v>
          </cell>
          <cell r="AI1571">
            <v>2734</v>
          </cell>
          <cell r="AJ1571">
            <v>2706</v>
          </cell>
          <cell r="AK1571">
            <v>210400</v>
          </cell>
          <cell r="AL1571">
            <v>3692</v>
          </cell>
          <cell r="AM1571">
            <v>3769</v>
          </cell>
          <cell r="AN1571">
            <v>3828</v>
          </cell>
          <cell r="AO1571">
            <v>3728</v>
          </cell>
          <cell r="AP1571">
            <v>3629</v>
          </cell>
          <cell r="AQ1571">
            <v>3811</v>
          </cell>
          <cell r="AR1571">
            <v>3649</v>
          </cell>
          <cell r="AS1571">
            <v>3768</v>
          </cell>
          <cell r="AT1571">
            <v>301000</v>
          </cell>
        </row>
        <row r="1572">
          <cell r="G1572">
            <v>2412180302</v>
          </cell>
          <cell r="H1572" t="str">
            <v>118동</v>
          </cell>
          <cell r="I1572">
            <v>241218</v>
          </cell>
          <cell r="J1572" t="str">
            <v>118동 2층 바닥</v>
          </cell>
          <cell r="K1572">
            <v>294</v>
          </cell>
          <cell r="L1572">
            <v>294</v>
          </cell>
          <cell r="M1572">
            <v>3018</v>
          </cell>
          <cell r="N1572" t="str">
            <v>영진</v>
          </cell>
          <cell r="O1572" t="str">
            <v>펌프카(1대)</v>
          </cell>
          <cell r="P1572">
            <v>905</v>
          </cell>
          <cell r="Q1572">
            <v>1358</v>
          </cell>
          <cell r="R1572">
            <v>205</v>
          </cell>
          <cell r="S1572">
            <v>52</v>
          </cell>
          <cell r="T1572">
            <v>112</v>
          </cell>
          <cell r="U1572">
            <v>176</v>
          </cell>
          <cell r="V1572"/>
          <cell r="W1572" t="str">
            <v>박순홍</v>
          </cell>
          <cell r="X1572" t="str">
            <v>(인)</v>
          </cell>
          <cell r="Y1572" t="str">
            <v>김광록</v>
          </cell>
          <cell r="Z1572" t="str">
            <v>(인)</v>
          </cell>
          <cell r="AA1572" t="str">
            <v>박기원</v>
          </cell>
          <cell r="AB1572" t="str">
            <v>(인)</v>
          </cell>
          <cell r="AC1572" t="str">
            <v>박상갑</v>
          </cell>
          <cell r="AD1572" t="str">
            <v>(인)</v>
          </cell>
          <cell r="AE1572">
            <v>174</v>
          </cell>
          <cell r="AF1572" t="str">
            <v>동절기</v>
          </cell>
          <cell r="AG1572">
            <v>2</v>
          </cell>
          <cell r="AH1572">
            <v>0</v>
          </cell>
        </row>
        <row r="1573">
          <cell r="G1573">
            <v>2412180303</v>
          </cell>
          <cell r="H1573" t="str">
            <v>118동</v>
          </cell>
          <cell r="I1573">
            <v>241218</v>
          </cell>
          <cell r="J1573" t="str">
            <v>118동 2층 바닥</v>
          </cell>
          <cell r="K1573">
            <v>294</v>
          </cell>
          <cell r="L1573">
            <v>294</v>
          </cell>
          <cell r="M1573">
            <v>3018</v>
          </cell>
          <cell r="N1573" t="str">
            <v>영진</v>
          </cell>
          <cell r="O1573" t="str">
            <v>펌프카(1대)</v>
          </cell>
          <cell r="P1573">
            <v>905</v>
          </cell>
          <cell r="Q1573">
            <v>1358</v>
          </cell>
          <cell r="R1573">
            <v>205</v>
          </cell>
          <cell r="S1573">
            <v>49</v>
          </cell>
          <cell r="T1573">
            <v>37</v>
          </cell>
          <cell r="U1573">
            <v>167</v>
          </cell>
          <cell r="V1573"/>
          <cell r="W1573" t="str">
            <v>박순홍</v>
          </cell>
          <cell r="X1573" t="str">
            <v>(인)</v>
          </cell>
          <cell r="Y1573" t="str">
            <v>김광록</v>
          </cell>
          <cell r="Z1573" t="str">
            <v>(인)</v>
          </cell>
          <cell r="AA1573" t="str">
            <v>박기원</v>
          </cell>
          <cell r="AB1573" t="str">
            <v>(인)</v>
          </cell>
          <cell r="AC1573" t="str">
            <v>박상갑</v>
          </cell>
          <cell r="AD1573" t="str">
            <v>(인)</v>
          </cell>
          <cell r="AE1573">
            <v>181</v>
          </cell>
          <cell r="AF1573" t="str">
            <v>동절기</v>
          </cell>
          <cell r="AG1573">
            <v>3</v>
          </cell>
          <cell r="AH1573">
            <v>0</v>
          </cell>
        </row>
        <row r="1574">
          <cell r="G1574">
            <v>2412180401</v>
          </cell>
          <cell r="H1574" t="str">
            <v>120동</v>
          </cell>
          <cell r="I1574">
            <v>241218</v>
          </cell>
          <cell r="J1574" t="str">
            <v>120동 주변 휀룸</v>
          </cell>
          <cell r="K1574">
            <v>15</v>
          </cell>
          <cell r="L1574">
            <v>15</v>
          </cell>
          <cell r="M1574">
            <v>2715</v>
          </cell>
          <cell r="N1574" t="str">
            <v>영진</v>
          </cell>
          <cell r="O1574" t="str">
            <v>펌프카(1대)</v>
          </cell>
          <cell r="P1574">
            <v>1443</v>
          </cell>
          <cell r="Q1574">
            <v>1500</v>
          </cell>
          <cell r="R1574">
            <v>150</v>
          </cell>
          <cell r="S1574">
            <v>46</v>
          </cell>
          <cell r="T1574">
            <v>42</v>
          </cell>
          <cell r="U1574">
            <v>163</v>
          </cell>
          <cell r="V1574"/>
          <cell r="W1574" t="str">
            <v>박순홍</v>
          </cell>
          <cell r="X1574" t="str">
            <v>(인)</v>
          </cell>
          <cell r="Y1574" t="str">
            <v>김광록</v>
          </cell>
          <cell r="Z1574" t="str">
            <v>(인)</v>
          </cell>
          <cell r="AA1574" t="str">
            <v>박기원</v>
          </cell>
          <cell r="AB1574" t="str">
            <v>(인)</v>
          </cell>
          <cell r="AC1574" t="str">
            <v>박상갑</v>
          </cell>
          <cell r="AD1574" t="str">
            <v>(인)</v>
          </cell>
          <cell r="AE1574">
            <v>181</v>
          </cell>
          <cell r="AF1574" t="str">
            <v>동절기</v>
          </cell>
          <cell r="AG1574">
            <v>1</v>
          </cell>
          <cell r="AH1574">
            <v>1</v>
          </cell>
          <cell r="AI1574">
            <v>2424</v>
          </cell>
          <cell r="AJ1574">
            <v>2402</v>
          </cell>
          <cell r="AK1574">
            <v>188000</v>
          </cell>
          <cell r="AL1574">
            <v>3261</v>
          </cell>
          <cell r="AM1574">
            <v>3284</v>
          </cell>
          <cell r="AN1574">
            <v>3318</v>
          </cell>
          <cell r="AO1574">
            <v>3428</v>
          </cell>
          <cell r="AP1574">
            <v>3220</v>
          </cell>
          <cell r="AQ1574">
            <v>3286</v>
          </cell>
          <cell r="AR1574">
            <v>3325</v>
          </cell>
          <cell r="AS1574">
            <v>3348</v>
          </cell>
          <cell r="AT1574">
            <v>262600</v>
          </cell>
        </row>
        <row r="1575">
          <cell r="G1575">
            <v>2412190101</v>
          </cell>
          <cell r="H1575" t="str">
            <v>101동</v>
          </cell>
          <cell r="I1575">
            <v>241219</v>
          </cell>
          <cell r="J1575" t="str">
            <v>101동 15층 바닥</v>
          </cell>
          <cell r="K1575">
            <v>312</v>
          </cell>
          <cell r="L1575">
            <v>312</v>
          </cell>
          <cell r="M1575">
            <v>3018</v>
          </cell>
          <cell r="N1575" t="str">
            <v>대원</v>
          </cell>
          <cell r="O1575" t="str">
            <v>펌프카(1대)</v>
          </cell>
          <cell r="P1575">
            <v>812</v>
          </cell>
          <cell r="Q1575">
            <v>1227</v>
          </cell>
          <cell r="R1575">
            <v>200</v>
          </cell>
          <cell r="S1575">
            <v>48</v>
          </cell>
          <cell r="T1575">
            <v>82</v>
          </cell>
          <cell r="U1575">
            <v>182</v>
          </cell>
          <cell r="V1575"/>
          <cell r="W1575" t="str">
            <v>김광록</v>
          </cell>
          <cell r="X1575" t="str">
            <v>(인)</v>
          </cell>
          <cell r="Y1575" t="str">
            <v>박순홍</v>
          </cell>
          <cell r="Z1575" t="str">
            <v>(인)</v>
          </cell>
          <cell r="AA1575" t="str">
            <v>박기원</v>
          </cell>
          <cell r="AB1575" t="str">
            <v>(인)</v>
          </cell>
          <cell r="AC1575" t="str">
            <v>박상갑</v>
          </cell>
          <cell r="AD1575" t="str">
            <v>(인)</v>
          </cell>
          <cell r="AE1575">
            <v>171.7</v>
          </cell>
          <cell r="AF1575" t="str">
            <v>동절기</v>
          </cell>
          <cell r="AG1575">
            <v>1</v>
          </cell>
          <cell r="AH1575">
            <v>1</v>
          </cell>
          <cell r="AI1575">
            <v>2790</v>
          </cell>
          <cell r="AJ1575">
            <v>2818</v>
          </cell>
          <cell r="AK1575">
            <v>215800</v>
          </cell>
          <cell r="AL1575">
            <v>3562</v>
          </cell>
          <cell r="AM1575">
            <v>3626</v>
          </cell>
          <cell r="AN1575">
            <v>3714</v>
          </cell>
          <cell r="AO1575">
            <v>3614</v>
          </cell>
          <cell r="AP1575">
            <v>3588</v>
          </cell>
          <cell r="AQ1575">
            <v>3630</v>
          </cell>
          <cell r="AR1575">
            <v>3584</v>
          </cell>
          <cell r="AS1575">
            <v>3590</v>
          </cell>
          <cell r="AT1575">
            <v>284000</v>
          </cell>
        </row>
        <row r="1576">
          <cell r="G1576">
            <v>2412190102</v>
          </cell>
          <cell r="H1576" t="str">
            <v>101동</v>
          </cell>
          <cell r="I1576">
            <v>241219</v>
          </cell>
          <cell r="J1576" t="str">
            <v>101동 15층 바닥</v>
          </cell>
          <cell r="K1576">
            <v>312</v>
          </cell>
          <cell r="L1576">
            <v>312</v>
          </cell>
          <cell r="M1576">
            <v>3018</v>
          </cell>
          <cell r="N1576" t="str">
            <v>대원</v>
          </cell>
          <cell r="O1576" t="str">
            <v>펌프카(1대)</v>
          </cell>
          <cell r="P1576">
            <v>812</v>
          </cell>
          <cell r="Q1576">
            <v>1227</v>
          </cell>
          <cell r="R1576">
            <v>190</v>
          </cell>
          <cell r="S1576">
            <v>48</v>
          </cell>
          <cell r="T1576">
            <v>38</v>
          </cell>
          <cell r="U1576">
            <v>171</v>
          </cell>
          <cell r="V1576"/>
          <cell r="W1576" t="str">
            <v>김광록</v>
          </cell>
          <cell r="X1576" t="str">
            <v>(인)</v>
          </cell>
          <cell r="Y1576" t="str">
            <v>박순홍</v>
          </cell>
          <cell r="Z1576" t="str">
            <v>(인)</v>
          </cell>
          <cell r="AA1576" t="str">
            <v>박기원</v>
          </cell>
          <cell r="AB1576" t="str">
            <v>(인)</v>
          </cell>
          <cell r="AC1576" t="str">
            <v>박상갑</v>
          </cell>
          <cell r="AD1576" t="str">
            <v>(인)</v>
          </cell>
          <cell r="AE1576">
            <v>173.3</v>
          </cell>
          <cell r="AF1576" t="str">
            <v>동절기</v>
          </cell>
          <cell r="AG1576">
            <v>2</v>
          </cell>
          <cell r="AH1576">
            <v>0</v>
          </cell>
        </row>
        <row r="1577">
          <cell r="G1577">
            <v>2412190103</v>
          </cell>
          <cell r="H1577" t="str">
            <v>101동</v>
          </cell>
          <cell r="I1577">
            <v>241219</v>
          </cell>
          <cell r="J1577" t="str">
            <v>101동 15층 바닥</v>
          </cell>
          <cell r="K1577">
            <v>312</v>
          </cell>
          <cell r="L1577">
            <v>312</v>
          </cell>
          <cell r="M1577">
            <v>3018</v>
          </cell>
          <cell r="N1577" t="str">
            <v>대원</v>
          </cell>
          <cell r="O1577" t="str">
            <v>펌프카(1대)</v>
          </cell>
          <cell r="P1577">
            <v>812</v>
          </cell>
          <cell r="Q1577">
            <v>1227</v>
          </cell>
          <cell r="R1577">
            <v>170</v>
          </cell>
          <cell r="S1577">
            <v>44</v>
          </cell>
          <cell r="T1577">
            <v>107</v>
          </cell>
          <cell r="U1577">
            <v>175</v>
          </cell>
          <cell r="V1577"/>
          <cell r="W1577" t="str">
            <v>김광록</v>
          </cell>
          <cell r="X1577" t="str">
            <v>(인)</v>
          </cell>
          <cell r="Y1577" t="str">
            <v>박순홍</v>
          </cell>
          <cell r="Z1577" t="str">
            <v>(인)</v>
          </cell>
          <cell r="AA1577" t="str">
            <v>박기원</v>
          </cell>
          <cell r="AB1577" t="str">
            <v>(인)</v>
          </cell>
          <cell r="AC1577" t="str">
            <v>박상갑</v>
          </cell>
          <cell r="AD1577" t="str">
            <v>(인)</v>
          </cell>
          <cell r="AE1577">
            <v>176.3</v>
          </cell>
          <cell r="AF1577" t="str">
            <v>동절기</v>
          </cell>
          <cell r="AG1577">
            <v>3</v>
          </cell>
          <cell r="AH1577">
            <v>0</v>
          </cell>
        </row>
        <row r="1578">
          <cell r="G1578">
            <v>2412190201</v>
          </cell>
          <cell r="H1578" t="str">
            <v>114동</v>
          </cell>
          <cell r="I1578">
            <v>241219</v>
          </cell>
          <cell r="J1578" t="str">
            <v>114동 9층 바닥</v>
          </cell>
          <cell r="K1578">
            <v>288</v>
          </cell>
          <cell r="L1578">
            <v>288</v>
          </cell>
          <cell r="M1578">
            <v>3018</v>
          </cell>
          <cell r="N1578" t="str">
            <v>영진</v>
          </cell>
          <cell r="O1578" t="str">
            <v>펌프카(1대)</v>
          </cell>
          <cell r="P1578">
            <v>757</v>
          </cell>
          <cell r="Q1578">
            <v>1219</v>
          </cell>
          <cell r="R1578">
            <v>200</v>
          </cell>
          <cell r="S1578">
            <v>47</v>
          </cell>
          <cell r="T1578">
            <v>87</v>
          </cell>
          <cell r="U1578">
            <v>170</v>
          </cell>
          <cell r="V1578"/>
          <cell r="W1578" t="str">
            <v>김광록</v>
          </cell>
          <cell r="X1578" t="str">
            <v>(인)</v>
          </cell>
          <cell r="Y1578" t="str">
            <v>박순홍</v>
          </cell>
          <cell r="Z1578" t="str">
            <v>(인)</v>
          </cell>
          <cell r="AA1578" t="str">
            <v>박기원</v>
          </cell>
          <cell r="AB1578" t="str">
            <v>(인)</v>
          </cell>
          <cell r="AC1578" t="str">
            <v>박상갑</v>
          </cell>
          <cell r="AD1578" t="str">
            <v>(인)</v>
          </cell>
          <cell r="AE1578">
            <v>173.8</v>
          </cell>
          <cell r="AF1578" t="str">
            <v>동절기</v>
          </cell>
          <cell r="AG1578">
            <v>1</v>
          </cell>
          <cell r="AH1578">
            <v>1</v>
          </cell>
          <cell r="AI1578">
            <v>2841</v>
          </cell>
          <cell r="AJ1578">
            <v>2806</v>
          </cell>
          <cell r="AK1578">
            <v>221400</v>
          </cell>
          <cell r="AL1578">
            <v>3593</v>
          </cell>
          <cell r="AM1578">
            <v>3575</v>
          </cell>
          <cell r="AN1578">
            <v>3684</v>
          </cell>
          <cell r="AO1578">
            <v>3630</v>
          </cell>
          <cell r="AP1578">
            <v>3579</v>
          </cell>
          <cell r="AQ1578">
            <v>3602</v>
          </cell>
          <cell r="AR1578">
            <v>3584</v>
          </cell>
          <cell r="AS1578">
            <v>3869</v>
          </cell>
          <cell r="AT1578">
            <v>285600</v>
          </cell>
        </row>
        <row r="1579">
          <cell r="G1579">
            <v>2412190202</v>
          </cell>
          <cell r="H1579" t="str">
            <v>114동</v>
          </cell>
          <cell r="I1579">
            <v>241219</v>
          </cell>
          <cell r="J1579" t="str">
            <v>114동 9층 바닥</v>
          </cell>
          <cell r="K1579">
            <v>288</v>
          </cell>
          <cell r="L1579">
            <v>288</v>
          </cell>
          <cell r="M1579">
            <v>3018</v>
          </cell>
          <cell r="N1579" t="str">
            <v>영진</v>
          </cell>
          <cell r="O1579" t="str">
            <v>펌프카(1대)</v>
          </cell>
          <cell r="P1579">
            <v>757</v>
          </cell>
          <cell r="Q1579">
            <v>1219</v>
          </cell>
          <cell r="R1579">
            <v>185</v>
          </cell>
          <cell r="S1579">
            <v>45</v>
          </cell>
          <cell r="T1579">
            <v>67</v>
          </cell>
          <cell r="U1579">
            <v>164</v>
          </cell>
          <cell r="V1579"/>
          <cell r="W1579" t="str">
            <v>김광록</v>
          </cell>
          <cell r="X1579" t="str">
            <v>(인)</v>
          </cell>
          <cell r="Y1579" t="str">
            <v>박순홍</v>
          </cell>
          <cell r="Z1579" t="str">
            <v>(인)</v>
          </cell>
          <cell r="AA1579" t="str">
            <v>박기원</v>
          </cell>
          <cell r="AB1579" t="str">
            <v>(인)</v>
          </cell>
          <cell r="AC1579" t="str">
            <v>박상갑</v>
          </cell>
          <cell r="AD1579" t="str">
            <v>(인)</v>
          </cell>
          <cell r="AE1579">
            <v>172.6</v>
          </cell>
          <cell r="AF1579" t="str">
            <v>동절기</v>
          </cell>
          <cell r="AG1579">
            <v>2</v>
          </cell>
          <cell r="AH1579">
            <v>0</v>
          </cell>
        </row>
        <row r="1580">
          <cell r="G1580">
            <v>2412190203</v>
          </cell>
          <cell r="H1580" t="str">
            <v>114동</v>
          </cell>
          <cell r="I1580">
            <v>241219</v>
          </cell>
          <cell r="J1580" t="str">
            <v>114동 9층 바닥</v>
          </cell>
          <cell r="K1580">
            <v>288</v>
          </cell>
          <cell r="L1580">
            <v>288</v>
          </cell>
          <cell r="M1580">
            <v>3018</v>
          </cell>
          <cell r="N1580" t="str">
            <v>영진</v>
          </cell>
          <cell r="O1580" t="str">
            <v>펌프카(1대)</v>
          </cell>
          <cell r="P1580">
            <v>757</v>
          </cell>
          <cell r="Q1580">
            <v>1219</v>
          </cell>
          <cell r="R1580">
            <v>190</v>
          </cell>
          <cell r="S1580">
            <v>50</v>
          </cell>
          <cell r="T1580">
            <v>39</v>
          </cell>
          <cell r="U1580">
            <v>191</v>
          </cell>
          <cell r="V1580"/>
          <cell r="W1580" t="str">
            <v>김광록</v>
          </cell>
          <cell r="X1580" t="str">
            <v>(인)</v>
          </cell>
          <cell r="Y1580" t="str">
            <v>박순홍</v>
          </cell>
          <cell r="Z1580" t="str">
            <v>(인)</v>
          </cell>
          <cell r="AA1580" t="str">
            <v>박기원</v>
          </cell>
          <cell r="AB1580" t="str">
            <v>(인)</v>
          </cell>
          <cell r="AC1580" t="str">
            <v>박상갑</v>
          </cell>
          <cell r="AD1580" t="str">
            <v>(인)</v>
          </cell>
          <cell r="AE1580">
            <v>172.2</v>
          </cell>
          <cell r="AF1580" t="str">
            <v>동절기</v>
          </cell>
          <cell r="AG1580">
            <v>3</v>
          </cell>
          <cell r="AH1580">
            <v>0</v>
          </cell>
        </row>
        <row r="1581">
          <cell r="G1581">
            <v>2412190301</v>
          </cell>
          <cell r="H1581" t="str">
            <v>116동</v>
          </cell>
          <cell r="I1581">
            <v>241219</v>
          </cell>
          <cell r="J1581" t="str">
            <v>116동 4층 바닥</v>
          </cell>
          <cell r="K1581">
            <v>300</v>
          </cell>
          <cell r="L1581">
            <v>300</v>
          </cell>
          <cell r="M1581">
            <v>3018</v>
          </cell>
          <cell r="N1581" t="str">
            <v>영진</v>
          </cell>
          <cell r="O1581" t="str">
            <v>펌프카(1대)</v>
          </cell>
          <cell r="P1581">
            <v>1330</v>
          </cell>
          <cell r="Q1581">
            <v>1656</v>
          </cell>
          <cell r="R1581">
            <v>200</v>
          </cell>
          <cell r="S1581">
            <v>48</v>
          </cell>
          <cell r="T1581">
            <v>67</v>
          </cell>
          <cell r="U1581">
            <v>191</v>
          </cell>
          <cell r="V1581"/>
          <cell r="W1581" t="str">
            <v>박순홍</v>
          </cell>
          <cell r="X1581" t="str">
            <v>(인)</v>
          </cell>
          <cell r="Y1581" t="str">
            <v>박순홍</v>
          </cell>
          <cell r="Z1581" t="str">
            <v>(인)</v>
          </cell>
          <cell r="AA1581" t="str">
            <v>박기원</v>
          </cell>
          <cell r="AB1581" t="str">
            <v>(인)</v>
          </cell>
          <cell r="AC1581" t="str">
            <v>박상갑</v>
          </cell>
          <cell r="AD1581" t="str">
            <v>(인)</v>
          </cell>
          <cell r="AE1581">
            <v>183.3</v>
          </cell>
          <cell r="AF1581" t="str">
            <v>동절기</v>
          </cell>
          <cell r="AG1581">
            <v>1</v>
          </cell>
          <cell r="AH1581">
            <v>1</v>
          </cell>
          <cell r="AI1581">
            <v>2846</v>
          </cell>
          <cell r="AJ1581">
            <v>2771</v>
          </cell>
          <cell r="AK1581">
            <v>220600</v>
          </cell>
          <cell r="AL1581">
            <v>3656</v>
          </cell>
          <cell r="AM1581">
            <v>3730</v>
          </cell>
          <cell r="AN1581">
            <v>3812</v>
          </cell>
          <cell r="AO1581">
            <v>3630</v>
          </cell>
          <cell r="AP1581">
            <v>3684</v>
          </cell>
          <cell r="AQ1581">
            <v>3712</v>
          </cell>
          <cell r="AR1581">
            <v>3800</v>
          </cell>
          <cell r="AS1581">
            <v>3713</v>
          </cell>
          <cell r="AT1581">
            <v>282000</v>
          </cell>
        </row>
        <row r="1582">
          <cell r="G1582">
            <v>2412190302</v>
          </cell>
          <cell r="H1582" t="str">
            <v>116동</v>
          </cell>
          <cell r="I1582">
            <v>241219</v>
          </cell>
          <cell r="J1582" t="str">
            <v>116동 4층 바닥</v>
          </cell>
          <cell r="K1582">
            <v>300</v>
          </cell>
          <cell r="L1582">
            <v>300</v>
          </cell>
          <cell r="M1582">
            <v>3018</v>
          </cell>
          <cell r="N1582" t="str">
            <v>영진</v>
          </cell>
          <cell r="O1582" t="str">
            <v>펌프카(1대)</v>
          </cell>
          <cell r="P1582">
            <v>1330</v>
          </cell>
          <cell r="Q1582">
            <v>1656</v>
          </cell>
          <cell r="R1582">
            <v>190</v>
          </cell>
          <cell r="S1582">
            <v>44</v>
          </cell>
          <cell r="T1582">
            <v>89</v>
          </cell>
          <cell r="U1582">
            <v>197</v>
          </cell>
          <cell r="V1582"/>
          <cell r="W1582" t="str">
            <v>박순홍</v>
          </cell>
          <cell r="X1582" t="str">
            <v>(인)</v>
          </cell>
          <cell r="Y1582" t="str">
            <v>박순홍</v>
          </cell>
          <cell r="Z1582" t="str">
            <v>(인)</v>
          </cell>
          <cell r="AA1582" t="str">
            <v>박기원</v>
          </cell>
          <cell r="AB1582" t="str">
            <v>(인)</v>
          </cell>
          <cell r="AC1582" t="str">
            <v>박상갑</v>
          </cell>
          <cell r="AD1582" t="str">
            <v>(인)</v>
          </cell>
          <cell r="AE1582">
            <v>183.1</v>
          </cell>
          <cell r="AF1582" t="str">
            <v>동절기</v>
          </cell>
          <cell r="AG1582">
            <v>2</v>
          </cell>
          <cell r="AH1582">
            <v>0</v>
          </cell>
        </row>
        <row r="1583">
          <cell r="G1583">
            <v>2412190303</v>
          </cell>
          <cell r="H1583" t="str">
            <v>116동</v>
          </cell>
          <cell r="I1583">
            <v>241219</v>
          </cell>
          <cell r="J1583" t="str">
            <v>116동 4층 바닥</v>
          </cell>
          <cell r="K1583">
            <v>300</v>
          </cell>
          <cell r="L1583">
            <v>300</v>
          </cell>
          <cell r="M1583">
            <v>3018</v>
          </cell>
          <cell r="N1583" t="str">
            <v>영진</v>
          </cell>
          <cell r="O1583" t="str">
            <v>펌프카(1대)</v>
          </cell>
          <cell r="P1583">
            <v>1330</v>
          </cell>
          <cell r="Q1583">
            <v>1656</v>
          </cell>
          <cell r="R1583">
            <v>190</v>
          </cell>
          <cell r="S1583">
            <v>54</v>
          </cell>
          <cell r="T1583">
            <v>52</v>
          </cell>
          <cell r="U1583">
            <v>183</v>
          </cell>
          <cell r="V1583"/>
          <cell r="W1583" t="str">
            <v>박순홍</v>
          </cell>
          <cell r="X1583" t="str">
            <v>(인)</v>
          </cell>
          <cell r="Y1583" t="str">
            <v>박순홍</v>
          </cell>
          <cell r="Z1583" t="str">
            <v>(인)</v>
          </cell>
          <cell r="AA1583" t="str">
            <v>박기원</v>
          </cell>
          <cell r="AB1583" t="str">
            <v>(인)</v>
          </cell>
          <cell r="AC1583" t="str">
            <v>박상갑</v>
          </cell>
          <cell r="AD1583" t="str">
            <v>(인)</v>
          </cell>
          <cell r="AE1583">
            <v>182.6</v>
          </cell>
          <cell r="AF1583" t="str">
            <v>동절기</v>
          </cell>
          <cell r="AG1583">
            <v>3</v>
          </cell>
          <cell r="AH1583">
            <v>0</v>
          </cell>
        </row>
        <row r="1584">
          <cell r="G1584">
            <v>2412190401</v>
          </cell>
          <cell r="H1584" t="str">
            <v>110동</v>
          </cell>
          <cell r="I1584">
            <v>241219</v>
          </cell>
          <cell r="J1584" t="str">
            <v>110동 11층 바닥</v>
          </cell>
          <cell r="K1584">
            <v>282</v>
          </cell>
          <cell r="L1584">
            <v>282</v>
          </cell>
          <cell r="M1584">
            <v>3018</v>
          </cell>
          <cell r="N1584" t="str">
            <v>대공</v>
          </cell>
          <cell r="O1584" t="str">
            <v>펌프카(1대)</v>
          </cell>
          <cell r="P1584">
            <v>1402</v>
          </cell>
          <cell r="Q1584">
            <v>1749</v>
          </cell>
          <cell r="R1584">
            <v>195</v>
          </cell>
          <cell r="S1584">
            <v>48</v>
          </cell>
          <cell r="T1584">
            <v>127</v>
          </cell>
          <cell r="U1584">
            <v>198</v>
          </cell>
          <cell r="V1584"/>
          <cell r="W1584" t="str">
            <v>박순홍</v>
          </cell>
          <cell r="X1584" t="str">
            <v>(인)</v>
          </cell>
          <cell r="Y1584" t="str">
            <v>박순홍</v>
          </cell>
          <cell r="Z1584" t="str">
            <v>(인)</v>
          </cell>
          <cell r="AA1584" t="str">
            <v>박기원</v>
          </cell>
          <cell r="AB1584" t="str">
            <v>(인)</v>
          </cell>
          <cell r="AC1584" t="str">
            <v>박상갑</v>
          </cell>
          <cell r="AD1584" t="str">
            <v>(인)</v>
          </cell>
          <cell r="AE1584">
            <v>183.3</v>
          </cell>
          <cell r="AF1584" t="str">
            <v>동절기</v>
          </cell>
          <cell r="AG1584">
            <v>1</v>
          </cell>
          <cell r="AH1584">
            <v>1</v>
          </cell>
          <cell r="AI1584">
            <v>2826</v>
          </cell>
          <cell r="AJ1584">
            <v>2789</v>
          </cell>
          <cell r="AK1584">
            <v>219200</v>
          </cell>
          <cell r="AL1584">
            <v>3692</v>
          </cell>
          <cell r="AM1584">
            <v>3669</v>
          </cell>
          <cell r="AN1584">
            <v>3704</v>
          </cell>
          <cell r="AO1584">
            <v>3814</v>
          </cell>
          <cell r="AP1584">
            <v>3702</v>
          </cell>
          <cell r="AQ1584">
            <v>3814</v>
          </cell>
          <cell r="AR1584">
            <v>3687</v>
          </cell>
          <cell r="AS1584">
            <v>3738</v>
          </cell>
          <cell r="AT1584">
            <v>290400</v>
          </cell>
        </row>
        <row r="1585">
          <cell r="G1585">
            <v>2412190402</v>
          </cell>
          <cell r="H1585" t="str">
            <v>110동</v>
          </cell>
          <cell r="I1585">
            <v>241219</v>
          </cell>
          <cell r="J1585" t="str">
            <v>110동 11층 바닥</v>
          </cell>
          <cell r="K1585">
            <v>282</v>
          </cell>
          <cell r="L1585">
            <v>282</v>
          </cell>
          <cell r="M1585">
            <v>3018</v>
          </cell>
          <cell r="N1585" t="str">
            <v>대공</v>
          </cell>
          <cell r="O1585" t="str">
            <v>펌프카(1대)</v>
          </cell>
          <cell r="P1585">
            <v>1402</v>
          </cell>
          <cell r="Q1585">
            <v>1749</v>
          </cell>
          <cell r="R1585">
            <v>195</v>
          </cell>
          <cell r="S1585">
            <v>45</v>
          </cell>
          <cell r="T1585">
            <v>110</v>
          </cell>
          <cell r="U1585">
            <v>214</v>
          </cell>
          <cell r="V1585"/>
          <cell r="W1585" t="str">
            <v>박순홍</v>
          </cell>
          <cell r="X1585" t="str">
            <v>(인)</v>
          </cell>
          <cell r="Y1585" t="str">
            <v>박순홍</v>
          </cell>
          <cell r="Z1585" t="str">
            <v>(인)</v>
          </cell>
          <cell r="AA1585" t="str">
            <v>박기원</v>
          </cell>
          <cell r="AB1585" t="str">
            <v>(인)</v>
          </cell>
          <cell r="AC1585" t="str">
            <v>박상갑</v>
          </cell>
          <cell r="AD1585" t="str">
            <v>(인)</v>
          </cell>
          <cell r="AE1585">
            <v>178.9</v>
          </cell>
          <cell r="AF1585" t="str">
            <v>동절기</v>
          </cell>
          <cell r="AG1585">
            <v>2</v>
          </cell>
          <cell r="AH1585">
            <v>0</v>
          </cell>
        </row>
        <row r="1586">
          <cell r="G1586">
            <v>2412190403</v>
          </cell>
          <cell r="H1586" t="str">
            <v>110동</v>
          </cell>
          <cell r="I1586">
            <v>241219</v>
          </cell>
          <cell r="J1586" t="str">
            <v>110동 11층 바닥</v>
          </cell>
          <cell r="K1586">
            <v>282</v>
          </cell>
          <cell r="L1586">
            <v>282</v>
          </cell>
          <cell r="M1586">
            <v>3018</v>
          </cell>
          <cell r="N1586" t="str">
            <v>대공</v>
          </cell>
          <cell r="O1586" t="str">
            <v>펌프카(1대)</v>
          </cell>
          <cell r="P1586">
            <v>1402</v>
          </cell>
          <cell r="Q1586">
            <v>1749</v>
          </cell>
          <cell r="R1586">
            <v>200</v>
          </cell>
          <cell r="S1586">
            <v>55</v>
          </cell>
          <cell r="T1586">
            <v>63</v>
          </cell>
          <cell r="U1586">
            <v>184</v>
          </cell>
          <cell r="V1586"/>
          <cell r="W1586" t="str">
            <v>박순홍</v>
          </cell>
          <cell r="X1586" t="str">
            <v>(인)</v>
          </cell>
          <cell r="Y1586" t="str">
            <v>박순홍</v>
          </cell>
          <cell r="Z1586" t="str">
            <v>(인)</v>
          </cell>
          <cell r="AA1586" t="str">
            <v>박기원</v>
          </cell>
          <cell r="AB1586" t="str">
            <v>(인)</v>
          </cell>
          <cell r="AC1586" t="str">
            <v>박상갑</v>
          </cell>
          <cell r="AD1586" t="str">
            <v>(인)</v>
          </cell>
          <cell r="AE1586">
            <v>181.9</v>
          </cell>
          <cell r="AF1586" t="str">
            <v>동절기</v>
          </cell>
          <cell r="AG1586">
            <v>3</v>
          </cell>
          <cell r="AH1586">
            <v>0</v>
          </cell>
        </row>
        <row r="1587">
          <cell r="G1587">
            <v>2412200101</v>
          </cell>
          <cell r="H1587" t="str">
            <v>102동</v>
          </cell>
          <cell r="I1587">
            <v>241220</v>
          </cell>
          <cell r="J1587" t="str">
            <v>102동 17층 바닥</v>
          </cell>
          <cell r="K1587">
            <v>342</v>
          </cell>
          <cell r="L1587">
            <v>342</v>
          </cell>
          <cell r="M1587">
            <v>3018</v>
          </cell>
          <cell r="N1587" t="str">
            <v>대원</v>
          </cell>
          <cell r="O1587" t="str">
            <v>펌프카(1대)</v>
          </cell>
          <cell r="P1587">
            <v>824</v>
          </cell>
          <cell r="Q1587">
            <v>1329</v>
          </cell>
          <cell r="R1587">
            <v>200</v>
          </cell>
          <cell r="S1587">
            <v>39</v>
          </cell>
          <cell r="T1587">
            <v>34</v>
          </cell>
          <cell r="U1587">
            <v>185</v>
          </cell>
          <cell r="V1587"/>
          <cell r="W1587" t="str">
            <v>김광록</v>
          </cell>
          <cell r="X1587" t="str">
            <v>(인)</v>
          </cell>
          <cell r="Y1587" t="str">
            <v>박순홍</v>
          </cell>
          <cell r="Z1587" t="str">
            <v>(인)</v>
          </cell>
          <cell r="AA1587" t="str">
            <v>박기원</v>
          </cell>
          <cell r="AB1587" t="str">
            <v>(인)</v>
          </cell>
          <cell r="AC1587" t="str">
            <v>박상갑</v>
          </cell>
          <cell r="AD1587" t="str">
            <v>(인)</v>
          </cell>
          <cell r="AE1587">
            <v>164.3</v>
          </cell>
          <cell r="AF1587" t="str">
            <v>동절기</v>
          </cell>
          <cell r="AG1587">
            <v>1</v>
          </cell>
          <cell r="AH1587">
            <v>1</v>
          </cell>
          <cell r="AI1587">
            <v>2785</v>
          </cell>
          <cell r="AJ1587">
            <v>2700</v>
          </cell>
          <cell r="AK1587">
            <v>211800</v>
          </cell>
          <cell r="AL1587">
            <v>3608</v>
          </cell>
          <cell r="AM1587">
            <v>3582</v>
          </cell>
          <cell r="AN1587">
            <v>3672</v>
          </cell>
          <cell r="AO1587">
            <v>3730</v>
          </cell>
          <cell r="AP1587">
            <v>3624</v>
          </cell>
          <cell r="AQ1587">
            <v>3719</v>
          </cell>
          <cell r="AR1587">
            <v>3612</v>
          </cell>
          <cell r="AS1587">
            <v>3738</v>
          </cell>
          <cell r="AT1587">
            <v>278200</v>
          </cell>
        </row>
        <row r="1588">
          <cell r="G1588">
            <v>2412200102</v>
          </cell>
          <cell r="H1588" t="str">
            <v>102동</v>
          </cell>
          <cell r="I1588">
            <v>241220</v>
          </cell>
          <cell r="J1588" t="str">
            <v>102동 17층 바닥</v>
          </cell>
          <cell r="K1588">
            <v>342</v>
          </cell>
          <cell r="L1588">
            <v>342</v>
          </cell>
          <cell r="M1588">
            <v>3018</v>
          </cell>
          <cell r="N1588" t="str">
            <v>대원</v>
          </cell>
          <cell r="O1588" t="str">
            <v>펌프카(1대)</v>
          </cell>
          <cell r="P1588">
            <v>824</v>
          </cell>
          <cell r="Q1588">
            <v>1329</v>
          </cell>
          <cell r="R1588">
            <v>195</v>
          </cell>
          <cell r="S1588">
            <v>52</v>
          </cell>
          <cell r="T1588">
            <v>10</v>
          </cell>
          <cell r="U1588">
            <v>177</v>
          </cell>
          <cell r="V1588"/>
          <cell r="W1588" t="str">
            <v>김광록</v>
          </cell>
          <cell r="X1588" t="str">
            <v>(인)</v>
          </cell>
          <cell r="Y1588" t="str">
            <v>박순홍</v>
          </cell>
          <cell r="Z1588" t="str">
            <v>(인)</v>
          </cell>
          <cell r="AA1588" t="str">
            <v>박기원</v>
          </cell>
          <cell r="AB1588" t="str">
            <v>(인)</v>
          </cell>
          <cell r="AC1588" t="str">
            <v>박상갑</v>
          </cell>
          <cell r="AD1588" t="str">
            <v>(인)</v>
          </cell>
          <cell r="AE1588">
            <v>175.1</v>
          </cell>
          <cell r="AF1588" t="str">
            <v>동절기</v>
          </cell>
          <cell r="AG1588">
            <v>2</v>
          </cell>
          <cell r="AH1588">
            <v>0</v>
          </cell>
        </row>
        <row r="1589">
          <cell r="G1589">
            <v>2412200103</v>
          </cell>
          <cell r="H1589" t="str">
            <v>102동</v>
          </cell>
          <cell r="I1589">
            <v>241220</v>
          </cell>
          <cell r="J1589" t="str">
            <v>102동 17층 바닥</v>
          </cell>
          <cell r="K1589">
            <v>342</v>
          </cell>
          <cell r="L1589">
            <v>342</v>
          </cell>
          <cell r="M1589">
            <v>3018</v>
          </cell>
          <cell r="N1589" t="str">
            <v>대원</v>
          </cell>
          <cell r="O1589" t="str">
            <v>펌프카(1대)</v>
          </cell>
          <cell r="P1589">
            <v>824</v>
          </cell>
          <cell r="Q1589">
            <v>1329</v>
          </cell>
          <cell r="R1589">
            <v>200</v>
          </cell>
          <cell r="S1589">
            <v>46</v>
          </cell>
          <cell r="T1589">
            <v>69</v>
          </cell>
          <cell r="U1589">
            <v>197</v>
          </cell>
          <cell r="V1589"/>
          <cell r="W1589" t="str">
            <v>김광록</v>
          </cell>
          <cell r="X1589" t="str">
            <v>(인)</v>
          </cell>
          <cell r="Y1589" t="str">
            <v>박순홍</v>
          </cell>
          <cell r="Z1589" t="str">
            <v>(인)</v>
          </cell>
          <cell r="AA1589" t="str">
            <v>박기원</v>
          </cell>
          <cell r="AB1589" t="str">
            <v>(인)</v>
          </cell>
          <cell r="AC1589" t="str">
            <v>박상갑</v>
          </cell>
          <cell r="AD1589" t="str">
            <v>(인)</v>
          </cell>
          <cell r="AE1589">
            <v>170.2</v>
          </cell>
          <cell r="AF1589" t="str">
            <v>동절기</v>
          </cell>
          <cell r="AG1589">
            <v>3</v>
          </cell>
          <cell r="AH1589">
            <v>0</v>
          </cell>
        </row>
        <row r="1590">
          <cell r="G1590">
            <v>2412200201</v>
          </cell>
          <cell r="H1590" t="str">
            <v>120동</v>
          </cell>
          <cell r="I1590">
            <v>241220</v>
          </cell>
          <cell r="J1590" t="str">
            <v>120동 2층 바닥</v>
          </cell>
          <cell r="K1590">
            <v>279</v>
          </cell>
          <cell r="L1590">
            <v>279</v>
          </cell>
          <cell r="M1590">
            <v>3018</v>
          </cell>
          <cell r="N1590" t="str">
            <v>대공</v>
          </cell>
          <cell r="O1590" t="str">
            <v>펌프카(1대)</v>
          </cell>
          <cell r="P1590">
            <v>1056</v>
          </cell>
          <cell r="Q1590">
            <v>1604</v>
          </cell>
          <cell r="R1590">
            <v>195</v>
          </cell>
          <cell r="S1590">
            <v>50</v>
          </cell>
          <cell r="T1590">
            <v>75</v>
          </cell>
          <cell r="U1590">
            <v>178</v>
          </cell>
          <cell r="V1590"/>
          <cell r="W1590" t="str">
            <v>김광록</v>
          </cell>
          <cell r="X1590" t="str">
            <v>(인)</v>
          </cell>
          <cell r="Y1590" t="str">
            <v>박순홍</v>
          </cell>
          <cell r="Z1590" t="str">
            <v>(인)</v>
          </cell>
          <cell r="AA1590" t="str">
            <v>박기원</v>
          </cell>
          <cell r="AB1590" t="str">
            <v>(인)</v>
          </cell>
          <cell r="AC1590" t="str">
            <v>박상갑</v>
          </cell>
          <cell r="AD1590" t="str">
            <v>(인)</v>
          </cell>
          <cell r="AE1590">
            <v>176.2</v>
          </cell>
          <cell r="AF1590" t="str">
            <v>동절기</v>
          </cell>
          <cell r="AG1590">
            <v>1</v>
          </cell>
          <cell r="AH1590">
            <v>1</v>
          </cell>
          <cell r="AI1590">
            <v>2740</v>
          </cell>
          <cell r="AJ1590">
            <v>2670</v>
          </cell>
          <cell r="AK1590">
            <v>212200</v>
          </cell>
          <cell r="AL1590">
            <v>3603</v>
          </cell>
          <cell r="AM1590">
            <v>3598</v>
          </cell>
          <cell r="AN1590">
            <v>3713</v>
          </cell>
          <cell r="AO1590">
            <v>3619</v>
          </cell>
          <cell r="AP1590">
            <v>3730</v>
          </cell>
          <cell r="AQ1590">
            <v>3711</v>
          </cell>
          <cell r="AR1590">
            <v>3684</v>
          </cell>
          <cell r="AS1590">
            <v>3730</v>
          </cell>
          <cell r="AT1590">
            <v>286600</v>
          </cell>
        </row>
        <row r="1591">
          <cell r="G1591">
            <v>2412200202</v>
          </cell>
          <cell r="H1591" t="str">
            <v>120동</v>
          </cell>
          <cell r="I1591">
            <v>241220</v>
          </cell>
          <cell r="J1591" t="str">
            <v>120동 2층 바닥</v>
          </cell>
          <cell r="K1591">
            <v>279</v>
          </cell>
          <cell r="L1591">
            <v>279</v>
          </cell>
          <cell r="M1591">
            <v>3018</v>
          </cell>
          <cell r="N1591" t="str">
            <v>대공</v>
          </cell>
          <cell r="O1591" t="str">
            <v>펌프카(1대)</v>
          </cell>
          <cell r="P1591">
            <v>1056</v>
          </cell>
          <cell r="Q1591">
            <v>1604</v>
          </cell>
          <cell r="R1591">
            <v>190</v>
          </cell>
          <cell r="S1591">
            <v>58</v>
          </cell>
          <cell r="T1591">
            <v>31</v>
          </cell>
          <cell r="U1591">
            <v>177</v>
          </cell>
          <cell r="V1591"/>
          <cell r="W1591" t="str">
            <v>김광록</v>
          </cell>
          <cell r="X1591" t="str">
            <v>(인)</v>
          </cell>
          <cell r="Y1591" t="str">
            <v>박순홍</v>
          </cell>
          <cell r="Z1591" t="str">
            <v>(인)</v>
          </cell>
          <cell r="AA1591" t="str">
            <v>박기원</v>
          </cell>
          <cell r="AB1591" t="str">
            <v>(인)</v>
          </cell>
          <cell r="AC1591" t="str">
            <v>박상갑</v>
          </cell>
          <cell r="AD1591" t="str">
            <v>(인)</v>
          </cell>
          <cell r="AE1591">
            <v>177</v>
          </cell>
          <cell r="AF1591" t="str">
            <v>동절기</v>
          </cell>
          <cell r="AG1591">
            <v>2</v>
          </cell>
          <cell r="AH1591">
            <v>0</v>
          </cell>
        </row>
        <row r="1592">
          <cell r="G1592">
            <v>2412200203</v>
          </cell>
          <cell r="H1592" t="str">
            <v>120동</v>
          </cell>
          <cell r="I1592">
            <v>241220</v>
          </cell>
          <cell r="J1592" t="str">
            <v>120동 2층 바닥</v>
          </cell>
          <cell r="K1592">
            <v>279</v>
          </cell>
          <cell r="L1592">
            <v>279</v>
          </cell>
          <cell r="M1592">
            <v>3018</v>
          </cell>
          <cell r="N1592" t="str">
            <v>대공</v>
          </cell>
          <cell r="O1592" t="str">
            <v>펌프카(1대)</v>
          </cell>
          <cell r="P1592">
            <v>1056</v>
          </cell>
          <cell r="Q1592">
            <v>1604</v>
          </cell>
          <cell r="R1592">
            <v>195</v>
          </cell>
          <cell r="S1592">
            <v>44</v>
          </cell>
          <cell r="T1592">
            <v>96</v>
          </cell>
          <cell r="U1592">
            <v>179</v>
          </cell>
          <cell r="V1592"/>
          <cell r="W1592" t="str">
            <v>김광록</v>
          </cell>
          <cell r="X1592" t="str">
            <v>(인)</v>
          </cell>
          <cell r="Y1592" t="str">
            <v>박순홍</v>
          </cell>
          <cell r="Z1592" t="str">
            <v>(인)</v>
          </cell>
          <cell r="AA1592" t="str">
            <v>박기원</v>
          </cell>
          <cell r="AB1592" t="str">
            <v>(인)</v>
          </cell>
          <cell r="AC1592" t="str">
            <v>박상갑</v>
          </cell>
          <cell r="AD1592" t="str">
            <v>(인)</v>
          </cell>
          <cell r="AE1592">
            <v>178</v>
          </cell>
          <cell r="AF1592" t="str">
            <v>동절기</v>
          </cell>
          <cell r="AG1592">
            <v>3</v>
          </cell>
          <cell r="AH1592">
            <v>0</v>
          </cell>
        </row>
        <row r="1593">
          <cell r="G1593">
            <v>2412200301</v>
          </cell>
          <cell r="H1593" t="str">
            <v>112동</v>
          </cell>
          <cell r="I1593">
            <v>241220</v>
          </cell>
          <cell r="J1593" t="str">
            <v>112동 주변주차장 누름</v>
          </cell>
          <cell r="K1593">
            <v>84</v>
          </cell>
          <cell r="L1593">
            <v>84</v>
          </cell>
          <cell r="M1593">
            <v>1815</v>
          </cell>
          <cell r="N1593" t="str">
            <v>용호</v>
          </cell>
          <cell r="O1593" t="str">
            <v>펌프카(1대)</v>
          </cell>
          <cell r="P1593">
            <v>1420</v>
          </cell>
          <cell r="Q1593">
            <v>1553</v>
          </cell>
          <cell r="R1593">
            <v>175</v>
          </cell>
          <cell r="S1593">
            <v>48</v>
          </cell>
          <cell r="T1593">
            <v>20</v>
          </cell>
          <cell r="U1593">
            <v>182</v>
          </cell>
          <cell r="V1593"/>
          <cell r="W1593" t="str">
            <v>김광록</v>
          </cell>
          <cell r="X1593" t="str">
            <v>(인)</v>
          </cell>
          <cell r="Y1593" t="str">
            <v>박순홍</v>
          </cell>
          <cell r="Z1593" t="str">
            <v>(인)</v>
          </cell>
          <cell r="AA1593" t="str">
            <v>박기원</v>
          </cell>
          <cell r="AB1593" t="str">
            <v>(인)</v>
          </cell>
          <cell r="AC1593" t="str">
            <v>박상갑</v>
          </cell>
          <cell r="AD1593" t="str">
            <v>(인)</v>
          </cell>
          <cell r="AE1593">
            <v>166.7</v>
          </cell>
          <cell r="AF1593" t="str">
            <v>동절기</v>
          </cell>
          <cell r="AG1593">
            <v>1</v>
          </cell>
          <cell r="AH1593">
            <v>1</v>
          </cell>
          <cell r="AI1593">
            <v>1527</v>
          </cell>
          <cell r="AJ1593">
            <v>1570</v>
          </cell>
          <cell r="AK1593">
            <v>119000</v>
          </cell>
          <cell r="AL1593">
            <v>2263</v>
          </cell>
          <cell r="AM1593">
            <v>2286</v>
          </cell>
          <cell r="AN1593">
            <v>2316</v>
          </cell>
          <cell r="AO1593">
            <v>2272</v>
          </cell>
          <cell r="AP1593">
            <v>2262</v>
          </cell>
          <cell r="AQ1593">
            <v>2304</v>
          </cell>
          <cell r="AR1593">
            <v>2312</v>
          </cell>
          <cell r="AS1593">
            <v>2306</v>
          </cell>
          <cell r="AT1593">
            <v>185200</v>
          </cell>
        </row>
        <row r="1594">
          <cell r="G1594">
            <v>2412230101</v>
          </cell>
          <cell r="H1594" t="str">
            <v>113동</v>
          </cell>
          <cell r="I1594">
            <v>241223</v>
          </cell>
          <cell r="J1594" t="str">
            <v>113동 15층 바닥</v>
          </cell>
          <cell r="K1594">
            <v>336</v>
          </cell>
          <cell r="L1594">
            <v>336</v>
          </cell>
          <cell r="M1594">
            <v>3018</v>
          </cell>
          <cell r="N1594" t="str">
            <v>대공</v>
          </cell>
          <cell r="O1594" t="str">
            <v>펌프카(1대)</v>
          </cell>
          <cell r="P1594">
            <v>859</v>
          </cell>
          <cell r="Q1594">
            <v>1424</v>
          </cell>
          <cell r="R1594">
            <v>200</v>
          </cell>
          <cell r="S1594">
            <v>50</v>
          </cell>
          <cell r="T1594">
            <v>42</v>
          </cell>
          <cell r="U1594">
            <v>190</v>
          </cell>
          <cell r="V1594"/>
          <cell r="W1594" t="str">
            <v>박순홍</v>
          </cell>
          <cell r="X1594" t="str">
            <v>(인)</v>
          </cell>
          <cell r="Y1594" t="str">
            <v>박순홍</v>
          </cell>
          <cell r="Z1594" t="str">
            <v>(인)</v>
          </cell>
          <cell r="AA1594" t="str">
            <v>박상갑</v>
          </cell>
          <cell r="AB1594" t="str">
            <v>(인)</v>
          </cell>
          <cell r="AC1594" t="str">
            <v>이홍걸</v>
          </cell>
          <cell r="AD1594" t="str">
            <v>(인)</v>
          </cell>
          <cell r="AE1594">
            <v>184.9</v>
          </cell>
          <cell r="AF1594" t="str">
            <v>동절기</v>
          </cell>
          <cell r="AG1594">
            <v>1</v>
          </cell>
          <cell r="AH1594">
            <v>1</v>
          </cell>
          <cell r="AI1594">
            <v>2546</v>
          </cell>
          <cell r="AJ1594">
            <v>2551</v>
          </cell>
          <cell r="AK1594">
            <v>208000</v>
          </cell>
          <cell r="AL1594">
            <v>3730</v>
          </cell>
          <cell r="AM1594">
            <v>3684</v>
          </cell>
          <cell r="AN1594">
            <v>3720</v>
          </cell>
          <cell r="AO1594">
            <v>3629</v>
          </cell>
          <cell r="AP1594">
            <v>3584</v>
          </cell>
          <cell r="AQ1594">
            <v>3567</v>
          </cell>
          <cell r="AR1594">
            <v>3692</v>
          </cell>
          <cell r="AS1594">
            <v>3604</v>
          </cell>
          <cell r="AT1594">
            <v>290000</v>
          </cell>
        </row>
        <row r="1595">
          <cell r="G1595">
            <v>2412230102</v>
          </cell>
          <cell r="H1595" t="str">
            <v>113동</v>
          </cell>
          <cell r="I1595">
            <v>241223</v>
          </cell>
          <cell r="J1595" t="str">
            <v>113동 15층 바닥</v>
          </cell>
          <cell r="K1595">
            <v>336</v>
          </cell>
          <cell r="L1595">
            <v>336</v>
          </cell>
          <cell r="M1595">
            <v>3018</v>
          </cell>
          <cell r="N1595" t="str">
            <v>대공</v>
          </cell>
          <cell r="O1595" t="str">
            <v>펌프카(1대)</v>
          </cell>
          <cell r="P1595">
            <v>859</v>
          </cell>
          <cell r="Q1595">
            <v>1424</v>
          </cell>
          <cell r="R1595">
            <v>190</v>
          </cell>
          <cell r="S1595">
            <v>40</v>
          </cell>
          <cell r="T1595">
            <v>51</v>
          </cell>
          <cell r="U1595">
            <v>159</v>
          </cell>
          <cell r="V1595"/>
          <cell r="W1595" t="str">
            <v>박순홍</v>
          </cell>
          <cell r="X1595" t="str">
            <v>(인)</v>
          </cell>
          <cell r="Y1595" t="str">
            <v>박순홍</v>
          </cell>
          <cell r="Z1595" t="str">
            <v>(인)</v>
          </cell>
          <cell r="AA1595" t="str">
            <v>박상갑</v>
          </cell>
          <cell r="AB1595" t="str">
            <v>(인)</v>
          </cell>
          <cell r="AC1595" t="str">
            <v>이홍걸</v>
          </cell>
          <cell r="AD1595" t="str">
            <v>(인)</v>
          </cell>
          <cell r="AE1595">
            <v>187.3</v>
          </cell>
          <cell r="AF1595" t="str">
            <v>동절기</v>
          </cell>
          <cell r="AG1595">
            <v>2</v>
          </cell>
          <cell r="AH1595">
            <v>0</v>
          </cell>
        </row>
        <row r="1596">
          <cell r="G1596">
            <v>2412230103</v>
          </cell>
          <cell r="H1596" t="str">
            <v>113동</v>
          </cell>
          <cell r="I1596">
            <v>241223</v>
          </cell>
          <cell r="J1596" t="str">
            <v>113동 15층 바닥</v>
          </cell>
          <cell r="K1596">
            <v>336</v>
          </cell>
          <cell r="L1596">
            <v>336</v>
          </cell>
          <cell r="M1596">
            <v>3018</v>
          </cell>
          <cell r="N1596" t="str">
            <v>대공</v>
          </cell>
          <cell r="O1596" t="str">
            <v>펌프카(1대)</v>
          </cell>
          <cell r="P1596">
            <v>859</v>
          </cell>
          <cell r="Q1596">
            <v>1424</v>
          </cell>
          <cell r="R1596">
            <v>180</v>
          </cell>
          <cell r="S1596">
            <v>52</v>
          </cell>
          <cell r="T1596">
            <v>37</v>
          </cell>
          <cell r="U1596">
            <v>194</v>
          </cell>
          <cell r="V1596"/>
          <cell r="W1596" t="str">
            <v>박순홍</v>
          </cell>
          <cell r="X1596" t="str">
            <v>(인)</v>
          </cell>
          <cell r="Y1596" t="str">
            <v>박순홍</v>
          </cell>
          <cell r="Z1596" t="str">
            <v>(인)</v>
          </cell>
          <cell r="AA1596" t="str">
            <v>박상갑</v>
          </cell>
          <cell r="AB1596" t="str">
            <v>(인)</v>
          </cell>
          <cell r="AC1596" t="str">
            <v>이홍걸</v>
          </cell>
          <cell r="AD1596" t="str">
            <v>(인)</v>
          </cell>
          <cell r="AE1596">
            <v>188.6</v>
          </cell>
          <cell r="AF1596" t="str">
            <v>동절기</v>
          </cell>
          <cell r="AG1596">
            <v>3</v>
          </cell>
          <cell r="AH1596">
            <v>0</v>
          </cell>
        </row>
        <row r="1597">
          <cell r="G1597">
            <v>2412230201</v>
          </cell>
          <cell r="H1597" t="str">
            <v>TC11호기</v>
          </cell>
          <cell r="I1597">
            <v>241223</v>
          </cell>
          <cell r="J1597" t="str">
            <v>TC11호기 주변주차장 지붕층</v>
          </cell>
          <cell r="K1597">
            <v>201</v>
          </cell>
          <cell r="L1597">
            <v>201</v>
          </cell>
          <cell r="M1597">
            <v>2715</v>
          </cell>
          <cell r="N1597" t="str">
            <v>영진</v>
          </cell>
          <cell r="O1597" t="str">
            <v>펌프카(1대)</v>
          </cell>
          <cell r="P1597">
            <v>1414</v>
          </cell>
          <cell r="Q1597">
            <v>1725</v>
          </cell>
          <cell r="R1597">
            <v>150</v>
          </cell>
          <cell r="S1597">
            <v>40</v>
          </cell>
          <cell r="T1597">
            <v>49</v>
          </cell>
          <cell r="U1597">
            <v>170</v>
          </cell>
          <cell r="V1597"/>
          <cell r="W1597" t="str">
            <v>박순홍</v>
          </cell>
          <cell r="X1597" t="str">
            <v>(인)</v>
          </cell>
          <cell r="Y1597" t="str">
            <v>박순홍</v>
          </cell>
          <cell r="Z1597" t="str">
            <v>(인)</v>
          </cell>
          <cell r="AA1597" t="str">
            <v>박상갑</v>
          </cell>
          <cell r="AB1597" t="str">
            <v>(인)</v>
          </cell>
          <cell r="AC1597" t="str">
            <v>이홍걸</v>
          </cell>
          <cell r="AD1597" t="str">
            <v>(인)</v>
          </cell>
          <cell r="AE1597">
            <v>169.1</v>
          </cell>
          <cell r="AF1597" t="str">
            <v>동절기</v>
          </cell>
          <cell r="AG1597">
            <v>1</v>
          </cell>
          <cell r="AH1597">
            <v>1</v>
          </cell>
          <cell r="AI1597">
            <v>2304</v>
          </cell>
          <cell r="AJ1597">
            <v>2298</v>
          </cell>
          <cell r="AK1597">
            <v>179400</v>
          </cell>
          <cell r="AL1597">
            <v>3193</v>
          </cell>
          <cell r="AM1597">
            <v>3262</v>
          </cell>
          <cell r="AN1597">
            <v>3167</v>
          </cell>
          <cell r="AO1597">
            <v>3202</v>
          </cell>
          <cell r="AP1597">
            <v>3186</v>
          </cell>
          <cell r="AQ1597">
            <v>3294</v>
          </cell>
          <cell r="AR1597">
            <v>3186</v>
          </cell>
          <cell r="AS1597">
            <v>3301</v>
          </cell>
          <cell r="AT1597">
            <v>247000</v>
          </cell>
        </row>
        <row r="1598">
          <cell r="G1598">
            <v>2412230202</v>
          </cell>
          <cell r="H1598" t="str">
            <v>TC11호기</v>
          </cell>
          <cell r="I1598">
            <v>241223</v>
          </cell>
          <cell r="J1598" t="str">
            <v>TC11호기 주변주차장 지붕층</v>
          </cell>
          <cell r="K1598">
            <v>201</v>
          </cell>
          <cell r="L1598">
            <v>201</v>
          </cell>
          <cell r="M1598">
            <v>2715</v>
          </cell>
          <cell r="N1598" t="str">
            <v>영진</v>
          </cell>
          <cell r="O1598" t="str">
            <v>펌프카(1대)</v>
          </cell>
          <cell r="P1598">
            <v>1414</v>
          </cell>
          <cell r="Q1598">
            <v>1725</v>
          </cell>
          <cell r="R1598">
            <v>165</v>
          </cell>
          <cell r="S1598">
            <v>45</v>
          </cell>
          <cell r="T1598">
            <v>39</v>
          </cell>
          <cell r="U1598">
            <v>186</v>
          </cell>
          <cell r="V1598"/>
          <cell r="W1598" t="str">
            <v>박순홍</v>
          </cell>
          <cell r="X1598" t="str">
            <v>(인)</v>
          </cell>
          <cell r="Y1598" t="str">
            <v>박순홍</v>
          </cell>
          <cell r="Z1598" t="str">
            <v>(인)</v>
          </cell>
          <cell r="AA1598" t="str">
            <v>박상갑</v>
          </cell>
          <cell r="AB1598" t="str">
            <v>(인)</v>
          </cell>
          <cell r="AC1598" t="str">
            <v>이홍걸</v>
          </cell>
          <cell r="AD1598" t="str">
            <v>(인)</v>
          </cell>
          <cell r="AE1598">
            <v>175.6</v>
          </cell>
          <cell r="AF1598" t="str">
            <v>동절기</v>
          </cell>
          <cell r="AG1598">
            <v>2</v>
          </cell>
          <cell r="AH1598">
            <v>0</v>
          </cell>
        </row>
        <row r="1599">
          <cell r="G1599">
            <v>2412240101</v>
          </cell>
          <cell r="H1599" t="str">
            <v>119동</v>
          </cell>
          <cell r="I1599">
            <v>241224</v>
          </cell>
          <cell r="J1599" t="str">
            <v>119동 3층 바닥</v>
          </cell>
          <cell r="K1599">
            <v>290</v>
          </cell>
          <cell r="L1599">
            <v>293</v>
          </cell>
          <cell r="M1599">
            <v>3018</v>
          </cell>
          <cell r="N1599" t="str">
            <v>대성</v>
          </cell>
          <cell r="O1599" t="str">
            <v>펌프카(1대)</v>
          </cell>
          <cell r="P1599">
            <v>950</v>
          </cell>
          <cell r="Q1599">
            <v>1500</v>
          </cell>
          <cell r="R1599">
            <v>190</v>
          </cell>
          <cell r="S1599">
            <v>43</v>
          </cell>
          <cell r="T1599">
            <v>19</v>
          </cell>
          <cell r="U1599">
            <v>153</v>
          </cell>
          <cell r="V1599"/>
          <cell r="W1599" t="str">
            <v>박순홍</v>
          </cell>
          <cell r="X1599" t="str">
            <v>(인)</v>
          </cell>
          <cell r="Y1599" t="str">
            <v>박순홍</v>
          </cell>
          <cell r="Z1599" t="str">
            <v>(인)</v>
          </cell>
          <cell r="AA1599" t="str">
            <v>박기원</v>
          </cell>
          <cell r="AB1599" t="str">
            <v>(인)</v>
          </cell>
          <cell r="AC1599" t="str">
            <v>이홍걸</v>
          </cell>
          <cell r="AD1599" t="str">
            <v>(인)</v>
          </cell>
          <cell r="AE1599">
            <v>184.3</v>
          </cell>
          <cell r="AF1599" t="str">
            <v>동절기</v>
          </cell>
          <cell r="AG1599">
            <v>1</v>
          </cell>
          <cell r="AH1599">
            <v>1</v>
          </cell>
          <cell r="AI1599">
            <v>2711</v>
          </cell>
          <cell r="AJ1599">
            <v>2736</v>
          </cell>
          <cell r="AK1599">
            <v>219800</v>
          </cell>
          <cell r="AL1599">
            <v>3626</v>
          </cell>
          <cell r="AM1599">
            <v>3623</v>
          </cell>
          <cell r="AN1599">
            <v>3679</v>
          </cell>
          <cell r="AO1599">
            <v>3724</v>
          </cell>
          <cell r="AP1599">
            <v>3702</v>
          </cell>
          <cell r="AQ1599">
            <v>3529</v>
          </cell>
          <cell r="AR1599">
            <v>3684</v>
          </cell>
          <cell r="AS1599">
            <v>3820</v>
          </cell>
          <cell r="AT1599">
            <v>289200</v>
          </cell>
        </row>
        <row r="1600">
          <cell r="G1600">
            <v>2412240102</v>
          </cell>
          <cell r="H1600" t="str">
            <v>119동</v>
          </cell>
          <cell r="I1600">
            <v>241224</v>
          </cell>
          <cell r="J1600" t="str">
            <v>119동 3층 바닥</v>
          </cell>
          <cell r="K1600">
            <v>290</v>
          </cell>
          <cell r="L1600">
            <v>293</v>
          </cell>
          <cell r="M1600">
            <v>3018</v>
          </cell>
          <cell r="N1600" t="str">
            <v>대성</v>
          </cell>
          <cell r="O1600" t="str">
            <v>펌프카(1대)</v>
          </cell>
          <cell r="P1600">
            <v>950</v>
          </cell>
          <cell r="Q1600">
            <v>1500</v>
          </cell>
          <cell r="R1600">
            <v>185</v>
          </cell>
          <cell r="S1600">
            <v>49</v>
          </cell>
          <cell r="T1600">
            <v>45</v>
          </cell>
          <cell r="U1600">
            <v>138</v>
          </cell>
          <cell r="V1600"/>
          <cell r="W1600" t="str">
            <v>박순홍</v>
          </cell>
          <cell r="X1600" t="str">
            <v>(인)</v>
          </cell>
          <cell r="Y1600" t="str">
            <v>박순홍</v>
          </cell>
          <cell r="Z1600" t="str">
            <v>(인)</v>
          </cell>
          <cell r="AA1600" t="str">
            <v>박기원</v>
          </cell>
          <cell r="AB1600" t="str">
            <v>(인)</v>
          </cell>
          <cell r="AC1600" t="str">
            <v>이홍걸</v>
          </cell>
          <cell r="AD1600" t="str">
            <v>(인)</v>
          </cell>
          <cell r="AE1600">
            <v>190.2</v>
          </cell>
          <cell r="AF1600" t="str">
            <v>동절기</v>
          </cell>
          <cell r="AG1600">
            <v>2</v>
          </cell>
          <cell r="AH1600">
            <v>0</v>
          </cell>
        </row>
        <row r="1601">
          <cell r="G1601">
            <v>2412240103</v>
          </cell>
          <cell r="H1601" t="str">
            <v>119동</v>
          </cell>
          <cell r="I1601">
            <v>241224</v>
          </cell>
          <cell r="J1601" t="str">
            <v>119동 3층 바닥</v>
          </cell>
          <cell r="K1601">
            <v>290</v>
          </cell>
          <cell r="L1601">
            <v>293</v>
          </cell>
          <cell r="M1601">
            <v>3018</v>
          </cell>
          <cell r="N1601" t="str">
            <v>대성</v>
          </cell>
          <cell r="O1601" t="str">
            <v>펌프카(1대)</v>
          </cell>
          <cell r="P1601">
            <v>950</v>
          </cell>
          <cell r="Q1601">
            <v>1500</v>
          </cell>
          <cell r="R1601">
            <v>190</v>
          </cell>
          <cell r="S1601">
            <v>49</v>
          </cell>
          <cell r="T1601">
            <v>26</v>
          </cell>
          <cell r="U1601">
            <v>145</v>
          </cell>
          <cell r="V1601"/>
          <cell r="W1601" t="str">
            <v>박순홍</v>
          </cell>
          <cell r="X1601" t="str">
            <v>(인)</v>
          </cell>
          <cell r="Y1601" t="str">
            <v>박순홍</v>
          </cell>
          <cell r="Z1601" t="str">
            <v>(인)</v>
          </cell>
          <cell r="AA1601" t="str">
            <v>박기원</v>
          </cell>
          <cell r="AB1601" t="str">
            <v>(인)</v>
          </cell>
          <cell r="AC1601" t="str">
            <v>이홍걸</v>
          </cell>
          <cell r="AD1601" t="str">
            <v>(인)</v>
          </cell>
          <cell r="AE1601">
            <v>186.7</v>
          </cell>
          <cell r="AF1601" t="str">
            <v>동절기</v>
          </cell>
          <cell r="AG1601">
            <v>3</v>
          </cell>
          <cell r="AH1601">
            <v>0</v>
          </cell>
        </row>
        <row r="1602">
          <cell r="G1602">
            <v>2412240201</v>
          </cell>
          <cell r="H1602" t="str">
            <v>111동</v>
          </cell>
          <cell r="I1602">
            <v>241224</v>
          </cell>
          <cell r="J1602" t="str">
            <v>111동 12층 바닥</v>
          </cell>
          <cell r="K1602">
            <v>280</v>
          </cell>
          <cell r="L1602">
            <v>276</v>
          </cell>
          <cell r="M1602">
            <v>3018</v>
          </cell>
          <cell r="N1602" t="str">
            <v>용호</v>
          </cell>
          <cell r="O1602" t="str">
            <v>펌프카(1대)</v>
          </cell>
          <cell r="P1602">
            <v>1055</v>
          </cell>
          <cell r="Q1602">
            <v>1528</v>
          </cell>
          <cell r="R1602">
            <v>180</v>
          </cell>
          <cell r="S1602">
            <v>51</v>
          </cell>
          <cell r="T1602">
            <v>4</v>
          </cell>
          <cell r="U1602">
            <v>136</v>
          </cell>
          <cell r="V1602"/>
          <cell r="W1602" t="str">
            <v>박순홍</v>
          </cell>
          <cell r="X1602" t="str">
            <v>(인)</v>
          </cell>
          <cell r="Y1602" t="str">
            <v>박순홍</v>
          </cell>
          <cell r="Z1602" t="str">
            <v>(인)</v>
          </cell>
          <cell r="AA1602" t="str">
            <v>박기원</v>
          </cell>
          <cell r="AB1602" t="str">
            <v>(인)</v>
          </cell>
          <cell r="AC1602" t="str">
            <v>이홍걸</v>
          </cell>
          <cell r="AD1602" t="str">
            <v>(인)</v>
          </cell>
          <cell r="AE1602">
            <v>182.3</v>
          </cell>
          <cell r="AF1602" t="str">
            <v>동절기</v>
          </cell>
          <cell r="AG1602">
            <v>1</v>
          </cell>
          <cell r="AH1602">
            <v>1</v>
          </cell>
          <cell r="AI1602">
            <v>2821</v>
          </cell>
          <cell r="AJ1602">
            <v>2794</v>
          </cell>
          <cell r="AK1602">
            <v>217400</v>
          </cell>
          <cell r="AL1602">
            <v>3506</v>
          </cell>
          <cell r="AM1602">
            <v>3656</v>
          </cell>
          <cell r="AN1602">
            <v>3608</v>
          </cell>
          <cell r="AO1602">
            <v>3508</v>
          </cell>
          <cell r="AP1602">
            <v>3572</v>
          </cell>
          <cell r="AQ1602">
            <v>3608</v>
          </cell>
          <cell r="AR1602">
            <v>3672</v>
          </cell>
          <cell r="AS1602">
            <v>3684</v>
          </cell>
          <cell r="AT1602">
            <v>292600</v>
          </cell>
        </row>
        <row r="1603">
          <cell r="G1603">
            <v>2412240202</v>
          </cell>
          <cell r="H1603" t="str">
            <v>111동</v>
          </cell>
          <cell r="I1603">
            <v>241224</v>
          </cell>
          <cell r="J1603" t="str">
            <v>111동 12층 바닥</v>
          </cell>
          <cell r="K1603">
            <v>280</v>
          </cell>
          <cell r="L1603">
            <v>276</v>
          </cell>
          <cell r="M1603">
            <v>3018</v>
          </cell>
          <cell r="N1603" t="str">
            <v>용호</v>
          </cell>
          <cell r="O1603" t="str">
            <v>펌프카(1대)</v>
          </cell>
          <cell r="P1603">
            <v>1055</v>
          </cell>
          <cell r="Q1603">
            <v>1528</v>
          </cell>
          <cell r="R1603">
            <v>180</v>
          </cell>
          <cell r="S1603">
            <v>40</v>
          </cell>
          <cell r="T1603">
            <v>112</v>
          </cell>
          <cell r="U1603">
            <v>141</v>
          </cell>
          <cell r="V1603"/>
          <cell r="W1603" t="str">
            <v>박순홍</v>
          </cell>
          <cell r="X1603" t="str">
            <v>(인)</v>
          </cell>
          <cell r="Y1603" t="str">
            <v>박순홍</v>
          </cell>
          <cell r="Z1603" t="str">
            <v>(인)</v>
          </cell>
          <cell r="AA1603" t="str">
            <v>박기원</v>
          </cell>
          <cell r="AB1603" t="str">
            <v>(인)</v>
          </cell>
          <cell r="AC1603" t="str">
            <v>이홍걸</v>
          </cell>
          <cell r="AD1603" t="str">
            <v>(인)</v>
          </cell>
          <cell r="AE1603">
            <v>184.3</v>
          </cell>
          <cell r="AF1603" t="str">
            <v>동절기</v>
          </cell>
          <cell r="AG1603">
            <v>2</v>
          </cell>
          <cell r="AH1603">
            <v>0</v>
          </cell>
        </row>
        <row r="1604">
          <cell r="G1604">
            <v>2412240203</v>
          </cell>
          <cell r="H1604" t="str">
            <v>111동</v>
          </cell>
          <cell r="I1604">
            <v>241224</v>
          </cell>
          <cell r="J1604" t="str">
            <v>111동 12층 바닥</v>
          </cell>
          <cell r="K1604">
            <v>280</v>
          </cell>
          <cell r="L1604">
            <v>276</v>
          </cell>
          <cell r="M1604">
            <v>3018</v>
          </cell>
          <cell r="N1604" t="str">
            <v>용호</v>
          </cell>
          <cell r="O1604" t="str">
            <v>펌프카(1대)</v>
          </cell>
          <cell r="P1604">
            <v>1055</v>
          </cell>
          <cell r="Q1604">
            <v>1528</v>
          </cell>
          <cell r="R1604">
            <v>180</v>
          </cell>
          <cell r="S1604">
            <v>51</v>
          </cell>
          <cell r="T1604">
            <v>33</v>
          </cell>
          <cell r="U1604">
            <v>145</v>
          </cell>
          <cell r="V1604"/>
          <cell r="W1604" t="str">
            <v>박순홍</v>
          </cell>
          <cell r="X1604" t="str">
            <v>(인)</v>
          </cell>
          <cell r="Y1604" t="str">
            <v>박순홍</v>
          </cell>
          <cell r="Z1604" t="str">
            <v>(인)</v>
          </cell>
          <cell r="AA1604" t="str">
            <v>박기원</v>
          </cell>
          <cell r="AB1604" t="str">
            <v>(인)</v>
          </cell>
          <cell r="AC1604" t="str">
            <v>이홍걸</v>
          </cell>
          <cell r="AD1604" t="str">
            <v>(인)</v>
          </cell>
          <cell r="AE1604">
            <v>182.3</v>
          </cell>
          <cell r="AF1604" t="str">
            <v>동절기</v>
          </cell>
          <cell r="AG1604">
            <v>3</v>
          </cell>
          <cell r="AH1604">
            <v>0</v>
          </cell>
        </row>
        <row r="1605">
          <cell r="G1605">
            <v>2412240301</v>
          </cell>
          <cell r="H1605" t="str">
            <v>109동</v>
          </cell>
          <cell r="I1605">
            <v>241224</v>
          </cell>
          <cell r="J1605" t="str">
            <v>109동 12층 바닥</v>
          </cell>
          <cell r="K1605">
            <v>280</v>
          </cell>
          <cell r="L1605">
            <v>282</v>
          </cell>
          <cell r="M1605">
            <v>3018</v>
          </cell>
          <cell r="N1605" t="str">
            <v>영진</v>
          </cell>
          <cell r="O1605" t="str">
            <v>펌프카(1대)</v>
          </cell>
          <cell r="P1605">
            <v>1212</v>
          </cell>
          <cell r="Q1605">
            <v>1550</v>
          </cell>
          <cell r="R1605">
            <v>190</v>
          </cell>
          <cell r="S1605">
            <v>46</v>
          </cell>
          <cell r="T1605">
            <v>74</v>
          </cell>
          <cell r="U1605">
            <v>142</v>
          </cell>
          <cell r="V1605"/>
          <cell r="W1605" t="str">
            <v>박순홍</v>
          </cell>
          <cell r="X1605" t="str">
            <v>(인)</v>
          </cell>
          <cell r="Y1605" t="str">
            <v>박순홍</v>
          </cell>
          <cell r="Z1605" t="str">
            <v>(인)</v>
          </cell>
          <cell r="AA1605" t="str">
            <v>박기원</v>
          </cell>
          <cell r="AB1605" t="str">
            <v>(인)</v>
          </cell>
          <cell r="AC1605" t="str">
            <v>이홍걸</v>
          </cell>
          <cell r="AD1605" t="str">
            <v>(인)</v>
          </cell>
          <cell r="AE1605">
            <v>176.8</v>
          </cell>
          <cell r="AF1605" t="str">
            <v>동절기</v>
          </cell>
          <cell r="AG1605">
            <v>1</v>
          </cell>
          <cell r="AH1605">
            <v>1</v>
          </cell>
          <cell r="AI1605">
            <v>2829</v>
          </cell>
          <cell r="AJ1605">
            <v>2790</v>
          </cell>
          <cell r="AK1605">
            <v>215200</v>
          </cell>
          <cell r="AL1605">
            <v>3609</v>
          </cell>
          <cell r="AM1605">
            <v>3338</v>
          </cell>
          <cell r="AN1605">
            <v>3529</v>
          </cell>
          <cell r="AO1605">
            <v>3629</v>
          </cell>
          <cell r="AP1605">
            <v>3604</v>
          </cell>
          <cell r="AQ1605">
            <v>3620</v>
          </cell>
          <cell r="AR1605">
            <v>3754</v>
          </cell>
          <cell r="AS1605">
            <v>3506</v>
          </cell>
          <cell r="AT1605">
            <v>273000</v>
          </cell>
        </row>
        <row r="1606">
          <cell r="G1606">
            <v>2412240302</v>
          </cell>
          <cell r="H1606" t="str">
            <v>109동</v>
          </cell>
          <cell r="I1606">
            <v>241224</v>
          </cell>
          <cell r="J1606" t="str">
            <v>109동 12층 바닥</v>
          </cell>
          <cell r="K1606">
            <v>280</v>
          </cell>
          <cell r="L1606">
            <v>282</v>
          </cell>
          <cell r="M1606">
            <v>3018</v>
          </cell>
          <cell r="N1606" t="str">
            <v>영진</v>
          </cell>
          <cell r="O1606" t="str">
            <v>펌프카(1대)</v>
          </cell>
          <cell r="P1606">
            <v>1212</v>
          </cell>
          <cell r="Q1606">
            <v>1550</v>
          </cell>
          <cell r="R1606">
            <v>170</v>
          </cell>
          <cell r="S1606">
            <v>36</v>
          </cell>
          <cell r="T1606">
            <v>61</v>
          </cell>
          <cell r="U1606">
            <v>139</v>
          </cell>
          <cell r="V1606"/>
          <cell r="W1606" t="str">
            <v>박순홍</v>
          </cell>
          <cell r="X1606" t="str">
            <v>(인)</v>
          </cell>
          <cell r="Y1606" t="str">
            <v>박순홍</v>
          </cell>
          <cell r="Z1606" t="str">
            <v>(인)</v>
          </cell>
          <cell r="AA1606" t="str">
            <v>박기원</v>
          </cell>
          <cell r="AB1606" t="str">
            <v>(인)</v>
          </cell>
          <cell r="AC1606" t="str">
            <v>이홍걸</v>
          </cell>
          <cell r="AD1606" t="str">
            <v>(인)</v>
          </cell>
          <cell r="AE1606">
            <v>179.2</v>
          </cell>
          <cell r="AF1606" t="str">
            <v>동절기</v>
          </cell>
          <cell r="AG1606">
            <v>2</v>
          </cell>
          <cell r="AH1606">
            <v>0</v>
          </cell>
        </row>
        <row r="1607">
          <cell r="G1607">
            <v>2412240303</v>
          </cell>
          <cell r="H1607" t="str">
            <v>109동</v>
          </cell>
          <cell r="I1607">
            <v>241224</v>
          </cell>
          <cell r="J1607" t="str">
            <v>109동 12층 바닥</v>
          </cell>
          <cell r="K1607">
            <v>280</v>
          </cell>
          <cell r="L1607">
            <v>282</v>
          </cell>
          <cell r="M1607">
            <v>3018</v>
          </cell>
          <cell r="N1607" t="str">
            <v>영진</v>
          </cell>
          <cell r="O1607" t="str">
            <v>펌프카(1대)</v>
          </cell>
          <cell r="P1607">
            <v>1212</v>
          </cell>
          <cell r="Q1607">
            <v>1550</v>
          </cell>
          <cell r="R1607">
            <v>180</v>
          </cell>
          <cell r="S1607">
            <v>40</v>
          </cell>
          <cell r="T1607">
            <v>44</v>
          </cell>
          <cell r="U1607">
            <v>124</v>
          </cell>
          <cell r="V1607"/>
          <cell r="W1607" t="str">
            <v>박순홍</v>
          </cell>
          <cell r="X1607" t="str">
            <v>(인)</v>
          </cell>
          <cell r="Y1607" t="str">
            <v>박순홍</v>
          </cell>
          <cell r="Z1607" t="str">
            <v>(인)</v>
          </cell>
          <cell r="AA1607" t="str">
            <v>박기원</v>
          </cell>
          <cell r="AB1607" t="str">
            <v>(인)</v>
          </cell>
          <cell r="AC1607" t="str">
            <v>이홍걸</v>
          </cell>
          <cell r="AD1607" t="str">
            <v>(인)</v>
          </cell>
          <cell r="AE1607">
            <v>180.6</v>
          </cell>
          <cell r="AF1607" t="str">
            <v>동절기</v>
          </cell>
          <cell r="AG1607">
            <v>3</v>
          </cell>
          <cell r="AH1607">
            <v>0</v>
          </cell>
        </row>
        <row r="1608">
          <cell r="G1608">
            <v>2412250101</v>
          </cell>
          <cell r="H1608" t="str">
            <v>112동</v>
          </cell>
          <cell r="I1608">
            <v>241225</v>
          </cell>
          <cell r="J1608" t="str">
            <v>112동 3층 바닥</v>
          </cell>
          <cell r="K1608">
            <v>216</v>
          </cell>
          <cell r="L1608">
            <v>216</v>
          </cell>
          <cell r="M1608">
            <v>3018</v>
          </cell>
          <cell r="N1608" t="str">
            <v>영진</v>
          </cell>
          <cell r="O1608" t="str">
            <v>펌프카(1대)</v>
          </cell>
          <cell r="P1608">
            <v>900</v>
          </cell>
          <cell r="Q1608">
            <v>1159</v>
          </cell>
          <cell r="R1608">
            <v>175</v>
          </cell>
          <cell r="S1608">
            <v>46</v>
          </cell>
          <cell r="T1608">
            <v>29</v>
          </cell>
          <cell r="U1608">
            <v>157</v>
          </cell>
          <cell r="V1608"/>
          <cell r="W1608" t="str">
            <v>박순홍</v>
          </cell>
          <cell r="X1608" t="str">
            <v>(인)</v>
          </cell>
          <cell r="Y1608" t="str">
            <v>박순홍</v>
          </cell>
          <cell r="Z1608" t="str">
            <v>(인)</v>
          </cell>
          <cell r="AA1608" t="str">
            <v>이루비</v>
          </cell>
          <cell r="AB1608" t="str">
            <v>(인)</v>
          </cell>
          <cell r="AC1608" t="str">
            <v>이홍걸</v>
          </cell>
          <cell r="AD1608" t="str">
            <v>(인)</v>
          </cell>
          <cell r="AE1608">
            <v>179.2</v>
          </cell>
          <cell r="AF1608" t="str">
            <v>동절기</v>
          </cell>
          <cell r="AG1608">
            <v>1</v>
          </cell>
          <cell r="AH1608">
            <v>1</v>
          </cell>
          <cell r="AI1608">
            <v>2689</v>
          </cell>
          <cell r="AJ1608">
            <v>2680</v>
          </cell>
          <cell r="AK1608">
            <v>210400</v>
          </cell>
          <cell r="AL1608">
            <v>3620</v>
          </cell>
          <cell r="AM1608">
            <v>3711</v>
          </cell>
          <cell r="AN1608">
            <v>3630</v>
          </cell>
          <cell r="AO1608">
            <v>3520</v>
          </cell>
          <cell r="AP1608">
            <v>3572</v>
          </cell>
          <cell r="AQ1608">
            <v>3602</v>
          </cell>
          <cell r="AR1608">
            <v>3720</v>
          </cell>
          <cell r="AS1608">
            <v>3714</v>
          </cell>
          <cell r="AT1608">
            <v>289600</v>
          </cell>
        </row>
        <row r="1609">
          <cell r="G1609">
            <v>2412250102</v>
          </cell>
          <cell r="H1609" t="str">
            <v>112동</v>
          </cell>
          <cell r="I1609">
            <v>241225</v>
          </cell>
          <cell r="J1609" t="str">
            <v>112동 3층 바닥</v>
          </cell>
          <cell r="K1609">
            <v>216</v>
          </cell>
          <cell r="L1609">
            <v>216</v>
          </cell>
          <cell r="M1609">
            <v>3018</v>
          </cell>
          <cell r="N1609" t="str">
            <v>영진</v>
          </cell>
          <cell r="O1609" t="str">
            <v>펌프카(1대)</v>
          </cell>
          <cell r="P1609">
            <v>900</v>
          </cell>
          <cell r="Q1609">
            <v>1159</v>
          </cell>
          <cell r="R1609">
            <v>180</v>
          </cell>
          <cell r="S1609">
            <v>50</v>
          </cell>
          <cell r="T1609">
            <v>38</v>
          </cell>
          <cell r="U1609">
            <v>140</v>
          </cell>
          <cell r="V1609"/>
          <cell r="W1609" t="str">
            <v>박순홍</v>
          </cell>
          <cell r="X1609" t="str">
            <v>(인)</v>
          </cell>
          <cell r="Y1609" t="str">
            <v>박순홍</v>
          </cell>
          <cell r="Z1609" t="str">
            <v>(인)</v>
          </cell>
          <cell r="AA1609" t="str">
            <v>이루비</v>
          </cell>
          <cell r="AB1609" t="str">
            <v>(인)</v>
          </cell>
          <cell r="AC1609" t="str">
            <v>이홍걸</v>
          </cell>
          <cell r="AD1609" t="str">
            <v>(인)</v>
          </cell>
          <cell r="AE1609">
            <v>181.2</v>
          </cell>
          <cell r="AF1609" t="str">
            <v>동절기</v>
          </cell>
          <cell r="AG1609">
            <v>2</v>
          </cell>
          <cell r="AH1609">
            <v>0</v>
          </cell>
        </row>
        <row r="1610">
          <cell r="G1610">
            <v>2412250103</v>
          </cell>
          <cell r="H1610" t="str">
            <v>112동</v>
          </cell>
          <cell r="I1610">
            <v>241225</v>
          </cell>
          <cell r="J1610" t="str">
            <v>112동 3층 바닥</v>
          </cell>
          <cell r="K1610">
            <v>216</v>
          </cell>
          <cell r="L1610">
            <v>216</v>
          </cell>
          <cell r="M1610">
            <v>3018</v>
          </cell>
          <cell r="N1610" t="str">
            <v>영진</v>
          </cell>
          <cell r="O1610" t="str">
            <v>펌프카(1대)</v>
          </cell>
          <cell r="P1610">
            <v>900</v>
          </cell>
          <cell r="Q1610">
            <v>1159</v>
          </cell>
          <cell r="R1610">
            <v>180</v>
          </cell>
          <cell r="S1610">
            <v>44</v>
          </cell>
          <cell r="T1610">
            <v>17</v>
          </cell>
          <cell r="U1610">
            <v>146</v>
          </cell>
          <cell r="V1610"/>
          <cell r="W1610" t="str">
            <v>박순홍</v>
          </cell>
          <cell r="X1610" t="str">
            <v>(인)</v>
          </cell>
          <cell r="Y1610" t="str">
            <v>박순홍</v>
          </cell>
          <cell r="Z1610" t="str">
            <v>(인)</v>
          </cell>
          <cell r="AA1610" t="str">
            <v>이루비</v>
          </cell>
          <cell r="AB1610" t="str">
            <v>(인)</v>
          </cell>
          <cell r="AC1610" t="str">
            <v>이홍걸</v>
          </cell>
          <cell r="AD1610" t="str">
            <v>(인)</v>
          </cell>
          <cell r="AE1610">
            <v>180.6</v>
          </cell>
          <cell r="AF1610" t="str">
            <v>동절기</v>
          </cell>
          <cell r="AG1610">
            <v>3</v>
          </cell>
          <cell r="AH1610">
            <v>0</v>
          </cell>
        </row>
        <row r="1611">
          <cell r="G1611">
            <v>2412250201</v>
          </cell>
          <cell r="H1611" t="str">
            <v>117동</v>
          </cell>
          <cell r="I1611">
            <v>241225</v>
          </cell>
          <cell r="J1611" t="str">
            <v>117동 4층 바닥</v>
          </cell>
          <cell r="K1611">
            <v>336</v>
          </cell>
          <cell r="L1611">
            <v>336</v>
          </cell>
          <cell r="M1611">
            <v>3018</v>
          </cell>
          <cell r="N1611" t="str">
            <v>용호</v>
          </cell>
          <cell r="O1611" t="str">
            <v>펌프카(1대)</v>
          </cell>
          <cell r="P1611">
            <v>920</v>
          </cell>
          <cell r="Q1611">
            <v>1422</v>
          </cell>
          <cell r="R1611">
            <v>190</v>
          </cell>
          <cell r="S1611">
            <v>41</v>
          </cell>
          <cell r="T1611">
            <v>21</v>
          </cell>
          <cell r="U1611">
            <v>146</v>
          </cell>
          <cell r="V1611"/>
          <cell r="W1611" t="str">
            <v>박순홍</v>
          </cell>
          <cell r="X1611" t="str">
            <v>(인)</v>
          </cell>
          <cell r="Y1611" t="str">
            <v>박순홍</v>
          </cell>
          <cell r="Z1611" t="str">
            <v>(인)</v>
          </cell>
          <cell r="AA1611" t="str">
            <v>이루비</v>
          </cell>
          <cell r="AB1611" t="str">
            <v>(인)</v>
          </cell>
          <cell r="AC1611" t="str">
            <v>이홍걸</v>
          </cell>
          <cell r="AD1611" t="str">
            <v>(인)</v>
          </cell>
          <cell r="AE1611">
            <v>187.2</v>
          </cell>
          <cell r="AF1611" t="str">
            <v>동절기</v>
          </cell>
          <cell r="AG1611">
            <v>1</v>
          </cell>
          <cell r="AH1611">
            <v>1</v>
          </cell>
          <cell r="AI1611">
            <v>2683</v>
          </cell>
          <cell r="AJ1611">
            <v>2719</v>
          </cell>
          <cell r="AK1611">
            <v>210200</v>
          </cell>
          <cell r="AL1611">
            <v>3710</v>
          </cell>
          <cell r="AM1611">
            <v>3684</v>
          </cell>
          <cell r="AN1611">
            <v>3629</v>
          </cell>
          <cell r="AO1611">
            <v>3711</v>
          </cell>
          <cell r="AP1611">
            <v>3862</v>
          </cell>
          <cell r="AQ1611">
            <v>3860</v>
          </cell>
          <cell r="AR1611">
            <v>3710</v>
          </cell>
          <cell r="AS1611">
            <v>3688</v>
          </cell>
          <cell r="AT1611">
            <v>283400</v>
          </cell>
        </row>
        <row r="1612">
          <cell r="G1612">
            <v>2412250202</v>
          </cell>
          <cell r="H1612" t="str">
            <v>117동</v>
          </cell>
          <cell r="I1612">
            <v>241225</v>
          </cell>
          <cell r="J1612" t="str">
            <v>117동 4층 바닥</v>
          </cell>
          <cell r="K1612">
            <v>336</v>
          </cell>
          <cell r="L1612">
            <v>336</v>
          </cell>
          <cell r="M1612">
            <v>3018</v>
          </cell>
          <cell r="N1612" t="str">
            <v>용호</v>
          </cell>
          <cell r="O1612" t="str">
            <v>펌프카(1대)</v>
          </cell>
          <cell r="P1612">
            <v>920</v>
          </cell>
          <cell r="Q1612">
            <v>1422</v>
          </cell>
          <cell r="R1612">
            <v>190</v>
          </cell>
          <cell r="S1612">
            <v>48</v>
          </cell>
          <cell r="T1612">
            <v>26</v>
          </cell>
          <cell r="U1612">
            <v>146</v>
          </cell>
          <cell r="V1612"/>
          <cell r="W1612" t="str">
            <v>박순홍</v>
          </cell>
          <cell r="X1612" t="str">
            <v>(인)</v>
          </cell>
          <cell r="Y1612" t="str">
            <v>박순홍</v>
          </cell>
          <cell r="Z1612" t="str">
            <v>(인)</v>
          </cell>
          <cell r="AA1612" t="str">
            <v>이루비</v>
          </cell>
          <cell r="AB1612" t="str">
            <v>(인)</v>
          </cell>
          <cell r="AC1612" t="str">
            <v>이홍걸</v>
          </cell>
          <cell r="AD1612" t="str">
            <v>(인)</v>
          </cell>
          <cell r="AE1612">
            <v>182.3</v>
          </cell>
          <cell r="AF1612" t="str">
            <v>동절기</v>
          </cell>
          <cell r="AG1612">
            <v>2</v>
          </cell>
          <cell r="AH1612">
            <v>0</v>
          </cell>
        </row>
        <row r="1613">
          <cell r="G1613">
            <v>2412250203</v>
          </cell>
          <cell r="H1613" t="str">
            <v>117동</v>
          </cell>
          <cell r="I1613">
            <v>241225</v>
          </cell>
          <cell r="J1613" t="str">
            <v>117동 4층 바닥</v>
          </cell>
          <cell r="K1613">
            <v>336</v>
          </cell>
          <cell r="L1613">
            <v>336</v>
          </cell>
          <cell r="M1613">
            <v>3018</v>
          </cell>
          <cell r="N1613" t="str">
            <v>용호</v>
          </cell>
          <cell r="O1613" t="str">
            <v>펌프카(1대)</v>
          </cell>
          <cell r="P1613">
            <v>920</v>
          </cell>
          <cell r="Q1613">
            <v>1422</v>
          </cell>
          <cell r="R1613">
            <v>185</v>
          </cell>
          <cell r="S1613">
            <v>42</v>
          </cell>
          <cell r="T1613">
            <v>48</v>
          </cell>
          <cell r="U1613">
            <v>172</v>
          </cell>
          <cell r="V1613"/>
          <cell r="W1613" t="str">
            <v>박순홍</v>
          </cell>
          <cell r="X1613" t="str">
            <v>(인)</v>
          </cell>
          <cell r="Y1613" t="str">
            <v>박순홍</v>
          </cell>
          <cell r="Z1613" t="str">
            <v>(인)</v>
          </cell>
          <cell r="AA1613" t="str">
            <v>이루비</v>
          </cell>
          <cell r="AB1613" t="str">
            <v>(인)</v>
          </cell>
          <cell r="AC1613" t="str">
            <v>이홍걸</v>
          </cell>
          <cell r="AD1613" t="str">
            <v>(인)</v>
          </cell>
          <cell r="AE1613">
            <v>186.3</v>
          </cell>
          <cell r="AF1613" t="str">
            <v>동절기</v>
          </cell>
          <cell r="AG1613">
            <v>3</v>
          </cell>
          <cell r="AH1613">
            <v>0</v>
          </cell>
        </row>
        <row r="1614">
          <cell r="G1614">
            <v>2412250301</v>
          </cell>
          <cell r="H1614" t="str">
            <v>115동</v>
          </cell>
          <cell r="I1614">
            <v>241225</v>
          </cell>
          <cell r="J1614" t="str">
            <v>115동 휀룸</v>
          </cell>
          <cell r="K1614">
            <v>6</v>
          </cell>
          <cell r="L1614">
            <v>6</v>
          </cell>
          <cell r="M1614">
            <v>2715</v>
          </cell>
          <cell r="N1614" t="str">
            <v>영진</v>
          </cell>
          <cell r="O1614" t="str">
            <v>펌프카(1대)</v>
          </cell>
          <cell r="P1614">
            <v>1232</v>
          </cell>
          <cell r="Q1614">
            <v>1237</v>
          </cell>
          <cell r="R1614">
            <v>150</v>
          </cell>
          <cell r="S1614">
            <v>46</v>
          </cell>
          <cell r="T1614">
            <v>72</v>
          </cell>
          <cell r="U1614">
            <v>165</v>
          </cell>
          <cell r="V1614"/>
          <cell r="W1614" t="str">
            <v>박순홍</v>
          </cell>
          <cell r="X1614" t="str">
            <v>(인)</v>
          </cell>
          <cell r="Y1614" t="str">
            <v>박순홍</v>
          </cell>
          <cell r="Z1614" t="str">
            <v>(인)</v>
          </cell>
          <cell r="AA1614" t="str">
            <v>이루비</v>
          </cell>
          <cell r="AB1614" t="str">
            <v>(인)</v>
          </cell>
          <cell r="AC1614" t="str">
            <v>이홍걸</v>
          </cell>
          <cell r="AD1614" t="str">
            <v>(인)</v>
          </cell>
          <cell r="AE1614">
            <v>174.6</v>
          </cell>
          <cell r="AF1614" t="str">
            <v>동절기</v>
          </cell>
          <cell r="AG1614">
            <v>1</v>
          </cell>
          <cell r="AH1614">
            <v>1</v>
          </cell>
          <cell r="AI1614">
            <v>2490</v>
          </cell>
          <cell r="AJ1614">
            <v>2387</v>
          </cell>
          <cell r="AK1614">
            <v>19480</v>
          </cell>
          <cell r="AL1614">
            <v>3301</v>
          </cell>
          <cell r="AM1614">
            <v>3201</v>
          </cell>
          <cell r="AN1614">
            <v>3307</v>
          </cell>
          <cell r="AO1614">
            <v>3164</v>
          </cell>
          <cell r="AP1614">
            <v>3188</v>
          </cell>
          <cell r="AQ1614">
            <v>3204</v>
          </cell>
          <cell r="AR1614">
            <v>3267</v>
          </cell>
          <cell r="AS1614">
            <v>3304</v>
          </cell>
          <cell r="AT1614">
            <v>255600</v>
          </cell>
        </row>
        <row r="1615">
          <cell r="G1615">
            <v>2412250401</v>
          </cell>
          <cell r="H1615" t="str">
            <v>117동</v>
          </cell>
          <cell r="I1615">
            <v>241225</v>
          </cell>
          <cell r="J1615" t="str">
            <v>117동 휀룸</v>
          </cell>
          <cell r="K1615">
            <v>5</v>
          </cell>
          <cell r="L1615">
            <v>5</v>
          </cell>
          <cell r="M1615">
            <v>2715</v>
          </cell>
          <cell r="N1615" t="str">
            <v>용호</v>
          </cell>
          <cell r="O1615" t="str">
            <v>펌프카(1대)</v>
          </cell>
          <cell r="P1615">
            <v>1520</v>
          </cell>
          <cell r="Q1615">
            <v>1537</v>
          </cell>
          <cell r="R1615">
            <v>170</v>
          </cell>
          <cell r="S1615">
            <v>46</v>
          </cell>
          <cell r="T1615">
            <v>43</v>
          </cell>
          <cell r="U1615">
            <v>164</v>
          </cell>
          <cell r="V1615"/>
          <cell r="W1615" t="str">
            <v>박순홍</v>
          </cell>
          <cell r="X1615" t="str">
            <v>(인)</v>
          </cell>
          <cell r="Y1615" t="str">
            <v>박순홍</v>
          </cell>
          <cell r="Z1615" t="str">
            <v>(인)</v>
          </cell>
          <cell r="AA1615" t="str">
            <v>이루비</v>
          </cell>
          <cell r="AB1615" t="str">
            <v>(인)</v>
          </cell>
          <cell r="AC1615" t="str">
            <v>이홍걸</v>
          </cell>
          <cell r="AD1615" t="str">
            <v>(인)</v>
          </cell>
          <cell r="AE1615">
            <v>179.4</v>
          </cell>
          <cell r="AF1615" t="str">
            <v>동절기</v>
          </cell>
          <cell r="AG1615">
            <v>1</v>
          </cell>
          <cell r="AH1615">
            <v>1</v>
          </cell>
          <cell r="AI1615">
            <v>2340</v>
          </cell>
          <cell r="AJ1615">
            <v>2387</v>
          </cell>
          <cell r="AK1615">
            <v>192400</v>
          </cell>
          <cell r="AL1615">
            <v>3270</v>
          </cell>
          <cell r="AM1615">
            <v>3316</v>
          </cell>
          <cell r="AN1615">
            <v>3284</v>
          </cell>
          <cell r="AO1615">
            <v>3306</v>
          </cell>
          <cell r="AP1615">
            <v>3284</v>
          </cell>
          <cell r="AQ1615">
            <v>3106</v>
          </cell>
          <cell r="AR1615">
            <v>3188</v>
          </cell>
          <cell r="AS1615">
            <v>3094</v>
          </cell>
          <cell r="AT1615">
            <v>260400</v>
          </cell>
        </row>
        <row r="1616">
          <cell r="G1616">
            <v>2412260101</v>
          </cell>
          <cell r="H1616" t="str">
            <v>108동</v>
          </cell>
          <cell r="I1616">
            <v>241226</v>
          </cell>
          <cell r="J1616" t="str">
            <v>108동 6층 바닥</v>
          </cell>
          <cell r="K1616">
            <v>287</v>
          </cell>
          <cell r="L1616">
            <v>287</v>
          </cell>
          <cell r="M1616">
            <v>3018</v>
          </cell>
          <cell r="N1616" t="str">
            <v>신우</v>
          </cell>
          <cell r="O1616" t="str">
            <v>펌프카(1대)</v>
          </cell>
          <cell r="P1616">
            <v>905</v>
          </cell>
          <cell r="Q1616">
            <v>1515</v>
          </cell>
          <cell r="R1616">
            <v>190</v>
          </cell>
          <cell r="S1616">
            <v>46</v>
          </cell>
          <cell r="T1616">
            <v>65</v>
          </cell>
          <cell r="U1616">
            <v>161</v>
          </cell>
          <cell r="V1616"/>
          <cell r="W1616" t="str">
            <v>박순홍</v>
          </cell>
          <cell r="X1616" t="str">
            <v>(인)</v>
          </cell>
          <cell r="Y1616" t="str">
            <v>박순홍</v>
          </cell>
          <cell r="Z1616" t="str">
            <v>(인)</v>
          </cell>
          <cell r="AA1616" t="str">
            <v>박기원</v>
          </cell>
          <cell r="AB1616" t="str">
            <v>(인)</v>
          </cell>
          <cell r="AC1616" t="str">
            <v>이홍걸</v>
          </cell>
          <cell r="AD1616" t="str">
            <v>(인)</v>
          </cell>
          <cell r="AE1616">
            <v>182.4</v>
          </cell>
          <cell r="AF1616" t="str">
            <v>동절기</v>
          </cell>
          <cell r="AG1616">
            <v>1</v>
          </cell>
          <cell r="AH1616">
            <v>1</v>
          </cell>
          <cell r="AI1616">
            <v>2773</v>
          </cell>
          <cell r="AJ1616">
            <v>2802</v>
          </cell>
          <cell r="AK1616">
            <v>215000</v>
          </cell>
          <cell r="AL1616">
            <v>3517</v>
          </cell>
          <cell r="AM1616">
            <v>3608</v>
          </cell>
          <cell r="AN1616">
            <v>3618</v>
          </cell>
          <cell r="AO1616">
            <v>3716</v>
          </cell>
          <cell r="AP1616">
            <v>3604</v>
          </cell>
          <cell r="AQ1616">
            <v>3619</v>
          </cell>
          <cell r="AR1616">
            <v>3801</v>
          </cell>
          <cell r="AS1616">
            <v>3614</v>
          </cell>
          <cell r="AT1616">
            <v>285800</v>
          </cell>
        </row>
        <row r="1617">
          <cell r="G1617">
            <v>2412260102</v>
          </cell>
          <cell r="H1617" t="str">
            <v>108동</v>
          </cell>
          <cell r="I1617">
            <v>241226</v>
          </cell>
          <cell r="J1617" t="str">
            <v>108동 6층 바닥</v>
          </cell>
          <cell r="K1617">
            <v>287</v>
          </cell>
          <cell r="L1617">
            <v>287</v>
          </cell>
          <cell r="M1617">
            <v>3018</v>
          </cell>
          <cell r="N1617" t="str">
            <v>신우</v>
          </cell>
          <cell r="O1617" t="str">
            <v>펌프카(1대)</v>
          </cell>
          <cell r="P1617">
            <v>905</v>
          </cell>
          <cell r="Q1617">
            <v>1515</v>
          </cell>
          <cell r="R1617">
            <v>170</v>
          </cell>
          <cell r="S1617">
            <v>42</v>
          </cell>
          <cell r="T1617">
            <v>62</v>
          </cell>
          <cell r="U1617">
            <v>160</v>
          </cell>
          <cell r="V1617"/>
          <cell r="W1617" t="str">
            <v>박순홍</v>
          </cell>
          <cell r="X1617" t="str">
            <v>(인)</v>
          </cell>
          <cell r="Y1617" t="str">
            <v>박순홍</v>
          </cell>
          <cell r="Z1617" t="str">
            <v>(인)</v>
          </cell>
          <cell r="AA1617" t="str">
            <v>박기원</v>
          </cell>
          <cell r="AB1617" t="str">
            <v>(인)</v>
          </cell>
          <cell r="AC1617" t="str">
            <v>이홍걸</v>
          </cell>
          <cell r="AD1617" t="str">
            <v>(인)</v>
          </cell>
          <cell r="AE1617">
            <v>182.3</v>
          </cell>
          <cell r="AF1617" t="str">
            <v>동절기</v>
          </cell>
          <cell r="AG1617">
            <v>2</v>
          </cell>
          <cell r="AH1617">
            <v>0</v>
          </cell>
        </row>
        <row r="1618">
          <cell r="G1618">
            <v>2412260103</v>
          </cell>
          <cell r="H1618" t="str">
            <v>108동</v>
          </cell>
          <cell r="I1618">
            <v>241226</v>
          </cell>
          <cell r="J1618" t="str">
            <v>108동 6층 바닥</v>
          </cell>
          <cell r="K1618">
            <v>287</v>
          </cell>
          <cell r="L1618">
            <v>287</v>
          </cell>
          <cell r="M1618">
            <v>3018</v>
          </cell>
          <cell r="N1618" t="str">
            <v>신우</v>
          </cell>
          <cell r="O1618" t="str">
            <v>펌프카(1대)</v>
          </cell>
          <cell r="P1618">
            <v>905</v>
          </cell>
          <cell r="Q1618">
            <v>1515</v>
          </cell>
          <cell r="R1618">
            <v>160</v>
          </cell>
          <cell r="S1618">
            <v>50</v>
          </cell>
          <cell r="T1618">
            <v>26</v>
          </cell>
          <cell r="U1618">
            <v>155</v>
          </cell>
          <cell r="V1618"/>
          <cell r="W1618" t="str">
            <v>박순홍</v>
          </cell>
          <cell r="X1618" t="str">
            <v>(인)</v>
          </cell>
          <cell r="Y1618" t="str">
            <v>박순홍</v>
          </cell>
          <cell r="Z1618" t="str">
            <v>(인)</v>
          </cell>
          <cell r="AA1618" t="str">
            <v>박기원</v>
          </cell>
          <cell r="AB1618" t="str">
            <v>(인)</v>
          </cell>
          <cell r="AC1618" t="str">
            <v>이홍걸</v>
          </cell>
          <cell r="AD1618" t="str">
            <v>(인)</v>
          </cell>
          <cell r="AE1618">
            <v>178.9</v>
          </cell>
          <cell r="AF1618" t="str">
            <v>동절기</v>
          </cell>
          <cell r="AG1618">
            <v>3</v>
          </cell>
          <cell r="AH1618">
            <v>0</v>
          </cell>
        </row>
        <row r="1619">
          <cell r="G1619">
            <v>2412260201</v>
          </cell>
          <cell r="H1619" t="str">
            <v>115동</v>
          </cell>
          <cell r="I1619">
            <v>241226</v>
          </cell>
          <cell r="J1619" t="str">
            <v>115동 7층 바닥</v>
          </cell>
          <cell r="K1619">
            <v>282</v>
          </cell>
          <cell r="L1619">
            <v>282</v>
          </cell>
          <cell r="M1619">
            <v>3018</v>
          </cell>
          <cell r="N1619" t="str">
            <v>대원</v>
          </cell>
          <cell r="O1619" t="str">
            <v>펌프카(1대)</v>
          </cell>
          <cell r="P1619">
            <v>938</v>
          </cell>
          <cell r="Q1619">
            <v>1350</v>
          </cell>
          <cell r="R1619">
            <v>190</v>
          </cell>
          <cell r="S1619">
            <v>41</v>
          </cell>
          <cell r="T1619">
            <v>70</v>
          </cell>
          <cell r="U1619">
            <v>157</v>
          </cell>
          <cell r="V1619"/>
          <cell r="W1619" t="str">
            <v>박순홍</v>
          </cell>
          <cell r="X1619" t="str">
            <v>(인)</v>
          </cell>
          <cell r="Y1619" t="str">
            <v>박순홍</v>
          </cell>
          <cell r="Z1619" t="str">
            <v>(인)</v>
          </cell>
          <cell r="AA1619" t="str">
            <v>박기원</v>
          </cell>
          <cell r="AB1619" t="str">
            <v>(인)</v>
          </cell>
          <cell r="AC1619" t="str">
            <v>이홍걸</v>
          </cell>
          <cell r="AD1619" t="str">
            <v>(인)</v>
          </cell>
          <cell r="AE1619">
            <v>182.1</v>
          </cell>
          <cell r="AF1619" t="str">
            <v>동절기</v>
          </cell>
          <cell r="AG1619">
            <v>1</v>
          </cell>
          <cell r="AH1619">
            <v>1</v>
          </cell>
          <cell r="AI1619">
            <v>2627</v>
          </cell>
          <cell r="AJ1619">
            <v>2596</v>
          </cell>
          <cell r="AK1619">
            <v>202000</v>
          </cell>
          <cell r="AL1619">
            <v>3487</v>
          </cell>
          <cell r="AM1619">
            <v>3612</v>
          </cell>
          <cell r="AN1619">
            <v>3439</v>
          </cell>
          <cell r="AO1619">
            <v>3487</v>
          </cell>
          <cell r="AP1619">
            <v>3610</v>
          </cell>
          <cell r="AQ1619">
            <v>3404</v>
          </cell>
          <cell r="AR1619">
            <v>3512</v>
          </cell>
          <cell r="AS1619">
            <v>3533</v>
          </cell>
          <cell r="AT1619">
            <v>275000</v>
          </cell>
        </row>
        <row r="1620">
          <cell r="G1620">
            <v>2412260202</v>
          </cell>
          <cell r="H1620" t="str">
            <v>115동</v>
          </cell>
          <cell r="I1620">
            <v>241226</v>
          </cell>
          <cell r="J1620" t="str">
            <v>115동 7층 바닥</v>
          </cell>
          <cell r="K1620">
            <v>282</v>
          </cell>
          <cell r="L1620">
            <v>282</v>
          </cell>
          <cell r="M1620">
            <v>3018</v>
          </cell>
          <cell r="N1620" t="str">
            <v>대원</v>
          </cell>
          <cell r="O1620" t="str">
            <v>펌프카(1대)</v>
          </cell>
          <cell r="P1620">
            <v>938</v>
          </cell>
          <cell r="Q1620">
            <v>1350</v>
          </cell>
          <cell r="R1620">
            <v>190</v>
          </cell>
          <cell r="S1620">
            <v>43</v>
          </cell>
          <cell r="T1620">
            <v>48</v>
          </cell>
          <cell r="U1620">
            <v>166</v>
          </cell>
          <cell r="V1620"/>
          <cell r="W1620" t="str">
            <v>박순홍</v>
          </cell>
          <cell r="X1620" t="str">
            <v>(인)</v>
          </cell>
          <cell r="Y1620" t="str">
            <v>박순홍</v>
          </cell>
          <cell r="Z1620" t="str">
            <v>(인)</v>
          </cell>
          <cell r="AA1620" t="str">
            <v>박기원</v>
          </cell>
          <cell r="AB1620" t="str">
            <v>(인)</v>
          </cell>
          <cell r="AC1620" t="str">
            <v>이홍걸</v>
          </cell>
          <cell r="AD1620" t="str">
            <v>(인)</v>
          </cell>
          <cell r="AE1620">
            <v>175.8</v>
          </cell>
          <cell r="AF1620" t="str">
            <v>동절기</v>
          </cell>
          <cell r="AG1620">
            <v>2</v>
          </cell>
          <cell r="AH1620">
            <v>0</v>
          </cell>
        </row>
        <row r="1621">
          <cell r="G1621">
            <v>2412260203</v>
          </cell>
          <cell r="H1621" t="str">
            <v>115동</v>
          </cell>
          <cell r="I1621">
            <v>241226</v>
          </cell>
          <cell r="J1621" t="str">
            <v>115동 7층 바닥</v>
          </cell>
          <cell r="K1621">
            <v>282</v>
          </cell>
          <cell r="L1621">
            <v>282</v>
          </cell>
          <cell r="M1621">
            <v>3018</v>
          </cell>
          <cell r="N1621" t="str">
            <v>대원</v>
          </cell>
          <cell r="O1621" t="str">
            <v>펌프카(1대)</v>
          </cell>
          <cell r="P1621">
            <v>938</v>
          </cell>
          <cell r="Q1621">
            <v>1350</v>
          </cell>
          <cell r="R1621">
            <v>160</v>
          </cell>
          <cell r="S1621">
            <v>46</v>
          </cell>
          <cell r="T1621">
            <v>17</v>
          </cell>
          <cell r="U1621">
            <v>162</v>
          </cell>
          <cell r="V1621"/>
          <cell r="W1621" t="str">
            <v>박순홍</v>
          </cell>
          <cell r="X1621" t="str">
            <v>(인)</v>
          </cell>
          <cell r="Y1621" t="str">
            <v>박순홍</v>
          </cell>
          <cell r="Z1621" t="str">
            <v>(인)</v>
          </cell>
          <cell r="AA1621" t="str">
            <v>박기원</v>
          </cell>
          <cell r="AB1621" t="str">
            <v>(인)</v>
          </cell>
          <cell r="AC1621" t="str">
            <v>이홍걸</v>
          </cell>
          <cell r="AD1621" t="str">
            <v>(인)</v>
          </cell>
          <cell r="AE1621">
            <v>172.4</v>
          </cell>
          <cell r="AF1621" t="str">
            <v>동절기</v>
          </cell>
          <cell r="AG1621">
            <v>3</v>
          </cell>
          <cell r="AH1621">
            <v>0</v>
          </cell>
        </row>
        <row r="1622">
          <cell r="G1622">
            <v>2412260301</v>
          </cell>
          <cell r="H1622" t="str">
            <v>기계실</v>
          </cell>
          <cell r="I1622">
            <v>241226</v>
          </cell>
          <cell r="J1622" t="str">
            <v>기계실 패드</v>
          </cell>
          <cell r="K1622">
            <v>6</v>
          </cell>
          <cell r="L1622">
            <v>6</v>
          </cell>
          <cell r="M1622">
            <v>2715</v>
          </cell>
          <cell r="N1622" t="str">
            <v>대원</v>
          </cell>
          <cell r="O1622" t="str">
            <v>펌프카(1대)</v>
          </cell>
          <cell r="P1622">
            <v>1000</v>
          </cell>
          <cell r="Q1622">
            <v>1040</v>
          </cell>
          <cell r="R1622">
            <v>160</v>
          </cell>
          <cell r="S1622">
            <v>40</v>
          </cell>
          <cell r="T1622">
            <v>11</v>
          </cell>
          <cell r="U1622">
            <v>162</v>
          </cell>
          <cell r="V1622"/>
          <cell r="W1622" t="str">
            <v>박순홍</v>
          </cell>
          <cell r="X1622" t="str">
            <v>(인)</v>
          </cell>
          <cell r="Y1622" t="str">
            <v>박순홍</v>
          </cell>
          <cell r="Z1622" t="str">
            <v>(인)</v>
          </cell>
          <cell r="AA1622" t="str">
            <v>박기원</v>
          </cell>
          <cell r="AB1622" t="str">
            <v>(인)</v>
          </cell>
          <cell r="AC1622" t="str">
            <v>이홍걸</v>
          </cell>
          <cell r="AD1622" t="str">
            <v>(인)</v>
          </cell>
          <cell r="AE1622">
            <v>169.4</v>
          </cell>
          <cell r="AF1622" t="str">
            <v>동절기</v>
          </cell>
          <cell r="AG1622">
            <v>1</v>
          </cell>
          <cell r="AH1622">
            <v>1</v>
          </cell>
          <cell r="AI1622">
            <v>2316</v>
          </cell>
          <cell r="AJ1622">
            <v>2382</v>
          </cell>
          <cell r="AK1622">
            <v>183000</v>
          </cell>
          <cell r="AL1622">
            <v>3133</v>
          </cell>
          <cell r="AM1622">
            <v>3092</v>
          </cell>
          <cell r="AN1622">
            <v>3214</v>
          </cell>
          <cell r="AO1622">
            <v>3300</v>
          </cell>
          <cell r="AP1622">
            <v>3079</v>
          </cell>
          <cell r="AQ1622">
            <v>3126</v>
          </cell>
          <cell r="AR1622">
            <v>3094</v>
          </cell>
          <cell r="AS1622">
            <v>3136</v>
          </cell>
          <cell r="AT1622">
            <v>242000</v>
          </cell>
        </row>
        <row r="1623">
          <cell r="G1623">
            <v>2412270101</v>
          </cell>
          <cell r="H1623" t="str">
            <v>110동</v>
          </cell>
          <cell r="I1623">
            <v>241227</v>
          </cell>
          <cell r="J1623" t="str">
            <v>110동 12층 바닥</v>
          </cell>
          <cell r="K1623">
            <v>282</v>
          </cell>
          <cell r="L1623">
            <v>282</v>
          </cell>
          <cell r="M1623">
            <v>3018</v>
          </cell>
          <cell r="N1623" t="str">
            <v>용호</v>
          </cell>
          <cell r="O1623" t="str">
            <v>펌프카(1대)</v>
          </cell>
          <cell r="P1623">
            <v>815</v>
          </cell>
          <cell r="Q1623">
            <v>1330</v>
          </cell>
          <cell r="R1623">
            <v>195</v>
          </cell>
          <cell r="S1623">
            <v>49</v>
          </cell>
          <cell r="T1623">
            <v>32</v>
          </cell>
          <cell r="U1623">
            <v>132</v>
          </cell>
          <cell r="V1623"/>
          <cell r="W1623" t="str">
            <v>박순홍</v>
          </cell>
          <cell r="X1623" t="str">
            <v>(인)</v>
          </cell>
          <cell r="Y1623" t="str">
            <v>박순홍</v>
          </cell>
          <cell r="Z1623" t="str">
            <v>(인)</v>
          </cell>
          <cell r="AA1623" t="str">
            <v>박기원</v>
          </cell>
          <cell r="AB1623" t="str">
            <v>(인)</v>
          </cell>
          <cell r="AC1623" t="str">
            <v>이홍걸</v>
          </cell>
          <cell r="AD1623" t="str">
            <v>(인)</v>
          </cell>
          <cell r="AE1623">
            <v>183.4</v>
          </cell>
          <cell r="AF1623" t="str">
            <v>동절기</v>
          </cell>
          <cell r="AG1623">
            <v>1</v>
          </cell>
          <cell r="AH1623">
            <v>1</v>
          </cell>
          <cell r="AI1623">
            <v>2701</v>
          </cell>
          <cell r="AJ1623">
            <v>2684</v>
          </cell>
          <cell r="AK1623">
            <v>209800</v>
          </cell>
          <cell r="AL1623">
            <v>3686</v>
          </cell>
          <cell r="AM1623">
            <v>3720</v>
          </cell>
          <cell r="AN1623">
            <v>3687</v>
          </cell>
          <cell r="AO1623">
            <v>3706</v>
          </cell>
          <cell r="AP1623">
            <v>3730</v>
          </cell>
          <cell r="AQ1623">
            <v>3629</v>
          </cell>
          <cell r="AR1623">
            <v>3728</v>
          </cell>
          <cell r="AS1623">
            <v>3698</v>
          </cell>
          <cell r="AT1623">
            <v>296600</v>
          </cell>
        </row>
        <row r="1624">
          <cell r="G1624">
            <v>2412270102</v>
          </cell>
          <cell r="H1624" t="str">
            <v>110동</v>
          </cell>
          <cell r="I1624">
            <v>241227</v>
          </cell>
          <cell r="J1624" t="str">
            <v>110동 12층 바닥</v>
          </cell>
          <cell r="K1624">
            <v>282</v>
          </cell>
          <cell r="L1624">
            <v>282</v>
          </cell>
          <cell r="M1624">
            <v>3018</v>
          </cell>
          <cell r="N1624" t="str">
            <v>용호</v>
          </cell>
          <cell r="O1624" t="str">
            <v>펌프카(1대)</v>
          </cell>
          <cell r="P1624">
            <v>815</v>
          </cell>
          <cell r="Q1624">
            <v>1330</v>
          </cell>
          <cell r="R1624">
            <v>190</v>
          </cell>
          <cell r="S1624">
            <v>48</v>
          </cell>
          <cell r="T1624">
            <v>17</v>
          </cell>
          <cell r="U1624">
            <v>142</v>
          </cell>
          <cell r="V1624"/>
          <cell r="W1624" t="str">
            <v>박순홍</v>
          </cell>
          <cell r="X1624" t="str">
            <v>(인)</v>
          </cell>
          <cell r="Y1624" t="str">
            <v>박순홍</v>
          </cell>
          <cell r="Z1624" t="str">
            <v>(인)</v>
          </cell>
          <cell r="AA1624" t="str">
            <v>박기원</v>
          </cell>
          <cell r="AB1624" t="str">
            <v>(인)</v>
          </cell>
          <cell r="AC1624" t="str">
            <v>이홍걸</v>
          </cell>
          <cell r="AD1624" t="str">
            <v>(인)</v>
          </cell>
          <cell r="AE1624">
            <v>182.4</v>
          </cell>
          <cell r="AF1624" t="str">
            <v>동절기</v>
          </cell>
          <cell r="AG1624">
            <v>2</v>
          </cell>
          <cell r="AH1624">
            <v>0</v>
          </cell>
        </row>
        <row r="1625">
          <cell r="G1625">
            <v>2412270103</v>
          </cell>
          <cell r="H1625" t="str">
            <v>110동</v>
          </cell>
          <cell r="I1625">
            <v>241227</v>
          </cell>
          <cell r="J1625" t="str">
            <v>110동 12층 바닥</v>
          </cell>
          <cell r="K1625">
            <v>282</v>
          </cell>
          <cell r="L1625">
            <v>282</v>
          </cell>
          <cell r="M1625">
            <v>3018</v>
          </cell>
          <cell r="N1625" t="str">
            <v>용호</v>
          </cell>
          <cell r="O1625" t="str">
            <v>펌프카(1대)</v>
          </cell>
          <cell r="P1625">
            <v>815</v>
          </cell>
          <cell r="Q1625">
            <v>1330</v>
          </cell>
          <cell r="R1625">
            <v>180</v>
          </cell>
          <cell r="S1625">
            <v>40</v>
          </cell>
          <cell r="T1625">
            <v>90</v>
          </cell>
          <cell r="U1625">
            <v>138</v>
          </cell>
          <cell r="V1625"/>
          <cell r="W1625" t="str">
            <v>박순홍</v>
          </cell>
          <cell r="X1625" t="str">
            <v>(인)</v>
          </cell>
          <cell r="Y1625" t="str">
            <v>박순홍</v>
          </cell>
          <cell r="Z1625" t="str">
            <v>(인)</v>
          </cell>
          <cell r="AA1625" t="str">
            <v>박기원</v>
          </cell>
          <cell r="AB1625" t="str">
            <v>(인)</v>
          </cell>
          <cell r="AC1625" t="str">
            <v>이홍걸</v>
          </cell>
          <cell r="AD1625" t="str">
            <v>(인)</v>
          </cell>
          <cell r="AE1625">
            <v>179.6</v>
          </cell>
          <cell r="AF1625" t="str">
            <v>동절기</v>
          </cell>
          <cell r="AG1625">
            <v>3</v>
          </cell>
          <cell r="AH1625">
            <v>0</v>
          </cell>
        </row>
        <row r="1626">
          <cell r="G1626">
            <v>2412270201</v>
          </cell>
          <cell r="H1626" t="str">
            <v>114동</v>
          </cell>
          <cell r="I1626">
            <v>241227</v>
          </cell>
          <cell r="J1626" t="str">
            <v>114동 10층 바닥</v>
          </cell>
          <cell r="K1626">
            <v>282</v>
          </cell>
          <cell r="L1626">
            <v>282</v>
          </cell>
          <cell r="M1626">
            <v>3018</v>
          </cell>
          <cell r="N1626" t="str">
            <v>대원</v>
          </cell>
          <cell r="O1626" t="str">
            <v>펌프카(1대)</v>
          </cell>
          <cell r="P1626">
            <v>823</v>
          </cell>
          <cell r="Q1626">
            <v>1217</v>
          </cell>
          <cell r="R1626">
            <v>200</v>
          </cell>
          <cell r="S1626">
            <v>48</v>
          </cell>
          <cell r="T1626">
            <v>17</v>
          </cell>
          <cell r="U1626">
            <v>132</v>
          </cell>
          <cell r="V1626"/>
          <cell r="W1626" t="str">
            <v>박순홍</v>
          </cell>
          <cell r="X1626" t="str">
            <v>(인)</v>
          </cell>
          <cell r="Y1626" t="str">
            <v>박순홍</v>
          </cell>
          <cell r="Z1626" t="str">
            <v>(인)</v>
          </cell>
          <cell r="AA1626" t="str">
            <v>박기원</v>
          </cell>
          <cell r="AB1626" t="str">
            <v>(인)</v>
          </cell>
          <cell r="AC1626" t="str">
            <v>이홍걸</v>
          </cell>
          <cell r="AD1626" t="str">
            <v>(인)</v>
          </cell>
          <cell r="AE1626">
            <v>180.7</v>
          </cell>
          <cell r="AF1626" t="str">
            <v>동절기</v>
          </cell>
          <cell r="AG1626">
            <v>1</v>
          </cell>
          <cell r="AH1626">
            <v>1</v>
          </cell>
          <cell r="AI1626">
            <v>2711</v>
          </cell>
          <cell r="AJ1626">
            <v>2702</v>
          </cell>
          <cell r="AK1626">
            <v>214800</v>
          </cell>
          <cell r="AL1626">
            <v>3690</v>
          </cell>
          <cell r="AM1626">
            <v>3720</v>
          </cell>
          <cell r="AN1626">
            <v>3814</v>
          </cell>
          <cell r="AO1626">
            <v>3806</v>
          </cell>
          <cell r="AP1626">
            <v>3707</v>
          </cell>
          <cell r="AQ1626">
            <v>3686</v>
          </cell>
          <cell r="AR1626">
            <v>3608</v>
          </cell>
          <cell r="AS1626">
            <v>3692</v>
          </cell>
          <cell r="AT1626">
            <v>297000</v>
          </cell>
        </row>
        <row r="1627">
          <cell r="G1627">
            <v>2412270202</v>
          </cell>
          <cell r="H1627" t="str">
            <v>114동</v>
          </cell>
          <cell r="I1627">
            <v>241227</v>
          </cell>
          <cell r="J1627" t="str">
            <v>114동 10층 바닥</v>
          </cell>
          <cell r="K1627">
            <v>282</v>
          </cell>
          <cell r="L1627">
            <v>282</v>
          </cell>
          <cell r="M1627">
            <v>3018</v>
          </cell>
          <cell r="N1627" t="str">
            <v>대원</v>
          </cell>
          <cell r="O1627" t="str">
            <v>펌프카(1대)</v>
          </cell>
          <cell r="P1627">
            <v>823</v>
          </cell>
          <cell r="Q1627">
            <v>1217</v>
          </cell>
          <cell r="R1627">
            <v>200</v>
          </cell>
          <cell r="S1627">
            <v>44</v>
          </cell>
          <cell r="T1627">
            <v>22</v>
          </cell>
          <cell r="U1627">
            <v>138</v>
          </cell>
          <cell r="V1627"/>
          <cell r="W1627" t="str">
            <v>박순홍</v>
          </cell>
          <cell r="X1627" t="str">
            <v>(인)</v>
          </cell>
          <cell r="Y1627" t="str">
            <v>박순홍</v>
          </cell>
          <cell r="Z1627" t="str">
            <v>(인)</v>
          </cell>
          <cell r="AA1627" t="str">
            <v>박기원</v>
          </cell>
          <cell r="AB1627" t="str">
            <v>(인)</v>
          </cell>
          <cell r="AC1627" t="str">
            <v>이홍걸</v>
          </cell>
          <cell r="AD1627" t="str">
            <v>(인)</v>
          </cell>
          <cell r="AE1627">
            <v>181.3</v>
          </cell>
          <cell r="AF1627" t="str">
            <v>동절기</v>
          </cell>
          <cell r="AG1627">
            <v>2</v>
          </cell>
          <cell r="AH1627">
            <v>0</v>
          </cell>
        </row>
        <row r="1628">
          <cell r="G1628">
            <v>2412270203</v>
          </cell>
          <cell r="H1628" t="str">
            <v>114동</v>
          </cell>
          <cell r="I1628">
            <v>241227</v>
          </cell>
          <cell r="J1628" t="str">
            <v>114동 10층 바닥</v>
          </cell>
          <cell r="K1628">
            <v>282</v>
          </cell>
          <cell r="L1628">
            <v>282</v>
          </cell>
          <cell r="M1628">
            <v>3018</v>
          </cell>
          <cell r="N1628" t="str">
            <v>대원</v>
          </cell>
          <cell r="O1628" t="str">
            <v>펌프카(1대)</v>
          </cell>
          <cell r="P1628">
            <v>823</v>
          </cell>
          <cell r="Q1628">
            <v>1217</v>
          </cell>
          <cell r="R1628">
            <v>175</v>
          </cell>
          <cell r="S1628">
            <v>38</v>
          </cell>
          <cell r="T1628">
            <v>47</v>
          </cell>
          <cell r="U1628">
            <v>129</v>
          </cell>
          <cell r="V1628"/>
          <cell r="W1628" t="str">
            <v>박순홍</v>
          </cell>
          <cell r="X1628" t="str">
            <v>(인)</v>
          </cell>
          <cell r="Y1628" t="str">
            <v>박순홍</v>
          </cell>
          <cell r="Z1628" t="str">
            <v>(인)</v>
          </cell>
          <cell r="AA1628" t="str">
            <v>박기원</v>
          </cell>
          <cell r="AB1628" t="str">
            <v>(인)</v>
          </cell>
          <cell r="AC1628" t="str">
            <v>이홍걸</v>
          </cell>
          <cell r="AD1628" t="str">
            <v>(인)</v>
          </cell>
          <cell r="AE1628">
            <v>178.2</v>
          </cell>
          <cell r="AF1628" t="str">
            <v>동절기</v>
          </cell>
          <cell r="AG1628">
            <v>3</v>
          </cell>
          <cell r="AH1628">
            <v>0</v>
          </cell>
        </row>
        <row r="1629">
          <cell r="G1629">
            <v>2412270301</v>
          </cell>
          <cell r="H1629" t="str">
            <v>118동</v>
          </cell>
          <cell r="I1629">
            <v>241227</v>
          </cell>
          <cell r="J1629" t="str">
            <v>118동 3층 바닥</v>
          </cell>
          <cell r="K1629">
            <v>294</v>
          </cell>
          <cell r="L1629">
            <v>294</v>
          </cell>
          <cell r="M1629">
            <v>3018</v>
          </cell>
          <cell r="N1629" t="str">
            <v>영진</v>
          </cell>
          <cell r="O1629" t="str">
            <v>펌프카(1대)</v>
          </cell>
          <cell r="P1629">
            <v>900</v>
          </cell>
          <cell r="Q1629">
            <v>1240</v>
          </cell>
          <cell r="R1629">
            <v>180</v>
          </cell>
          <cell r="S1629">
            <v>54</v>
          </cell>
          <cell r="T1629">
            <v>17</v>
          </cell>
          <cell r="U1629">
            <v>144</v>
          </cell>
          <cell r="V1629"/>
          <cell r="W1629" t="str">
            <v>박순홍</v>
          </cell>
          <cell r="X1629" t="str">
            <v>(인)</v>
          </cell>
          <cell r="Y1629" t="str">
            <v>박순홍</v>
          </cell>
          <cell r="Z1629" t="str">
            <v>(인)</v>
          </cell>
          <cell r="AA1629" t="str">
            <v>박기원</v>
          </cell>
          <cell r="AB1629" t="str">
            <v>(인)</v>
          </cell>
          <cell r="AC1629" t="str">
            <v>이홍걸</v>
          </cell>
          <cell r="AD1629" t="str">
            <v>(인)</v>
          </cell>
          <cell r="AE1629">
            <v>180.6</v>
          </cell>
          <cell r="AF1629" t="str">
            <v>동절기</v>
          </cell>
          <cell r="AG1629">
            <v>1</v>
          </cell>
          <cell r="AH1629">
            <v>1</v>
          </cell>
          <cell r="AI1629">
            <v>2788</v>
          </cell>
          <cell r="AJ1629">
            <v>2690</v>
          </cell>
          <cell r="AK1629">
            <v>206200</v>
          </cell>
          <cell r="AL1629">
            <v>3590</v>
          </cell>
          <cell r="AM1629">
            <v>3620</v>
          </cell>
          <cell r="AN1629">
            <v>3681</v>
          </cell>
          <cell r="AO1629">
            <v>3698</v>
          </cell>
          <cell r="AP1629">
            <v>3672</v>
          </cell>
          <cell r="AQ1629">
            <v>3801</v>
          </cell>
          <cell r="AR1629">
            <v>3620</v>
          </cell>
          <cell r="AS1629">
            <v>3672</v>
          </cell>
          <cell r="AT1629">
            <v>285600</v>
          </cell>
        </row>
        <row r="1630">
          <cell r="G1630">
            <v>2412270302</v>
          </cell>
          <cell r="H1630" t="str">
            <v>118동</v>
          </cell>
          <cell r="I1630">
            <v>241227</v>
          </cell>
          <cell r="J1630" t="str">
            <v>118동 3층 바닥</v>
          </cell>
          <cell r="K1630">
            <v>294</v>
          </cell>
          <cell r="L1630">
            <v>294</v>
          </cell>
          <cell r="M1630">
            <v>3018</v>
          </cell>
          <cell r="N1630" t="str">
            <v>영진</v>
          </cell>
          <cell r="O1630" t="str">
            <v>펌프카(1대)</v>
          </cell>
          <cell r="P1630">
            <v>900</v>
          </cell>
          <cell r="Q1630">
            <v>1240</v>
          </cell>
          <cell r="R1630">
            <v>175</v>
          </cell>
          <cell r="S1630">
            <v>52</v>
          </cell>
          <cell r="T1630">
            <v>30</v>
          </cell>
          <cell r="U1630">
            <v>138</v>
          </cell>
          <cell r="V1630"/>
          <cell r="W1630" t="str">
            <v>박순홍</v>
          </cell>
          <cell r="X1630" t="str">
            <v>(인)</v>
          </cell>
          <cell r="Y1630" t="str">
            <v>박순홍</v>
          </cell>
          <cell r="Z1630" t="str">
            <v>(인)</v>
          </cell>
          <cell r="AA1630" t="str">
            <v>박기원</v>
          </cell>
          <cell r="AB1630" t="str">
            <v>(인)</v>
          </cell>
          <cell r="AC1630" t="str">
            <v>이홍걸</v>
          </cell>
          <cell r="AD1630" t="str">
            <v>(인)</v>
          </cell>
          <cell r="AE1630">
            <v>177.2</v>
          </cell>
          <cell r="AF1630" t="str">
            <v>동절기</v>
          </cell>
          <cell r="AG1630">
            <v>2</v>
          </cell>
          <cell r="AH1630">
            <v>0</v>
          </cell>
        </row>
        <row r="1631">
          <cell r="G1631">
            <v>2412270303</v>
          </cell>
          <cell r="H1631" t="str">
            <v>118동</v>
          </cell>
          <cell r="I1631">
            <v>241227</v>
          </cell>
          <cell r="J1631" t="str">
            <v>118동 3층 바닥</v>
          </cell>
          <cell r="K1631">
            <v>294</v>
          </cell>
          <cell r="L1631">
            <v>294</v>
          </cell>
          <cell r="M1631">
            <v>3018</v>
          </cell>
          <cell r="N1631" t="str">
            <v>영진</v>
          </cell>
          <cell r="O1631" t="str">
            <v>펌프카(1대)</v>
          </cell>
          <cell r="P1631">
            <v>900</v>
          </cell>
          <cell r="Q1631">
            <v>1240</v>
          </cell>
          <cell r="R1631">
            <v>195</v>
          </cell>
          <cell r="S1631">
            <v>49</v>
          </cell>
          <cell r="T1631">
            <v>30</v>
          </cell>
          <cell r="U1631">
            <v>147</v>
          </cell>
          <cell r="V1631"/>
          <cell r="W1631" t="str">
            <v>박순홍</v>
          </cell>
          <cell r="X1631" t="str">
            <v>(인)</v>
          </cell>
          <cell r="Y1631" t="str">
            <v>박순홍</v>
          </cell>
          <cell r="Z1631" t="str">
            <v>(인)</v>
          </cell>
          <cell r="AA1631" t="str">
            <v>박기원</v>
          </cell>
          <cell r="AB1631" t="str">
            <v>(인)</v>
          </cell>
          <cell r="AC1631" t="str">
            <v>이홍걸</v>
          </cell>
          <cell r="AD1631" t="str">
            <v>(인)</v>
          </cell>
          <cell r="AE1631">
            <v>179</v>
          </cell>
          <cell r="AF1631" t="str">
            <v>동절기</v>
          </cell>
          <cell r="AG1631">
            <v>3</v>
          </cell>
          <cell r="AH1631">
            <v>0</v>
          </cell>
        </row>
        <row r="1632">
          <cell r="G1632">
            <v>2412300101</v>
          </cell>
          <cell r="H1632" t="str">
            <v>107동</v>
          </cell>
          <cell r="I1632">
            <v>241230</v>
          </cell>
          <cell r="J1632" t="str">
            <v>107동 18층 바닥</v>
          </cell>
          <cell r="K1632">
            <v>170</v>
          </cell>
          <cell r="L1632">
            <v>168</v>
          </cell>
          <cell r="M1632">
            <v>3018</v>
          </cell>
          <cell r="N1632" t="str">
            <v>용호</v>
          </cell>
          <cell r="O1632" t="str">
            <v>펌프카(1대)</v>
          </cell>
          <cell r="P1632">
            <v>910</v>
          </cell>
          <cell r="Q1632">
            <v>1250</v>
          </cell>
          <cell r="R1632">
            <v>195</v>
          </cell>
          <cell r="S1632">
            <v>44</v>
          </cell>
          <cell r="T1632">
            <v>74</v>
          </cell>
          <cell r="U1632">
            <v>154</v>
          </cell>
          <cell r="V1632"/>
          <cell r="W1632" t="str">
            <v>김광록</v>
          </cell>
          <cell r="X1632" t="str">
            <v>(인)</v>
          </cell>
          <cell r="Y1632" t="str">
            <v>박순홍</v>
          </cell>
          <cell r="Z1632" t="str">
            <v>(인)</v>
          </cell>
          <cell r="AA1632" t="str">
            <v>박상갑</v>
          </cell>
          <cell r="AB1632" t="str">
            <v>(인)</v>
          </cell>
          <cell r="AC1632" t="str">
            <v>이홍걸</v>
          </cell>
          <cell r="AD1632" t="str">
            <v>(인)</v>
          </cell>
          <cell r="AE1632">
            <v>183.7</v>
          </cell>
          <cell r="AF1632" t="str">
            <v>동절기</v>
          </cell>
          <cell r="AG1632">
            <v>1</v>
          </cell>
          <cell r="AH1632">
            <v>1</v>
          </cell>
          <cell r="AI1632">
            <v>2745</v>
          </cell>
          <cell r="AJ1632">
            <v>2708</v>
          </cell>
          <cell r="AK1632">
            <v>209000</v>
          </cell>
          <cell r="AL1632">
            <v>3602</v>
          </cell>
          <cell r="AM1632">
            <v>3672</v>
          </cell>
          <cell r="AN1632">
            <v>3514</v>
          </cell>
          <cell r="AO1632">
            <v>3622</v>
          </cell>
          <cell r="AP1632">
            <v>3489</v>
          </cell>
          <cell r="AQ1632">
            <v>3472</v>
          </cell>
          <cell r="AR1632">
            <v>3604</v>
          </cell>
          <cell r="AS1632">
            <v>3582</v>
          </cell>
          <cell r="AT1632">
            <v>285600</v>
          </cell>
        </row>
        <row r="1633">
          <cell r="G1633">
            <v>2412300102</v>
          </cell>
          <cell r="H1633" t="str">
            <v>107동</v>
          </cell>
          <cell r="I1633">
            <v>241230</v>
          </cell>
          <cell r="J1633" t="str">
            <v>107동 18층 바닥</v>
          </cell>
          <cell r="K1633">
            <v>170</v>
          </cell>
          <cell r="L1633">
            <v>168</v>
          </cell>
          <cell r="M1633">
            <v>3018</v>
          </cell>
          <cell r="N1633" t="str">
            <v>용호</v>
          </cell>
          <cell r="O1633" t="str">
            <v>펌프카(1대)</v>
          </cell>
          <cell r="P1633">
            <v>910</v>
          </cell>
          <cell r="Q1633">
            <v>1250</v>
          </cell>
          <cell r="R1633">
            <v>185</v>
          </cell>
          <cell r="S1633">
            <v>51</v>
          </cell>
          <cell r="T1633">
            <v>80</v>
          </cell>
          <cell r="U1633">
            <v>148</v>
          </cell>
          <cell r="V1633"/>
          <cell r="W1633" t="str">
            <v>김광록</v>
          </cell>
          <cell r="X1633" t="str">
            <v>(인)</v>
          </cell>
          <cell r="Y1633" t="str">
            <v>박순홍</v>
          </cell>
          <cell r="Z1633" t="str">
            <v>(인)</v>
          </cell>
          <cell r="AA1633" t="str">
            <v>박상갑</v>
          </cell>
          <cell r="AB1633" t="str">
            <v>(인)</v>
          </cell>
          <cell r="AC1633" t="str">
            <v>이홍걸</v>
          </cell>
          <cell r="AD1633" t="str">
            <v>(인)</v>
          </cell>
          <cell r="AE1633">
            <v>189.5</v>
          </cell>
          <cell r="AF1633" t="str">
            <v>동절기</v>
          </cell>
          <cell r="AG1633">
            <v>2</v>
          </cell>
          <cell r="AH1633">
            <v>0</v>
          </cell>
        </row>
        <row r="1634">
          <cell r="G1634">
            <v>2412300201</v>
          </cell>
          <cell r="H1634" t="str">
            <v>116동</v>
          </cell>
          <cell r="I1634">
            <v>241230</v>
          </cell>
          <cell r="J1634" t="str">
            <v>116동 5층 바닥</v>
          </cell>
          <cell r="K1634">
            <v>280</v>
          </cell>
          <cell r="L1634">
            <v>282</v>
          </cell>
          <cell r="M1634">
            <v>3018</v>
          </cell>
          <cell r="N1634" t="str">
            <v>용호</v>
          </cell>
          <cell r="O1634" t="str">
            <v>펌프카(1대)</v>
          </cell>
          <cell r="P1634">
            <v>1205</v>
          </cell>
          <cell r="Q1634">
            <v>1543</v>
          </cell>
          <cell r="R1634">
            <v>190</v>
          </cell>
          <cell r="S1634">
            <v>42</v>
          </cell>
          <cell r="T1634">
            <v>45</v>
          </cell>
          <cell r="U1634">
            <v>137</v>
          </cell>
          <cell r="V1634"/>
          <cell r="W1634" t="str">
            <v>박순홍</v>
          </cell>
          <cell r="X1634" t="str">
            <v>(인)</v>
          </cell>
          <cell r="Y1634" t="str">
            <v>박순홍</v>
          </cell>
          <cell r="Z1634" t="str">
            <v>(인)</v>
          </cell>
          <cell r="AA1634" t="str">
            <v>박상갑</v>
          </cell>
          <cell r="AB1634" t="str">
            <v>(인)</v>
          </cell>
          <cell r="AC1634" t="str">
            <v>이홍걸</v>
          </cell>
          <cell r="AD1634" t="str">
            <v>(인)</v>
          </cell>
          <cell r="AE1634">
            <v>186.1</v>
          </cell>
          <cell r="AF1634" t="str">
            <v>동절기</v>
          </cell>
          <cell r="AG1634">
            <v>1</v>
          </cell>
          <cell r="AH1634">
            <v>1</v>
          </cell>
          <cell r="AI1634">
            <v>2717</v>
          </cell>
          <cell r="AJ1634">
            <v>2687</v>
          </cell>
          <cell r="AK1634">
            <v>209400</v>
          </cell>
          <cell r="AL1634">
            <v>3502</v>
          </cell>
          <cell r="AM1634">
            <v>3514</v>
          </cell>
          <cell r="AN1634">
            <v>3490</v>
          </cell>
          <cell r="AO1634">
            <v>3486</v>
          </cell>
          <cell r="AP1634">
            <v>3496</v>
          </cell>
          <cell r="AQ1634">
            <v>3572</v>
          </cell>
          <cell r="AR1634">
            <v>3604</v>
          </cell>
          <cell r="AS1634">
            <v>3510</v>
          </cell>
          <cell r="AT1634">
            <v>287400</v>
          </cell>
        </row>
        <row r="1635">
          <cell r="G1635">
            <v>2412300202</v>
          </cell>
          <cell r="H1635" t="str">
            <v>116동</v>
          </cell>
          <cell r="I1635">
            <v>241230</v>
          </cell>
          <cell r="J1635" t="str">
            <v>116동 5층 바닥</v>
          </cell>
          <cell r="K1635">
            <v>280</v>
          </cell>
          <cell r="L1635">
            <v>282</v>
          </cell>
          <cell r="M1635">
            <v>3018</v>
          </cell>
          <cell r="N1635" t="str">
            <v>용호</v>
          </cell>
          <cell r="O1635" t="str">
            <v>펌프카(1대)</v>
          </cell>
          <cell r="P1635">
            <v>1205</v>
          </cell>
          <cell r="Q1635">
            <v>1543</v>
          </cell>
          <cell r="R1635">
            <v>190</v>
          </cell>
          <cell r="S1635">
            <v>46</v>
          </cell>
          <cell r="T1635">
            <v>38</v>
          </cell>
          <cell r="U1635">
            <v>132</v>
          </cell>
          <cell r="V1635"/>
          <cell r="W1635" t="str">
            <v>박순홍</v>
          </cell>
          <cell r="X1635" t="str">
            <v>(인)</v>
          </cell>
          <cell r="Y1635" t="str">
            <v>박순홍</v>
          </cell>
          <cell r="Z1635" t="str">
            <v>(인)</v>
          </cell>
          <cell r="AA1635" t="str">
            <v>박상갑</v>
          </cell>
          <cell r="AB1635" t="str">
            <v>(인)</v>
          </cell>
          <cell r="AC1635" t="str">
            <v>이홍걸</v>
          </cell>
          <cell r="AD1635" t="str">
            <v>(인)</v>
          </cell>
          <cell r="AE1635">
            <v>184</v>
          </cell>
          <cell r="AF1635" t="str">
            <v>동절기</v>
          </cell>
          <cell r="AG1635">
            <v>2</v>
          </cell>
          <cell r="AH1635">
            <v>0</v>
          </cell>
        </row>
        <row r="1636">
          <cell r="G1636">
            <v>2412300203</v>
          </cell>
          <cell r="H1636" t="str">
            <v>116동</v>
          </cell>
          <cell r="I1636">
            <v>241230</v>
          </cell>
          <cell r="J1636" t="str">
            <v>116동 5층 바닥</v>
          </cell>
          <cell r="K1636">
            <v>280</v>
          </cell>
          <cell r="L1636">
            <v>282</v>
          </cell>
          <cell r="M1636">
            <v>3018</v>
          </cell>
          <cell r="N1636" t="str">
            <v>용호</v>
          </cell>
          <cell r="O1636" t="str">
            <v>펌프카(1대)</v>
          </cell>
          <cell r="P1636">
            <v>1205</v>
          </cell>
          <cell r="Q1636">
            <v>1543</v>
          </cell>
          <cell r="R1636">
            <v>185</v>
          </cell>
          <cell r="S1636">
            <v>40</v>
          </cell>
          <cell r="T1636">
            <v>39</v>
          </cell>
          <cell r="U1636">
            <v>128</v>
          </cell>
          <cell r="V1636"/>
          <cell r="W1636" t="str">
            <v>박순홍</v>
          </cell>
          <cell r="X1636" t="str">
            <v>(인)</v>
          </cell>
          <cell r="Y1636" t="str">
            <v>박순홍</v>
          </cell>
          <cell r="Z1636" t="str">
            <v>(인)</v>
          </cell>
          <cell r="AA1636" t="str">
            <v>박상갑</v>
          </cell>
          <cell r="AB1636" t="str">
            <v>(인)</v>
          </cell>
          <cell r="AC1636" t="str">
            <v>이홍걸</v>
          </cell>
          <cell r="AD1636" t="str">
            <v>(인)</v>
          </cell>
          <cell r="AE1636">
            <v>178</v>
          </cell>
          <cell r="AF1636" t="str">
            <v>동절기</v>
          </cell>
          <cell r="AG1636">
            <v>3</v>
          </cell>
          <cell r="AH1636">
            <v>0</v>
          </cell>
        </row>
        <row r="1637">
          <cell r="G1637">
            <v>2412300301</v>
          </cell>
          <cell r="H1637" t="str">
            <v>117동</v>
          </cell>
          <cell r="I1637">
            <v>241230</v>
          </cell>
          <cell r="J1637" t="str">
            <v>117동 휀룸</v>
          </cell>
          <cell r="K1637">
            <v>12</v>
          </cell>
          <cell r="L1637">
            <v>12</v>
          </cell>
          <cell r="M1637">
            <v>2715</v>
          </cell>
          <cell r="N1637" t="str">
            <v>용호</v>
          </cell>
          <cell r="O1637" t="str">
            <v>펌프카(1대)</v>
          </cell>
          <cell r="P1637">
            <v>1124</v>
          </cell>
          <cell r="Q1637">
            <v>1200</v>
          </cell>
          <cell r="R1637">
            <v>155</v>
          </cell>
          <cell r="S1637">
            <v>44</v>
          </cell>
          <cell r="T1637">
            <v>49</v>
          </cell>
          <cell r="U1637">
            <v>134</v>
          </cell>
          <cell r="V1637"/>
          <cell r="W1637" t="str">
            <v>박순홍</v>
          </cell>
          <cell r="X1637" t="str">
            <v>(인)</v>
          </cell>
          <cell r="Y1637" t="str">
            <v>박순홍</v>
          </cell>
          <cell r="Z1637" t="str">
            <v>(인)</v>
          </cell>
          <cell r="AA1637" t="str">
            <v>박상갑</v>
          </cell>
          <cell r="AB1637" t="str">
            <v>(인)</v>
          </cell>
          <cell r="AC1637" t="str">
            <v>이홍걸</v>
          </cell>
          <cell r="AD1637" t="str">
            <v>(인)</v>
          </cell>
          <cell r="AE1637">
            <v>180.7</v>
          </cell>
          <cell r="AF1637" t="str">
            <v>동절기</v>
          </cell>
          <cell r="AG1637">
            <v>1</v>
          </cell>
          <cell r="AH1637">
            <v>1</v>
          </cell>
          <cell r="AI1637">
            <v>2386</v>
          </cell>
          <cell r="AJ1637">
            <v>2402</v>
          </cell>
          <cell r="AK1637">
            <v>188200</v>
          </cell>
          <cell r="AL1637">
            <v>3120</v>
          </cell>
          <cell r="AM1637">
            <v>3064</v>
          </cell>
          <cell r="AN1637">
            <v>3114</v>
          </cell>
          <cell r="AO1637">
            <v>2992</v>
          </cell>
          <cell r="AP1637">
            <v>3064</v>
          </cell>
          <cell r="AQ1637">
            <v>3082</v>
          </cell>
          <cell r="AR1637">
            <v>3164</v>
          </cell>
          <cell r="AS1637">
            <v>3207</v>
          </cell>
          <cell r="AT1637">
            <v>236200</v>
          </cell>
        </row>
        <row r="1638">
          <cell r="G1638">
            <v>2501020101</v>
          </cell>
          <cell r="H1638" t="str">
            <v>109동</v>
          </cell>
          <cell r="I1638">
            <v>250102</v>
          </cell>
          <cell r="J1638" t="str">
            <v>109동 13층 바닥</v>
          </cell>
          <cell r="K1638">
            <v>279</v>
          </cell>
          <cell r="L1638">
            <v>279</v>
          </cell>
          <cell r="M1638">
            <v>3018</v>
          </cell>
          <cell r="N1638" t="str">
            <v>영진</v>
          </cell>
          <cell r="O1638" t="str">
            <v>펌프카(1대)</v>
          </cell>
          <cell r="P1638">
            <v>1248</v>
          </cell>
          <cell r="Q1638">
            <v>1645</v>
          </cell>
          <cell r="R1638">
            <v>180</v>
          </cell>
          <cell r="S1638">
            <v>37</v>
          </cell>
          <cell r="T1638">
            <v>55</v>
          </cell>
          <cell r="U1638">
            <v>164</v>
          </cell>
          <cell r="V1638"/>
          <cell r="W1638" t="str">
            <v>박순홍</v>
          </cell>
          <cell r="X1638" t="str">
            <v>(인)</v>
          </cell>
          <cell r="Y1638" t="str">
            <v>박순홍</v>
          </cell>
          <cell r="Z1638" t="str">
            <v>(인)</v>
          </cell>
          <cell r="AA1638" t="str">
            <v>박상갑</v>
          </cell>
          <cell r="AB1638" t="str">
            <v>(인)</v>
          </cell>
          <cell r="AC1638" t="str">
            <v>이홍걸</v>
          </cell>
          <cell r="AD1638" t="str">
            <v>(인)</v>
          </cell>
          <cell r="AE1638">
            <v>181.8</v>
          </cell>
          <cell r="AF1638" t="str">
            <v>동절기</v>
          </cell>
          <cell r="AG1638">
            <v>1</v>
          </cell>
          <cell r="AH1638">
            <v>1</v>
          </cell>
          <cell r="AI1638">
            <v>2676</v>
          </cell>
          <cell r="AJ1638">
            <v>2602</v>
          </cell>
          <cell r="AK1638">
            <v>203600</v>
          </cell>
          <cell r="AL1638">
            <v>3527</v>
          </cell>
          <cell r="AM1638">
            <v>3627</v>
          </cell>
          <cell r="AN1638">
            <v>3517</v>
          </cell>
          <cell r="AO1638">
            <v>3612</v>
          </cell>
          <cell r="AP1638">
            <v>3630</v>
          </cell>
          <cell r="AQ1638">
            <v>3587</v>
          </cell>
          <cell r="AR1638">
            <v>3604</v>
          </cell>
          <cell r="AS1638">
            <v>3572</v>
          </cell>
          <cell r="AT1638">
            <v>288900</v>
          </cell>
        </row>
        <row r="1639">
          <cell r="G1639">
            <v>2501020102</v>
          </cell>
          <cell r="H1639" t="str">
            <v>109동</v>
          </cell>
          <cell r="I1639">
            <v>250102</v>
          </cell>
          <cell r="J1639" t="str">
            <v>109동 13층 바닥</v>
          </cell>
          <cell r="K1639">
            <v>279</v>
          </cell>
          <cell r="L1639">
            <v>279</v>
          </cell>
          <cell r="M1639">
            <v>3018</v>
          </cell>
          <cell r="N1639" t="str">
            <v>영진</v>
          </cell>
          <cell r="O1639" t="str">
            <v>펌프카(1대)</v>
          </cell>
          <cell r="P1639">
            <v>1248</v>
          </cell>
          <cell r="Q1639">
            <v>1645</v>
          </cell>
          <cell r="R1639">
            <v>190</v>
          </cell>
          <cell r="S1639">
            <v>49</v>
          </cell>
          <cell r="T1639">
            <v>39</v>
          </cell>
          <cell r="U1639">
            <v>176</v>
          </cell>
          <cell r="V1639"/>
          <cell r="W1639" t="str">
            <v>박순홍</v>
          </cell>
          <cell r="X1639" t="str">
            <v>(인)</v>
          </cell>
          <cell r="Y1639" t="str">
            <v>박순홍</v>
          </cell>
          <cell r="Z1639" t="str">
            <v>(인)</v>
          </cell>
          <cell r="AA1639" t="str">
            <v>박상갑</v>
          </cell>
          <cell r="AB1639" t="str">
            <v>(인)</v>
          </cell>
          <cell r="AC1639" t="str">
            <v>이홍걸</v>
          </cell>
          <cell r="AD1639" t="str">
            <v>(인)</v>
          </cell>
          <cell r="AE1639">
            <v>176.9</v>
          </cell>
          <cell r="AF1639" t="str">
            <v>동절기</v>
          </cell>
          <cell r="AG1639">
            <v>2</v>
          </cell>
          <cell r="AH1639">
            <v>0</v>
          </cell>
        </row>
        <row r="1640">
          <cell r="G1640">
            <v>2501020103</v>
          </cell>
          <cell r="H1640" t="str">
            <v>109동</v>
          </cell>
          <cell r="I1640">
            <v>250102</v>
          </cell>
          <cell r="J1640" t="str">
            <v>109동 13층 바닥</v>
          </cell>
          <cell r="K1640">
            <v>279</v>
          </cell>
          <cell r="L1640">
            <v>279</v>
          </cell>
          <cell r="M1640">
            <v>3018</v>
          </cell>
          <cell r="N1640" t="str">
            <v>영진</v>
          </cell>
          <cell r="O1640" t="str">
            <v>펌프카(1대)</v>
          </cell>
          <cell r="P1640">
            <v>1248</v>
          </cell>
          <cell r="Q1640">
            <v>1645</v>
          </cell>
          <cell r="R1640">
            <v>180</v>
          </cell>
          <cell r="S1640">
            <v>45</v>
          </cell>
          <cell r="T1640">
            <v>76</v>
          </cell>
          <cell r="U1640">
            <v>172</v>
          </cell>
          <cell r="V1640"/>
          <cell r="W1640" t="str">
            <v>박순홍</v>
          </cell>
          <cell r="X1640" t="str">
            <v>(인)</v>
          </cell>
          <cell r="Y1640" t="str">
            <v>박순홍</v>
          </cell>
          <cell r="Z1640" t="str">
            <v>(인)</v>
          </cell>
          <cell r="AA1640" t="str">
            <v>박상갑</v>
          </cell>
          <cell r="AB1640" t="str">
            <v>(인)</v>
          </cell>
          <cell r="AC1640" t="str">
            <v>이홍걸</v>
          </cell>
          <cell r="AD1640" t="str">
            <v>(인)</v>
          </cell>
          <cell r="AE1640">
            <v>179.9</v>
          </cell>
          <cell r="AF1640" t="str">
            <v>동절기</v>
          </cell>
          <cell r="AG1640">
            <v>3</v>
          </cell>
          <cell r="AH1640">
            <v>0</v>
          </cell>
        </row>
        <row r="1641">
          <cell r="G1641">
            <v>2501020201</v>
          </cell>
          <cell r="H1641" t="str">
            <v>111동</v>
          </cell>
          <cell r="I1641">
            <v>250102</v>
          </cell>
          <cell r="J1641" t="str">
            <v>111동 13층 바닥</v>
          </cell>
          <cell r="K1641">
            <v>292</v>
          </cell>
          <cell r="L1641">
            <v>292</v>
          </cell>
          <cell r="M1641">
            <v>3018</v>
          </cell>
          <cell r="N1641" t="str">
            <v>영진</v>
          </cell>
          <cell r="O1641" t="str">
            <v>펌프카(1대)</v>
          </cell>
          <cell r="P1641">
            <v>835</v>
          </cell>
          <cell r="Q1641">
            <v>1254</v>
          </cell>
          <cell r="R1641">
            <v>170</v>
          </cell>
          <cell r="S1641">
            <v>40</v>
          </cell>
          <cell r="T1641">
            <v>28</v>
          </cell>
          <cell r="U1641">
            <v>126</v>
          </cell>
          <cell r="V1641"/>
          <cell r="W1641" t="str">
            <v>김광록</v>
          </cell>
          <cell r="X1641" t="str">
            <v>(인)</v>
          </cell>
          <cell r="Y1641" t="str">
            <v>박순홍</v>
          </cell>
          <cell r="Z1641" t="str">
            <v>(인)</v>
          </cell>
          <cell r="AA1641" t="str">
            <v>박상갑</v>
          </cell>
          <cell r="AB1641" t="str">
            <v>(인)</v>
          </cell>
          <cell r="AC1641" t="str">
            <v>이홍걸</v>
          </cell>
          <cell r="AD1641" t="str">
            <v>(인)</v>
          </cell>
          <cell r="AE1641">
            <v>183</v>
          </cell>
          <cell r="AF1641" t="str">
            <v>동절기</v>
          </cell>
          <cell r="AG1641">
            <v>1</v>
          </cell>
          <cell r="AH1641">
            <v>1</v>
          </cell>
          <cell r="AI1641">
            <v>2566</v>
          </cell>
          <cell r="AJ1641">
            <v>2612</v>
          </cell>
          <cell r="AK1641">
            <v>203800</v>
          </cell>
          <cell r="AL1641">
            <v>3396</v>
          </cell>
          <cell r="AM1641">
            <v>3404</v>
          </cell>
          <cell r="AN1641">
            <v>3516</v>
          </cell>
          <cell r="AO1641">
            <v>3530</v>
          </cell>
          <cell r="AP1641">
            <v>3413</v>
          </cell>
          <cell r="AQ1641">
            <v>3604</v>
          </cell>
          <cell r="AR1641">
            <v>3404</v>
          </cell>
          <cell r="AS1641">
            <v>3304</v>
          </cell>
          <cell r="AT1641">
            <v>285400</v>
          </cell>
        </row>
        <row r="1642">
          <cell r="G1642">
            <v>2501020202</v>
          </cell>
          <cell r="H1642" t="str">
            <v>111동</v>
          </cell>
          <cell r="I1642">
            <v>250102</v>
          </cell>
          <cell r="J1642" t="str">
            <v>111동 13층 바닥</v>
          </cell>
          <cell r="K1642">
            <v>292</v>
          </cell>
          <cell r="L1642">
            <v>292</v>
          </cell>
          <cell r="M1642">
            <v>3018</v>
          </cell>
          <cell r="N1642" t="str">
            <v>영진</v>
          </cell>
          <cell r="O1642" t="str">
            <v>펌프카(1대)</v>
          </cell>
          <cell r="P1642">
            <v>835</v>
          </cell>
          <cell r="Q1642">
            <v>1254</v>
          </cell>
          <cell r="R1642">
            <v>180</v>
          </cell>
          <cell r="S1642">
            <v>45</v>
          </cell>
          <cell r="T1642">
            <v>36</v>
          </cell>
          <cell r="U1642">
            <v>155</v>
          </cell>
          <cell r="V1642"/>
          <cell r="W1642" t="str">
            <v>김광록</v>
          </cell>
          <cell r="X1642" t="str">
            <v>(인)</v>
          </cell>
          <cell r="Y1642" t="str">
            <v>박순홍</v>
          </cell>
          <cell r="Z1642" t="str">
            <v>(인)</v>
          </cell>
          <cell r="AA1642" t="str">
            <v>박상갑</v>
          </cell>
          <cell r="AB1642" t="str">
            <v>(인)</v>
          </cell>
          <cell r="AC1642" t="str">
            <v>이홍걸</v>
          </cell>
          <cell r="AD1642" t="str">
            <v>(인)</v>
          </cell>
          <cell r="AE1642">
            <v>178.4</v>
          </cell>
          <cell r="AF1642" t="str">
            <v>동절기</v>
          </cell>
          <cell r="AG1642">
            <v>2</v>
          </cell>
          <cell r="AH1642">
            <v>0</v>
          </cell>
        </row>
        <row r="1643">
          <cell r="G1643">
            <v>2501020203</v>
          </cell>
          <cell r="H1643" t="str">
            <v>111동</v>
          </cell>
          <cell r="I1643">
            <v>250102</v>
          </cell>
          <cell r="J1643" t="str">
            <v>111동 13층 바닥</v>
          </cell>
          <cell r="K1643">
            <v>292</v>
          </cell>
          <cell r="L1643">
            <v>292</v>
          </cell>
          <cell r="M1643">
            <v>3018</v>
          </cell>
          <cell r="N1643" t="str">
            <v>영진</v>
          </cell>
          <cell r="O1643" t="str">
            <v>펌프카(1대)</v>
          </cell>
          <cell r="P1643">
            <v>835</v>
          </cell>
          <cell r="Q1643">
            <v>1254</v>
          </cell>
          <cell r="R1643">
            <v>165</v>
          </cell>
          <cell r="S1643">
            <v>52</v>
          </cell>
          <cell r="T1643">
            <v>23</v>
          </cell>
          <cell r="U1643">
            <v>150</v>
          </cell>
          <cell r="V1643"/>
          <cell r="W1643" t="str">
            <v>김광록</v>
          </cell>
          <cell r="X1643" t="str">
            <v>(인)</v>
          </cell>
          <cell r="Y1643" t="str">
            <v>박순홍</v>
          </cell>
          <cell r="Z1643" t="str">
            <v>(인)</v>
          </cell>
          <cell r="AA1643" t="str">
            <v>박상갑</v>
          </cell>
          <cell r="AB1643" t="str">
            <v>(인)</v>
          </cell>
          <cell r="AC1643" t="str">
            <v>이홍걸</v>
          </cell>
          <cell r="AD1643" t="str">
            <v>(인)</v>
          </cell>
          <cell r="AE1643">
            <v>181.4</v>
          </cell>
          <cell r="AF1643" t="str">
            <v>동절기</v>
          </cell>
          <cell r="AG1643">
            <v>3</v>
          </cell>
          <cell r="AH1643">
            <v>0</v>
          </cell>
        </row>
        <row r="1644">
          <cell r="G1644">
            <v>2501020301</v>
          </cell>
          <cell r="H1644" t="str">
            <v>113동</v>
          </cell>
          <cell r="I1644">
            <v>250102</v>
          </cell>
          <cell r="J1644" t="str">
            <v>113동 16층 바닥</v>
          </cell>
          <cell r="K1644">
            <v>339</v>
          </cell>
          <cell r="L1644">
            <v>339</v>
          </cell>
          <cell r="M1644">
            <v>3018</v>
          </cell>
          <cell r="N1644" t="str">
            <v>동양</v>
          </cell>
          <cell r="O1644" t="str">
            <v>펌프카(1대)</v>
          </cell>
          <cell r="P1644">
            <v>806</v>
          </cell>
          <cell r="Q1644">
            <v>1435</v>
          </cell>
          <cell r="R1644">
            <v>195</v>
          </cell>
          <cell r="S1644">
            <v>49</v>
          </cell>
          <cell r="T1644">
            <v>17</v>
          </cell>
          <cell r="U1644">
            <v>131</v>
          </cell>
          <cell r="V1644"/>
          <cell r="W1644" t="str">
            <v>김광록</v>
          </cell>
          <cell r="X1644" t="str">
            <v>(인)</v>
          </cell>
          <cell r="Y1644" t="str">
            <v>박순홍</v>
          </cell>
          <cell r="Z1644" t="str">
            <v>(인)</v>
          </cell>
          <cell r="AA1644" t="str">
            <v>박상갑</v>
          </cell>
          <cell r="AB1644" t="str">
            <v>(인)</v>
          </cell>
          <cell r="AC1644" t="str">
            <v>이홍걸</v>
          </cell>
          <cell r="AD1644" t="str">
            <v>(인)</v>
          </cell>
          <cell r="AE1644">
            <v>185.6</v>
          </cell>
          <cell r="AF1644" t="str">
            <v>동절기</v>
          </cell>
          <cell r="AG1644">
            <v>1</v>
          </cell>
          <cell r="AH1644">
            <v>1</v>
          </cell>
          <cell r="AI1644">
            <v>2564</v>
          </cell>
          <cell r="AJ1644">
            <v>2647</v>
          </cell>
          <cell r="AK1644">
            <v>206200</v>
          </cell>
          <cell r="AL1644">
            <v>3364</v>
          </cell>
          <cell r="AM1644">
            <v>3329</v>
          </cell>
          <cell r="AN1644">
            <v>3404</v>
          </cell>
          <cell r="AO1644">
            <v>3412</v>
          </cell>
          <cell r="AP1644">
            <v>3424</v>
          </cell>
          <cell r="AQ1644">
            <v>3502</v>
          </cell>
          <cell r="AR1644">
            <v>3371</v>
          </cell>
          <cell r="AS1644">
            <v>3404</v>
          </cell>
          <cell r="AT1644">
            <v>284400</v>
          </cell>
        </row>
        <row r="1645">
          <cell r="G1645">
            <v>2501020302</v>
          </cell>
          <cell r="H1645" t="str">
            <v>113동</v>
          </cell>
          <cell r="I1645">
            <v>250102</v>
          </cell>
          <cell r="J1645" t="str">
            <v>113동 16층 바닥</v>
          </cell>
          <cell r="K1645">
            <v>339</v>
          </cell>
          <cell r="L1645">
            <v>339</v>
          </cell>
          <cell r="M1645">
            <v>3018</v>
          </cell>
          <cell r="N1645" t="str">
            <v>동양</v>
          </cell>
          <cell r="O1645" t="str">
            <v>펌프카(1대)</v>
          </cell>
          <cell r="P1645">
            <v>806</v>
          </cell>
          <cell r="Q1645">
            <v>1435</v>
          </cell>
          <cell r="R1645">
            <v>195</v>
          </cell>
          <cell r="S1645">
            <v>40</v>
          </cell>
          <cell r="T1645">
            <v>19</v>
          </cell>
          <cell r="U1645">
            <v>139</v>
          </cell>
          <cell r="V1645"/>
          <cell r="W1645" t="str">
            <v>김광록</v>
          </cell>
          <cell r="X1645" t="str">
            <v>(인)</v>
          </cell>
          <cell r="Y1645" t="str">
            <v>박순홍</v>
          </cell>
          <cell r="Z1645" t="str">
            <v>(인)</v>
          </cell>
          <cell r="AA1645" t="str">
            <v>박상갑</v>
          </cell>
          <cell r="AB1645" t="str">
            <v>(인)</v>
          </cell>
          <cell r="AC1645" t="str">
            <v>이홍걸</v>
          </cell>
          <cell r="AD1645" t="str">
            <v>(인)</v>
          </cell>
          <cell r="AE1645">
            <v>183.7</v>
          </cell>
          <cell r="AF1645" t="str">
            <v>동절기</v>
          </cell>
          <cell r="AG1645">
            <v>2</v>
          </cell>
          <cell r="AH1645">
            <v>0</v>
          </cell>
        </row>
        <row r="1646">
          <cell r="G1646">
            <v>2501020303</v>
          </cell>
          <cell r="H1646" t="str">
            <v>113동</v>
          </cell>
          <cell r="I1646">
            <v>250102</v>
          </cell>
          <cell r="J1646" t="str">
            <v>113동 16층 바닥</v>
          </cell>
          <cell r="K1646">
            <v>339</v>
          </cell>
          <cell r="L1646">
            <v>339</v>
          </cell>
          <cell r="M1646">
            <v>3018</v>
          </cell>
          <cell r="N1646" t="str">
            <v>동양</v>
          </cell>
          <cell r="O1646" t="str">
            <v>펌프카(1대)</v>
          </cell>
          <cell r="P1646">
            <v>806</v>
          </cell>
          <cell r="Q1646">
            <v>1435</v>
          </cell>
          <cell r="R1646">
            <v>180</v>
          </cell>
          <cell r="S1646">
            <v>46</v>
          </cell>
          <cell r="T1646">
            <v>42</v>
          </cell>
          <cell r="U1646">
            <v>141</v>
          </cell>
          <cell r="V1646"/>
          <cell r="W1646" t="str">
            <v>김광록</v>
          </cell>
          <cell r="X1646" t="str">
            <v>(인)</v>
          </cell>
          <cell r="Y1646" t="str">
            <v>박순홍</v>
          </cell>
          <cell r="Z1646" t="str">
            <v>(인)</v>
          </cell>
          <cell r="AA1646" t="str">
            <v>박상갑</v>
          </cell>
          <cell r="AB1646" t="str">
            <v>(인)</v>
          </cell>
          <cell r="AC1646" t="str">
            <v>이홍걸</v>
          </cell>
          <cell r="AD1646" t="str">
            <v>(인)</v>
          </cell>
          <cell r="AE1646">
            <v>184.3</v>
          </cell>
          <cell r="AF1646" t="str">
            <v>동절기</v>
          </cell>
          <cell r="AG1646">
            <v>3</v>
          </cell>
          <cell r="AH1646">
            <v>0</v>
          </cell>
        </row>
        <row r="1647">
          <cell r="G1647">
            <v>2501020401</v>
          </cell>
          <cell r="H1647" t="str">
            <v>115~117동</v>
          </cell>
          <cell r="I1647">
            <v>250102</v>
          </cell>
          <cell r="J1647" t="str">
            <v>115동, 116동, 117동 휀룸</v>
          </cell>
          <cell r="K1647">
            <v>30</v>
          </cell>
          <cell r="L1647">
            <v>30</v>
          </cell>
          <cell r="M1647">
            <v>2715</v>
          </cell>
          <cell r="N1647" t="str">
            <v>동양</v>
          </cell>
          <cell r="O1647" t="str">
            <v>펌프카(1대)</v>
          </cell>
          <cell r="P1647">
            <v>1428</v>
          </cell>
          <cell r="Q1647">
            <v>1617</v>
          </cell>
          <cell r="R1647">
            <v>140</v>
          </cell>
          <cell r="S1647">
            <v>54</v>
          </cell>
          <cell r="T1647">
            <v>109</v>
          </cell>
          <cell r="U1647">
            <v>156</v>
          </cell>
          <cell r="V1647"/>
          <cell r="W1647" t="str">
            <v>박순홍</v>
          </cell>
          <cell r="X1647" t="str">
            <v>(인)</v>
          </cell>
          <cell r="Y1647" t="str">
            <v>박순홍</v>
          </cell>
          <cell r="Z1647" t="str">
            <v>(인)</v>
          </cell>
          <cell r="AA1647" t="str">
            <v>박상갑</v>
          </cell>
          <cell r="AB1647" t="str">
            <v>(인)</v>
          </cell>
          <cell r="AC1647" t="str">
            <v>이홍걸</v>
          </cell>
          <cell r="AD1647" t="str">
            <v>(인)</v>
          </cell>
          <cell r="AE1647">
            <v>181.3</v>
          </cell>
          <cell r="AF1647" t="str">
            <v>동절기</v>
          </cell>
          <cell r="AG1647">
            <v>1</v>
          </cell>
          <cell r="AH1647">
            <v>1</v>
          </cell>
          <cell r="AI1647">
            <v>2391</v>
          </cell>
          <cell r="AJ1647">
            <v>2272</v>
          </cell>
          <cell r="AK1647">
            <v>183800</v>
          </cell>
          <cell r="AL1647">
            <v>3027</v>
          </cell>
          <cell r="AM1647">
            <v>2962</v>
          </cell>
          <cell r="AN1647">
            <v>3037</v>
          </cell>
          <cell r="AO1647">
            <v>2929</v>
          </cell>
          <cell r="AP1647">
            <v>3014</v>
          </cell>
          <cell r="AQ1647">
            <v>3062</v>
          </cell>
          <cell r="AR1647">
            <v>3172</v>
          </cell>
          <cell r="AS1647">
            <v>3107</v>
          </cell>
          <cell r="AT1647">
            <v>237400</v>
          </cell>
        </row>
        <row r="1648">
          <cell r="G1648">
            <v>2501020501</v>
          </cell>
          <cell r="H1648" t="str">
            <v>116동</v>
          </cell>
          <cell r="I1648">
            <v>250102</v>
          </cell>
          <cell r="J1648" t="str">
            <v>116동 주변주차장 누름</v>
          </cell>
          <cell r="K1648">
            <v>78</v>
          </cell>
          <cell r="L1648">
            <v>78</v>
          </cell>
          <cell r="M1648">
            <v>1815</v>
          </cell>
          <cell r="N1648" t="str">
            <v>용호</v>
          </cell>
          <cell r="O1648" t="str">
            <v>펌프카(1대)</v>
          </cell>
          <cell r="P1648">
            <v>840</v>
          </cell>
          <cell r="Q1648">
            <v>1049</v>
          </cell>
          <cell r="R1648">
            <v>170</v>
          </cell>
          <cell r="S1648">
            <v>47</v>
          </cell>
          <cell r="T1648">
            <v>40</v>
          </cell>
          <cell r="U1648">
            <v>139</v>
          </cell>
          <cell r="V1648"/>
          <cell r="W1648" t="str">
            <v>박순홍</v>
          </cell>
          <cell r="X1648" t="str">
            <v>(인)</v>
          </cell>
          <cell r="Y1648" t="str">
            <v>박순홍</v>
          </cell>
          <cell r="Z1648" t="str">
            <v>(인)</v>
          </cell>
          <cell r="AA1648" t="str">
            <v>박상갑</v>
          </cell>
          <cell r="AB1648" t="str">
            <v>(인)</v>
          </cell>
          <cell r="AC1648" t="str">
            <v>이홍걸</v>
          </cell>
          <cell r="AD1648" t="str">
            <v>(인)</v>
          </cell>
          <cell r="AE1648">
            <v>180.9</v>
          </cell>
          <cell r="AF1648" t="str">
            <v>동절기</v>
          </cell>
          <cell r="AG1648">
            <v>1</v>
          </cell>
          <cell r="AH1648">
            <v>1</v>
          </cell>
          <cell r="AI1648">
            <v>1761</v>
          </cell>
          <cell r="AJ1648">
            <v>1720</v>
          </cell>
          <cell r="AK1648">
            <v>137000</v>
          </cell>
          <cell r="AL1648">
            <v>2307</v>
          </cell>
          <cell r="AM1648">
            <v>2209</v>
          </cell>
          <cell r="AN1648">
            <v>2312</v>
          </cell>
          <cell r="AO1648">
            <v>2207</v>
          </cell>
          <cell r="AP1648">
            <v>2316</v>
          </cell>
          <cell r="AQ1648">
            <v>2214</v>
          </cell>
          <cell r="AR1648">
            <v>2307</v>
          </cell>
          <cell r="AS1648">
            <v>2207</v>
          </cell>
          <cell r="AT1648">
            <v>157000</v>
          </cell>
        </row>
        <row r="1649">
          <cell r="G1649">
            <v>2501030101</v>
          </cell>
          <cell r="H1649" t="str">
            <v>119동</v>
          </cell>
          <cell r="I1649">
            <v>250103</v>
          </cell>
          <cell r="J1649" t="str">
            <v>119동 4층 바닥</v>
          </cell>
          <cell r="K1649">
            <v>284</v>
          </cell>
          <cell r="L1649">
            <v>284</v>
          </cell>
          <cell r="M1649">
            <v>3018</v>
          </cell>
          <cell r="N1649" t="str">
            <v>용호</v>
          </cell>
          <cell r="O1649" t="str">
            <v>펌프카(1대)</v>
          </cell>
          <cell r="P1649">
            <v>840</v>
          </cell>
          <cell r="Q1649">
            <v>1402</v>
          </cell>
          <cell r="R1649">
            <v>205</v>
          </cell>
          <cell r="S1649">
            <v>55</v>
          </cell>
          <cell r="T1649">
            <v>91</v>
          </cell>
          <cell r="U1649">
            <v>158</v>
          </cell>
          <cell r="V1649"/>
          <cell r="W1649" t="str">
            <v>박순홍</v>
          </cell>
          <cell r="X1649" t="str">
            <v>(인)</v>
          </cell>
          <cell r="Y1649" t="str">
            <v>박순홍</v>
          </cell>
          <cell r="Z1649" t="str">
            <v>(인)</v>
          </cell>
          <cell r="AA1649" t="str">
            <v>박상갑</v>
          </cell>
          <cell r="AB1649" t="str">
            <v>(인)</v>
          </cell>
          <cell r="AC1649" t="str">
            <v>이홍걸</v>
          </cell>
          <cell r="AD1649" t="str">
            <v>(인)</v>
          </cell>
          <cell r="AE1649">
            <v>182.3</v>
          </cell>
          <cell r="AF1649" t="str">
            <v>동절기</v>
          </cell>
          <cell r="AG1649">
            <v>1</v>
          </cell>
          <cell r="AH1649">
            <v>1</v>
          </cell>
          <cell r="AI1649">
            <v>2771</v>
          </cell>
          <cell r="AJ1649">
            <v>2861</v>
          </cell>
          <cell r="AK1649">
            <v>216000</v>
          </cell>
          <cell r="AL1649">
            <v>3507</v>
          </cell>
          <cell r="AM1649">
            <v>3402</v>
          </cell>
          <cell r="AN1649">
            <v>3416</v>
          </cell>
          <cell r="AO1649">
            <v>3507</v>
          </cell>
          <cell r="AP1649">
            <v>3602</v>
          </cell>
          <cell r="AQ1649">
            <v>3607</v>
          </cell>
          <cell r="AR1649">
            <v>3507</v>
          </cell>
          <cell r="AS1649">
            <v>3407</v>
          </cell>
          <cell r="AT1649">
            <v>285600</v>
          </cell>
        </row>
        <row r="1650">
          <cell r="G1650">
            <v>2501030102</v>
          </cell>
          <cell r="H1650" t="str">
            <v>119동</v>
          </cell>
          <cell r="I1650">
            <v>250103</v>
          </cell>
          <cell r="J1650" t="str">
            <v>119동 4층 바닥</v>
          </cell>
          <cell r="K1650">
            <v>284</v>
          </cell>
          <cell r="L1650">
            <v>284</v>
          </cell>
          <cell r="M1650">
            <v>3018</v>
          </cell>
          <cell r="N1650" t="str">
            <v>용호</v>
          </cell>
          <cell r="O1650" t="str">
            <v>펌프카(1대)</v>
          </cell>
          <cell r="P1650">
            <v>840</v>
          </cell>
          <cell r="Q1650">
            <v>1402</v>
          </cell>
          <cell r="R1650">
            <v>200</v>
          </cell>
          <cell r="S1650">
            <v>52</v>
          </cell>
          <cell r="T1650">
            <v>135</v>
          </cell>
          <cell r="U1650">
            <v>148</v>
          </cell>
          <cell r="V1650"/>
          <cell r="W1650" t="str">
            <v>박순홍</v>
          </cell>
          <cell r="X1650" t="str">
            <v>(인)</v>
          </cell>
          <cell r="Y1650" t="str">
            <v>박순홍</v>
          </cell>
          <cell r="Z1650" t="str">
            <v>(인)</v>
          </cell>
          <cell r="AA1650" t="str">
            <v>박상갑</v>
          </cell>
          <cell r="AB1650" t="str">
            <v>(인)</v>
          </cell>
          <cell r="AC1650" t="str">
            <v>이홍걸</v>
          </cell>
          <cell r="AD1650" t="str">
            <v>(인)</v>
          </cell>
          <cell r="AE1650">
            <v>186</v>
          </cell>
          <cell r="AF1650" t="str">
            <v>동절기</v>
          </cell>
          <cell r="AG1650">
            <v>2</v>
          </cell>
          <cell r="AH1650">
            <v>0</v>
          </cell>
        </row>
        <row r="1651">
          <cell r="G1651">
            <v>2501030103</v>
          </cell>
          <cell r="H1651" t="str">
            <v>119동</v>
          </cell>
          <cell r="I1651">
            <v>250103</v>
          </cell>
          <cell r="J1651" t="str">
            <v>119동 4층 바닥</v>
          </cell>
          <cell r="K1651">
            <v>284</v>
          </cell>
          <cell r="L1651">
            <v>284</v>
          </cell>
          <cell r="M1651">
            <v>3018</v>
          </cell>
          <cell r="N1651" t="str">
            <v>용호</v>
          </cell>
          <cell r="O1651" t="str">
            <v>펌프카(1대)</v>
          </cell>
          <cell r="P1651">
            <v>840</v>
          </cell>
          <cell r="Q1651">
            <v>1402</v>
          </cell>
          <cell r="R1651">
            <v>190</v>
          </cell>
          <cell r="S1651">
            <v>48</v>
          </cell>
          <cell r="T1651">
            <v>43</v>
          </cell>
          <cell r="U1651">
            <v>140</v>
          </cell>
          <cell r="V1651"/>
          <cell r="W1651" t="str">
            <v>박순홍</v>
          </cell>
          <cell r="X1651" t="str">
            <v>(인)</v>
          </cell>
          <cell r="Y1651" t="str">
            <v>박순홍</v>
          </cell>
          <cell r="Z1651" t="str">
            <v>(인)</v>
          </cell>
          <cell r="AA1651" t="str">
            <v>박상갑</v>
          </cell>
          <cell r="AB1651" t="str">
            <v>(인)</v>
          </cell>
          <cell r="AC1651" t="str">
            <v>이홍걸</v>
          </cell>
          <cell r="AD1651" t="str">
            <v>(인)</v>
          </cell>
          <cell r="AE1651">
            <v>178.6</v>
          </cell>
          <cell r="AF1651" t="str">
            <v>동절기</v>
          </cell>
          <cell r="AG1651">
            <v>3</v>
          </cell>
          <cell r="AH1651">
            <v>0</v>
          </cell>
        </row>
        <row r="1652">
          <cell r="G1652">
            <v>2501030201</v>
          </cell>
          <cell r="H1652" t="str">
            <v>108동</v>
          </cell>
          <cell r="I1652">
            <v>250103</v>
          </cell>
          <cell r="J1652" t="str">
            <v>108동 7층 바닥</v>
          </cell>
          <cell r="K1652">
            <v>287</v>
          </cell>
          <cell r="L1652">
            <v>287</v>
          </cell>
          <cell r="M1652">
            <v>3018</v>
          </cell>
          <cell r="N1652" t="str">
            <v>대원</v>
          </cell>
          <cell r="O1652" t="str">
            <v>펌프카(1대)</v>
          </cell>
          <cell r="P1652">
            <v>1332</v>
          </cell>
          <cell r="Q1652">
            <v>1631</v>
          </cell>
          <cell r="R1652">
            <v>190</v>
          </cell>
          <cell r="S1652">
            <v>49</v>
          </cell>
          <cell r="T1652">
            <v>29</v>
          </cell>
          <cell r="U1652">
            <v>142</v>
          </cell>
          <cell r="V1652"/>
          <cell r="W1652" t="str">
            <v>김광록</v>
          </cell>
          <cell r="X1652" t="str">
            <v>(인)</v>
          </cell>
          <cell r="Y1652" t="str">
            <v>박순홍</v>
          </cell>
          <cell r="Z1652" t="str">
            <v>(인)</v>
          </cell>
          <cell r="AA1652" t="str">
            <v>박상갑</v>
          </cell>
          <cell r="AB1652" t="str">
            <v>(인)</v>
          </cell>
          <cell r="AC1652" t="str">
            <v>이홍걸</v>
          </cell>
          <cell r="AD1652" t="str">
            <v>(인)</v>
          </cell>
          <cell r="AE1652">
            <v>183.3</v>
          </cell>
          <cell r="AF1652" t="str">
            <v>동절기</v>
          </cell>
          <cell r="AG1652">
            <v>1</v>
          </cell>
          <cell r="AH1652">
            <v>1</v>
          </cell>
          <cell r="AI1652">
            <v>2776</v>
          </cell>
          <cell r="AJ1652">
            <v>2784</v>
          </cell>
          <cell r="AK1652">
            <v>214800</v>
          </cell>
          <cell r="AL1652">
            <v>3462</v>
          </cell>
          <cell r="AM1652">
            <v>3484</v>
          </cell>
          <cell r="AN1652">
            <v>3396</v>
          </cell>
          <cell r="AO1652">
            <v>3464</v>
          </cell>
          <cell r="AP1652">
            <v>3372</v>
          </cell>
          <cell r="AQ1652">
            <v>3514</v>
          </cell>
          <cell r="AR1652">
            <v>3464</v>
          </cell>
          <cell r="AS1652">
            <v>3407</v>
          </cell>
          <cell r="AT1652">
            <v>262200</v>
          </cell>
        </row>
        <row r="1653">
          <cell r="G1653">
            <v>2501030202</v>
          </cell>
          <cell r="H1653" t="str">
            <v>108동</v>
          </cell>
          <cell r="I1653">
            <v>250103</v>
          </cell>
          <cell r="J1653" t="str">
            <v>108동 7층 바닥</v>
          </cell>
          <cell r="K1653">
            <v>287</v>
          </cell>
          <cell r="L1653">
            <v>287</v>
          </cell>
          <cell r="M1653">
            <v>3018</v>
          </cell>
          <cell r="N1653" t="str">
            <v>대원</v>
          </cell>
          <cell r="O1653" t="str">
            <v>펌프카(1대)</v>
          </cell>
          <cell r="P1653">
            <v>1332</v>
          </cell>
          <cell r="Q1653">
            <v>1631</v>
          </cell>
          <cell r="R1653">
            <v>195</v>
          </cell>
          <cell r="S1653">
            <v>40</v>
          </cell>
          <cell r="T1653">
            <v>82</v>
          </cell>
          <cell r="U1653">
            <v>144</v>
          </cell>
          <cell r="V1653"/>
          <cell r="W1653" t="str">
            <v>김광록</v>
          </cell>
          <cell r="X1653" t="str">
            <v>(인)</v>
          </cell>
          <cell r="Y1653" t="str">
            <v>박순홍</v>
          </cell>
          <cell r="Z1653" t="str">
            <v>(인)</v>
          </cell>
          <cell r="AA1653" t="str">
            <v>박상갑</v>
          </cell>
          <cell r="AB1653" t="str">
            <v>(인)</v>
          </cell>
          <cell r="AC1653" t="str">
            <v>이홍걸</v>
          </cell>
          <cell r="AD1653" t="str">
            <v>(인)</v>
          </cell>
          <cell r="AE1653">
            <v>180.6</v>
          </cell>
          <cell r="AF1653" t="str">
            <v>동절기</v>
          </cell>
          <cell r="AG1653">
            <v>2</v>
          </cell>
          <cell r="AH1653">
            <v>0</v>
          </cell>
        </row>
        <row r="1654">
          <cell r="G1654">
            <v>2501030203</v>
          </cell>
          <cell r="H1654" t="str">
            <v>108동</v>
          </cell>
          <cell r="I1654">
            <v>250103</v>
          </cell>
          <cell r="J1654" t="str">
            <v>108동 7층 바닥</v>
          </cell>
          <cell r="K1654">
            <v>287</v>
          </cell>
          <cell r="L1654">
            <v>287</v>
          </cell>
          <cell r="M1654">
            <v>3018</v>
          </cell>
          <cell r="N1654" t="str">
            <v>대원</v>
          </cell>
          <cell r="O1654" t="str">
            <v>펌프카(1대)</v>
          </cell>
          <cell r="P1654">
            <v>1332</v>
          </cell>
          <cell r="Q1654">
            <v>1631</v>
          </cell>
          <cell r="R1654">
            <v>180</v>
          </cell>
          <cell r="S1654">
            <v>51</v>
          </cell>
          <cell r="T1654">
            <v>18</v>
          </cell>
          <cell r="U1654">
            <v>145</v>
          </cell>
          <cell r="V1654"/>
          <cell r="W1654" t="str">
            <v>김광록</v>
          </cell>
          <cell r="X1654" t="str">
            <v>(인)</v>
          </cell>
          <cell r="Y1654" t="str">
            <v>박순홍</v>
          </cell>
          <cell r="Z1654" t="str">
            <v>(인)</v>
          </cell>
          <cell r="AA1654" t="str">
            <v>박상갑</v>
          </cell>
          <cell r="AB1654" t="str">
            <v>(인)</v>
          </cell>
          <cell r="AC1654" t="str">
            <v>이홍걸</v>
          </cell>
          <cell r="AD1654" t="str">
            <v>(인)</v>
          </cell>
          <cell r="AE1654">
            <v>182.6</v>
          </cell>
          <cell r="AF1654" t="str">
            <v>동절기</v>
          </cell>
          <cell r="AG1654">
            <v>3</v>
          </cell>
          <cell r="AH1654">
            <v>0</v>
          </cell>
        </row>
        <row r="1655">
          <cell r="G1655">
            <v>2501030301</v>
          </cell>
          <cell r="H1655" t="str">
            <v>119동</v>
          </cell>
          <cell r="I1655">
            <v>250103</v>
          </cell>
          <cell r="J1655" t="str">
            <v>101동 최상층 바닥</v>
          </cell>
          <cell r="K1655">
            <v>204</v>
          </cell>
          <cell r="L1655">
            <v>204</v>
          </cell>
          <cell r="M1655">
            <v>3018</v>
          </cell>
          <cell r="N1655" t="str">
            <v>대원</v>
          </cell>
          <cell r="O1655" t="str">
            <v>펌프카(1대)</v>
          </cell>
          <cell r="P1655">
            <v>823</v>
          </cell>
          <cell r="Q1655">
            <v>1643</v>
          </cell>
          <cell r="R1655">
            <v>180</v>
          </cell>
          <cell r="S1655">
            <v>45</v>
          </cell>
          <cell r="T1655">
            <v>84</v>
          </cell>
          <cell r="U1655">
            <v>137</v>
          </cell>
          <cell r="V1655"/>
          <cell r="W1655" t="str">
            <v>김광록</v>
          </cell>
          <cell r="X1655" t="str">
            <v>(인)</v>
          </cell>
          <cell r="Y1655" t="str">
            <v>박순홍</v>
          </cell>
          <cell r="Z1655" t="str">
            <v>(인)</v>
          </cell>
          <cell r="AA1655" t="str">
            <v>박상갑</v>
          </cell>
          <cell r="AB1655" t="str">
            <v>(인)</v>
          </cell>
          <cell r="AC1655" t="str">
            <v>이홍걸</v>
          </cell>
          <cell r="AD1655" t="str">
            <v>(인)</v>
          </cell>
          <cell r="AE1655">
            <v>182.3</v>
          </cell>
          <cell r="AF1655" t="str">
            <v>동절기</v>
          </cell>
          <cell r="AG1655">
            <v>1</v>
          </cell>
          <cell r="AH1655">
            <v>1</v>
          </cell>
          <cell r="AI1655">
            <v>2729</v>
          </cell>
          <cell r="AJ1655">
            <v>2787</v>
          </cell>
          <cell r="AK1655">
            <v>221000</v>
          </cell>
          <cell r="AL1655">
            <v>3368</v>
          </cell>
          <cell r="AM1655">
            <v>3396</v>
          </cell>
          <cell r="AN1655">
            <v>3272</v>
          </cell>
          <cell r="AO1655">
            <v>3284</v>
          </cell>
          <cell r="AP1655">
            <v>3306</v>
          </cell>
          <cell r="AQ1655">
            <v>3329</v>
          </cell>
          <cell r="AR1655">
            <v>3484</v>
          </cell>
          <cell r="AS1655">
            <v>3472</v>
          </cell>
          <cell r="AT1655">
            <v>268000</v>
          </cell>
        </row>
        <row r="1656">
          <cell r="G1656">
            <v>2501030302</v>
          </cell>
          <cell r="H1656" t="str">
            <v>119동</v>
          </cell>
          <cell r="I1656">
            <v>250103</v>
          </cell>
          <cell r="J1656" t="str">
            <v>101동 최상층 바닥</v>
          </cell>
          <cell r="K1656">
            <v>204</v>
          </cell>
          <cell r="L1656">
            <v>204</v>
          </cell>
          <cell r="M1656">
            <v>3018</v>
          </cell>
          <cell r="N1656" t="str">
            <v>대원</v>
          </cell>
          <cell r="O1656" t="str">
            <v>펌프카(1대)</v>
          </cell>
          <cell r="P1656">
            <v>823</v>
          </cell>
          <cell r="Q1656">
            <v>1643</v>
          </cell>
          <cell r="R1656">
            <v>170</v>
          </cell>
          <cell r="S1656">
            <v>50</v>
          </cell>
          <cell r="T1656">
            <v>72</v>
          </cell>
          <cell r="U1656">
            <v>147</v>
          </cell>
          <cell r="V1656"/>
          <cell r="W1656" t="str">
            <v>김광록</v>
          </cell>
          <cell r="X1656" t="str">
            <v>(인)</v>
          </cell>
          <cell r="Y1656" t="str">
            <v>박순홍</v>
          </cell>
          <cell r="Z1656" t="str">
            <v>(인)</v>
          </cell>
          <cell r="AA1656" t="str">
            <v>박상갑</v>
          </cell>
          <cell r="AB1656" t="str">
            <v>(인)</v>
          </cell>
          <cell r="AC1656" t="str">
            <v>이홍걸</v>
          </cell>
          <cell r="AD1656" t="str">
            <v>(인)</v>
          </cell>
          <cell r="AE1656">
            <v>181.7</v>
          </cell>
          <cell r="AF1656" t="str">
            <v>동절기</v>
          </cell>
          <cell r="AG1656">
            <v>2</v>
          </cell>
          <cell r="AH1656">
            <v>0</v>
          </cell>
        </row>
        <row r="1657">
          <cell r="G1657">
            <v>2501060101</v>
          </cell>
          <cell r="H1657" t="str">
            <v>110동</v>
          </cell>
          <cell r="I1657">
            <v>250106</v>
          </cell>
          <cell r="J1657" t="str">
            <v>110동 13층 바닥</v>
          </cell>
          <cell r="K1657">
            <v>292</v>
          </cell>
          <cell r="L1657">
            <v>292</v>
          </cell>
          <cell r="M1657">
            <v>3018</v>
          </cell>
          <cell r="N1657" t="str">
            <v>대원</v>
          </cell>
          <cell r="O1657" t="str">
            <v>펌프카(1대)</v>
          </cell>
          <cell r="P1657">
            <v>825</v>
          </cell>
          <cell r="Q1657">
            <v>1320</v>
          </cell>
          <cell r="R1657">
            <v>190</v>
          </cell>
          <cell r="S1657">
            <v>48</v>
          </cell>
          <cell r="T1657">
            <v>82</v>
          </cell>
          <cell r="U1657">
            <v>159</v>
          </cell>
          <cell r="V1657"/>
          <cell r="W1657" t="str">
            <v>김광록</v>
          </cell>
          <cell r="X1657" t="str">
            <v>(인)</v>
          </cell>
          <cell r="Y1657" t="str">
            <v>박순홍</v>
          </cell>
          <cell r="Z1657" t="str">
            <v>(인)</v>
          </cell>
          <cell r="AA1657" t="str">
            <v>박상갑</v>
          </cell>
          <cell r="AB1657" t="str">
            <v>(인)</v>
          </cell>
          <cell r="AC1657" t="str">
            <v>박상갑</v>
          </cell>
          <cell r="AD1657" t="str">
            <v>(인)</v>
          </cell>
          <cell r="AE1657">
            <v>179.6</v>
          </cell>
          <cell r="AF1657" t="str">
            <v>동절기</v>
          </cell>
          <cell r="AG1657">
            <v>1</v>
          </cell>
          <cell r="AH1657">
            <v>1</v>
          </cell>
          <cell r="AI1657">
            <v>2676</v>
          </cell>
          <cell r="AJ1657">
            <v>2608</v>
          </cell>
          <cell r="AK1657">
            <v>206200</v>
          </cell>
          <cell r="AL1657">
            <v>3649</v>
          </cell>
          <cell r="AM1657">
            <v>3654</v>
          </cell>
          <cell r="AN1657">
            <v>3629</v>
          </cell>
          <cell r="AO1657">
            <v>3710</v>
          </cell>
          <cell r="AP1657">
            <v>3654</v>
          </cell>
          <cell r="AQ1657">
            <v>3801</v>
          </cell>
          <cell r="AR1657">
            <v>3631</v>
          </cell>
          <cell r="AS1657">
            <v>3707</v>
          </cell>
          <cell r="AT1657">
            <v>292800</v>
          </cell>
        </row>
        <row r="1658">
          <cell r="G1658">
            <v>2501060102</v>
          </cell>
          <cell r="H1658" t="str">
            <v>110동</v>
          </cell>
          <cell r="I1658">
            <v>250106</v>
          </cell>
          <cell r="J1658" t="str">
            <v>110동 13층 바닥</v>
          </cell>
          <cell r="K1658">
            <v>292</v>
          </cell>
          <cell r="L1658">
            <v>292</v>
          </cell>
          <cell r="M1658">
            <v>3018</v>
          </cell>
          <cell r="N1658" t="str">
            <v>대원</v>
          </cell>
          <cell r="O1658" t="str">
            <v>펌프카(1대)</v>
          </cell>
          <cell r="P1658">
            <v>825</v>
          </cell>
          <cell r="Q1658">
            <v>1320</v>
          </cell>
          <cell r="R1658">
            <v>190</v>
          </cell>
          <cell r="S1658">
            <v>40</v>
          </cell>
          <cell r="T1658">
            <v>37</v>
          </cell>
          <cell r="U1658">
            <v>157</v>
          </cell>
          <cell r="V1658"/>
          <cell r="W1658" t="str">
            <v>김광록</v>
          </cell>
          <cell r="X1658" t="str">
            <v>(인)</v>
          </cell>
          <cell r="Y1658" t="str">
            <v>박순홍</v>
          </cell>
          <cell r="Z1658" t="str">
            <v>(인)</v>
          </cell>
          <cell r="AA1658" t="str">
            <v>박상갑</v>
          </cell>
          <cell r="AB1658" t="str">
            <v>(인)</v>
          </cell>
          <cell r="AC1658" t="str">
            <v>박상갑</v>
          </cell>
          <cell r="AD1658" t="str">
            <v>(인)</v>
          </cell>
          <cell r="AE1658">
            <v>179.5</v>
          </cell>
          <cell r="AF1658" t="str">
            <v>동절기</v>
          </cell>
          <cell r="AG1658">
            <v>2</v>
          </cell>
          <cell r="AH1658">
            <v>0</v>
          </cell>
        </row>
        <row r="1659">
          <cell r="G1659">
            <v>2501060103</v>
          </cell>
          <cell r="H1659" t="str">
            <v>110동</v>
          </cell>
          <cell r="I1659">
            <v>250106</v>
          </cell>
          <cell r="J1659" t="str">
            <v>110동 13층 바닥</v>
          </cell>
          <cell r="K1659">
            <v>292</v>
          </cell>
          <cell r="L1659">
            <v>292</v>
          </cell>
          <cell r="M1659">
            <v>3018</v>
          </cell>
          <cell r="N1659" t="str">
            <v>대원</v>
          </cell>
          <cell r="O1659" t="str">
            <v>펌프카(1대)</v>
          </cell>
          <cell r="P1659">
            <v>825</v>
          </cell>
          <cell r="Q1659">
            <v>1320</v>
          </cell>
          <cell r="R1659">
            <v>195</v>
          </cell>
          <cell r="S1659">
            <v>52</v>
          </cell>
          <cell r="T1659">
            <v>66</v>
          </cell>
          <cell r="U1659">
            <v>156</v>
          </cell>
          <cell r="V1659"/>
          <cell r="W1659" t="str">
            <v>김광록</v>
          </cell>
          <cell r="X1659" t="str">
            <v>(인)</v>
          </cell>
          <cell r="Y1659" t="str">
            <v>박순홍</v>
          </cell>
          <cell r="Z1659" t="str">
            <v>(인)</v>
          </cell>
          <cell r="AA1659" t="str">
            <v>박상갑</v>
          </cell>
          <cell r="AB1659" t="str">
            <v>(인)</v>
          </cell>
          <cell r="AC1659" t="str">
            <v>박상갑</v>
          </cell>
          <cell r="AD1659" t="str">
            <v>(인)</v>
          </cell>
          <cell r="AE1659">
            <v>179.2</v>
          </cell>
          <cell r="AF1659" t="str">
            <v>동절기</v>
          </cell>
          <cell r="AG1659">
            <v>3</v>
          </cell>
          <cell r="AH1659">
            <v>0</v>
          </cell>
        </row>
        <row r="1660">
          <cell r="G1660">
            <v>2501060201</v>
          </cell>
          <cell r="H1660" t="str">
            <v>117동</v>
          </cell>
          <cell r="I1660">
            <v>250106</v>
          </cell>
          <cell r="J1660" t="str">
            <v>117동 5층 바닥</v>
          </cell>
          <cell r="K1660">
            <v>354</v>
          </cell>
          <cell r="L1660">
            <v>354</v>
          </cell>
          <cell r="M1660">
            <v>3018</v>
          </cell>
          <cell r="N1660" t="str">
            <v>대공</v>
          </cell>
          <cell r="O1660" t="str">
            <v>펌프카(1대)</v>
          </cell>
          <cell r="P1660">
            <v>833</v>
          </cell>
          <cell r="Q1660">
            <v>1425</v>
          </cell>
          <cell r="R1660">
            <v>195</v>
          </cell>
          <cell r="S1660">
            <v>51</v>
          </cell>
          <cell r="T1660">
            <v>63</v>
          </cell>
          <cell r="U1660">
            <v>172</v>
          </cell>
          <cell r="V1660"/>
          <cell r="W1660" t="str">
            <v>김광록</v>
          </cell>
          <cell r="X1660" t="str">
            <v>(인)</v>
          </cell>
          <cell r="Y1660" t="str">
            <v>박순홍</v>
          </cell>
          <cell r="Z1660" t="str">
            <v>(인)</v>
          </cell>
          <cell r="AA1660" t="str">
            <v>박상갑</v>
          </cell>
          <cell r="AB1660" t="str">
            <v>(인)</v>
          </cell>
          <cell r="AC1660" t="str">
            <v>박상갑</v>
          </cell>
          <cell r="AD1660" t="str">
            <v>(인)</v>
          </cell>
          <cell r="AE1660">
            <v>173.6</v>
          </cell>
          <cell r="AF1660" t="str">
            <v>동절기</v>
          </cell>
          <cell r="AG1660">
            <v>1</v>
          </cell>
          <cell r="AH1660">
            <v>1</v>
          </cell>
          <cell r="AI1660">
            <v>2813</v>
          </cell>
          <cell r="AJ1660">
            <v>2796</v>
          </cell>
          <cell r="AK1660">
            <v>221600</v>
          </cell>
          <cell r="AL1660">
            <v>3756</v>
          </cell>
          <cell r="AM1660">
            <v>3799</v>
          </cell>
          <cell r="AN1660">
            <v>3767</v>
          </cell>
          <cell r="AO1660">
            <v>3816</v>
          </cell>
          <cell r="AP1660">
            <v>3724</v>
          </cell>
          <cell r="AQ1660">
            <v>3906</v>
          </cell>
          <cell r="AR1660">
            <v>3921</v>
          </cell>
          <cell r="AS1660">
            <v>3807</v>
          </cell>
          <cell r="AT1660">
            <v>302400</v>
          </cell>
        </row>
        <row r="1661">
          <cell r="G1661">
            <v>2501060202</v>
          </cell>
          <cell r="H1661" t="str">
            <v>117동</v>
          </cell>
          <cell r="I1661">
            <v>250106</v>
          </cell>
          <cell r="J1661" t="str">
            <v>117동 5층 바닥</v>
          </cell>
          <cell r="K1661">
            <v>354</v>
          </cell>
          <cell r="L1661">
            <v>354</v>
          </cell>
          <cell r="M1661">
            <v>3018</v>
          </cell>
          <cell r="N1661" t="str">
            <v>대공</v>
          </cell>
          <cell r="O1661" t="str">
            <v>펌프카(1대)</v>
          </cell>
          <cell r="P1661">
            <v>833</v>
          </cell>
          <cell r="Q1661">
            <v>1425</v>
          </cell>
          <cell r="R1661">
            <v>205</v>
          </cell>
          <cell r="S1661">
            <v>45</v>
          </cell>
          <cell r="T1661">
            <v>20</v>
          </cell>
          <cell r="U1661">
            <v>161</v>
          </cell>
          <cell r="V1661"/>
          <cell r="W1661" t="str">
            <v>김광록</v>
          </cell>
          <cell r="X1661" t="str">
            <v>(인)</v>
          </cell>
          <cell r="Y1661" t="str">
            <v>박순홍</v>
          </cell>
          <cell r="Z1661" t="str">
            <v>(인)</v>
          </cell>
          <cell r="AA1661" t="str">
            <v>박상갑</v>
          </cell>
          <cell r="AB1661" t="str">
            <v>(인)</v>
          </cell>
          <cell r="AC1661" t="str">
            <v>박상갑</v>
          </cell>
          <cell r="AD1661" t="str">
            <v>(인)</v>
          </cell>
          <cell r="AE1661">
            <v>183.5</v>
          </cell>
          <cell r="AF1661" t="str">
            <v>동절기</v>
          </cell>
          <cell r="AG1661">
            <v>2</v>
          </cell>
          <cell r="AH1661">
            <v>0</v>
          </cell>
        </row>
        <row r="1662">
          <cell r="G1662">
            <v>2501060203</v>
          </cell>
          <cell r="H1662" t="str">
            <v>117동</v>
          </cell>
          <cell r="I1662">
            <v>250106</v>
          </cell>
          <cell r="J1662" t="str">
            <v>117동 5층 바닥</v>
          </cell>
          <cell r="K1662">
            <v>354</v>
          </cell>
          <cell r="L1662">
            <v>354</v>
          </cell>
          <cell r="M1662">
            <v>3018</v>
          </cell>
          <cell r="N1662" t="str">
            <v>대공</v>
          </cell>
          <cell r="O1662" t="str">
            <v>펌프카(1대)</v>
          </cell>
          <cell r="P1662">
            <v>833</v>
          </cell>
          <cell r="Q1662">
            <v>1425</v>
          </cell>
          <cell r="R1662">
            <v>200</v>
          </cell>
          <cell r="S1662">
            <v>38</v>
          </cell>
          <cell r="T1662">
            <v>74</v>
          </cell>
          <cell r="U1662">
            <v>171</v>
          </cell>
          <cell r="V1662"/>
          <cell r="W1662" t="str">
            <v>김광록</v>
          </cell>
          <cell r="X1662" t="str">
            <v>(인)</v>
          </cell>
          <cell r="Y1662" t="str">
            <v>박순홍</v>
          </cell>
          <cell r="Z1662" t="str">
            <v>(인)</v>
          </cell>
          <cell r="AA1662" t="str">
            <v>박상갑</v>
          </cell>
          <cell r="AB1662" t="str">
            <v>(인)</v>
          </cell>
          <cell r="AC1662" t="str">
            <v>박상갑</v>
          </cell>
          <cell r="AD1662" t="str">
            <v>(인)</v>
          </cell>
          <cell r="AE1662">
            <v>185.9</v>
          </cell>
          <cell r="AF1662" t="str">
            <v>동절기</v>
          </cell>
          <cell r="AG1662">
            <v>3</v>
          </cell>
          <cell r="AH1662">
            <v>0</v>
          </cell>
        </row>
        <row r="1663">
          <cell r="G1663">
            <v>2501060301</v>
          </cell>
          <cell r="H1663" t="str">
            <v>115동</v>
          </cell>
          <cell r="I1663">
            <v>250106</v>
          </cell>
          <cell r="J1663" t="str">
            <v>115동 8층 바닥</v>
          </cell>
          <cell r="K1663">
            <v>312</v>
          </cell>
          <cell r="L1663">
            <v>312</v>
          </cell>
          <cell r="M1663">
            <v>3018</v>
          </cell>
          <cell r="N1663" t="str">
            <v>영진</v>
          </cell>
          <cell r="O1663" t="str">
            <v>펌프카(1대)</v>
          </cell>
          <cell r="P1663">
            <v>1238</v>
          </cell>
          <cell r="Q1663">
            <v>1713</v>
          </cell>
          <cell r="R1663">
            <v>180</v>
          </cell>
          <cell r="S1663">
            <v>50</v>
          </cell>
          <cell r="T1663">
            <v>108</v>
          </cell>
          <cell r="U1663">
            <v>155</v>
          </cell>
          <cell r="V1663"/>
          <cell r="W1663" t="str">
            <v>박순홍</v>
          </cell>
          <cell r="X1663" t="str">
            <v>(인)</v>
          </cell>
          <cell r="Y1663" t="str">
            <v>박순홍</v>
          </cell>
          <cell r="Z1663" t="str">
            <v>(인)</v>
          </cell>
          <cell r="AA1663" t="str">
            <v>이홍걸</v>
          </cell>
          <cell r="AB1663" t="str">
            <v>(인)</v>
          </cell>
          <cell r="AC1663" t="str">
            <v>박상갑</v>
          </cell>
          <cell r="AD1663" t="str">
            <v>(인)</v>
          </cell>
          <cell r="AE1663">
            <v>181.3</v>
          </cell>
          <cell r="AF1663" t="str">
            <v>동절기</v>
          </cell>
          <cell r="AG1663">
            <v>1</v>
          </cell>
          <cell r="AH1663">
            <v>1</v>
          </cell>
          <cell r="AI1663">
            <v>2630</v>
          </cell>
          <cell r="AJ1663">
            <v>2589</v>
          </cell>
          <cell r="AK1663">
            <v>209000</v>
          </cell>
          <cell r="AL1663">
            <v>3822</v>
          </cell>
          <cell r="AM1663">
            <v>3842</v>
          </cell>
          <cell r="AN1663">
            <v>3792</v>
          </cell>
          <cell r="AO1663">
            <v>3704</v>
          </cell>
          <cell r="AP1663">
            <v>3802</v>
          </cell>
          <cell r="AQ1663">
            <v>3733</v>
          </cell>
          <cell r="AR1663">
            <v>3872</v>
          </cell>
          <cell r="AS1663">
            <v>3706</v>
          </cell>
          <cell r="AT1663">
            <v>299400</v>
          </cell>
        </row>
        <row r="1664">
          <cell r="G1664">
            <v>2501060302</v>
          </cell>
          <cell r="H1664" t="str">
            <v>115동</v>
          </cell>
          <cell r="I1664">
            <v>250106</v>
          </cell>
          <cell r="J1664" t="str">
            <v>115동 8층 바닥</v>
          </cell>
          <cell r="K1664">
            <v>312</v>
          </cell>
          <cell r="L1664">
            <v>312</v>
          </cell>
          <cell r="M1664">
            <v>3018</v>
          </cell>
          <cell r="N1664" t="str">
            <v>영진</v>
          </cell>
          <cell r="O1664" t="str">
            <v>펌프카(1대)</v>
          </cell>
          <cell r="P1664">
            <v>1238</v>
          </cell>
          <cell r="Q1664">
            <v>1713</v>
          </cell>
          <cell r="R1664">
            <v>185</v>
          </cell>
          <cell r="S1664">
            <v>51</v>
          </cell>
          <cell r="T1664">
            <v>87</v>
          </cell>
          <cell r="U1664">
            <v>143</v>
          </cell>
          <cell r="V1664"/>
          <cell r="W1664" t="str">
            <v>박순홍</v>
          </cell>
          <cell r="X1664" t="str">
            <v>(인)</v>
          </cell>
          <cell r="Y1664" t="str">
            <v>박순홍</v>
          </cell>
          <cell r="Z1664" t="str">
            <v>(인)</v>
          </cell>
          <cell r="AA1664" t="str">
            <v>이홍걸</v>
          </cell>
          <cell r="AB1664" t="str">
            <v>(인)</v>
          </cell>
          <cell r="AC1664" t="str">
            <v>박상갑</v>
          </cell>
          <cell r="AD1664" t="str">
            <v>(인)</v>
          </cell>
          <cell r="AE1664">
            <v>184.3</v>
          </cell>
          <cell r="AF1664" t="str">
            <v>동절기</v>
          </cell>
          <cell r="AG1664">
            <v>2</v>
          </cell>
          <cell r="AH1664">
            <v>0</v>
          </cell>
        </row>
        <row r="1665">
          <cell r="G1665">
            <v>2501060303</v>
          </cell>
          <cell r="H1665" t="str">
            <v>115동</v>
          </cell>
          <cell r="I1665">
            <v>250106</v>
          </cell>
          <cell r="J1665" t="str">
            <v>115동 8층 바닥</v>
          </cell>
          <cell r="K1665">
            <v>312</v>
          </cell>
          <cell r="L1665">
            <v>312</v>
          </cell>
          <cell r="M1665">
            <v>3018</v>
          </cell>
          <cell r="N1665" t="str">
            <v>영진</v>
          </cell>
          <cell r="O1665" t="str">
            <v>펌프카(1대)</v>
          </cell>
          <cell r="P1665">
            <v>1238</v>
          </cell>
          <cell r="Q1665">
            <v>1713</v>
          </cell>
          <cell r="R1665">
            <v>190</v>
          </cell>
          <cell r="S1665">
            <v>53</v>
          </cell>
          <cell r="T1665">
            <v>51</v>
          </cell>
          <cell r="U1665">
            <v>135</v>
          </cell>
          <cell r="V1665"/>
          <cell r="W1665" t="str">
            <v>박순홍</v>
          </cell>
          <cell r="X1665" t="str">
            <v>(인)</v>
          </cell>
          <cell r="Y1665" t="str">
            <v>박순홍</v>
          </cell>
          <cell r="Z1665" t="str">
            <v>(인)</v>
          </cell>
          <cell r="AA1665" t="str">
            <v>이홍걸</v>
          </cell>
          <cell r="AB1665" t="str">
            <v>(인)</v>
          </cell>
          <cell r="AC1665" t="str">
            <v>박상갑</v>
          </cell>
          <cell r="AD1665" t="str">
            <v>(인)</v>
          </cell>
          <cell r="AE1665">
            <v>181.6</v>
          </cell>
          <cell r="AF1665" t="str">
            <v>동절기</v>
          </cell>
          <cell r="AG1665">
            <v>3</v>
          </cell>
          <cell r="AH1665">
            <v>0</v>
          </cell>
        </row>
        <row r="1666">
          <cell r="G1666">
            <v>2501060401</v>
          </cell>
          <cell r="H1666" t="str">
            <v>107동</v>
          </cell>
          <cell r="I1666">
            <v>250106</v>
          </cell>
          <cell r="J1666" t="str">
            <v>107동 1코어 PH2 바닥</v>
          </cell>
          <cell r="K1666">
            <v>30</v>
          </cell>
          <cell r="L1666">
            <v>30</v>
          </cell>
          <cell r="M1666">
            <v>3018</v>
          </cell>
          <cell r="N1666" t="str">
            <v>울산</v>
          </cell>
          <cell r="O1666" t="str">
            <v>펌프카(1대)</v>
          </cell>
          <cell r="P1666">
            <v>1406</v>
          </cell>
          <cell r="Q1666">
            <v>1456</v>
          </cell>
          <cell r="R1666">
            <v>180</v>
          </cell>
          <cell r="S1666">
            <v>46</v>
          </cell>
          <cell r="T1666">
            <v>69</v>
          </cell>
          <cell r="U1666">
            <v>152</v>
          </cell>
          <cell r="V1666"/>
          <cell r="W1666" t="str">
            <v>박순홍</v>
          </cell>
          <cell r="X1666" t="str">
            <v>(인)</v>
          </cell>
          <cell r="Y1666" t="str">
            <v>박순홍</v>
          </cell>
          <cell r="Z1666" t="str">
            <v>(인)</v>
          </cell>
          <cell r="AA1666" t="str">
            <v>이홍걸</v>
          </cell>
          <cell r="AB1666" t="str">
            <v>(인)</v>
          </cell>
          <cell r="AC1666" t="str">
            <v>박상갑</v>
          </cell>
          <cell r="AD1666" t="str">
            <v>(인)</v>
          </cell>
          <cell r="AE1666">
            <v>183.4</v>
          </cell>
          <cell r="AF1666" t="str">
            <v>동절기</v>
          </cell>
          <cell r="AG1666">
            <v>1</v>
          </cell>
          <cell r="AH1666">
            <v>1</v>
          </cell>
          <cell r="AI1666">
            <v>2582</v>
          </cell>
          <cell r="AJ1666">
            <v>2604</v>
          </cell>
          <cell r="AK1666">
            <v>210600</v>
          </cell>
          <cell r="AL1666">
            <v>3642</v>
          </cell>
          <cell r="AM1666">
            <v>3656</v>
          </cell>
          <cell r="AN1666">
            <v>3611</v>
          </cell>
          <cell r="AO1666">
            <v>3704</v>
          </cell>
          <cell r="AP1666">
            <v>3609</v>
          </cell>
          <cell r="AQ1666">
            <v>3710</v>
          </cell>
          <cell r="AR1666">
            <v>3614</v>
          </cell>
          <cell r="AS1666">
            <v>3588</v>
          </cell>
          <cell r="AT1666">
            <v>288600</v>
          </cell>
        </row>
        <row r="1667">
          <cell r="G1667">
            <v>2501060501</v>
          </cell>
          <cell r="H1667" t="str">
            <v>N-1구간</v>
          </cell>
          <cell r="I1667">
            <v>250106</v>
          </cell>
          <cell r="J1667" t="str">
            <v>N-1구간 지하 2층 바닥</v>
          </cell>
          <cell r="K1667">
            <v>166</v>
          </cell>
          <cell r="L1667">
            <v>166</v>
          </cell>
          <cell r="M1667">
            <v>2715</v>
          </cell>
          <cell r="N1667" t="str">
            <v>영진</v>
          </cell>
          <cell r="O1667" t="str">
            <v>펌프카(1대)</v>
          </cell>
          <cell r="P1667">
            <v>919</v>
          </cell>
          <cell r="Q1667">
            <v>1405</v>
          </cell>
          <cell r="R1667">
            <v>140</v>
          </cell>
          <cell r="S1667">
            <v>44</v>
          </cell>
          <cell r="T1667">
            <v>78</v>
          </cell>
          <cell r="U1667">
            <v>155</v>
          </cell>
          <cell r="V1667"/>
          <cell r="W1667" t="str">
            <v>박순홍</v>
          </cell>
          <cell r="X1667" t="str">
            <v>(인)</v>
          </cell>
          <cell r="Y1667" t="str">
            <v>박순홍</v>
          </cell>
          <cell r="Z1667" t="str">
            <v>(인)</v>
          </cell>
          <cell r="AA1667" t="str">
            <v>박상갑</v>
          </cell>
          <cell r="AB1667" t="str">
            <v>(인)</v>
          </cell>
          <cell r="AC1667" t="str">
            <v>박상갑</v>
          </cell>
          <cell r="AD1667" t="str">
            <v>(인)</v>
          </cell>
          <cell r="AE1667">
            <v>166.5</v>
          </cell>
          <cell r="AF1667" t="str">
            <v>동절기</v>
          </cell>
          <cell r="AG1667">
            <v>1</v>
          </cell>
          <cell r="AH1667">
            <v>1</v>
          </cell>
          <cell r="AI1667">
            <v>2314</v>
          </cell>
          <cell r="AJ1667">
            <v>2207</v>
          </cell>
          <cell r="AK1667">
            <v>183400</v>
          </cell>
          <cell r="AL1667">
            <v>3669</v>
          </cell>
          <cell r="AM1667">
            <v>3437</v>
          </cell>
          <cell r="AN1667">
            <v>3429</v>
          </cell>
          <cell r="AO1667">
            <v>3514</v>
          </cell>
          <cell r="AP1667">
            <v>3364</v>
          </cell>
          <cell r="AQ1667">
            <v>3372</v>
          </cell>
          <cell r="AR1667">
            <v>3407</v>
          </cell>
          <cell r="AS1667">
            <v>3514</v>
          </cell>
          <cell r="AT1667">
            <v>270400</v>
          </cell>
        </row>
        <row r="1668">
          <cell r="G1668">
            <v>2501060502</v>
          </cell>
          <cell r="H1668" t="str">
            <v>N-1구간</v>
          </cell>
          <cell r="I1668">
            <v>250106</v>
          </cell>
          <cell r="J1668" t="str">
            <v>N-1구간 지하 2층 바닥</v>
          </cell>
          <cell r="K1668">
            <v>166</v>
          </cell>
          <cell r="L1668">
            <v>166</v>
          </cell>
          <cell r="M1668">
            <v>2715</v>
          </cell>
          <cell r="N1668" t="str">
            <v>영진</v>
          </cell>
          <cell r="O1668" t="str">
            <v>펌프카(1대)</v>
          </cell>
          <cell r="P1668">
            <v>919</v>
          </cell>
          <cell r="Q1668">
            <v>1405</v>
          </cell>
          <cell r="R1668">
            <v>165</v>
          </cell>
          <cell r="S1668">
            <v>49</v>
          </cell>
          <cell r="T1668">
            <v>31</v>
          </cell>
          <cell r="U1668">
            <v>160</v>
          </cell>
          <cell r="V1668"/>
          <cell r="W1668" t="str">
            <v>박순홍</v>
          </cell>
          <cell r="X1668" t="str">
            <v>(인)</v>
          </cell>
          <cell r="Y1668" t="str">
            <v>박순홍</v>
          </cell>
          <cell r="Z1668" t="str">
            <v>(인)</v>
          </cell>
          <cell r="AA1668" t="str">
            <v>박상갑</v>
          </cell>
          <cell r="AB1668" t="str">
            <v>(인)</v>
          </cell>
          <cell r="AC1668" t="str">
            <v>박상갑</v>
          </cell>
          <cell r="AD1668" t="str">
            <v>(인)</v>
          </cell>
          <cell r="AE1668">
            <v>173.8</v>
          </cell>
          <cell r="AF1668" t="str">
            <v>동절기</v>
          </cell>
          <cell r="AG1668">
            <v>2</v>
          </cell>
          <cell r="AH1668">
            <v>0</v>
          </cell>
        </row>
        <row r="1669">
          <cell r="G1669">
            <v>2501070101</v>
          </cell>
          <cell r="H1669" t="str">
            <v>112동, 102동</v>
          </cell>
          <cell r="I1669">
            <v>250107</v>
          </cell>
          <cell r="J1669" t="str">
            <v>112동 4층 바닥 및 102동 PH1</v>
          </cell>
          <cell r="K1669">
            <v>270</v>
          </cell>
          <cell r="L1669">
            <v>271</v>
          </cell>
          <cell r="M1669">
            <v>3018</v>
          </cell>
          <cell r="N1669" t="str">
            <v>대원</v>
          </cell>
          <cell r="O1669" t="str">
            <v>펌프카(1대)</v>
          </cell>
          <cell r="P1669">
            <v>850</v>
          </cell>
          <cell r="Q1669">
            <v>1538</v>
          </cell>
          <cell r="R1669">
            <v>180</v>
          </cell>
          <cell r="S1669">
            <v>45</v>
          </cell>
          <cell r="T1669">
            <v>29</v>
          </cell>
          <cell r="U1669">
            <v>148</v>
          </cell>
          <cell r="V1669"/>
          <cell r="W1669" t="str">
            <v>박순홍</v>
          </cell>
          <cell r="X1669" t="str">
            <v>(인)</v>
          </cell>
          <cell r="Y1669" t="str">
            <v>박순홍</v>
          </cell>
          <cell r="Z1669" t="str">
            <v>(인)</v>
          </cell>
          <cell r="AA1669" t="str">
            <v>박상갑</v>
          </cell>
          <cell r="AB1669" t="str">
            <v>(인)</v>
          </cell>
          <cell r="AC1669" t="str">
            <v>박상갑</v>
          </cell>
          <cell r="AD1669" t="str">
            <v>(인)</v>
          </cell>
          <cell r="AE1669">
            <v>182.9</v>
          </cell>
          <cell r="AF1669" t="str">
            <v>동절기</v>
          </cell>
          <cell r="AG1669">
            <v>1</v>
          </cell>
          <cell r="AH1669">
            <v>1</v>
          </cell>
          <cell r="AI1669">
            <v>2740</v>
          </cell>
          <cell r="AJ1669">
            <v>2682</v>
          </cell>
          <cell r="AK1669">
            <v>265800</v>
          </cell>
          <cell r="AL1669">
            <v>3717</v>
          </cell>
          <cell r="AM1669">
            <v>3819</v>
          </cell>
          <cell r="AN1669">
            <v>3769</v>
          </cell>
          <cell r="AO1669">
            <v>3836</v>
          </cell>
          <cell r="AP1669">
            <v>3824</v>
          </cell>
          <cell r="AQ1669">
            <v>3906</v>
          </cell>
          <cell r="AR1669">
            <v>3716</v>
          </cell>
          <cell r="AS1669">
            <v>3904</v>
          </cell>
          <cell r="AT1669">
            <v>292800</v>
          </cell>
        </row>
        <row r="1670">
          <cell r="G1670">
            <v>2501070102</v>
          </cell>
          <cell r="H1670" t="str">
            <v>112동, 102동</v>
          </cell>
          <cell r="I1670">
            <v>250107</v>
          </cell>
          <cell r="J1670" t="str">
            <v>112동 4층 바닥 및 102동 PH1</v>
          </cell>
          <cell r="K1670">
            <v>270</v>
          </cell>
          <cell r="L1670">
            <v>271</v>
          </cell>
          <cell r="M1670">
            <v>3018</v>
          </cell>
          <cell r="N1670" t="str">
            <v>대원</v>
          </cell>
          <cell r="O1670" t="str">
            <v>펌프카(1대)</v>
          </cell>
          <cell r="P1670">
            <v>850</v>
          </cell>
          <cell r="Q1670">
            <v>1538</v>
          </cell>
          <cell r="R1670">
            <v>170</v>
          </cell>
          <cell r="S1670">
            <v>42</v>
          </cell>
          <cell r="T1670">
            <v>104</v>
          </cell>
          <cell r="U1670">
            <v>143</v>
          </cell>
          <cell r="V1670"/>
          <cell r="W1670" t="str">
            <v>박순홍</v>
          </cell>
          <cell r="X1670" t="str">
            <v>(인)</v>
          </cell>
          <cell r="Y1670" t="str">
            <v>박순홍</v>
          </cell>
          <cell r="Z1670" t="str">
            <v>(인)</v>
          </cell>
          <cell r="AA1670" t="str">
            <v>박상갑</v>
          </cell>
          <cell r="AB1670" t="str">
            <v>(인)</v>
          </cell>
          <cell r="AC1670" t="str">
            <v>박상갑</v>
          </cell>
          <cell r="AD1670" t="str">
            <v>(인)</v>
          </cell>
          <cell r="AE1670">
            <v>189.4</v>
          </cell>
          <cell r="AF1670" t="str">
            <v>동절기</v>
          </cell>
          <cell r="AG1670">
            <v>2</v>
          </cell>
          <cell r="AH1670">
            <v>0</v>
          </cell>
        </row>
        <row r="1671">
          <cell r="G1671">
            <v>2501070103</v>
          </cell>
          <cell r="H1671" t="str">
            <v>112동, 102동</v>
          </cell>
          <cell r="I1671">
            <v>250107</v>
          </cell>
          <cell r="J1671" t="str">
            <v>112동 4층 바닥 및 102동 PH1</v>
          </cell>
          <cell r="K1671">
            <v>270</v>
          </cell>
          <cell r="L1671">
            <v>271</v>
          </cell>
          <cell r="M1671">
            <v>3018</v>
          </cell>
          <cell r="N1671" t="str">
            <v>대원</v>
          </cell>
          <cell r="O1671" t="str">
            <v>펌프카(1대)</v>
          </cell>
          <cell r="P1671">
            <v>850</v>
          </cell>
          <cell r="Q1671">
            <v>1538</v>
          </cell>
          <cell r="R1671">
            <v>180</v>
          </cell>
          <cell r="S1671">
            <v>48</v>
          </cell>
          <cell r="T1671">
            <v>36</v>
          </cell>
          <cell r="U1671">
            <v>147</v>
          </cell>
          <cell r="V1671"/>
          <cell r="W1671" t="str">
            <v>박순홍</v>
          </cell>
          <cell r="X1671" t="str">
            <v>(인)</v>
          </cell>
          <cell r="Y1671" t="str">
            <v>박순홍</v>
          </cell>
          <cell r="Z1671" t="str">
            <v>(인)</v>
          </cell>
          <cell r="AA1671" t="str">
            <v>박상갑</v>
          </cell>
          <cell r="AB1671" t="str">
            <v>(인)</v>
          </cell>
          <cell r="AC1671" t="str">
            <v>박상갑</v>
          </cell>
          <cell r="AD1671" t="str">
            <v>(인)</v>
          </cell>
          <cell r="AE1671">
            <v>182.7</v>
          </cell>
          <cell r="AF1671" t="str">
            <v>동절기</v>
          </cell>
          <cell r="AG1671">
            <v>3</v>
          </cell>
          <cell r="AH1671">
            <v>0</v>
          </cell>
        </row>
        <row r="1672">
          <cell r="G1672">
            <v>2501070201</v>
          </cell>
          <cell r="H1672" t="str">
            <v>114동</v>
          </cell>
          <cell r="I1672">
            <v>250107</v>
          </cell>
          <cell r="J1672" t="str">
            <v>114동 11층 바닥</v>
          </cell>
          <cell r="K1672">
            <v>282</v>
          </cell>
          <cell r="L1672">
            <v>282</v>
          </cell>
          <cell r="M1672">
            <v>3018</v>
          </cell>
          <cell r="N1672" t="str">
            <v>한진</v>
          </cell>
          <cell r="O1672" t="str">
            <v>펌프카(1대)</v>
          </cell>
          <cell r="P1672">
            <v>825</v>
          </cell>
          <cell r="Q1672">
            <v>1355</v>
          </cell>
          <cell r="R1672">
            <v>195</v>
          </cell>
          <cell r="S1672">
            <v>45</v>
          </cell>
          <cell r="T1672">
            <v>11</v>
          </cell>
          <cell r="U1672">
            <v>151</v>
          </cell>
          <cell r="V1672"/>
          <cell r="W1672" t="str">
            <v>박순홍</v>
          </cell>
          <cell r="X1672" t="str">
            <v>(인)</v>
          </cell>
          <cell r="Y1672" t="str">
            <v>박순홍</v>
          </cell>
          <cell r="Z1672" t="str">
            <v>(인)</v>
          </cell>
          <cell r="AA1672" t="str">
            <v>박상갑</v>
          </cell>
          <cell r="AB1672" t="str">
            <v>(인)</v>
          </cell>
          <cell r="AC1672" t="str">
            <v>박상갑</v>
          </cell>
          <cell r="AD1672" t="str">
            <v>(인)</v>
          </cell>
          <cell r="AE1672">
            <v>189.3</v>
          </cell>
          <cell r="AF1672" t="str">
            <v>동절기</v>
          </cell>
          <cell r="AG1672">
            <v>1</v>
          </cell>
          <cell r="AH1672">
            <v>1</v>
          </cell>
          <cell r="AI1672">
            <v>2620</v>
          </cell>
          <cell r="AJ1672">
            <v>2638</v>
          </cell>
          <cell r="AK1672">
            <v>206400</v>
          </cell>
          <cell r="AL1672">
            <v>3600</v>
          </cell>
          <cell r="AM1672">
            <v>3694</v>
          </cell>
          <cell r="AN1672">
            <v>3672</v>
          </cell>
          <cell r="AO1672">
            <v>3714</v>
          </cell>
          <cell r="AP1672">
            <v>3716</v>
          </cell>
          <cell r="AQ1672">
            <v>3608</v>
          </cell>
          <cell r="AR1672">
            <v>3713</v>
          </cell>
          <cell r="AS1672">
            <v>3607</v>
          </cell>
          <cell r="AT1672">
            <v>281200</v>
          </cell>
        </row>
        <row r="1673">
          <cell r="G1673">
            <v>2501070202</v>
          </cell>
          <cell r="H1673" t="str">
            <v>114동</v>
          </cell>
          <cell r="I1673">
            <v>250107</v>
          </cell>
          <cell r="J1673" t="str">
            <v>114동 11층 바닥</v>
          </cell>
          <cell r="K1673">
            <v>282</v>
          </cell>
          <cell r="L1673">
            <v>282</v>
          </cell>
          <cell r="M1673">
            <v>3018</v>
          </cell>
          <cell r="N1673" t="str">
            <v>한진</v>
          </cell>
          <cell r="O1673" t="str">
            <v>펌프카(1대)</v>
          </cell>
          <cell r="P1673">
            <v>825</v>
          </cell>
          <cell r="Q1673">
            <v>1355</v>
          </cell>
          <cell r="R1673">
            <v>170</v>
          </cell>
          <cell r="S1673">
            <v>54</v>
          </cell>
          <cell r="T1673">
            <v>22</v>
          </cell>
          <cell r="U1673">
            <v>144</v>
          </cell>
          <cell r="V1673"/>
          <cell r="W1673" t="str">
            <v>박순홍</v>
          </cell>
          <cell r="X1673" t="str">
            <v>(인)</v>
          </cell>
          <cell r="Y1673" t="str">
            <v>박순홍</v>
          </cell>
          <cell r="Z1673" t="str">
            <v>(인)</v>
          </cell>
          <cell r="AA1673" t="str">
            <v>박상갑</v>
          </cell>
          <cell r="AB1673" t="str">
            <v>(인)</v>
          </cell>
          <cell r="AC1673" t="str">
            <v>박상갑</v>
          </cell>
          <cell r="AD1673" t="str">
            <v>(인)</v>
          </cell>
          <cell r="AE1673">
            <v>176.5</v>
          </cell>
          <cell r="AF1673" t="str">
            <v>동절기</v>
          </cell>
          <cell r="AG1673">
            <v>2</v>
          </cell>
          <cell r="AH1673">
            <v>0</v>
          </cell>
        </row>
        <row r="1674">
          <cell r="G1674">
            <v>2501070203</v>
          </cell>
          <cell r="H1674" t="str">
            <v>114동</v>
          </cell>
          <cell r="I1674">
            <v>250107</v>
          </cell>
          <cell r="J1674" t="str">
            <v>114동 11층 바닥</v>
          </cell>
          <cell r="K1674">
            <v>282</v>
          </cell>
          <cell r="L1674">
            <v>282</v>
          </cell>
          <cell r="M1674">
            <v>3018</v>
          </cell>
          <cell r="N1674" t="str">
            <v>한진</v>
          </cell>
          <cell r="O1674" t="str">
            <v>펌프카(1대)</v>
          </cell>
          <cell r="P1674">
            <v>825</v>
          </cell>
          <cell r="Q1674">
            <v>1355</v>
          </cell>
          <cell r="R1674">
            <v>180</v>
          </cell>
          <cell r="S1674">
            <v>50</v>
          </cell>
          <cell r="T1674">
            <v>18</v>
          </cell>
          <cell r="U1674">
            <v>152</v>
          </cell>
          <cell r="V1674"/>
          <cell r="W1674" t="str">
            <v>박순홍</v>
          </cell>
          <cell r="X1674" t="str">
            <v>(인)</v>
          </cell>
          <cell r="Y1674" t="str">
            <v>박순홍</v>
          </cell>
          <cell r="Z1674" t="str">
            <v>(인)</v>
          </cell>
          <cell r="AA1674" t="str">
            <v>박상갑</v>
          </cell>
          <cell r="AB1674" t="str">
            <v>(인)</v>
          </cell>
          <cell r="AC1674" t="str">
            <v>박상갑</v>
          </cell>
          <cell r="AD1674" t="str">
            <v>(인)</v>
          </cell>
          <cell r="AE1674">
            <v>183.6</v>
          </cell>
          <cell r="AF1674" t="str">
            <v>동절기</v>
          </cell>
          <cell r="AG1674">
            <v>3</v>
          </cell>
          <cell r="AH1674">
            <v>0</v>
          </cell>
        </row>
        <row r="1675">
          <cell r="G1675">
            <v>2501080101</v>
          </cell>
          <cell r="H1675" t="str">
            <v>116동</v>
          </cell>
          <cell r="I1675">
            <v>250108</v>
          </cell>
          <cell r="J1675" t="str">
            <v>116동 6층 바닥 및 101동 2코어 PH1, 107 동 파라펫</v>
          </cell>
          <cell r="K1675">
            <v>320</v>
          </cell>
          <cell r="L1675">
            <v>323</v>
          </cell>
          <cell r="M1675">
            <v>3018</v>
          </cell>
          <cell r="N1675" t="str">
            <v>대공</v>
          </cell>
          <cell r="O1675" t="str">
            <v>펌프카(1대)</v>
          </cell>
          <cell r="P1675">
            <v>830</v>
          </cell>
          <cell r="Q1675">
            <v>1408</v>
          </cell>
          <cell r="R1675">
            <v>170</v>
          </cell>
          <cell r="S1675">
            <v>52</v>
          </cell>
          <cell r="T1675">
            <v>49</v>
          </cell>
          <cell r="U1675">
            <v>136</v>
          </cell>
          <cell r="V1675"/>
          <cell r="W1675" t="str">
            <v>박순홍</v>
          </cell>
          <cell r="X1675" t="str">
            <v>(인)</v>
          </cell>
          <cell r="Y1675" t="str">
            <v>박순홍</v>
          </cell>
          <cell r="Z1675" t="str">
            <v>(인)</v>
          </cell>
          <cell r="AA1675" t="str">
            <v>박상갑</v>
          </cell>
          <cell r="AB1675" t="str">
            <v>(인)</v>
          </cell>
          <cell r="AC1675" t="str">
            <v>박상갑</v>
          </cell>
          <cell r="AD1675" t="str">
            <v>(인)</v>
          </cell>
          <cell r="AE1675">
            <v>181.8</v>
          </cell>
          <cell r="AF1675" t="str">
            <v>동절기</v>
          </cell>
          <cell r="AG1675">
            <v>1</v>
          </cell>
          <cell r="AH1675">
            <v>1</v>
          </cell>
          <cell r="AI1675">
            <v>2800</v>
          </cell>
          <cell r="AJ1675">
            <v>2736</v>
          </cell>
          <cell r="AK1675">
            <v>216100</v>
          </cell>
          <cell r="AL1675">
            <v>3702</v>
          </cell>
          <cell r="AM1675">
            <v>3753</v>
          </cell>
          <cell r="AN1675">
            <v>3768</v>
          </cell>
          <cell r="AO1675">
            <v>3830</v>
          </cell>
          <cell r="AP1675">
            <v>3712</v>
          </cell>
          <cell r="AQ1675">
            <v>3902</v>
          </cell>
          <cell r="AR1675">
            <v>3864</v>
          </cell>
          <cell r="AS1675">
            <v>3697</v>
          </cell>
          <cell r="AT1675">
            <v>300200</v>
          </cell>
        </row>
        <row r="1676">
          <cell r="G1676">
            <v>2501080102</v>
          </cell>
          <cell r="H1676" t="str">
            <v>116동</v>
          </cell>
          <cell r="I1676">
            <v>250108</v>
          </cell>
          <cell r="J1676" t="str">
            <v>116동 6층 바닥 및 101동 2코어 PH1, 107 동 파라펫</v>
          </cell>
          <cell r="K1676">
            <v>320</v>
          </cell>
          <cell r="L1676">
            <v>323</v>
          </cell>
          <cell r="M1676">
            <v>3018</v>
          </cell>
          <cell r="N1676" t="str">
            <v>대공</v>
          </cell>
          <cell r="O1676" t="str">
            <v>펌프카(1대)</v>
          </cell>
          <cell r="P1676">
            <v>830</v>
          </cell>
          <cell r="Q1676">
            <v>1408</v>
          </cell>
          <cell r="R1676">
            <v>185</v>
          </cell>
          <cell r="S1676">
            <v>50</v>
          </cell>
          <cell r="T1676">
            <v>91</v>
          </cell>
          <cell r="U1676">
            <v>158</v>
          </cell>
          <cell r="V1676"/>
          <cell r="W1676" t="str">
            <v>박순홍</v>
          </cell>
          <cell r="X1676" t="str">
            <v>(인)</v>
          </cell>
          <cell r="Y1676" t="str">
            <v>박순홍</v>
          </cell>
          <cell r="Z1676" t="str">
            <v>(인)</v>
          </cell>
          <cell r="AA1676" t="str">
            <v>박상갑</v>
          </cell>
          <cell r="AB1676" t="str">
            <v>(인)</v>
          </cell>
          <cell r="AC1676" t="str">
            <v>박상갑</v>
          </cell>
          <cell r="AD1676" t="str">
            <v>(인)</v>
          </cell>
          <cell r="AE1676">
            <v>183.2</v>
          </cell>
          <cell r="AF1676" t="str">
            <v>동절기</v>
          </cell>
          <cell r="AG1676">
            <v>2</v>
          </cell>
          <cell r="AH1676">
            <v>0</v>
          </cell>
        </row>
        <row r="1677">
          <cell r="G1677">
            <v>2501080103</v>
          </cell>
          <cell r="H1677" t="str">
            <v>116동</v>
          </cell>
          <cell r="I1677">
            <v>250108</v>
          </cell>
          <cell r="J1677" t="str">
            <v>116동 6층 바닥 및 101동 2코어 PH1, 107 동 파라펫</v>
          </cell>
          <cell r="K1677">
            <v>320</v>
          </cell>
          <cell r="L1677">
            <v>323</v>
          </cell>
          <cell r="M1677">
            <v>3018</v>
          </cell>
          <cell r="N1677" t="str">
            <v>대공</v>
          </cell>
          <cell r="O1677" t="str">
            <v>펌프카(1대)</v>
          </cell>
          <cell r="P1677">
            <v>830</v>
          </cell>
          <cell r="Q1677">
            <v>1408</v>
          </cell>
          <cell r="R1677">
            <v>170</v>
          </cell>
          <cell r="S1677">
            <v>46</v>
          </cell>
          <cell r="T1677">
            <v>103</v>
          </cell>
          <cell r="U1677">
            <v>155</v>
          </cell>
          <cell r="V1677"/>
          <cell r="W1677" t="str">
            <v>박순홍</v>
          </cell>
          <cell r="X1677" t="str">
            <v>(인)</v>
          </cell>
          <cell r="Y1677" t="str">
            <v>박순홍</v>
          </cell>
          <cell r="Z1677" t="str">
            <v>(인)</v>
          </cell>
          <cell r="AA1677" t="str">
            <v>박상갑</v>
          </cell>
          <cell r="AB1677" t="str">
            <v>(인)</v>
          </cell>
          <cell r="AC1677" t="str">
            <v>박상갑</v>
          </cell>
          <cell r="AD1677" t="str">
            <v>(인)</v>
          </cell>
          <cell r="AE1677">
            <v>182.9</v>
          </cell>
          <cell r="AF1677" t="str">
            <v>동절기</v>
          </cell>
          <cell r="AG1677">
            <v>3</v>
          </cell>
          <cell r="AH1677">
            <v>0</v>
          </cell>
        </row>
        <row r="1678">
          <cell r="G1678">
            <v>2501080201</v>
          </cell>
          <cell r="H1678" t="str">
            <v>120동</v>
          </cell>
          <cell r="I1678">
            <v>250108</v>
          </cell>
          <cell r="J1678" t="str">
            <v>120동 3층 바닥</v>
          </cell>
          <cell r="K1678">
            <v>294</v>
          </cell>
          <cell r="L1678">
            <v>294</v>
          </cell>
          <cell r="M1678">
            <v>3018</v>
          </cell>
          <cell r="N1678" t="str">
            <v>용호</v>
          </cell>
          <cell r="O1678" t="str">
            <v>펌프카(1대)</v>
          </cell>
          <cell r="P1678">
            <v>900</v>
          </cell>
          <cell r="Q1678">
            <v>1414</v>
          </cell>
          <cell r="R1678">
            <v>195</v>
          </cell>
          <cell r="S1678">
            <v>50</v>
          </cell>
          <cell r="T1678">
            <v>21</v>
          </cell>
          <cell r="U1678">
            <v>153</v>
          </cell>
          <cell r="V1678"/>
          <cell r="W1678" t="str">
            <v>박순홍</v>
          </cell>
          <cell r="X1678" t="str">
            <v>(인)</v>
          </cell>
          <cell r="Y1678" t="str">
            <v>박순홍</v>
          </cell>
          <cell r="Z1678" t="str">
            <v>(인)</v>
          </cell>
          <cell r="AA1678" t="str">
            <v>박상갑</v>
          </cell>
          <cell r="AB1678" t="str">
            <v>(인)</v>
          </cell>
          <cell r="AC1678" t="str">
            <v>박상갑</v>
          </cell>
          <cell r="AD1678" t="str">
            <v>(인)</v>
          </cell>
          <cell r="AE1678">
            <v>178.4</v>
          </cell>
          <cell r="AF1678" t="str">
            <v>동절기</v>
          </cell>
          <cell r="AG1678">
            <v>1</v>
          </cell>
          <cell r="AH1678">
            <v>1</v>
          </cell>
          <cell r="AI1678">
            <v>2745</v>
          </cell>
          <cell r="AJ1678">
            <v>2816</v>
          </cell>
          <cell r="AK1678">
            <v>215800</v>
          </cell>
          <cell r="AL1678">
            <v>3705</v>
          </cell>
          <cell r="AM1678">
            <v>3661</v>
          </cell>
          <cell r="AN1678">
            <v>3687</v>
          </cell>
          <cell r="AO1678">
            <v>3702</v>
          </cell>
          <cell r="AP1678">
            <v>3716</v>
          </cell>
          <cell r="AQ1678">
            <v>3687</v>
          </cell>
          <cell r="AR1678">
            <v>3688</v>
          </cell>
          <cell r="AS1678">
            <v>3612</v>
          </cell>
          <cell r="AT1678">
            <v>295600</v>
          </cell>
        </row>
        <row r="1679">
          <cell r="G1679">
            <v>2501080202</v>
          </cell>
          <cell r="H1679" t="str">
            <v>120동</v>
          </cell>
          <cell r="I1679">
            <v>250108</v>
          </cell>
          <cell r="J1679" t="str">
            <v>120동 3층 바닥</v>
          </cell>
          <cell r="K1679">
            <v>294</v>
          </cell>
          <cell r="L1679">
            <v>294</v>
          </cell>
          <cell r="M1679">
            <v>3018</v>
          </cell>
          <cell r="N1679" t="str">
            <v>용호</v>
          </cell>
          <cell r="O1679" t="str">
            <v>펌프카(1대)</v>
          </cell>
          <cell r="P1679">
            <v>900</v>
          </cell>
          <cell r="Q1679">
            <v>1414</v>
          </cell>
          <cell r="R1679">
            <v>190</v>
          </cell>
          <cell r="S1679">
            <v>50</v>
          </cell>
          <cell r="T1679">
            <v>14</v>
          </cell>
          <cell r="U1679">
            <v>142</v>
          </cell>
          <cell r="V1679"/>
          <cell r="W1679" t="str">
            <v>박순홍</v>
          </cell>
          <cell r="X1679" t="str">
            <v>(인)</v>
          </cell>
          <cell r="Y1679" t="str">
            <v>박순홍</v>
          </cell>
          <cell r="Z1679" t="str">
            <v>(인)</v>
          </cell>
          <cell r="AA1679" t="str">
            <v>박상갑</v>
          </cell>
          <cell r="AB1679" t="str">
            <v>(인)</v>
          </cell>
          <cell r="AC1679" t="str">
            <v>박상갑</v>
          </cell>
          <cell r="AD1679" t="str">
            <v>(인)</v>
          </cell>
          <cell r="AE1679">
            <v>187.2</v>
          </cell>
          <cell r="AF1679" t="str">
            <v>동절기</v>
          </cell>
          <cell r="AG1679">
            <v>2</v>
          </cell>
          <cell r="AH1679">
            <v>0</v>
          </cell>
        </row>
        <row r="1680">
          <cell r="G1680">
            <v>2501080203</v>
          </cell>
          <cell r="H1680" t="str">
            <v>120동</v>
          </cell>
          <cell r="I1680">
            <v>250108</v>
          </cell>
          <cell r="J1680" t="str">
            <v>120동 3층 바닥</v>
          </cell>
          <cell r="K1680">
            <v>294</v>
          </cell>
          <cell r="L1680">
            <v>294</v>
          </cell>
          <cell r="M1680">
            <v>3018</v>
          </cell>
          <cell r="N1680" t="str">
            <v>용호</v>
          </cell>
          <cell r="O1680" t="str">
            <v>펌프카(1대)</v>
          </cell>
          <cell r="P1680">
            <v>900</v>
          </cell>
          <cell r="Q1680">
            <v>1414</v>
          </cell>
          <cell r="R1680">
            <v>180</v>
          </cell>
          <cell r="S1680">
            <v>38</v>
          </cell>
          <cell r="T1680">
            <v>39</v>
          </cell>
          <cell r="U1680">
            <v>125</v>
          </cell>
          <cell r="V1680"/>
          <cell r="W1680" t="str">
            <v>박순홍</v>
          </cell>
          <cell r="X1680" t="str">
            <v>(인)</v>
          </cell>
          <cell r="Y1680" t="str">
            <v>박순홍</v>
          </cell>
          <cell r="Z1680" t="str">
            <v>(인)</v>
          </cell>
          <cell r="AA1680" t="str">
            <v>박상갑</v>
          </cell>
          <cell r="AB1680" t="str">
            <v>(인)</v>
          </cell>
          <cell r="AC1680" t="str">
            <v>박상갑</v>
          </cell>
          <cell r="AD1680" t="str">
            <v>(인)</v>
          </cell>
          <cell r="AE1680">
            <v>186.5</v>
          </cell>
          <cell r="AF1680" t="str">
            <v>동절기</v>
          </cell>
          <cell r="AG1680">
            <v>3</v>
          </cell>
          <cell r="AH1680">
            <v>0</v>
          </cell>
        </row>
        <row r="1681">
          <cell r="G1681">
            <v>2501100101</v>
          </cell>
          <cell r="H1681" t="str">
            <v>108동</v>
          </cell>
          <cell r="I1681">
            <v>250110</v>
          </cell>
          <cell r="J1681" t="str">
            <v>108동 8층 바닥</v>
          </cell>
          <cell r="K1681">
            <v>276</v>
          </cell>
          <cell r="L1681">
            <v>276</v>
          </cell>
          <cell r="M1681">
            <v>3018</v>
          </cell>
          <cell r="N1681" t="str">
            <v>용호</v>
          </cell>
          <cell r="O1681" t="str">
            <v>펌프카(1대)</v>
          </cell>
          <cell r="P1681">
            <v>1103</v>
          </cell>
          <cell r="Q1681">
            <v>1448</v>
          </cell>
          <cell r="R1681">
            <v>190</v>
          </cell>
          <cell r="S1681">
            <v>48</v>
          </cell>
          <cell r="T1681">
            <v>40</v>
          </cell>
          <cell r="U1681">
            <v>131</v>
          </cell>
          <cell r="V1681"/>
          <cell r="W1681" t="str">
            <v>박순홍</v>
          </cell>
          <cell r="X1681" t="str">
            <v>(인)</v>
          </cell>
          <cell r="Y1681" t="str">
            <v>박순홍</v>
          </cell>
          <cell r="Z1681" t="str">
            <v>(인)</v>
          </cell>
          <cell r="AA1681" t="str">
            <v>박상갑</v>
          </cell>
          <cell r="AB1681" t="str">
            <v>(인)</v>
          </cell>
          <cell r="AC1681" t="str">
            <v>박상갑</v>
          </cell>
          <cell r="AD1681" t="str">
            <v>(인)</v>
          </cell>
          <cell r="AE1681">
            <v>190.6</v>
          </cell>
          <cell r="AF1681" t="str">
            <v>동절기</v>
          </cell>
          <cell r="AG1681">
            <v>1</v>
          </cell>
          <cell r="AH1681">
            <v>1</v>
          </cell>
          <cell r="AI1681">
            <v>2546</v>
          </cell>
          <cell r="AJ1681">
            <v>2571</v>
          </cell>
          <cell r="AK1681">
            <v>204400</v>
          </cell>
          <cell r="AL1681">
            <v>3743</v>
          </cell>
          <cell r="AM1681">
            <v>3720</v>
          </cell>
          <cell r="AN1681">
            <v>3738</v>
          </cell>
          <cell r="AO1681">
            <v>3816</v>
          </cell>
          <cell r="AP1681">
            <v>3820</v>
          </cell>
          <cell r="AQ1681">
            <v>3730</v>
          </cell>
          <cell r="AR1681">
            <v>3726</v>
          </cell>
          <cell r="AS1681">
            <v>3830</v>
          </cell>
          <cell r="AT1681">
            <v>299000</v>
          </cell>
        </row>
        <row r="1682">
          <cell r="G1682">
            <v>2501100102</v>
          </cell>
          <cell r="H1682" t="str">
            <v>108동</v>
          </cell>
          <cell r="I1682">
            <v>250110</v>
          </cell>
          <cell r="J1682" t="str">
            <v>108동 8층 바닥</v>
          </cell>
          <cell r="K1682">
            <v>276</v>
          </cell>
          <cell r="L1682">
            <v>276</v>
          </cell>
          <cell r="M1682">
            <v>3018</v>
          </cell>
          <cell r="N1682" t="str">
            <v>용호</v>
          </cell>
          <cell r="O1682" t="str">
            <v>펌프카(1대)</v>
          </cell>
          <cell r="P1682">
            <v>1103</v>
          </cell>
          <cell r="Q1682">
            <v>1448</v>
          </cell>
          <cell r="R1682">
            <v>165</v>
          </cell>
          <cell r="S1682">
            <v>48</v>
          </cell>
          <cell r="T1682">
            <v>28</v>
          </cell>
          <cell r="U1682">
            <v>121</v>
          </cell>
          <cell r="V1682"/>
          <cell r="W1682" t="str">
            <v>박순홍</v>
          </cell>
          <cell r="X1682" t="str">
            <v>(인)</v>
          </cell>
          <cell r="Y1682" t="str">
            <v>박순홍</v>
          </cell>
          <cell r="Z1682" t="str">
            <v>(인)</v>
          </cell>
          <cell r="AA1682" t="str">
            <v>박상갑</v>
          </cell>
          <cell r="AB1682" t="str">
            <v>(인)</v>
          </cell>
          <cell r="AC1682" t="str">
            <v>박상갑</v>
          </cell>
          <cell r="AD1682" t="str">
            <v>(인)</v>
          </cell>
          <cell r="AE1682">
            <v>187.6</v>
          </cell>
          <cell r="AF1682" t="str">
            <v>동절기</v>
          </cell>
          <cell r="AG1682">
            <v>2</v>
          </cell>
          <cell r="AH1682">
            <v>0</v>
          </cell>
        </row>
        <row r="1683">
          <cell r="G1683">
            <v>2501100103</v>
          </cell>
          <cell r="H1683" t="str">
            <v>108동</v>
          </cell>
          <cell r="I1683">
            <v>250110</v>
          </cell>
          <cell r="J1683" t="str">
            <v>108동 8층 바닥</v>
          </cell>
          <cell r="K1683">
            <v>276</v>
          </cell>
          <cell r="L1683">
            <v>276</v>
          </cell>
          <cell r="M1683">
            <v>3018</v>
          </cell>
          <cell r="N1683" t="str">
            <v>용호</v>
          </cell>
          <cell r="O1683" t="str">
            <v>펌프카(1대)</v>
          </cell>
          <cell r="P1683">
            <v>1103</v>
          </cell>
          <cell r="Q1683">
            <v>1448</v>
          </cell>
          <cell r="R1683">
            <v>185</v>
          </cell>
          <cell r="S1683">
            <v>46</v>
          </cell>
          <cell r="T1683">
            <v>40</v>
          </cell>
          <cell r="U1683">
            <v>130</v>
          </cell>
          <cell r="V1683"/>
          <cell r="W1683" t="str">
            <v>박순홍</v>
          </cell>
          <cell r="X1683" t="str">
            <v>(인)</v>
          </cell>
          <cell r="Y1683" t="str">
            <v>박순홍</v>
          </cell>
          <cell r="Z1683" t="str">
            <v>(인)</v>
          </cell>
          <cell r="AA1683" t="str">
            <v>박상갑</v>
          </cell>
          <cell r="AB1683" t="str">
            <v>(인)</v>
          </cell>
          <cell r="AC1683" t="str">
            <v>박상갑</v>
          </cell>
          <cell r="AD1683" t="str">
            <v>(인)</v>
          </cell>
          <cell r="AE1683">
            <v>191.4</v>
          </cell>
          <cell r="AF1683" t="str">
            <v>동절기</v>
          </cell>
          <cell r="AG1683">
            <v>3</v>
          </cell>
          <cell r="AH1683">
            <v>0</v>
          </cell>
        </row>
        <row r="1684">
          <cell r="G1684">
            <v>2501100201</v>
          </cell>
          <cell r="H1684" t="str">
            <v>109동</v>
          </cell>
          <cell r="I1684">
            <v>250110</v>
          </cell>
          <cell r="J1684" t="str">
            <v>109동 14층 바닥</v>
          </cell>
          <cell r="K1684">
            <v>270</v>
          </cell>
          <cell r="L1684">
            <v>270</v>
          </cell>
          <cell r="M1684">
            <v>3018</v>
          </cell>
          <cell r="N1684" t="str">
            <v>용호</v>
          </cell>
          <cell r="O1684" t="str">
            <v>펌프카(1대)</v>
          </cell>
          <cell r="P1684">
            <v>920</v>
          </cell>
          <cell r="Q1684">
            <v>1326</v>
          </cell>
          <cell r="R1684">
            <v>200</v>
          </cell>
          <cell r="S1684">
            <v>57</v>
          </cell>
          <cell r="T1684">
            <v>22</v>
          </cell>
          <cell r="U1684">
            <v>138</v>
          </cell>
          <cell r="V1684"/>
          <cell r="W1684" t="str">
            <v>박순홍</v>
          </cell>
          <cell r="X1684" t="str">
            <v>(인)</v>
          </cell>
          <cell r="Y1684" t="str">
            <v>박순홍</v>
          </cell>
          <cell r="Z1684" t="str">
            <v>(인)</v>
          </cell>
          <cell r="AA1684" t="str">
            <v>박상갑</v>
          </cell>
          <cell r="AB1684" t="str">
            <v>(인)</v>
          </cell>
          <cell r="AC1684" t="str">
            <v>박상갑</v>
          </cell>
          <cell r="AD1684" t="str">
            <v>(인)</v>
          </cell>
          <cell r="AE1684">
            <v>189.4</v>
          </cell>
          <cell r="AF1684" t="str">
            <v>동절기</v>
          </cell>
          <cell r="AG1684">
            <v>1</v>
          </cell>
          <cell r="AH1684">
            <v>1</v>
          </cell>
          <cell r="AI1684">
            <v>2559</v>
          </cell>
          <cell r="AJ1684">
            <v>2671</v>
          </cell>
          <cell r="AK1684">
            <v>208000</v>
          </cell>
          <cell r="AL1684">
            <v>3649</v>
          </cell>
          <cell r="AM1684">
            <v>3692</v>
          </cell>
          <cell r="AN1684">
            <v>3704</v>
          </cell>
          <cell r="AO1684">
            <v>3684</v>
          </cell>
          <cell r="AP1684">
            <v>3629</v>
          </cell>
          <cell r="AQ1684">
            <v>3810</v>
          </cell>
          <cell r="AR1684">
            <v>3711</v>
          </cell>
          <cell r="AS1684">
            <v>3608</v>
          </cell>
          <cell r="AT1684">
            <v>285600</v>
          </cell>
        </row>
        <row r="1685">
          <cell r="G1685">
            <v>2501100202</v>
          </cell>
          <cell r="H1685" t="str">
            <v>109동</v>
          </cell>
          <cell r="I1685">
            <v>250110</v>
          </cell>
          <cell r="J1685" t="str">
            <v>109동 14층 바닥</v>
          </cell>
          <cell r="K1685">
            <v>270</v>
          </cell>
          <cell r="L1685">
            <v>270</v>
          </cell>
          <cell r="M1685">
            <v>3018</v>
          </cell>
          <cell r="N1685" t="str">
            <v>용호</v>
          </cell>
          <cell r="O1685" t="str">
            <v>펌프카(1대)</v>
          </cell>
          <cell r="P1685">
            <v>920</v>
          </cell>
          <cell r="Q1685">
            <v>1326</v>
          </cell>
          <cell r="R1685">
            <v>190</v>
          </cell>
          <cell r="S1685">
            <v>39</v>
          </cell>
          <cell r="T1685">
            <v>20</v>
          </cell>
          <cell r="U1685">
            <v>130</v>
          </cell>
          <cell r="V1685"/>
          <cell r="W1685" t="str">
            <v>박순홍</v>
          </cell>
          <cell r="X1685" t="str">
            <v>(인)</v>
          </cell>
          <cell r="Y1685" t="str">
            <v>박순홍</v>
          </cell>
          <cell r="Z1685" t="str">
            <v>(인)</v>
          </cell>
          <cell r="AA1685" t="str">
            <v>박상갑</v>
          </cell>
          <cell r="AB1685" t="str">
            <v>(인)</v>
          </cell>
          <cell r="AC1685" t="str">
            <v>박상갑</v>
          </cell>
          <cell r="AD1685" t="str">
            <v>(인)</v>
          </cell>
          <cell r="AE1685">
            <v>186.3</v>
          </cell>
          <cell r="AF1685" t="str">
            <v>동절기</v>
          </cell>
          <cell r="AG1685">
            <v>2</v>
          </cell>
          <cell r="AH1685">
            <v>0</v>
          </cell>
        </row>
        <row r="1686">
          <cell r="G1686">
            <v>2501100203</v>
          </cell>
          <cell r="H1686" t="str">
            <v>109동</v>
          </cell>
          <cell r="I1686">
            <v>250110</v>
          </cell>
          <cell r="J1686" t="str">
            <v>109동 14층 바닥</v>
          </cell>
          <cell r="K1686">
            <v>270</v>
          </cell>
          <cell r="L1686">
            <v>270</v>
          </cell>
          <cell r="M1686">
            <v>3018</v>
          </cell>
          <cell r="N1686" t="str">
            <v>용호</v>
          </cell>
          <cell r="O1686" t="str">
            <v>펌프카(1대)</v>
          </cell>
          <cell r="P1686">
            <v>920</v>
          </cell>
          <cell r="Q1686">
            <v>1326</v>
          </cell>
          <cell r="R1686">
            <v>190</v>
          </cell>
          <cell r="S1686">
            <v>43</v>
          </cell>
          <cell r="T1686">
            <v>14</v>
          </cell>
          <cell r="U1686">
            <v>137</v>
          </cell>
          <cell r="V1686"/>
          <cell r="W1686" t="str">
            <v>박순홍</v>
          </cell>
          <cell r="X1686" t="str">
            <v>(인)</v>
          </cell>
          <cell r="Y1686" t="str">
            <v>박순홍</v>
          </cell>
          <cell r="Z1686" t="str">
            <v>(인)</v>
          </cell>
          <cell r="AA1686" t="str">
            <v>박상갑</v>
          </cell>
          <cell r="AB1686" t="str">
            <v>(인)</v>
          </cell>
          <cell r="AC1686" t="str">
            <v>박상갑</v>
          </cell>
          <cell r="AD1686" t="str">
            <v>(인)</v>
          </cell>
          <cell r="AE1686">
            <v>179.3</v>
          </cell>
          <cell r="AF1686" t="str">
            <v>동절기</v>
          </cell>
          <cell r="AG1686">
            <v>3</v>
          </cell>
          <cell r="AH1686">
            <v>0</v>
          </cell>
        </row>
        <row r="1687">
          <cell r="G1687">
            <v>2501100301</v>
          </cell>
          <cell r="H1687" t="str">
            <v>118동</v>
          </cell>
          <cell r="I1687">
            <v>250110</v>
          </cell>
          <cell r="J1687" t="str">
            <v>118동 4층 바닥</v>
          </cell>
          <cell r="K1687">
            <v>292</v>
          </cell>
          <cell r="L1687">
            <v>292</v>
          </cell>
          <cell r="M1687">
            <v>3018</v>
          </cell>
          <cell r="N1687" t="str">
            <v>신우</v>
          </cell>
          <cell r="O1687" t="str">
            <v>펌프카(1대)</v>
          </cell>
          <cell r="P1687">
            <v>938</v>
          </cell>
          <cell r="Q1687">
            <v>1620</v>
          </cell>
          <cell r="R1687">
            <v>190</v>
          </cell>
          <cell r="S1687">
            <v>53</v>
          </cell>
          <cell r="T1687">
            <v>37</v>
          </cell>
          <cell r="U1687">
            <v>144</v>
          </cell>
          <cell r="V1687"/>
          <cell r="W1687" t="str">
            <v>박순홍</v>
          </cell>
          <cell r="X1687" t="str">
            <v>(인)</v>
          </cell>
          <cell r="Y1687" t="str">
            <v>박순홍</v>
          </cell>
          <cell r="Z1687" t="str">
            <v>(인)</v>
          </cell>
          <cell r="AA1687" t="str">
            <v>박상갑</v>
          </cell>
          <cell r="AB1687" t="str">
            <v>(인)</v>
          </cell>
          <cell r="AC1687" t="str">
            <v>박상갑</v>
          </cell>
          <cell r="AD1687" t="str">
            <v>(인)</v>
          </cell>
          <cell r="AE1687">
            <v>190.7</v>
          </cell>
          <cell r="AF1687" t="str">
            <v>동절기</v>
          </cell>
          <cell r="AG1687">
            <v>1</v>
          </cell>
          <cell r="AH1687">
            <v>1</v>
          </cell>
          <cell r="AI1687">
            <v>2599</v>
          </cell>
          <cell r="AJ1687">
            <v>2611</v>
          </cell>
          <cell r="AK1687">
            <v>204800</v>
          </cell>
          <cell r="AL1687">
            <v>3595</v>
          </cell>
          <cell r="AM1687">
            <v>3819</v>
          </cell>
          <cell r="AN1687">
            <v>3860</v>
          </cell>
          <cell r="AO1687">
            <v>3710</v>
          </cell>
          <cell r="AP1687">
            <v>3824</v>
          </cell>
          <cell r="AQ1687">
            <v>3726</v>
          </cell>
          <cell r="AR1687">
            <v>3684</v>
          </cell>
          <cell r="AS1687">
            <v>3720</v>
          </cell>
          <cell r="AT1687">
            <v>302000</v>
          </cell>
        </row>
        <row r="1688">
          <cell r="G1688">
            <v>2501100302</v>
          </cell>
          <cell r="H1688" t="str">
            <v>118동</v>
          </cell>
          <cell r="I1688">
            <v>250110</v>
          </cell>
          <cell r="J1688" t="str">
            <v>118동 4층 바닥</v>
          </cell>
          <cell r="K1688">
            <v>292</v>
          </cell>
          <cell r="L1688">
            <v>292</v>
          </cell>
          <cell r="M1688">
            <v>3018</v>
          </cell>
          <cell r="N1688" t="str">
            <v>신우</v>
          </cell>
          <cell r="O1688" t="str">
            <v>펌프카(1대)</v>
          </cell>
          <cell r="P1688">
            <v>938</v>
          </cell>
          <cell r="Q1688">
            <v>1620</v>
          </cell>
          <cell r="R1688">
            <v>185</v>
          </cell>
          <cell r="S1688">
            <v>50</v>
          </cell>
          <cell r="T1688">
            <v>6</v>
          </cell>
          <cell r="U1688">
            <v>127</v>
          </cell>
          <cell r="V1688"/>
          <cell r="W1688" t="str">
            <v>박순홍</v>
          </cell>
          <cell r="X1688" t="str">
            <v>(인)</v>
          </cell>
          <cell r="Y1688" t="str">
            <v>박순홍</v>
          </cell>
          <cell r="Z1688" t="str">
            <v>(인)</v>
          </cell>
          <cell r="AA1688" t="str">
            <v>박상갑</v>
          </cell>
          <cell r="AB1688" t="str">
            <v>(인)</v>
          </cell>
          <cell r="AC1688" t="str">
            <v>박상갑</v>
          </cell>
          <cell r="AD1688" t="str">
            <v>(인)</v>
          </cell>
          <cell r="AE1688">
            <v>183.5</v>
          </cell>
          <cell r="AF1688" t="str">
            <v>동절기</v>
          </cell>
          <cell r="AG1688">
            <v>2</v>
          </cell>
          <cell r="AH1688">
            <v>0</v>
          </cell>
        </row>
        <row r="1689">
          <cell r="G1689">
            <v>2501100303</v>
          </cell>
          <cell r="H1689" t="str">
            <v>118동</v>
          </cell>
          <cell r="I1689">
            <v>250110</v>
          </cell>
          <cell r="J1689" t="str">
            <v>118동 4층 바닥</v>
          </cell>
          <cell r="K1689">
            <v>292</v>
          </cell>
          <cell r="L1689">
            <v>292</v>
          </cell>
          <cell r="M1689">
            <v>3018</v>
          </cell>
          <cell r="N1689" t="str">
            <v>신우</v>
          </cell>
          <cell r="O1689" t="str">
            <v>펌프카(1대)</v>
          </cell>
          <cell r="P1689">
            <v>938</v>
          </cell>
          <cell r="Q1689">
            <v>1620</v>
          </cell>
          <cell r="R1689">
            <v>165</v>
          </cell>
          <cell r="S1689">
            <v>46</v>
          </cell>
          <cell r="T1689">
            <v>12</v>
          </cell>
          <cell r="U1689">
            <v>126</v>
          </cell>
          <cell r="V1689"/>
          <cell r="W1689" t="str">
            <v>박순홍</v>
          </cell>
          <cell r="X1689" t="str">
            <v>(인)</v>
          </cell>
          <cell r="Y1689" t="str">
            <v>박순홍</v>
          </cell>
          <cell r="Z1689" t="str">
            <v>(인)</v>
          </cell>
          <cell r="AA1689" t="str">
            <v>박상갑</v>
          </cell>
          <cell r="AB1689" t="str">
            <v>(인)</v>
          </cell>
          <cell r="AC1689" t="str">
            <v>박상갑</v>
          </cell>
          <cell r="AD1689" t="str">
            <v>(인)</v>
          </cell>
          <cell r="AE1689">
            <v>184.2</v>
          </cell>
          <cell r="AF1689" t="str">
            <v>동절기</v>
          </cell>
          <cell r="AG1689">
            <v>3</v>
          </cell>
          <cell r="AH1689">
            <v>0</v>
          </cell>
        </row>
        <row r="1690">
          <cell r="G1690">
            <v>2501130101</v>
          </cell>
          <cell r="H1690" t="str">
            <v>113동</v>
          </cell>
          <cell r="I1690">
            <v>250113</v>
          </cell>
          <cell r="J1690" t="str">
            <v>113동 17층 바닥</v>
          </cell>
          <cell r="K1690">
            <v>344</v>
          </cell>
          <cell r="L1690">
            <v>344</v>
          </cell>
          <cell r="M1690">
            <v>3018</v>
          </cell>
          <cell r="N1690" t="str">
            <v>영진</v>
          </cell>
          <cell r="O1690" t="str">
            <v>펌프카(1대)</v>
          </cell>
          <cell r="P1690">
            <v>836</v>
          </cell>
          <cell r="Q1690">
            <v>1709</v>
          </cell>
          <cell r="R1690">
            <v>180</v>
          </cell>
          <cell r="S1690">
            <v>38</v>
          </cell>
          <cell r="T1690">
            <v>22</v>
          </cell>
          <cell r="U1690">
            <v>166</v>
          </cell>
          <cell r="V1690"/>
          <cell r="W1690" t="str">
            <v>김광록</v>
          </cell>
          <cell r="X1690" t="str">
            <v>(인)</v>
          </cell>
          <cell r="Y1690" t="str">
            <v>박순홍</v>
          </cell>
          <cell r="Z1690" t="str">
            <v>(인)</v>
          </cell>
          <cell r="AA1690" t="str">
            <v>이홍걸</v>
          </cell>
          <cell r="AB1690" t="str">
            <v>(인)</v>
          </cell>
          <cell r="AC1690" t="str">
            <v>이홍걸</v>
          </cell>
          <cell r="AD1690" t="str">
            <v>(인)</v>
          </cell>
          <cell r="AE1690">
            <v>179.3</v>
          </cell>
          <cell r="AF1690" t="str">
            <v>동절기</v>
          </cell>
          <cell r="AG1690">
            <v>1</v>
          </cell>
          <cell r="AH1690">
            <v>1</v>
          </cell>
          <cell r="AI1690">
            <v>2531</v>
          </cell>
          <cell r="AJ1690">
            <v>2582</v>
          </cell>
          <cell r="AK1690">
            <v>199600</v>
          </cell>
          <cell r="AL1690">
            <v>3639</v>
          </cell>
          <cell r="AM1690">
            <v>3712</v>
          </cell>
          <cell r="AN1690">
            <v>3730</v>
          </cell>
          <cell r="AO1690">
            <v>3614</v>
          </cell>
          <cell r="AP1690">
            <v>3733</v>
          </cell>
          <cell r="AQ1690">
            <v>3638</v>
          </cell>
          <cell r="AR1690">
            <v>3712</v>
          </cell>
          <cell r="AS1690">
            <v>3718</v>
          </cell>
          <cell r="AT1690">
            <v>286400</v>
          </cell>
        </row>
        <row r="1691">
          <cell r="G1691">
            <v>2501130102</v>
          </cell>
          <cell r="H1691" t="str">
            <v>113동</v>
          </cell>
          <cell r="I1691">
            <v>250113</v>
          </cell>
          <cell r="J1691" t="str">
            <v>113동 17층 바닥</v>
          </cell>
          <cell r="K1691">
            <v>344</v>
          </cell>
          <cell r="L1691">
            <v>344</v>
          </cell>
          <cell r="M1691">
            <v>3018</v>
          </cell>
          <cell r="N1691" t="str">
            <v>영진</v>
          </cell>
          <cell r="O1691" t="str">
            <v>펌프카(1대)</v>
          </cell>
          <cell r="P1691">
            <v>836</v>
          </cell>
          <cell r="Q1691">
            <v>1709</v>
          </cell>
          <cell r="R1691">
            <v>170</v>
          </cell>
          <cell r="S1691">
            <v>40</v>
          </cell>
          <cell r="T1691">
            <v>21</v>
          </cell>
          <cell r="U1691">
            <v>128</v>
          </cell>
          <cell r="V1691"/>
          <cell r="W1691" t="str">
            <v>김광록</v>
          </cell>
          <cell r="X1691" t="str">
            <v>(인)</v>
          </cell>
          <cell r="Y1691" t="str">
            <v>박순홍</v>
          </cell>
          <cell r="Z1691" t="str">
            <v>(인)</v>
          </cell>
          <cell r="AA1691" t="str">
            <v>이홍걸</v>
          </cell>
          <cell r="AB1691" t="str">
            <v>(인)</v>
          </cell>
          <cell r="AC1691" t="str">
            <v>이홍걸</v>
          </cell>
          <cell r="AD1691" t="str">
            <v>(인)</v>
          </cell>
          <cell r="AE1691">
            <v>184</v>
          </cell>
          <cell r="AF1691" t="str">
            <v>동절기</v>
          </cell>
          <cell r="AG1691">
            <v>2</v>
          </cell>
          <cell r="AH1691">
            <v>0</v>
          </cell>
        </row>
        <row r="1692">
          <cell r="G1692">
            <v>2501130103</v>
          </cell>
          <cell r="H1692" t="str">
            <v>113동</v>
          </cell>
          <cell r="I1692">
            <v>250113</v>
          </cell>
          <cell r="J1692" t="str">
            <v>113동 17층 바닥</v>
          </cell>
          <cell r="K1692">
            <v>344</v>
          </cell>
          <cell r="L1692">
            <v>344</v>
          </cell>
          <cell r="M1692">
            <v>3018</v>
          </cell>
          <cell r="N1692" t="str">
            <v>영진</v>
          </cell>
          <cell r="O1692" t="str">
            <v>펌프카(1대)</v>
          </cell>
          <cell r="P1692">
            <v>836</v>
          </cell>
          <cell r="Q1692">
            <v>1709</v>
          </cell>
          <cell r="R1692">
            <v>185</v>
          </cell>
          <cell r="S1692">
            <v>48</v>
          </cell>
          <cell r="T1692">
            <v>77</v>
          </cell>
          <cell r="U1692">
            <v>171</v>
          </cell>
          <cell r="V1692"/>
          <cell r="W1692" t="str">
            <v>김광록</v>
          </cell>
          <cell r="X1692" t="str">
            <v>(인)</v>
          </cell>
          <cell r="Y1692" t="str">
            <v>박순홍</v>
          </cell>
          <cell r="Z1692" t="str">
            <v>(인)</v>
          </cell>
          <cell r="AA1692" t="str">
            <v>이홍걸</v>
          </cell>
          <cell r="AB1692" t="str">
            <v>(인)</v>
          </cell>
          <cell r="AC1692" t="str">
            <v>이홍걸</v>
          </cell>
          <cell r="AD1692" t="str">
            <v>(인)</v>
          </cell>
          <cell r="AE1692">
            <v>182.3</v>
          </cell>
          <cell r="AF1692" t="str">
            <v>동절기</v>
          </cell>
          <cell r="AG1692">
            <v>3</v>
          </cell>
          <cell r="AH1692">
            <v>0</v>
          </cell>
        </row>
        <row r="1693">
          <cell r="G1693">
            <v>2501130201</v>
          </cell>
          <cell r="H1693" t="str">
            <v>117동</v>
          </cell>
          <cell r="I1693">
            <v>250113</v>
          </cell>
          <cell r="J1693" t="str">
            <v>117동 6층 바닥</v>
          </cell>
          <cell r="K1693">
            <v>336</v>
          </cell>
          <cell r="L1693">
            <v>336</v>
          </cell>
          <cell r="M1693">
            <v>3018</v>
          </cell>
          <cell r="N1693" t="str">
            <v>용호</v>
          </cell>
          <cell r="O1693" t="str">
            <v>펌프카(1대)</v>
          </cell>
          <cell r="P1693">
            <v>1340</v>
          </cell>
          <cell r="Q1693">
            <v>1724</v>
          </cell>
          <cell r="R1693">
            <v>185</v>
          </cell>
          <cell r="S1693">
            <v>43</v>
          </cell>
          <cell r="T1693">
            <v>28</v>
          </cell>
          <cell r="U1693">
            <v>134</v>
          </cell>
          <cell r="V1693"/>
          <cell r="W1693" t="str">
            <v>박순홍</v>
          </cell>
          <cell r="X1693" t="str">
            <v>(인)</v>
          </cell>
          <cell r="Y1693" t="str">
            <v>박순홍</v>
          </cell>
          <cell r="Z1693" t="str">
            <v>(인)</v>
          </cell>
          <cell r="AA1693" t="str">
            <v>이홍걸</v>
          </cell>
          <cell r="AB1693" t="str">
            <v>(인)</v>
          </cell>
          <cell r="AC1693" t="str">
            <v>이홍걸</v>
          </cell>
          <cell r="AD1693" t="str">
            <v>(인)</v>
          </cell>
          <cell r="AE1693">
            <v>184</v>
          </cell>
          <cell r="AF1693" t="str">
            <v>동절기</v>
          </cell>
          <cell r="AG1693">
            <v>1</v>
          </cell>
          <cell r="AH1693">
            <v>1</v>
          </cell>
          <cell r="AI1693">
            <v>2579</v>
          </cell>
          <cell r="AJ1693">
            <v>2637</v>
          </cell>
          <cell r="AK1693">
            <v>211400</v>
          </cell>
          <cell r="AL1693">
            <v>3736</v>
          </cell>
          <cell r="AM1693">
            <v>3812</v>
          </cell>
          <cell r="AN1693">
            <v>3730</v>
          </cell>
          <cell r="AO1693">
            <v>3816</v>
          </cell>
          <cell r="AP1693">
            <v>3730</v>
          </cell>
          <cell r="AQ1693">
            <v>3816</v>
          </cell>
          <cell r="AR1693">
            <v>3736</v>
          </cell>
          <cell r="AS1693">
            <v>3806</v>
          </cell>
          <cell r="AT1693">
            <v>298600</v>
          </cell>
        </row>
        <row r="1694">
          <cell r="G1694">
            <v>2501130202</v>
          </cell>
          <cell r="H1694" t="str">
            <v>117동</v>
          </cell>
          <cell r="I1694">
            <v>250113</v>
          </cell>
          <cell r="J1694" t="str">
            <v>117동 6층 바닥</v>
          </cell>
          <cell r="K1694">
            <v>336</v>
          </cell>
          <cell r="L1694">
            <v>336</v>
          </cell>
          <cell r="M1694">
            <v>3018</v>
          </cell>
          <cell r="N1694" t="str">
            <v>용호</v>
          </cell>
          <cell r="O1694" t="str">
            <v>펌프카(1대)</v>
          </cell>
          <cell r="P1694">
            <v>1340</v>
          </cell>
          <cell r="Q1694">
            <v>1724</v>
          </cell>
          <cell r="R1694">
            <v>195</v>
          </cell>
          <cell r="S1694">
            <v>51</v>
          </cell>
          <cell r="T1694">
            <v>37</v>
          </cell>
          <cell r="U1694">
            <v>138</v>
          </cell>
          <cell r="V1694"/>
          <cell r="W1694" t="str">
            <v>박순홍</v>
          </cell>
          <cell r="X1694" t="str">
            <v>(인)</v>
          </cell>
          <cell r="Y1694" t="str">
            <v>박순홍</v>
          </cell>
          <cell r="Z1694" t="str">
            <v>(인)</v>
          </cell>
          <cell r="AA1694" t="str">
            <v>이홍걸</v>
          </cell>
          <cell r="AB1694" t="str">
            <v>(인)</v>
          </cell>
          <cell r="AC1694" t="str">
            <v>이홍걸</v>
          </cell>
          <cell r="AD1694" t="str">
            <v>(인)</v>
          </cell>
          <cell r="AE1694">
            <v>190.6</v>
          </cell>
          <cell r="AF1694" t="str">
            <v>동절기</v>
          </cell>
          <cell r="AG1694">
            <v>2</v>
          </cell>
          <cell r="AH1694">
            <v>0</v>
          </cell>
        </row>
        <row r="1695">
          <cell r="G1695">
            <v>2501130203</v>
          </cell>
          <cell r="H1695" t="str">
            <v>117동</v>
          </cell>
          <cell r="I1695">
            <v>250113</v>
          </cell>
          <cell r="J1695" t="str">
            <v>117동 6층 바닥</v>
          </cell>
          <cell r="K1695">
            <v>336</v>
          </cell>
          <cell r="L1695">
            <v>336</v>
          </cell>
          <cell r="M1695">
            <v>3018</v>
          </cell>
          <cell r="N1695" t="str">
            <v>용호</v>
          </cell>
          <cell r="O1695" t="str">
            <v>펌프카(1대)</v>
          </cell>
          <cell r="P1695">
            <v>1340</v>
          </cell>
          <cell r="Q1695">
            <v>1724</v>
          </cell>
          <cell r="R1695">
            <v>190</v>
          </cell>
          <cell r="S1695">
            <v>48</v>
          </cell>
          <cell r="T1695">
            <v>38</v>
          </cell>
          <cell r="U1695">
            <v>131</v>
          </cell>
          <cell r="V1695"/>
          <cell r="W1695" t="str">
            <v>박순홍</v>
          </cell>
          <cell r="X1695" t="str">
            <v>(인)</v>
          </cell>
          <cell r="Y1695" t="str">
            <v>박순홍</v>
          </cell>
          <cell r="Z1695" t="str">
            <v>(인)</v>
          </cell>
          <cell r="AA1695" t="str">
            <v>이홍걸</v>
          </cell>
          <cell r="AB1695" t="str">
            <v>(인)</v>
          </cell>
          <cell r="AC1695" t="str">
            <v>이홍걸</v>
          </cell>
          <cell r="AD1695" t="str">
            <v>(인)</v>
          </cell>
          <cell r="AE1695">
            <v>183.7</v>
          </cell>
          <cell r="AF1695" t="str">
            <v>동절기</v>
          </cell>
          <cell r="AG1695">
            <v>3</v>
          </cell>
          <cell r="AH1695">
            <v>0</v>
          </cell>
        </row>
        <row r="1696">
          <cell r="G1696">
            <v>2501130301</v>
          </cell>
          <cell r="H1696" t="str">
            <v>111동</v>
          </cell>
          <cell r="I1696">
            <v>250113</v>
          </cell>
          <cell r="J1696" t="str">
            <v>111동 14층 바닥</v>
          </cell>
          <cell r="K1696">
            <v>282</v>
          </cell>
          <cell r="L1696">
            <v>282</v>
          </cell>
          <cell r="M1696">
            <v>3018</v>
          </cell>
          <cell r="N1696" t="str">
            <v>용호</v>
          </cell>
          <cell r="O1696" t="str">
            <v>펌프카(1대)</v>
          </cell>
          <cell r="P1696">
            <v>837</v>
          </cell>
          <cell r="Q1696">
            <v>1229</v>
          </cell>
          <cell r="R1696">
            <v>200</v>
          </cell>
          <cell r="S1696">
            <v>38</v>
          </cell>
          <cell r="T1696">
            <v>11</v>
          </cell>
          <cell r="U1696">
            <v>175</v>
          </cell>
          <cell r="V1696"/>
          <cell r="W1696" t="str">
            <v>김광록</v>
          </cell>
          <cell r="X1696" t="str">
            <v>(인)</v>
          </cell>
          <cell r="Y1696" t="str">
            <v>박순홍</v>
          </cell>
          <cell r="Z1696" t="str">
            <v>(인)</v>
          </cell>
          <cell r="AA1696" t="str">
            <v>이홍걸</v>
          </cell>
          <cell r="AB1696" t="str">
            <v>(인)</v>
          </cell>
          <cell r="AC1696" t="str">
            <v>이홍걸</v>
          </cell>
          <cell r="AD1696" t="str">
            <v>(인)</v>
          </cell>
          <cell r="AE1696">
            <v>184</v>
          </cell>
          <cell r="AF1696" t="str">
            <v>동절기</v>
          </cell>
          <cell r="AG1696">
            <v>1</v>
          </cell>
          <cell r="AH1696">
            <v>1</v>
          </cell>
          <cell r="AI1696">
            <v>2586</v>
          </cell>
          <cell r="AJ1696">
            <v>2602</v>
          </cell>
          <cell r="AK1696">
            <v>202600</v>
          </cell>
          <cell r="AL1696">
            <v>3730</v>
          </cell>
          <cell r="AM1696">
            <v>3684</v>
          </cell>
          <cell r="AN1696">
            <v>3706</v>
          </cell>
          <cell r="AO1696">
            <v>3692</v>
          </cell>
          <cell r="AP1696">
            <v>3802</v>
          </cell>
          <cell r="AQ1696">
            <v>3672</v>
          </cell>
          <cell r="AR1696">
            <v>3734</v>
          </cell>
          <cell r="AS1696">
            <v>3716</v>
          </cell>
          <cell r="AT1696">
            <v>292400</v>
          </cell>
        </row>
        <row r="1697">
          <cell r="G1697">
            <v>2501130302</v>
          </cell>
          <cell r="H1697" t="str">
            <v>111동</v>
          </cell>
          <cell r="I1697">
            <v>250113</v>
          </cell>
          <cell r="J1697" t="str">
            <v>111동 14층 바닥</v>
          </cell>
          <cell r="K1697">
            <v>282</v>
          </cell>
          <cell r="L1697">
            <v>282</v>
          </cell>
          <cell r="M1697">
            <v>3018</v>
          </cell>
          <cell r="N1697" t="str">
            <v>용호</v>
          </cell>
          <cell r="O1697" t="str">
            <v>펌프카(1대)</v>
          </cell>
          <cell r="P1697">
            <v>837</v>
          </cell>
          <cell r="Q1697">
            <v>1229</v>
          </cell>
          <cell r="R1697">
            <v>195</v>
          </cell>
          <cell r="S1697">
            <v>50</v>
          </cell>
          <cell r="T1697">
            <v>70</v>
          </cell>
          <cell r="U1697">
            <v>184</v>
          </cell>
          <cell r="V1697"/>
          <cell r="W1697" t="str">
            <v>김광록</v>
          </cell>
          <cell r="X1697" t="str">
            <v>(인)</v>
          </cell>
          <cell r="Y1697" t="str">
            <v>박순홍</v>
          </cell>
          <cell r="Z1697" t="str">
            <v>(인)</v>
          </cell>
          <cell r="AA1697" t="str">
            <v>이홍걸</v>
          </cell>
          <cell r="AB1697" t="str">
            <v>(인)</v>
          </cell>
          <cell r="AC1697" t="str">
            <v>이홍걸</v>
          </cell>
          <cell r="AD1697" t="str">
            <v>(인)</v>
          </cell>
          <cell r="AE1697">
            <v>179.3</v>
          </cell>
          <cell r="AF1697" t="str">
            <v>동절기</v>
          </cell>
          <cell r="AG1697">
            <v>2</v>
          </cell>
          <cell r="AH1697">
            <v>0</v>
          </cell>
        </row>
        <row r="1698">
          <cell r="G1698">
            <v>2501130303</v>
          </cell>
          <cell r="H1698" t="str">
            <v>111동</v>
          </cell>
          <cell r="I1698">
            <v>250113</v>
          </cell>
          <cell r="J1698" t="str">
            <v>111동 14층 바닥</v>
          </cell>
          <cell r="K1698">
            <v>282</v>
          </cell>
          <cell r="L1698">
            <v>282</v>
          </cell>
          <cell r="M1698">
            <v>3018</v>
          </cell>
          <cell r="N1698" t="str">
            <v>용호</v>
          </cell>
          <cell r="O1698" t="str">
            <v>펌프카(1대)</v>
          </cell>
          <cell r="P1698">
            <v>837</v>
          </cell>
          <cell r="Q1698">
            <v>1229</v>
          </cell>
          <cell r="R1698">
            <v>190</v>
          </cell>
          <cell r="S1698">
            <v>42</v>
          </cell>
          <cell r="T1698">
            <v>74</v>
          </cell>
          <cell r="U1698">
            <v>135</v>
          </cell>
          <cell r="V1698"/>
          <cell r="W1698" t="str">
            <v>김광록</v>
          </cell>
          <cell r="X1698" t="str">
            <v>(인)</v>
          </cell>
          <cell r="Y1698" t="str">
            <v>박순홍</v>
          </cell>
          <cell r="Z1698" t="str">
            <v>(인)</v>
          </cell>
          <cell r="AA1698" t="str">
            <v>이홍걸</v>
          </cell>
          <cell r="AB1698" t="str">
            <v>(인)</v>
          </cell>
          <cell r="AC1698" t="str">
            <v>이홍걸</v>
          </cell>
          <cell r="AD1698" t="str">
            <v>(인)</v>
          </cell>
          <cell r="AE1698">
            <v>179.5</v>
          </cell>
          <cell r="AF1698" t="str">
            <v>동절기</v>
          </cell>
          <cell r="AG1698">
            <v>3</v>
          </cell>
          <cell r="AH1698">
            <v>0</v>
          </cell>
        </row>
        <row r="1699">
          <cell r="G1699">
            <v>2501130401</v>
          </cell>
          <cell r="H1699" t="str">
            <v>주차장</v>
          </cell>
          <cell r="I1699">
            <v>250113</v>
          </cell>
          <cell r="J1699" t="str">
            <v>12-1구간 주차장 바닥</v>
          </cell>
          <cell r="K1699">
            <v>54</v>
          </cell>
          <cell r="L1699">
            <v>54</v>
          </cell>
          <cell r="M1699">
            <v>2715</v>
          </cell>
          <cell r="N1699" t="str">
            <v>영진</v>
          </cell>
          <cell r="O1699" t="str">
            <v>펌프카(1대)</v>
          </cell>
          <cell r="P1699">
            <v>1603</v>
          </cell>
          <cell r="Q1699">
            <v>1725</v>
          </cell>
          <cell r="R1699">
            <v>160</v>
          </cell>
          <cell r="S1699">
            <v>47</v>
          </cell>
          <cell r="T1699">
            <v>35</v>
          </cell>
          <cell r="U1699">
            <v>140</v>
          </cell>
          <cell r="V1699"/>
          <cell r="W1699" t="str">
            <v>박순홍</v>
          </cell>
          <cell r="X1699" t="str">
            <v>(인)</v>
          </cell>
          <cell r="Y1699" t="str">
            <v>박순홍</v>
          </cell>
          <cell r="Z1699" t="str">
            <v>(인)</v>
          </cell>
          <cell r="AA1699" t="str">
            <v>이홍걸</v>
          </cell>
          <cell r="AB1699" t="str">
            <v>(인)</v>
          </cell>
          <cell r="AC1699" t="str">
            <v>이홍걸</v>
          </cell>
          <cell r="AD1699" t="str">
            <v>(인)</v>
          </cell>
          <cell r="AE1699">
            <v>181.5</v>
          </cell>
          <cell r="AF1699" t="str">
            <v>동절기</v>
          </cell>
          <cell r="AG1699">
            <v>1</v>
          </cell>
          <cell r="AH1699">
            <v>1</v>
          </cell>
          <cell r="AI1699">
            <v>2307</v>
          </cell>
          <cell r="AJ1699">
            <v>2219</v>
          </cell>
          <cell r="AK1699">
            <v>175000</v>
          </cell>
          <cell r="AL1699">
            <v>3512</v>
          </cell>
          <cell r="AM1699">
            <v>3480</v>
          </cell>
          <cell r="AN1699">
            <v>3512</v>
          </cell>
          <cell r="AO1699">
            <v>3604</v>
          </cell>
          <cell r="AP1699">
            <v>3416</v>
          </cell>
          <cell r="AQ1699">
            <v>3430</v>
          </cell>
          <cell r="AR1699">
            <v>3427</v>
          </cell>
          <cell r="AS1699">
            <v>3314</v>
          </cell>
          <cell r="AT1699">
            <v>296600</v>
          </cell>
        </row>
        <row r="1700">
          <cell r="G1700">
            <v>2501140101</v>
          </cell>
          <cell r="H1700" t="str">
            <v>110동</v>
          </cell>
          <cell r="I1700">
            <v>250114</v>
          </cell>
          <cell r="J1700" t="str">
            <v>110동 14층 바닥</v>
          </cell>
          <cell r="K1700">
            <v>293</v>
          </cell>
          <cell r="L1700">
            <v>293</v>
          </cell>
          <cell r="M1700">
            <v>3018</v>
          </cell>
          <cell r="N1700" t="str">
            <v>대원</v>
          </cell>
          <cell r="O1700" t="str">
            <v>펌프카(1대)</v>
          </cell>
          <cell r="P1700">
            <v>820</v>
          </cell>
          <cell r="Q1700">
            <v>1258</v>
          </cell>
          <cell r="R1700">
            <v>180</v>
          </cell>
          <cell r="S1700">
            <v>44</v>
          </cell>
          <cell r="T1700">
            <v>34</v>
          </cell>
          <cell r="U1700">
            <v>158</v>
          </cell>
          <cell r="V1700"/>
          <cell r="W1700" t="str">
            <v>김광록</v>
          </cell>
          <cell r="X1700" t="str">
            <v>(인)</v>
          </cell>
          <cell r="Y1700" t="str">
            <v>박순홍</v>
          </cell>
          <cell r="Z1700" t="str">
            <v>(인)</v>
          </cell>
          <cell r="AA1700" t="str">
            <v>이홍걸</v>
          </cell>
          <cell r="AB1700" t="str">
            <v>(인)</v>
          </cell>
          <cell r="AC1700" t="str">
            <v>이홍걸</v>
          </cell>
          <cell r="AD1700" t="str">
            <v>(인)</v>
          </cell>
          <cell r="AE1700">
            <v>184.2</v>
          </cell>
          <cell r="AF1700" t="str">
            <v>동절기</v>
          </cell>
          <cell r="AG1700">
            <v>1</v>
          </cell>
          <cell r="AH1700">
            <v>1</v>
          </cell>
          <cell r="AI1700">
            <v>2608</v>
          </cell>
          <cell r="AJ1700">
            <v>2702</v>
          </cell>
          <cell r="AK1700">
            <v>206000</v>
          </cell>
          <cell r="AL1700">
            <v>3710</v>
          </cell>
          <cell r="AM1700">
            <v>3684</v>
          </cell>
          <cell r="AN1700">
            <v>3730</v>
          </cell>
          <cell r="AO1700">
            <v>3684</v>
          </cell>
          <cell r="AP1700">
            <v>3730</v>
          </cell>
          <cell r="AQ1700">
            <v>3716</v>
          </cell>
          <cell r="AR1700">
            <v>3688</v>
          </cell>
          <cell r="AS1700">
            <v>3672</v>
          </cell>
          <cell r="AT1700">
            <v>295800</v>
          </cell>
        </row>
        <row r="1701">
          <cell r="G1701">
            <v>2501140102</v>
          </cell>
          <cell r="H1701" t="str">
            <v>110동</v>
          </cell>
          <cell r="I1701">
            <v>250114</v>
          </cell>
          <cell r="J1701" t="str">
            <v>110동 14층 바닥</v>
          </cell>
          <cell r="K1701">
            <v>293</v>
          </cell>
          <cell r="L1701">
            <v>293</v>
          </cell>
          <cell r="M1701">
            <v>3018</v>
          </cell>
          <cell r="N1701" t="str">
            <v>대원</v>
          </cell>
          <cell r="O1701" t="str">
            <v>펌프카(1대)</v>
          </cell>
          <cell r="P1701">
            <v>820</v>
          </cell>
          <cell r="Q1701">
            <v>1258</v>
          </cell>
          <cell r="R1701">
            <v>175</v>
          </cell>
          <cell r="S1701">
            <v>39</v>
          </cell>
          <cell r="T1701">
            <v>47</v>
          </cell>
          <cell r="U1701">
            <v>153</v>
          </cell>
          <cell r="V1701"/>
          <cell r="W1701" t="str">
            <v>김광록</v>
          </cell>
          <cell r="X1701" t="str">
            <v>(인)</v>
          </cell>
          <cell r="Y1701" t="str">
            <v>박순홍</v>
          </cell>
          <cell r="Z1701" t="str">
            <v>(인)</v>
          </cell>
          <cell r="AA1701" t="str">
            <v>이홍걸</v>
          </cell>
          <cell r="AB1701" t="str">
            <v>(인)</v>
          </cell>
          <cell r="AC1701" t="str">
            <v>이홍걸</v>
          </cell>
          <cell r="AD1701" t="str">
            <v>(인)</v>
          </cell>
          <cell r="AE1701">
            <v>184</v>
          </cell>
          <cell r="AF1701" t="str">
            <v>동절기</v>
          </cell>
          <cell r="AG1701">
            <v>2</v>
          </cell>
          <cell r="AH1701">
            <v>0</v>
          </cell>
        </row>
        <row r="1702">
          <cell r="G1702">
            <v>2501140103</v>
          </cell>
          <cell r="H1702" t="str">
            <v>110동</v>
          </cell>
          <cell r="I1702">
            <v>250114</v>
          </cell>
          <cell r="J1702" t="str">
            <v>110동 14층 바닥</v>
          </cell>
          <cell r="K1702">
            <v>293</v>
          </cell>
          <cell r="L1702">
            <v>293</v>
          </cell>
          <cell r="M1702">
            <v>3018</v>
          </cell>
          <cell r="N1702" t="str">
            <v>대원</v>
          </cell>
          <cell r="O1702" t="str">
            <v>펌프카(1대)</v>
          </cell>
          <cell r="P1702">
            <v>820</v>
          </cell>
          <cell r="Q1702">
            <v>1258</v>
          </cell>
          <cell r="R1702">
            <v>195</v>
          </cell>
          <cell r="S1702">
            <v>46</v>
          </cell>
          <cell r="T1702">
            <v>27</v>
          </cell>
          <cell r="U1702">
            <v>167</v>
          </cell>
          <cell r="V1702"/>
          <cell r="W1702" t="str">
            <v>김광록</v>
          </cell>
          <cell r="X1702" t="str">
            <v>(인)</v>
          </cell>
          <cell r="Y1702" t="str">
            <v>박순홍</v>
          </cell>
          <cell r="Z1702" t="str">
            <v>(인)</v>
          </cell>
          <cell r="AA1702" t="str">
            <v>이홍걸</v>
          </cell>
          <cell r="AB1702" t="str">
            <v>(인)</v>
          </cell>
          <cell r="AC1702" t="str">
            <v>이홍걸</v>
          </cell>
          <cell r="AD1702" t="str">
            <v>(인)</v>
          </cell>
          <cell r="AE1702">
            <v>183.5</v>
          </cell>
          <cell r="AF1702" t="str">
            <v>동절기</v>
          </cell>
          <cell r="AG1702">
            <v>3</v>
          </cell>
          <cell r="AH1702">
            <v>0</v>
          </cell>
        </row>
        <row r="1703">
          <cell r="G1703">
            <v>2501140201</v>
          </cell>
          <cell r="H1703" t="str">
            <v>115동</v>
          </cell>
          <cell r="I1703">
            <v>250114</v>
          </cell>
          <cell r="J1703" t="str">
            <v>115동 9층 바닥</v>
          </cell>
          <cell r="K1703">
            <v>288</v>
          </cell>
          <cell r="L1703">
            <v>288</v>
          </cell>
          <cell r="M1703">
            <v>3018</v>
          </cell>
          <cell r="N1703" t="str">
            <v>용호</v>
          </cell>
          <cell r="O1703" t="str">
            <v>펌프카(1대)</v>
          </cell>
          <cell r="P1703">
            <v>841</v>
          </cell>
          <cell r="Q1703">
            <v>1349</v>
          </cell>
          <cell r="R1703">
            <v>190</v>
          </cell>
          <cell r="S1703">
            <v>47</v>
          </cell>
          <cell r="T1703">
            <v>71</v>
          </cell>
          <cell r="U1703">
            <v>178</v>
          </cell>
          <cell r="V1703"/>
          <cell r="W1703" t="str">
            <v>김광록</v>
          </cell>
          <cell r="X1703" t="str">
            <v>(인)</v>
          </cell>
          <cell r="Y1703" t="str">
            <v>박순홍</v>
          </cell>
          <cell r="Z1703" t="str">
            <v>(인)</v>
          </cell>
          <cell r="AA1703" t="str">
            <v>이홍걸</v>
          </cell>
          <cell r="AB1703" t="str">
            <v>(인)</v>
          </cell>
          <cell r="AC1703" t="str">
            <v>이홍걸</v>
          </cell>
          <cell r="AD1703" t="str">
            <v>(인)</v>
          </cell>
          <cell r="AE1703">
            <v>177.5</v>
          </cell>
          <cell r="AF1703" t="str">
            <v>동절기</v>
          </cell>
          <cell r="AG1703">
            <v>1</v>
          </cell>
          <cell r="AH1703">
            <v>1</v>
          </cell>
          <cell r="AI1703">
            <v>2773</v>
          </cell>
          <cell r="AJ1703">
            <v>2706</v>
          </cell>
          <cell r="AK1703">
            <v>214400</v>
          </cell>
          <cell r="AL1703">
            <v>3830</v>
          </cell>
          <cell r="AM1703">
            <v>3679</v>
          </cell>
          <cell r="AN1703">
            <v>3688</v>
          </cell>
          <cell r="AO1703">
            <v>3832</v>
          </cell>
          <cell r="AP1703">
            <v>3876</v>
          </cell>
          <cell r="AQ1703">
            <v>3902</v>
          </cell>
          <cell r="AR1703">
            <v>3638</v>
          </cell>
          <cell r="AS1703">
            <v>3676</v>
          </cell>
          <cell r="AT1703">
            <v>292600</v>
          </cell>
        </row>
        <row r="1704">
          <cell r="G1704">
            <v>2501140202</v>
          </cell>
          <cell r="H1704" t="str">
            <v>115동</v>
          </cell>
          <cell r="I1704">
            <v>250114</v>
          </cell>
          <cell r="J1704" t="str">
            <v>115동 9층 바닥</v>
          </cell>
          <cell r="K1704">
            <v>288</v>
          </cell>
          <cell r="L1704">
            <v>288</v>
          </cell>
          <cell r="M1704">
            <v>3018</v>
          </cell>
          <cell r="N1704" t="str">
            <v>용호</v>
          </cell>
          <cell r="O1704" t="str">
            <v>펌프카(1대)</v>
          </cell>
          <cell r="P1704">
            <v>841</v>
          </cell>
          <cell r="Q1704">
            <v>1349</v>
          </cell>
          <cell r="R1704">
            <v>185</v>
          </cell>
          <cell r="S1704">
            <v>49</v>
          </cell>
          <cell r="T1704">
            <v>58</v>
          </cell>
          <cell r="U1704">
            <v>167</v>
          </cell>
          <cell r="V1704"/>
          <cell r="W1704" t="str">
            <v>김광록</v>
          </cell>
          <cell r="X1704" t="str">
            <v>(인)</v>
          </cell>
          <cell r="Y1704" t="str">
            <v>박순홍</v>
          </cell>
          <cell r="Z1704" t="str">
            <v>(인)</v>
          </cell>
          <cell r="AA1704" t="str">
            <v>이홍걸</v>
          </cell>
          <cell r="AB1704" t="str">
            <v>(인)</v>
          </cell>
          <cell r="AC1704" t="str">
            <v>이홍걸</v>
          </cell>
          <cell r="AD1704" t="str">
            <v>(인)</v>
          </cell>
          <cell r="AE1704">
            <v>178.3</v>
          </cell>
          <cell r="AF1704" t="str">
            <v>동절기</v>
          </cell>
          <cell r="AG1704">
            <v>2</v>
          </cell>
          <cell r="AH1704">
            <v>0</v>
          </cell>
        </row>
        <row r="1705">
          <cell r="G1705">
            <v>2501140203</v>
          </cell>
          <cell r="H1705" t="str">
            <v>115동</v>
          </cell>
          <cell r="I1705">
            <v>250114</v>
          </cell>
          <cell r="J1705" t="str">
            <v>115동 9층 바닥</v>
          </cell>
          <cell r="K1705">
            <v>288</v>
          </cell>
          <cell r="L1705">
            <v>288</v>
          </cell>
          <cell r="M1705">
            <v>3018</v>
          </cell>
          <cell r="N1705" t="str">
            <v>용호</v>
          </cell>
          <cell r="O1705" t="str">
            <v>펌프카(1대)</v>
          </cell>
          <cell r="P1705">
            <v>841</v>
          </cell>
          <cell r="Q1705">
            <v>1349</v>
          </cell>
          <cell r="R1705">
            <v>200</v>
          </cell>
          <cell r="S1705">
            <v>41</v>
          </cell>
          <cell r="T1705">
            <v>81</v>
          </cell>
          <cell r="U1705">
            <v>172</v>
          </cell>
          <cell r="V1705"/>
          <cell r="W1705" t="str">
            <v>김광록</v>
          </cell>
          <cell r="X1705" t="str">
            <v>(인)</v>
          </cell>
          <cell r="Y1705" t="str">
            <v>박순홍</v>
          </cell>
          <cell r="Z1705" t="str">
            <v>(인)</v>
          </cell>
          <cell r="AA1705" t="str">
            <v>이홍걸</v>
          </cell>
          <cell r="AB1705" t="str">
            <v>(인)</v>
          </cell>
          <cell r="AC1705" t="str">
            <v>이홍걸</v>
          </cell>
          <cell r="AD1705" t="str">
            <v>(인)</v>
          </cell>
          <cell r="AE1705">
            <v>175.9</v>
          </cell>
          <cell r="AF1705" t="str">
            <v>동절기</v>
          </cell>
          <cell r="AG1705">
            <v>3</v>
          </cell>
          <cell r="AH1705">
            <v>0</v>
          </cell>
        </row>
        <row r="1706">
          <cell r="G1706">
            <v>2501140301</v>
          </cell>
          <cell r="H1706" t="str">
            <v>119동</v>
          </cell>
          <cell r="I1706">
            <v>250114</v>
          </cell>
          <cell r="J1706" t="str">
            <v>119동 5층 바닥</v>
          </cell>
          <cell r="K1706">
            <v>292</v>
          </cell>
          <cell r="L1706">
            <v>292</v>
          </cell>
          <cell r="M1706">
            <v>3018</v>
          </cell>
          <cell r="N1706" t="str">
            <v>대공</v>
          </cell>
          <cell r="O1706" t="str">
            <v>펌프카(1대)</v>
          </cell>
          <cell r="P1706">
            <v>938</v>
          </cell>
          <cell r="Q1706">
            <v>1441</v>
          </cell>
          <cell r="R1706">
            <v>185</v>
          </cell>
          <cell r="S1706">
            <v>44</v>
          </cell>
          <cell r="T1706">
            <v>22</v>
          </cell>
          <cell r="U1706">
            <v>164</v>
          </cell>
          <cell r="V1706"/>
          <cell r="W1706" t="str">
            <v>박순홍</v>
          </cell>
          <cell r="X1706" t="str">
            <v>(인)</v>
          </cell>
          <cell r="Y1706" t="str">
            <v>박순홍</v>
          </cell>
          <cell r="Z1706" t="str">
            <v>(인)</v>
          </cell>
          <cell r="AA1706" t="str">
            <v>이홍걸</v>
          </cell>
          <cell r="AB1706" t="str">
            <v>(인)</v>
          </cell>
          <cell r="AC1706" t="str">
            <v>이홍걸</v>
          </cell>
          <cell r="AD1706" t="str">
            <v>(인)</v>
          </cell>
          <cell r="AE1706">
            <v>186.3</v>
          </cell>
          <cell r="AF1706" t="str">
            <v>동절기</v>
          </cell>
          <cell r="AG1706">
            <v>1</v>
          </cell>
          <cell r="AH1706">
            <v>1</v>
          </cell>
          <cell r="AI1706">
            <v>2765</v>
          </cell>
          <cell r="AJ1706">
            <v>2680</v>
          </cell>
          <cell r="AK1706">
            <v>207800</v>
          </cell>
          <cell r="AL1706">
            <v>3864</v>
          </cell>
          <cell r="AM1706">
            <v>3729</v>
          </cell>
          <cell r="AN1706">
            <v>3906</v>
          </cell>
          <cell r="AO1706">
            <v>3986</v>
          </cell>
          <cell r="AP1706">
            <v>3970</v>
          </cell>
          <cell r="AQ1706">
            <v>3933</v>
          </cell>
          <cell r="AR1706">
            <v>3864</v>
          </cell>
          <cell r="AS1706">
            <v>3920</v>
          </cell>
          <cell r="AT1706">
            <v>311200</v>
          </cell>
        </row>
        <row r="1707">
          <cell r="G1707">
            <v>2501140302</v>
          </cell>
          <cell r="H1707" t="str">
            <v>119동</v>
          </cell>
          <cell r="I1707">
            <v>250114</v>
          </cell>
          <cell r="J1707" t="str">
            <v>119동 5층 바닥</v>
          </cell>
          <cell r="K1707">
            <v>292</v>
          </cell>
          <cell r="L1707">
            <v>292</v>
          </cell>
          <cell r="M1707">
            <v>3018</v>
          </cell>
          <cell r="N1707" t="str">
            <v>대공</v>
          </cell>
          <cell r="O1707" t="str">
            <v>펌프카(1대)</v>
          </cell>
          <cell r="P1707">
            <v>938</v>
          </cell>
          <cell r="Q1707">
            <v>1441</v>
          </cell>
          <cell r="R1707">
            <v>190</v>
          </cell>
          <cell r="S1707">
            <v>46</v>
          </cell>
          <cell r="T1707">
            <v>12</v>
          </cell>
          <cell r="U1707">
            <v>169</v>
          </cell>
          <cell r="V1707"/>
          <cell r="W1707" t="str">
            <v>박순홍</v>
          </cell>
          <cell r="X1707" t="str">
            <v>(인)</v>
          </cell>
          <cell r="Y1707" t="str">
            <v>박순홍</v>
          </cell>
          <cell r="Z1707" t="str">
            <v>(인)</v>
          </cell>
          <cell r="AA1707" t="str">
            <v>이홍걸</v>
          </cell>
          <cell r="AB1707" t="str">
            <v>(인)</v>
          </cell>
          <cell r="AC1707" t="str">
            <v>이홍걸</v>
          </cell>
          <cell r="AD1707" t="str">
            <v>(인)</v>
          </cell>
          <cell r="AE1707">
            <v>180.9</v>
          </cell>
          <cell r="AF1707" t="str">
            <v>동절기</v>
          </cell>
          <cell r="AG1707">
            <v>2</v>
          </cell>
          <cell r="AH1707">
            <v>0</v>
          </cell>
        </row>
        <row r="1708">
          <cell r="G1708">
            <v>2501140303</v>
          </cell>
          <cell r="H1708" t="str">
            <v>119동</v>
          </cell>
          <cell r="I1708">
            <v>250114</v>
          </cell>
          <cell r="J1708" t="str">
            <v>119동 5층 바닥</v>
          </cell>
          <cell r="K1708">
            <v>292</v>
          </cell>
          <cell r="L1708">
            <v>292</v>
          </cell>
          <cell r="M1708">
            <v>3018</v>
          </cell>
          <cell r="N1708" t="str">
            <v>대공</v>
          </cell>
          <cell r="O1708" t="str">
            <v>펌프카(1대)</v>
          </cell>
          <cell r="P1708">
            <v>938</v>
          </cell>
          <cell r="Q1708">
            <v>1441</v>
          </cell>
          <cell r="R1708">
            <v>190</v>
          </cell>
          <cell r="S1708">
            <v>48</v>
          </cell>
          <cell r="T1708">
            <v>18</v>
          </cell>
          <cell r="U1708">
            <v>154</v>
          </cell>
          <cell r="V1708"/>
          <cell r="W1708" t="str">
            <v>박순홍</v>
          </cell>
          <cell r="X1708" t="str">
            <v>(인)</v>
          </cell>
          <cell r="Y1708" t="str">
            <v>박순홍</v>
          </cell>
          <cell r="Z1708" t="str">
            <v>(인)</v>
          </cell>
          <cell r="AA1708" t="str">
            <v>이홍걸</v>
          </cell>
          <cell r="AB1708" t="str">
            <v>(인)</v>
          </cell>
          <cell r="AC1708" t="str">
            <v>이홍걸</v>
          </cell>
          <cell r="AD1708" t="str">
            <v>(인)</v>
          </cell>
          <cell r="AE1708">
            <v>179.6</v>
          </cell>
          <cell r="AF1708" t="str">
            <v>동절기</v>
          </cell>
          <cell r="AG1708">
            <v>3</v>
          </cell>
          <cell r="AH1708">
            <v>0</v>
          </cell>
        </row>
        <row r="1709">
          <cell r="G1709">
            <v>2501140401</v>
          </cell>
          <cell r="H1709" t="str">
            <v>118동</v>
          </cell>
          <cell r="I1709">
            <v>250114</v>
          </cell>
          <cell r="J1709" t="str">
            <v>118동 주변주차장 버림</v>
          </cell>
          <cell r="K1709">
            <v>30</v>
          </cell>
          <cell r="L1709">
            <v>30</v>
          </cell>
          <cell r="M1709">
            <v>1812</v>
          </cell>
          <cell r="N1709" t="str">
            <v>대공</v>
          </cell>
          <cell r="O1709" t="str">
            <v>펌프카(1대)</v>
          </cell>
          <cell r="P1709">
            <v>1459</v>
          </cell>
          <cell r="Q1709">
            <v>1533</v>
          </cell>
          <cell r="R1709">
            <v>120</v>
          </cell>
          <cell r="S1709">
            <v>40</v>
          </cell>
          <cell r="T1709">
            <v>143</v>
          </cell>
          <cell r="U1709">
            <v>171</v>
          </cell>
          <cell r="V1709"/>
          <cell r="W1709" t="str">
            <v>박순홍</v>
          </cell>
          <cell r="X1709" t="str">
            <v>(인)</v>
          </cell>
          <cell r="Y1709" t="str">
            <v>박순홍</v>
          </cell>
          <cell r="Z1709" t="str">
            <v>(인)</v>
          </cell>
          <cell r="AA1709" t="str">
            <v>이홍걸</v>
          </cell>
          <cell r="AB1709" t="str">
            <v>(인)</v>
          </cell>
          <cell r="AC1709" t="str">
            <v>이홍걸</v>
          </cell>
          <cell r="AD1709" t="str">
            <v>(인)</v>
          </cell>
          <cell r="AE1709">
            <v>173.2</v>
          </cell>
          <cell r="AF1709" t="str">
            <v>동절기</v>
          </cell>
          <cell r="AG1709">
            <v>1</v>
          </cell>
          <cell r="AH1709">
            <v>1</v>
          </cell>
          <cell r="AI1709">
            <v>1344</v>
          </cell>
          <cell r="AJ1709">
            <v>1420</v>
          </cell>
          <cell r="AK1709">
            <v>113200</v>
          </cell>
          <cell r="AL1709">
            <v>2410</v>
          </cell>
          <cell r="AM1709">
            <v>2416</v>
          </cell>
          <cell r="AN1709">
            <v>2392</v>
          </cell>
          <cell r="AO1709">
            <v>2504</v>
          </cell>
          <cell r="AP1709">
            <v>2416</v>
          </cell>
          <cell r="AQ1709">
            <v>2480</v>
          </cell>
          <cell r="AR1709">
            <v>2416</v>
          </cell>
          <cell r="AS1709">
            <v>2392</v>
          </cell>
          <cell r="AT1709">
            <v>192800</v>
          </cell>
        </row>
        <row r="1710">
          <cell r="G1710">
            <v>2501150101</v>
          </cell>
          <cell r="H1710" t="str">
            <v>103동, 104동</v>
          </cell>
          <cell r="I1710">
            <v>250115</v>
          </cell>
          <cell r="J1710" t="str">
            <v>103동, 104동 주출입구(1코어)</v>
          </cell>
          <cell r="K1710">
            <v>48</v>
          </cell>
          <cell r="L1710">
            <v>48</v>
          </cell>
          <cell r="M1710">
            <v>3018</v>
          </cell>
          <cell r="N1710" t="str">
            <v>용호</v>
          </cell>
          <cell r="O1710" t="str">
            <v>펌프카(1대)</v>
          </cell>
          <cell r="P1710">
            <v>855</v>
          </cell>
          <cell r="Q1710">
            <v>1050</v>
          </cell>
          <cell r="R1710">
            <v>190</v>
          </cell>
          <cell r="S1710">
            <v>46</v>
          </cell>
          <cell r="T1710">
            <v>24</v>
          </cell>
          <cell r="U1710">
            <v>157</v>
          </cell>
          <cell r="V1710"/>
          <cell r="W1710" t="str">
            <v>박순홍</v>
          </cell>
          <cell r="X1710" t="str">
            <v>(인)</v>
          </cell>
          <cell r="Y1710" t="str">
            <v>박순홍</v>
          </cell>
          <cell r="Z1710" t="str">
            <v>(인)</v>
          </cell>
          <cell r="AA1710" t="str">
            <v>이홍걸</v>
          </cell>
          <cell r="AB1710" t="str">
            <v>(인)</v>
          </cell>
          <cell r="AC1710" t="str">
            <v>이홍걸</v>
          </cell>
          <cell r="AD1710" t="str">
            <v>(인)</v>
          </cell>
          <cell r="AE1710">
            <v>185.6</v>
          </cell>
          <cell r="AF1710" t="str">
            <v>동절기</v>
          </cell>
          <cell r="AG1710">
            <v>1</v>
          </cell>
          <cell r="AH1710">
            <v>1</v>
          </cell>
          <cell r="AI1710">
            <v>2629</v>
          </cell>
          <cell r="AJ1710">
            <v>2617</v>
          </cell>
          <cell r="AK1710">
            <v>201600</v>
          </cell>
          <cell r="AL1710">
            <v>3716</v>
          </cell>
          <cell r="AM1710">
            <v>3684</v>
          </cell>
          <cell r="AN1710">
            <v>3716</v>
          </cell>
          <cell r="AO1710">
            <v>3733</v>
          </cell>
          <cell r="AP1710">
            <v>3802</v>
          </cell>
          <cell r="AQ1710">
            <v>3684</v>
          </cell>
          <cell r="AR1710">
            <v>3692</v>
          </cell>
          <cell r="AS1710">
            <v>3687</v>
          </cell>
          <cell r="AT1710">
            <v>290400</v>
          </cell>
        </row>
        <row r="1711">
          <cell r="G1711">
            <v>2501150201</v>
          </cell>
          <cell r="H1711" t="str">
            <v>118동</v>
          </cell>
          <cell r="I1711">
            <v>250115</v>
          </cell>
          <cell r="J1711" t="str">
            <v>118동 주변주차장 지하1층 바닥</v>
          </cell>
          <cell r="K1711">
            <v>108</v>
          </cell>
          <cell r="L1711">
            <v>108</v>
          </cell>
          <cell r="M1711">
            <v>2715</v>
          </cell>
          <cell r="N1711" t="str">
            <v>용호</v>
          </cell>
          <cell r="O1711" t="str">
            <v>펌프카(1대)</v>
          </cell>
          <cell r="P1711">
            <v>913</v>
          </cell>
          <cell r="Q1711">
            <v>1335</v>
          </cell>
          <cell r="R1711">
            <v>165</v>
          </cell>
          <cell r="S1711">
            <v>40</v>
          </cell>
          <cell r="T1711">
            <v>51</v>
          </cell>
          <cell r="U1711">
            <v>133</v>
          </cell>
          <cell r="V1711"/>
          <cell r="W1711" t="str">
            <v>박순홍</v>
          </cell>
          <cell r="X1711" t="str">
            <v>(인)</v>
          </cell>
          <cell r="Y1711" t="str">
            <v>박순홍</v>
          </cell>
          <cell r="Z1711" t="str">
            <v>(인)</v>
          </cell>
          <cell r="AA1711" t="str">
            <v>이홍걸</v>
          </cell>
          <cell r="AB1711" t="str">
            <v>(인)</v>
          </cell>
          <cell r="AC1711" t="str">
            <v>이홍걸</v>
          </cell>
          <cell r="AD1711" t="str">
            <v>(인)</v>
          </cell>
          <cell r="AE1711">
            <v>178.3</v>
          </cell>
          <cell r="AF1711" t="str">
            <v>동절기</v>
          </cell>
          <cell r="AG1711">
            <v>1</v>
          </cell>
          <cell r="AH1711">
            <v>1</v>
          </cell>
          <cell r="AI1711">
            <v>2329</v>
          </cell>
          <cell r="AJ1711">
            <v>2306</v>
          </cell>
          <cell r="AK1711">
            <v>178600</v>
          </cell>
          <cell r="AL1711">
            <v>3274</v>
          </cell>
          <cell r="AM1711">
            <v>3262</v>
          </cell>
          <cell r="AN1711">
            <v>3284</v>
          </cell>
          <cell r="AO1711">
            <v>3364</v>
          </cell>
          <cell r="AP1711">
            <v>3319</v>
          </cell>
          <cell r="AQ1711">
            <v>3286</v>
          </cell>
          <cell r="AR1711">
            <v>3307</v>
          </cell>
          <cell r="AS1711">
            <v>3286</v>
          </cell>
          <cell r="AT1711">
            <v>259200</v>
          </cell>
        </row>
        <row r="1712">
          <cell r="G1712">
            <v>2501150301</v>
          </cell>
          <cell r="H1712" t="str">
            <v>113동</v>
          </cell>
          <cell r="I1712">
            <v>250115</v>
          </cell>
          <cell r="J1712" t="str">
            <v>113동 지하3층 기계 패드</v>
          </cell>
          <cell r="K1712">
            <v>21</v>
          </cell>
          <cell r="L1712">
            <v>21</v>
          </cell>
          <cell r="M1712">
            <v>2415</v>
          </cell>
          <cell r="N1712" t="str">
            <v>용호</v>
          </cell>
          <cell r="O1712" t="str">
            <v>펌프카(1대)</v>
          </cell>
          <cell r="P1712">
            <v>940</v>
          </cell>
          <cell r="Q1712">
            <v>1250</v>
          </cell>
          <cell r="R1712">
            <v>160</v>
          </cell>
          <cell r="S1712">
            <v>49</v>
          </cell>
          <cell r="T1712">
            <v>32</v>
          </cell>
          <cell r="U1712">
            <v>14</v>
          </cell>
          <cell r="V1712"/>
          <cell r="W1712" t="str">
            <v>박순홍</v>
          </cell>
          <cell r="X1712" t="str">
            <v>(인)</v>
          </cell>
          <cell r="Y1712" t="str">
            <v>박순홍</v>
          </cell>
          <cell r="Z1712" t="str">
            <v>(인)</v>
          </cell>
          <cell r="AA1712" t="str">
            <v>이루비</v>
          </cell>
          <cell r="AB1712" t="str">
            <v>(인)</v>
          </cell>
          <cell r="AC1712" t="str">
            <v>이홍걸</v>
          </cell>
          <cell r="AD1712" t="str">
            <v>(인)</v>
          </cell>
          <cell r="AE1712">
            <v>186.2</v>
          </cell>
          <cell r="AF1712" t="str">
            <v>동절기</v>
          </cell>
          <cell r="AG1712">
            <v>1</v>
          </cell>
          <cell r="AH1712">
            <v>1</v>
          </cell>
          <cell r="AI1712">
            <v>2107</v>
          </cell>
          <cell r="AJ1712">
            <v>2120</v>
          </cell>
          <cell r="AK1712">
            <v>170000</v>
          </cell>
          <cell r="AL1712">
            <v>2936</v>
          </cell>
          <cell r="AM1712">
            <v>2927</v>
          </cell>
          <cell r="AN1712">
            <v>3002</v>
          </cell>
          <cell r="AO1712">
            <v>2874</v>
          </cell>
          <cell r="AP1712">
            <v>2869</v>
          </cell>
          <cell r="AQ1712">
            <v>3014</v>
          </cell>
          <cell r="AR1712">
            <v>2967</v>
          </cell>
          <cell r="AS1712">
            <v>2892</v>
          </cell>
          <cell r="AT1712">
            <v>227400</v>
          </cell>
        </row>
        <row r="1713">
          <cell r="G1713">
            <v>2501150401</v>
          </cell>
          <cell r="H1713" t="str">
            <v>주차장</v>
          </cell>
          <cell r="I1713">
            <v>250115</v>
          </cell>
          <cell r="J1713" t="str">
            <v>108동 주변주차장 누름</v>
          </cell>
          <cell r="K1713">
            <v>42</v>
          </cell>
          <cell r="L1713">
            <v>42</v>
          </cell>
          <cell r="M1713">
            <v>1815</v>
          </cell>
          <cell r="N1713" t="str">
            <v>용호</v>
          </cell>
          <cell r="O1713" t="str">
            <v>펌프카(1대)</v>
          </cell>
          <cell r="P1713">
            <v>1234</v>
          </cell>
          <cell r="Q1713">
            <v>1345</v>
          </cell>
          <cell r="R1713">
            <v>155</v>
          </cell>
          <cell r="S1713">
            <v>46</v>
          </cell>
          <cell r="T1713">
            <v>32</v>
          </cell>
          <cell r="U1713">
            <v>133</v>
          </cell>
          <cell r="V1713"/>
          <cell r="W1713" t="str">
            <v>박순홍</v>
          </cell>
          <cell r="X1713" t="str">
            <v>(인)</v>
          </cell>
          <cell r="Y1713" t="str">
            <v>박순홍</v>
          </cell>
          <cell r="Z1713" t="str">
            <v>(인)</v>
          </cell>
          <cell r="AA1713" t="str">
            <v>이루비</v>
          </cell>
          <cell r="AB1713" t="str">
            <v>(인)</v>
          </cell>
          <cell r="AC1713" t="str">
            <v>이홍걸</v>
          </cell>
          <cell r="AD1713" t="str">
            <v>(인)</v>
          </cell>
          <cell r="AE1713">
            <v>181.6</v>
          </cell>
          <cell r="AF1713" t="str">
            <v>동절기</v>
          </cell>
          <cell r="AG1713">
            <v>1</v>
          </cell>
          <cell r="AH1713">
            <v>1</v>
          </cell>
          <cell r="AI1713">
            <v>1370</v>
          </cell>
          <cell r="AJ1713">
            <v>1411</v>
          </cell>
          <cell r="AK1713">
            <v>107000</v>
          </cell>
          <cell r="AL1713">
            <v>2362</v>
          </cell>
          <cell r="AM1713">
            <v>2284</v>
          </cell>
          <cell r="AN1713">
            <v>2304</v>
          </cell>
          <cell r="AO1713">
            <v>2300</v>
          </cell>
          <cell r="AP1713">
            <v>2278</v>
          </cell>
          <cell r="AQ1713">
            <v>2310</v>
          </cell>
          <cell r="AR1713">
            <v>2216</v>
          </cell>
          <cell r="AS1713">
            <v>2214</v>
          </cell>
          <cell r="AT1713">
            <v>173400</v>
          </cell>
        </row>
        <row r="1714">
          <cell r="G1714">
            <v>2501160101</v>
          </cell>
          <cell r="H1714" t="str">
            <v>108동</v>
          </cell>
          <cell r="I1714">
            <v>250116</v>
          </cell>
          <cell r="J1714" t="str">
            <v>108동 9층 바닥</v>
          </cell>
          <cell r="K1714">
            <v>282</v>
          </cell>
          <cell r="L1714">
            <v>282</v>
          </cell>
          <cell r="M1714">
            <v>3018</v>
          </cell>
          <cell r="N1714" t="str">
            <v>용호</v>
          </cell>
          <cell r="O1714" t="str">
            <v>펌프카(1대)</v>
          </cell>
          <cell r="P1714">
            <v>1311</v>
          </cell>
          <cell r="Q1714">
            <v>1628</v>
          </cell>
          <cell r="R1714">
            <v>190</v>
          </cell>
          <cell r="S1714">
            <v>45</v>
          </cell>
          <cell r="T1714">
            <v>46</v>
          </cell>
          <cell r="U1714">
            <v>158</v>
          </cell>
          <cell r="V1714"/>
          <cell r="W1714" t="str">
            <v>박순홍</v>
          </cell>
          <cell r="X1714" t="str">
            <v>(인)</v>
          </cell>
          <cell r="Y1714" t="str">
            <v>박순홍</v>
          </cell>
          <cell r="Z1714" t="str">
            <v>(인)</v>
          </cell>
          <cell r="AA1714" t="str">
            <v>이홍걸</v>
          </cell>
          <cell r="AB1714" t="str">
            <v>(인)</v>
          </cell>
          <cell r="AC1714" t="str">
            <v>이홍걸</v>
          </cell>
          <cell r="AD1714" t="str">
            <v>(인)</v>
          </cell>
          <cell r="AE1714">
            <v>187.3</v>
          </cell>
          <cell r="AF1714" t="str">
            <v>동절기</v>
          </cell>
          <cell r="AG1714">
            <v>1</v>
          </cell>
          <cell r="AH1714">
            <v>1</v>
          </cell>
          <cell r="AI1714">
            <v>2687</v>
          </cell>
          <cell r="AJ1714">
            <v>2701</v>
          </cell>
          <cell r="AK1714">
            <v>207000</v>
          </cell>
          <cell r="AL1714">
            <v>3687</v>
          </cell>
          <cell r="AM1714">
            <v>3676</v>
          </cell>
          <cell r="AN1714">
            <v>3673</v>
          </cell>
          <cell r="AO1714">
            <v>3706</v>
          </cell>
          <cell r="AP1714">
            <v>3708</v>
          </cell>
          <cell r="AQ1714">
            <v>3684</v>
          </cell>
          <cell r="AR1714">
            <v>3713</v>
          </cell>
          <cell r="AS1714">
            <v>3793</v>
          </cell>
          <cell r="AT1714">
            <v>290200</v>
          </cell>
        </row>
        <row r="1715">
          <cell r="G1715">
            <v>2501160102</v>
          </cell>
          <cell r="H1715" t="str">
            <v>108동</v>
          </cell>
          <cell r="I1715">
            <v>250116</v>
          </cell>
          <cell r="J1715" t="str">
            <v>108동 9층 바닥</v>
          </cell>
          <cell r="K1715">
            <v>282</v>
          </cell>
          <cell r="L1715">
            <v>282</v>
          </cell>
          <cell r="M1715">
            <v>3018</v>
          </cell>
          <cell r="N1715" t="str">
            <v>용호</v>
          </cell>
          <cell r="O1715" t="str">
            <v>펌프카(1대)</v>
          </cell>
          <cell r="P1715">
            <v>1311</v>
          </cell>
          <cell r="Q1715">
            <v>1628</v>
          </cell>
          <cell r="R1715">
            <v>195</v>
          </cell>
          <cell r="S1715">
            <v>43</v>
          </cell>
          <cell r="T1715">
            <v>10</v>
          </cell>
          <cell r="U1715">
            <v>169</v>
          </cell>
          <cell r="V1715"/>
          <cell r="W1715" t="str">
            <v>박순홍</v>
          </cell>
          <cell r="X1715" t="str">
            <v>(인)</v>
          </cell>
          <cell r="Y1715" t="str">
            <v>박순홍</v>
          </cell>
          <cell r="Z1715" t="str">
            <v>(인)</v>
          </cell>
          <cell r="AA1715" t="str">
            <v>이홍걸</v>
          </cell>
          <cell r="AB1715" t="str">
            <v>(인)</v>
          </cell>
          <cell r="AC1715" t="str">
            <v>이홍걸</v>
          </cell>
          <cell r="AD1715" t="str">
            <v>(인)</v>
          </cell>
          <cell r="AE1715">
            <v>181.6</v>
          </cell>
          <cell r="AF1715" t="str">
            <v>동절기</v>
          </cell>
          <cell r="AG1715">
            <v>2</v>
          </cell>
          <cell r="AH1715">
            <v>0</v>
          </cell>
        </row>
        <row r="1716">
          <cell r="G1716">
            <v>2501160103</v>
          </cell>
          <cell r="H1716" t="str">
            <v>108동</v>
          </cell>
          <cell r="I1716">
            <v>250116</v>
          </cell>
          <cell r="J1716" t="str">
            <v>108동 9층 바닥</v>
          </cell>
          <cell r="K1716">
            <v>282</v>
          </cell>
          <cell r="L1716">
            <v>282</v>
          </cell>
          <cell r="M1716">
            <v>3018</v>
          </cell>
          <cell r="N1716" t="str">
            <v>용호</v>
          </cell>
          <cell r="O1716" t="str">
            <v>펌프카(1대)</v>
          </cell>
          <cell r="P1716">
            <v>1311</v>
          </cell>
          <cell r="Q1716">
            <v>1628</v>
          </cell>
          <cell r="R1716">
            <v>190</v>
          </cell>
          <cell r="S1716">
            <v>35</v>
          </cell>
          <cell r="T1716">
            <v>27</v>
          </cell>
          <cell r="U1716">
            <v>161</v>
          </cell>
          <cell r="V1716"/>
          <cell r="W1716" t="str">
            <v>박순홍</v>
          </cell>
          <cell r="X1716" t="str">
            <v>(인)</v>
          </cell>
          <cell r="Y1716" t="str">
            <v>박순홍</v>
          </cell>
          <cell r="Z1716" t="str">
            <v>(인)</v>
          </cell>
          <cell r="AA1716" t="str">
            <v>이홍걸</v>
          </cell>
          <cell r="AB1716" t="str">
            <v>(인)</v>
          </cell>
          <cell r="AC1716" t="str">
            <v>이홍걸</v>
          </cell>
          <cell r="AD1716" t="str">
            <v>(인)</v>
          </cell>
          <cell r="AE1716">
            <v>185.3</v>
          </cell>
          <cell r="AF1716" t="str">
            <v>동절기</v>
          </cell>
          <cell r="AG1716">
            <v>3</v>
          </cell>
          <cell r="AH1716">
            <v>0</v>
          </cell>
        </row>
        <row r="1717">
          <cell r="G1717">
            <v>2501160201</v>
          </cell>
          <cell r="H1717" t="str">
            <v>116동</v>
          </cell>
          <cell r="I1717">
            <v>250116</v>
          </cell>
          <cell r="J1717" t="str">
            <v>116동 7층 바닥</v>
          </cell>
          <cell r="K1717">
            <v>282</v>
          </cell>
          <cell r="L1717">
            <v>282</v>
          </cell>
          <cell r="M1717">
            <v>3018</v>
          </cell>
          <cell r="N1717" t="str">
            <v>영진</v>
          </cell>
          <cell r="O1717" t="str">
            <v>펌프카(1대)</v>
          </cell>
          <cell r="P1717">
            <v>805</v>
          </cell>
          <cell r="Q1717">
            <v>1148</v>
          </cell>
          <cell r="R1717">
            <v>180</v>
          </cell>
          <cell r="S1717">
            <v>43</v>
          </cell>
          <cell r="T1717">
            <v>61</v>
          </cell>
          <cell r="U1717">
            <v>142</v>
          </cell>
          <cell r="V1717"/>
          <cell r="W1717" t="str">
            <v>김광록</v>
          </cell>
          <cell r="X1717" t="str">
            <v>(인)</v>
          </cell>
          <cell r="Y1717" t="str">
            <v>박순홍</v>
          </cell>
          <cell r="Z1717" t="str">
            <v>(인)</v>
          </cell>
          <cell r="AA1717" t="str">
            <v>이홍걸</v>
          </cell>
          <cell r="AB1717" t="str">
            <v>(인)</v>
          </cell>
          <cell r="AC1717" t="str">
            <v>이홍걸</v>
          </cell>
          <cell r="AD1717" t="str">
            <v>(인)</v>
          </cell>
          <cell r="AE1717">
            <v>189.6</v>
          </cell>
          <cell r="AF1717" t="str">
            <v>동절기</v>
          </cell>
          <cell r="AG1717">
            <v>1</v>
          </cell>
          <cell r="AH1717">
            <v>1</v>
          </cell>
          <cell r="AI1717">
            <v>2588</v>
          </cell>
          <cell r="AJ1717">
            <v>2604</v>
          </cell>
          <cell r="AK1717">
            <v>202600</v>
          </cell>
          <cell r="AL1717">
            <v>3716</v>
          </cell>
          <cell r="AM1717">
            <v>3736</v>
          </cell>
          <cell r="AN1717">
            <v>3684</v>
          </cell>
          <cell r="AO1717">
            <v>3738</v>
          </cell>
          <cell r="AP1717">
            <v>3833</v>
          </cell>
          <cell r="AQ1717">
            <v>3680</v>
          </cell>
          <cell r="AR1717">
            <v>3806</v>
          </cell>
          <cell r="AS1717">
            <v>3762</v>
          </cell>
          <cell r="AT1717">
            <v>291200</v>
          </cell>
        </row>
        <row r="1718">
          <cell r="G1718">
            <v>2501160202</v>
          </cell>
          <cell r="H1718" t="str">
            <v>116동</v>
          </cell>
          <cell r="I1718">
            <v>250116</v>
          </cell>
          <cell r="J1718" t="str">
            <v>116동 7층 바닥</v>
          </cell>
          <cell r="K1718">
            <v>282</v>
          </cell>
          <cell r="L1718">
            <v>282</v>
          </cell>
          <cell r="M1718">
            <v>3018</v>
          </cell>
          <cell r="N1718" t="str">
            <v>영진</v>
          </cell>
          <cell r="O1718" t="str">
            <v>펌프카(1대)</v>
          </cell>
          <cell r="P1718">
            <v>805</v>
          </cell>
          <cell r="Q1718">
            <v>1148</v>
          </cell>
          <cell r="R1718">
            <v>190</v>
          </cell>
          <cell r="S1718">
            <v>49</v>
          </cell>
          <cell r="T1718">
            <v>91</v>
          </cell>
          <cell r="U1718">
            <v>156</v>
          </cell>
          <cell r="V1718"/>
          <cell r="W1718" t="str">
            <v>김광록</v>
          </cell>
          <cell r="X1718" t="str">
            <v>(인)</v>
          </cell>
          <cell r="Y1718" t="str">
            <v>박순홍</v>
          </cell>
          <cell r="Z1718" t="str">
            <v>(인)</v>
          </cell>
          <cell r="AA1718" t="str">
            <v>이홍걸</v>
          </cell>
          <cell r="AB1718" t="str">
            <v>(인)</v>
          </cell>
          <cell r="AC1718" t="str">
            <v>이홍걸</v>
          </cell>
          <cell r="AD1718" t="str">
            <v>(인)</v>
          </cell>
          <cell r="AE1718">
            <v>175.4</v>
          </cell>
          <cell r="AF1718" t="str">
            <v>동절기</v>
          </cell>
          <cell r="AG1718">
            <v>2</v>
          </cell>
          <cell r="AH1718">
            <v>0</v>
          </cell>
        </row>
        <row r="1719">
          <cell r="G1719">
            <v>2501160203</v>
          </cell>
          <cell r="H1719" t="str">
            <v>116동</v>
          </cell>
          <cell r="I1719">
            <v>250116</v>
          </cell>
          <cell r="J1719" t="str">
            <v>116동 7층 바닥</v>
          </cell>
          <cell r="K1719">
            <v>282</v>
          </cell>
          <cell r="L1719">
            <v>282</v>
          </cell>
          <cell r="M1719">
            <v>3018</v>
          </cell>
          <cell r="N1719" t="str">
            <v>영진</v>
          </cell>
          <cell r="O1719" t="str">
            <v>펌프카(1대)</v>
          </cell>
          <cell r="P1719">
            <v>805</v>
          </cell>
          <cell r="Q1719">
            <v>1148</v>
          </cell>
          <cell r="R1719">
            <v>185</v>
          </cell>
          <cell r="S1719">
            <v>37</v>
          </cell>
          <cell r="T1719">
            <v>85</v>
          </cell>
          <cell r="U1719">
            <v>134</v>
          </cell>
          <cell r="V1719"/>
          <cell r="W1719" t="str">
            <v>김광록</v>
          </cell>
          <cell r="X1719" t="str">
            <v>(인)</v>
          </cell>
          <cell r="Y1719" t="str">
            <v>박순홍</v>
          </cell>
          <cell r="Z1719" t="str">
            <v>(인)</v>
          </cell>
          <cell r="AA1719" t="str">
            <v>이홍걸</v>
          </cell>
          <cell r="AB1719" t="str">
            <v>(인)</v>
          </cell>
          <cell r="AC1719" t="str">
            <v>이홍걸</v>
          </cell>
          <cell r="AD1719" t="str">
            <v>(인)</v>
          </cell>
          <cell r="AE1719">
            <v>181.2</v>
          </cell>
          <cell r="AF1719" t="str">
            <v>동절기</v>
          </cell>
          <cell r="AG1719">
            <v>3</v>
          </cell>
          <cell r="AH1719">
            <v>0</v>
          </cell>
        </row>
        <row r="1720">
          <cell r="G1720">
            <v>2501160301</v>
          </cell>
          <cell r="H1720" t="str">
            <v>112동</v>
          </cell>
          <cell r="I1720">
            <v>250116</v>
          </cell>
          <cell r="J1720" t="str">
            <v>112동 5층 바닥</v>
          </cell>
          <cell r="K1720">
            <v>209</v>
          </cell>
          <cell r="L1720">
            <v>209</v>
          </cell>
          <cell r="M1720">
            <v>3018</v>
          </cell>
          <cell r="N1720" t="str">
            <v>용호</v>
          </cell>
          <cell r="O1720" t="str">
            <v>펌프카(1대)</v>
          </cell>
          <cell r="P1720">
            <v>800</v>
          </cell>
          <cell r="Q1720">
            <v>1133</v>
          </cell>
          <cell r="R1720">
            <v>195</v>
          </cell>
          <cell r="S1720">
            <v>50</v>
          </cell>
          <cell r="T1720">
            <v>49</v>
          </cell>
          <cell r="U1720">
            <v>147</v>
          </cell>
          <cell r="V1720"/>
          <cell r="W1720" t="str">
            <v>김광록</v>
          </cell>
          <cell r="X1720" t="str">
            <v>(인)</v>
          </cell>
          <cell r="Y1720" t="str">
            <v>박순홍</v>
          </cell>
          <cell r="Z1720" t="str">
            <v>(인)</v>
          </cell>
          <cell r="AA1720" t="str">
            <v>이홍걸</v>
          </cell>
          <cell r="AB1720" t="str">
            <v>(인)</v>
          </cell>
          <cell r="AC1720" t="str">
            <v>이홍걸</v>
          </cell>
          <cell r="AD1720" t="str">
            <v>(인)</v>
          </cell>
          <cell r="AE1720">
            <v>184.5</v>
          </cell>
          <cell r="AF1720" t="str">
            <v>동절기</v>
          </cell>
          <cell r="AG1720">
            <v>1</v>
          </cell>
          <cell r="AH1720">
            <v>1</v>
          </cell>
          <cell r="AI1720">
            <v>2602</v>
          </cell>
          <cell r="AJ1720">
            <v>2618</v>
          </cell>
          <cell r="AK1720">
            <v>201800</v>
          </cell>
          <cell r="AL1720">
            <v>3716</v>
          </cell>
          <cell r="AM1720">
            <v>3537</v>
          </cell>
          <cell r="AN1720">
            <v>3636</v>
          </cell>
          <cell r="AO1720">
            <v>3584</v>
          </cell>
          <cell r="AP1720">
            <v>3692</v>
          </cell>
          <cell r="AQ1720">
            <v>3710</v>
          </cell>
          <cell r="AR1720">
            <v>3692</v>
          </cell>
          <cell r="AS1720">
            <v>3674</v>
          </cell>
          <cell r="AT1720">
            <v>285600</v>
          </cell>
        </row>
        <row r="1721">
          <cell r="G1721">
            <v>2501160302</v>
          </cell>
          <cell r="H1721" t="str">
            <v>112동</v>
          </cell>
          <cell r="I1721">
            <v>250116</v>
          </cell>
          <cell r="J1721" t="str">
            <v>112동 5층 바닥</v>
          </cell>
          <cell r="K1721">
            <v>209</v>
          </cell>
          <cell r="L1721">
            <v>209</v>
          </cell>
          <cell r="M1721">
            <v>3018</v>
          </cell>
          <cell r="N1721" t="str">
            <v>용호</v>
          </cell>
          <cell r="O1721" t="str">
            <v>펌프카(1대)</v>
          </cell>
          <cell r="P1721">
            <v>800</v>
          </cell>
          <cell r="Q1721">
            <v>1133</v>
          </cell>
          <cell r="R1721">
            <v>180</v>
          </cell>
          <cell r="S1721">
            <v>48</v>
          </cell>
          <cell r="T1721">
            <v>55</v>
          </cell>
          <cell r="U1721">
            <v>154</v>
          </cell>
          <cell r="V1721"/>
          <cell r="W1721" t="str">
            <v>김광록</v>
          </cell>
          <cell r="X1721" t="str">
            <v>(인)</v>
          </cell>
          <cell r="Y1721" t="str">
            <v>박순홍</v>
          </cell>
          <cell r="Z1721" t="str">
            <v>(인)</v>
          </cell>
          <cell r="AA1721" t="str">
            <v>이홍걸</v>
          </cell>
          <cell r="AB1721" t="str">
            <v>(인)</v>
          </cell>
          <cell r="AC1721" t="str">
            <v>이홍걸</v>
          </cell>
          <cell r="AD1721" t="str">
            <v>(인)</v>
          </cell>
          <cell r="AE1721">
            <v>178.3</v>
          </cell>
          <cell r="AF1721" t="str">
            <v>동절기</v>
          </cell>
          <cell r="AG1721">
            <v>2</v>
          </cell>
          <cell r="AH1721">
            <v>0</v>
          </cell>
        </row>
        <row r="1722">
          <cell r="G1722">
            <v>2501160401</v>
          </cell>
          <cell r="H1722" t="str">
            <v>호이스트기초</v>
          </cell>
          <cell r="I1722">
            <v>250116</v>
          </cell>
          <cell r="J1722" t="str">
            <v>116동, 118동 호이스트 기초</v>
          </cell>
          <cell r="K1722">
            <v>11</v>
          </cell>
          <cell r="L1722">
            <v>11</v>
          </cell>
          <cell r="M1722">
            <v>2415</v>
          </cell>
          <cell r="N1722" t="str">
            <v>영진</v>
          </cell>
          <cell r="O1722" t="str">
            <v>펌프카(1대)</v>
          </cell>
          <cell r="P1722">
            <v>1307</v>
          </cell>
          <cell r="Q1722">
            <v>1335</v>
          </cell>
          <cell r="R1722">
            <v>150</v>
          </cell>
          <cell r="S1722">
            <v>35</v>
          </cell>
          <cell r="T1722">
            <v>60</v>
          </cell>
          <cell r="U1722">
            <v>142</v>
          </cell>
          <cell r="V1722"/>
          <cell r="W1722" t="str">
            <v>박순홍</v>
          </cell>
          <cell r="X1722" t="str">
            <v>(인)</v>
          </cell>
          <cell r="Y1722" t="str">
            <v>박순홍</v>
          </cell>
          <cell r="Z1722" t="str">
            <v>(인)</v>
          </cell>
          <cell r="AA1722" t="str">
            <v>이홍걸</v>
          </cell>
          <cell r="AB1722" t="str">
            <v>(인)</v>
          </cell>
          <cell r="AC1722" t="str">
            <v>이홍걸</v>
          </cell>
          <cell r="AD1722" t="str">
            <v>(인)</v>
          </cell>
          <cell r="AE1722">
            <v>171.9</v>
          </cell>
          <cell r="AF1722" t="str">
            <v>동절기</v>
          </cell>
          <cell r="AG1722">
            <v>1</v>
          </cell>
          <cell r="AH1722">
            <v>1</v>
          </cell>
          <cell r="AI1722">
            <v>2186</v>
          </cell>
          <cell r="AJ1722">
            <v>2190</v>
          </cell>
          <cell r="AK1722">
            <v>176400</v>
          </cell>
          <cell r="AL1722">
            <v>3102</v>
          </cell>
          <cell r="AM1722">
            <v>3072</v>
          </cell>
          <cell r="AN1722">
            <v>2936</v>
          </cell>
          <cell r="AO1722">
            <v>3064</v>
          </cell>
          <cell r="AP1722">
            <v>3033</v>
          </cell>
          <cell r="AQ1722">
            <v>3107</v>
          </cell>
          <cell r="AR1722">
            <v>3108</v>
          </cell>
          <cell r="AS1722">
            <v>2976</v>
          </cell>
          <cell r="AT1722">
            <v>246000</v>
          </cell>
        </row>
        <row r="1723">
          <cell r="G1723">
            <v>2501170101</v>
          </cell>
          <cell r="H1723" t="str">
            <v>109동</v>
          </cell>
          <cell r="I1723">
            <v>250117</v>
          </cell>
          <cell r="J1723" t="str">
            <v>109동 15층 바닥 및 102동 최상층 파라펫</v>
          </cell>
          <cell r="K1723">
            <v>320</v>
          </cell>
          <cell r="L1723">
            <v>323</v>
          </cell>
          <cell r="M1723">
            <v>3018</v>
          </cell>
          <cell r="N1723" t="str">
            <v>대공</v>
          </cell>
          <cell r="O1723" t="str">
            <v>펌프카(1대)</v>
          </cell>
          <cell r="P1723">
            <v>838</v>
          </cell>
          <cell r="Q1723">
            <v>1436</v>
          </cell>
          <cell r="R1723">
            <v>190</v>
          </cell>
          <cell r="S1723">
            <v>52</v>
          </cell>
          <cell r="T1723">
            <v>10</v>
          </cell>
          <cell r="U1723">
            <v>147</v>
          </cell>
          <cell r="V1723"/>
          <cell r="W1723" t="str">
            <v>박순홍</v>
          </cell>
          <cell r="X1723" t="str">
            <v>(인)</v>
          </cell>
          <cell r="Y1723" t="str">
            <v>김광록</v>
          </cell>
          <cell r="Z1723" t="str">
            <v>(인)</v>
          </cell>
          <cell r="AA1723" t="str">
            <v>이홍걸</v>
          </cell>
          <cell r="AB1723" t="str">
            <v>(인)</v>
          </cell>
          <cell r="AC1723" t="str">
            <v>이홍걸</v>
          </cell>
          <cell r="AD1723" t="str">
            <v>(인)</v>
          </cell>
          <cell r="AE1723">
            <v>171.9</v>
          </cell>
          <cell r="AF1723" t="str">
            <v>동절기</v>
          </cell>
          <cell r="AG1723">
            <v>1</v>
          </cell>
          <cell r="AH1723">
            <v>1</v>
          </cell>
          <cell r="AI1723">
            <v>2701</v>
          </cell>
          <cell r="AJ1723">
            <v>2694</v>
          </cell>
          <cell r="AK1723">
            <v>206000</v>
          </cell>
          <cell r="AL1723">
            <v>3719</v>
          </cell>
          <cell r="AM1723">
            <v>3720</v>
          </cell>
          <cell r="AN1723">
            <v>3719</v>
          </cell>
          <cell r="AO1723">
            <v>3638</v>
          </cell>
          <cell r="AP1723">
            <v>3615</v>
          </cell>
          <cell r="AQ1723">
            <v>3728</v>
          </cell>
          <cell r="AR1723">
            <v>3517</v>
          </cell>
          <cell r="AS1723">
            <v>3628</v>
          </cell>
          <cell r="AT1723">
            <v>288000</v>
          </cell>
        </row>
        <row r="1724">
          <cell r="G1724">
            <v>2501170102</v>
          </cell>
          <cell r="H1724" t="str">
            <v>109동</v>
          </cell>
          <cell r="I1724">
            <v>250117</v>
          </cell>
          <cell r="J1724" t="str">
            <v>109동 15층 바닥 및 102동 최상층 파라펫</v>
          </cell>
          <cell r="K1724">
            <v>320</v>
          </cell>
          <cell r="L1724">
            <v>323</v>
          </cell>
          <cell r="M1724">
            <v>3018</v>
          </cell>
          <cell r="N1724" t="str">
            <v>대공</v>
          </cell>
          <cell r="O1724" t="str">
            <v>펌프카(1대)</v>
          </cell>
          <cell r="P1724">
            <v>838</v>
          </cell>
          <cell r="Q1724">
            <v>1436</v>
          </cell>
          <cell r="R1724">
            <v>200</v>
          </cell>
          <cell r="S1724">
            <v>48</v>
          </cell>
          <cell r="T1724">
            <v>30</v>
          </cell>
          <cell r="U1724">
            <v>125</v>
          </cell>
          <cell r="V1724"/>
          <cell r="W1724" t="str">
            <v>박순홍</v>
          </cell>
          <cell r="X1724" t="str">
            <v>(인)</v>
          </cell>
          <cell r="Y1724" t="str">
            <v>김광록</v>
          </cell>
          <cell r="Z1724" t="str">
            <v>(인)</v>
          </cell>
          <cell r="AA1724" t="str">
            <v>이홍걸</v>
          </cell>
          <cell r="AB1724" t="str">
            <v>(인)</v>
          </cell>
          <cell r="AC1724" t="str">
            <v>이홍걸</v>
          </cell>
          <cell r="AD1724" t="str">
            <v>(인)</v>
          </cell>
          <cell r="AE1724">
            <v>176.4</v>
          </cell>
          <cell r="AF1724" t="str">
            <v>동절기</v>
          </cell>
          <cell r="AG1724">
            <v>2</v>
          </cell>
          <cell r="AH1724">
            <v>0</v>
          </cell>
        </row>
        <row r="1725">
          <cell r="G1725">
            <v>2501170103</v>
          </cell>
          <cell r="H1725" t="str">
            <v>109동</v>
          </cell>
          <cell r="I1725">
            <v>250117</v>
          </cell>
          <cell r="J1725" t="str">
            <v>109동 15층 바닥 및 102동 최상층 파라펫</v>
          </cell>
          <cell r="K1725">
            <v>320</v>
          </cell>
          <cell r="L1725">
            <v>323</v>
          </cell>
          <cell r="M1725">
            <v>3018</v>
          </cell>
          <cell r="N1725" t="str">
            <v>대공</v>
          </cell>
          <cell r="O1725" t="str">
            <v>펌프카(1대)</v>
          </cell>
          <cell r="P1725">
            <v>838</v>
          </cell>
          <cell r="Q1725">
            <v>1436</v>
          </cell>
          <cell r="R1725">
            <v>200</v>
          </cell>
          <cell r="S1725">
            <v>38</v>
          </cell>
          <cell r="T1725">
            <v>101</v>
          </cell>
          <cell r="U1725">
            <v>143</v>
          </cell>
          <cell r="V1725"/>
          <cell r="W1725" t="str">
            <v>박순홍</v>
          </cell>
          <cell r="X1725" t="str">
            <v>(인)</v>
          </cell>
          <cell r="Y1725" t="str">
            <v>김광록</v>
          </cell>
          <cell r="Z1725" t="str">
            <v>(인)</v>
          </cell>
          <cell r="AA1725" t="str">
            <v>이홍걸</v>
          </cell>
          <cell r="AB1725" t="str">
            <v>(인)</v>
          </cell>
          <cell r="AC1725" t="str">
            <v>이홍걸</v>
          </cell>
          <cell r="AD1725" t="str">
            <v>(인)</v>
          </cell>
          <cell r="AE1725">
            <v>173.7</v>
          </cell>
          <cell r="AF1725" t="str">
            <v>동절기</v>
          </cell>
          <cell r="AG1725">
            <v>3</v>
          </cell>
          <cell r="AH1725">
            <v>0</v>
          </cell>
        </row>
        <row r="1726">
          <cell r="G1726">
            <v>2501170201</v>
          </cell>
          <cell r="H1726" t="str">
            <v>114동</v>
          </cell>
          <cell r="I1726">
            <v>250117</v>
          </cell>
          <cell r="J1726" t="str">
            <v>114동 12층 바닥</v>
          </cell>
          <cell r="K1726">
            <v>276</v>
          </cell>
          <cell r="L1726">
            <v>276</v>
          </cell>
          <cell r="M1726">
            <v>3018</v>
          </cell>
          <cell r="N1726" t="str">
            <v>용호</v>
          </cell>
          <cell r="O1726" t="str">
            <v>펌프카(1대)</v>
          </cell>
          <cell r="P1726">
            <v>1005</v>
          </cell>
          <cell r="Q1726">
            <v>1436</v>
          </cell>
          <cell r="R1726">
            <v>200</v>
          </cell>
          <cell r="S1726">
            <v>38</v>
          </cell>
          <cell r="T1726">
            <v>30</v>
          </cell>
          <cell r="U1726">
            <v>184</v>
          </cell>
          <cell r="V1726"/>
          <cell r="W1726" t="str">
            <v>박순홍</v>
          </cell>
          <cell r="X1726" t="str">
            <v>(인)</v>
          </cell>
          <cell r="Y1726" t="str">
            <v>김광록</v>
          </cell>
          <cell r="Z1726" t="str">
            <v>(인)</v>
          </cell>
          <cell r="AA1726" t="str">
            <v>이홍걸</v>
          </cell>
          <cell r="AB1726" t="str">
            <v>(인)</v>
          </cell>
          <cell r="AC1726" t="str">
            <v>이홍걸</v>
          </cell>
          <cell r="AD1726" t="str">
            <v>(인)</v>
          </cell>
          <cell r="AE1726">
            <v>178.4</v>
          </cell>
          <cell r="AF1726" t="str">
            <v>동절기</v>
          </cell>
          <cell r="AG1726">
            <v>1</v>
          </cell>
          <cell r="AH1726">
            <v>1</v>
          </cell>
          <cell r="AI1726">
            <v>2702</v>
          </cell>
          <cell r="AJ1726">
            <v>2698</v>
          </cell>
          <cell r="AK1726">
            <v>218600</v>
          </cell>
          <cell r="AL1726">
            <v>3524</v>
          </cell>
          <cell r="AM1726">
            <v>3765</v>
          </cell>
          <cell r="AN1726">
            <v>3732</v>
          </cell>
          <cell r="AO1726">
            <v>3573</v>
          </cell>
          <cell r="AP1726">
            <v>3671</v>
          </cell>
          <cell r="AQ1726">
            <v>3720</v>
          </cell>
          <cell r="AR1726">
            <v>3658</v>
          </cell>
          <cell r="AS1726">
            <v>3623</v>
          </cell>
          <cell r="AT1726">
            <v>283600</v>
          </cell>
        </row>
        <row r="1727">
          <cell r="G1727">
            <v>2501170202</v>
          </cell>
          <cell r="H1727" t="str">
            <v>114동</v>
          </cell>
          <cell r="I1727">
            <v>250117</v>
          </cell>
          <cell r="J1727" t="str">
            <v>114동 12층 바닥</v>
          </cell>
          <cell r="K1727">
            <v>276</v>
          </cell>
          <cell r="L1727">
            <v>276</v>
          </cell>
          <cell r="M1727">
            <v>3018</v>
          </cell>
          <cell r="N1727" t="str">
            <v>용호</v>
          </cell>
          <cell r="O1727" t="str">
            <v>펌프카(1대)</v>
          </cell>
          <cell r="P1727">
            <v>1005</v>
          </cell>
          <cell r="Q1727">
            <v>1436</v>
          </cell>
          <cell r="R1727">
            <v>190</v>
          </cell>
          <cell r="S1727">
            <v>44</v>
          </cell>
          <cell r="T1727">
            <v>38</v>
          </cell>
          <cell r="U1727">
            <v>165</v>
          </cell>
          <cell r="V1727"/>
          <cell r="W1727" t="str">
            <v>박순홍</v>
          </cell>
          <cell r="X1727" t="str">
            <v>(인)</v>
          </cell>
          <cell r="Y1727" t="str">
            <v>김광록</v>
          </cell>
          <cell r="Z1727" t="str">
            <v>(인)</v>
          </cell>
          <cell r="AA1727" t="str">
            <v>이홍걸</v>
          </cell>
          <cell r="AB1727" t="str">
            <v>(인)</v>
          </cell>
          <cell r="AC1727" t="str">
            <v>이홍걸</v>
          </cell>
          <cell r="AD1727" t="str">
            <v>(인)</v>
          </cell>
          <cell r="AE1727">
            <v>183.5</v>
          </cell>
          <cell r="AF1727" t="str">
            <v>동절기</v>
          </cell>
          <cell r="AG1727">
            <v>2</v>
          </cell>
          <cell r="AH1727">
            <v>0</v>
          </cell>
        </row>
        <row r="1728">
          <cell r="G1728">
            <v>2501170203</v>
          </cell>
          <cell r="H1728" t="str">
            <v>114동</v>
          </cell>
          <cell r="I1728">
            <v>250117</v>
          </cell>
          <cell r="J1728" t="str">
            <v>114동 12층 바닥</v>
          </cell>
          <cell r="K1728">
            <v>276</v>
          </cell>
          <cell r="L1728">
            <v>276</v>
          </cell>
          <cell r="M1728">
            <v>3018</v>
          </cell>
          <cell r="N1728" t="str">
            <v>용호</v>
          </cell>
          <cell r="O1728" t="str">
            <v>펌프카(1대)</v>
          </cell>
          <cell r="P1728">
            <v>1005</v>
          </cell>
          <cell r="Q1728">
            <v>1436</v>
          </cell>
          <cell r="R1728">
            <v>185</v>
          </cell>
          <cell r="S1728">
            <v>39</v>
          </cell>
          <cell r="T1728">
            <v>13</v>
          </cell>
          <cell r="U1728">
            <v>157</v>
          </cell>
          <cell r="V1728"/>
          <cell r="W1728" t="str">
            <v>박순홍</v>
          </cell>
          <cell r="X1728" t="str">
            <v>(인)</v>
          </cell>
          <cell r="Y1728" t="str">
            <v>김광록</v>
          </cell>
          <cell r="Z1728" t="str">
            <v>(인)</v>
          </cell>
          <cell r="AA1728" t="str">
            <v>이홍걸</v>
          </cell>
          <cell r="AB1728" t="str">
            <v>(인)</v>
          </cell>
          <cell r="AC1728" t="str">
            <v>이홍걸</v>
          </cell>
          <cell r="AD1728" t="str">
            <v>(인)</v>
          </cell>
          <cell r="AE1728">
            <v>180.6</v>
          </cell>
          <cell r="AF1728" t="str">
            <v>동절기</v>
          </cell>
          <cell r="AG1728">
            <v>3</v>
          </cell>
          <cell r="AH1728">
            <v>0</v>
          </cell>
        </row>
        <row r="1729">
          <cell r="G1729">
            <v>2501200101</v>
          </cell>
          <cell r="H1729" t="str">
            <v>118동</v>
          </cell>
          <cell r="I1729">
            <v>250120</v>
          </cell>
          <cell r="J1729" t="str">
            <v>118동 5층 바닥</v>
          </cell>
          <cell r="K1729">
            <v>279</v>
          </cell>
          <cell r="L1729">
            <v>279</v>
          </cell>
          <cell r="M1729">
            <v>3018</v>
          </cell>
          <cell r="N1729" t="str">
            <v>대공</v>
          </cell>
          <cell r="O1729" t="str">
            <v>펌프카(1대)</v>
          </cell>
          <cell r="P1729">
            <v>1340</v>
          </cell>
          <cell r="Q1729">
            <v>1733</v>
          </cell>
          <cell r="R1729">
            <v>175</v>
          </cell>
          <cell r="S1729">
            <v>52</v>
          </cell>
          <cell r="T1729">
            <v>13</v>
          </cell>
          <cell r="U1729">
            <v>140</v>
          </cell>
          <cell r="V1729"/>
          <cell r="W1729" t="str">
            <v>박순홍</v>
          </cell>
          <cell r="X1729" t="str">
            <v>(인)</v>
          </cell>
          <cell r="Y1729" t="str">
            <v>김광록</v>
          </cell>
          <cell r="Z1729" t="str">
            <v>(인)</v>
          </cell>
          <cell r="AA1729" t="str">
            <v>박상갑</v>
          </cell>
          <cell r="AB1729" t="str">
            <v>(인)</v>
          </cell>
          <cell r="AC1729" t="str">
            <v>박상갑</v>
          </cell>
          <cell r="AD1729" t="str">
            <v>(인)</v>
          </cell>
          <cell r="AE1729">
            <v>178.4</v>
          </cell>
          <cell r="AF1729" t="str">
            <v>동절기</v>
          </cell>
          <cell r="AG1729">
            <v>1</v>
          </cell>
          <cell r="AH1729">
            <v>1</v>
          </cell>
          <cell r="AI1729">
            <v>3315</v>
          </cell>
          <cell r="AJ1729">
            <v>3206</v>
          </cell>
          <cell r="AK1729">
            <v>249600</v>
          </cell>
          <cell r="AL1729">
            <v>3729</v>
          </cell>
          <cell r="AM1729">
            <v>3812</v>
          </cell>
          <cell r="AN1729">
            <v>3740</v>
          </cell>
          <cell r="AO1729">
            <v>3812</v>
          </cell>
          <cell r="AP1729">
            <v>3766</v>
          </cell>
          <cell r="AQ1729">
            <v>3509</v>
          </cell>
          <cell r="AR1729">
            <v>3628</v>
          </cell>
          <cell r="AS1729">
            <v>3758</v>
          </cell>
          <cell r="AT1729">
            <v>299600</v>
          </cell>
        </row>
        <row r="1730">
          <cell r="G1730">
            <v>2501200102</v>
          </cell>
          <cell r="H1730" t="str">
            <v>118동</v>
          </cell>
          <cell r="I1730">
            <v>250120</v>
          </cell>
          <cell r="J1730" t="str">
            <v>118동 5층 바닥</v>
          </cell>
          <cell r="K1730">
            <v>279</v>
          </cell>
          <cell r="L1730">
            <v>279</v>
          </cell>
          <cell r="M1730">
            <v>3018</v>
          </cell>
          <cell r="N1730" t="str">
            <v>대공</v>
          </cell>
          <cell r="O1730" t="str">
            <v>펌프카(1대)</v>
          </cell>
          <cell r="P1730">
            <v>1340</v>
          </cell>
          <cell r="Q1730">
            <v>1733</v>
          </cell>
          <cell r="R1730">
            <v>170</v>
          </cell>
          <cell r="S1730">
            <v>50</v>
          </cell>
          <cell r="T1730">
            <v>14</v>
          </cell>
          <cell r="U1730">
            <v>165</v>
          </cell>
          <cell r="V1730"/>
          <cell r="W1730" t="str">
            <v>박순홍</v>
          </cell>
          <cell r="X1730" t="str">
            <v>(인)</v>
          </cell>
          <cell r="Y1730" t="str">
            <v>김광록</v>
          </cell>
          <cell r="Z1730" t="str">
            <v>(인)</v>
          </cell>
          <cell r="AA1730" t="str">
            <v>박상갑</v>
          </cell>
          <cell r="AB1730" t="str">
            <v>(인)</v>
          </cell>
          <cell r="AC1730" t="str">
            <v>박상갑</v>
          </cell>
          <cell r="AD1730" t="str">
            <v>(인)</v>
          </cell>
          <cell r="AE1730">
            <v>183.2</v>
          </cell>
          <cell r="AF1730" t="str">
            <v>동절기</v>
          </cell>
          <cell r="AG1730">
            <v>2</v>
          </cell>
          <cell r="AH1730">
            <v>0</v>
          </cell>
        </row>
        <row r="1731">
          <cell r="G1731">
            <v>2501200103</v>
          </cell>
          <cell r="H1731" t="str">
            <v>118동</v>
          </cell>
          <cell r="I1731">
            <v>250120</v>
          </cell>
          <cell r="J1731" t="str">
            <v>118동 5층 바닥</v>
          </cell>
          <cell r="K1731">
            <v>279</v>
          </cell>
          <cell r="L1731">
            <v>279</v>
          </cell>
          <cell r="M1731">
            <v>3018</v>
          </cell>
          <cell r="N1731" t="str">
            <v>대공</v>
          </cell>
          <cell r="O1731" t="str">
            <v>펌프카(1대)</v>
          </cell>
          <cell r="P1731">
            <v>1340</v>
          </cell>
          <cell r="Q1731">
            <v>1733</v>
          </cell>
          <cell r="R1731">
            <v>190</v>
          </cell>
          <cell r="S1731">
            <v>40</v>
          </cell>
          <cell r="T1731">
            <v>72</v>
          </cell>
          <cell r="U1731">
            <v>161</v>
          </cell>
          <cell r="V1731"/>
          <cell r="W1731" t="str">
            <v>박순홍</v>
          </cell>
          <cell r="X1731" t="str">
            <v>(인)</v>
          </cell>
          <cell r="Y1731" t="str">
            <v>김광록</v>
          </cell>
          <cell r="Z1731" t="str">
            <v>(인)</v>
          </cell>
          <cell r="AA1731" t="str">
            <v>박상갑</v>
          </cell>
          <cell r="AB1731" t="str">
            <v>(인)</v>
          </cell>
          <cell r="AC1731" t="str">
            <v>박상갑</v>
          </cell>
          <cell r="AD1731" t="str">
            <v>(인)</v>
          </cell>
          <cell r="AE1731">
            <v>185.1</v>
          </cell>
          <cell r="AF1731" t="str">
            <v>동절기</v>
          </cell>
          <cell r="AG1731">
            <v>3</v>
          </cell>
          <cell r="AH1731">
            <v>0</v>
          </cell>
        </row>
        <row r="1732">
          <cell r="G1732">
            <v>2501200201</v>
          </cell>
          <cell r="H1732" t="str">
            <v>120동</v>
          </cell>
          <cell r="I1732">
            <v>250120</v>
          </cell>
          <cell r="J1732" t="str">
            <v>120동 4층 바닥</v>
          </cell>
          <cell r="K1732">
            <v>312</v>
          </cell>
          <cell r="L1732">
            <v>312</v>
          </cell>
          <cell r="M1732">
            <v>3018</v>
          </cell>
          <cell r="N1732" t="str">
            <v>동양</v>
          </cell>
          <cell r="O1732" t="str">
            <v>펌프카(1대)</v>
          </cell>
          <cell r="P1732">
            <v>753</v>
          </cell>
          <cell r="Q1732">
            <v>1325</v>
          </cell>
          <cell r="R1732">
            <v>170</v>
          </cell>
          <cell r="S1732">
            <v>47</v>
          </cell>
          <cell r="T1732">
            <v>16</v>
          </cell>
          <cell r="U1732">
            <v>152</v>
          </cell>
          <cell r="V1732"/>
          <cell r="W1732" t="str">
            <v>김광록</v>
          </cell>
          <cell r="X1732" t="str">
            <v>(인)</v>
          </cell>
          <cell r="Y1732" t="str">
            <v>김광록</v>
          </cell>
          <cell r="Z1732" t="str">
            <v>(인)</v>
          </cell>
          <cell r="AA1732" t="str">
            <v>박상갑</v>
          </cell>
          <cell r="AB1732" t="str">
            <v>(인)</v>
          </cell>
          <cell r="AC1732" t="str">
            <v>박상갑</v>
          </cell>
          <cell r="AD1732" t="str">
            <v>(인)</v>
          </cell>
          <cell r="AE1732">
            <v>182.9</v>
          </cell>
          <cell r="AF1732" t="str">
            <v>동절기</v>
          </cell>
          <cell r="AG1732">
            <v>1</v>
          </cell>
          <cell r="AH1732">
            <v>1</v>
          </cell>
          <cell r="AI1732">
            <v>3292</v>
          </cell>
          <cell r="AJ1732">
            <v>3206</v>
          </cell>
          <cell r="AK1732">
            <v>252200</v>
          </cell>
          <cell r="AL1732">
            <v>3811</v>
          </cell>
          <cell r="AM1732">
            <v>3736</v>
          </cell>
          <cell r="AN1732">
            <v>3857</v>
          </cell>
          <cell r="AO1732">
            <v>3629</v>
          </cell>
          <cell r="AP1732">
            <v>3812</v>
          </cell>
          <cell r="AQ1732">
            <v>3786</v>
          </cell>
          <cell r="AR1732">
            <v>3827</v>
          </cell>
          <cell r="AS1732">
            <v>3728</v>
          </cell>
          <cell r="AT1732">
            <v>302200</v>
          </cell>
        </row>
        <row r="1733">
          <cell r="G1733">
            <v>2501200202</v>
          </cell>
          <cell r="H1733" t="str">
            <v>120동</v>
          </cell>
          <cell r="I1733">
            <v>250120</v>
          </cell>
          <cell r="J1733" t="str">
            <v>120동 4층 바닥</v>
          </cell>
          <cell r="K1733">
            <v>312</v>
          </cell>
          <cell r="L1733">
            <v>312</v>
          </cell>
          <cell r="M1733">
            <v>3018</v>
          </cell>
          <cell r="N1733" t="str">
            <v>동양</v>
          </cell>
          <cell r="O1733" t="str">
            <v>펌프카(1대)</v>
          </cell>
          <cell r="P1733">
            <v>753</v>
          </cell>
          <cell r="Q1733">
            <v>1325</v>
          </cell>
          <cell r="R1733">
            <v>190</v>
          </cell>
          <cell r="S1733">
            <v>46</v>
          </cell>
          <cell r="T1733">
            <v>91</v>
          </cell>
          <cell r="U1733">
            <v>158</v>
          </cell>
          <cell r="V1733"/>
          <cell r="W1733" t="str">
            <v>김광록</v>
          </cell>
          <cell r="X1733" t="str">
            <v>(인)</v>
          </cell>
          <cell r="Y1733" t="str">
            <v>김광록</v>
          </cell>
          <cell r="Z1733" t="str">
            <v>(인)</v>
          </cell>
          <cell r="AA1733" t="str">
            <v>박상갑</v>
          </cell>
          <cell r="AB1733" t="str">
            <v>(인)</v>
          </cell>
          <cell r="AC1733" t="str">
            <v>박상갑</v>
          </cell>
          <cell r="AD1733" t="str">
            <v>(인)</v>
          </cell>
          <cell r="AE1733">
            <v>183.2</v>
          </cell>
          <cell r="AF1733" t="str">
            <v>동절기</v>
          </cell>
          <cell r="AG1733">
            <v>2</v>
          </cell>
          <cell r="AH1733">
            <v>0</v>
          </cell>
        </row>
        <row r="1734">
          <cell r="G1734">
            <v>2501200203</v>
          </cell>
          <cell r="H1734" t="str">
            <v>120동</v>
          </cell>
          <cell r="I1734">
            <v>250120</v>
          </cell>
          <cell r="J1734" t="str">
            <v>120동 4층 바닥</v>
          </cell>
          <cell r="K1734">
            <v>312</v>
          </cell>
          <cell r="L1734">
            <v>312</v>
          </cell>
          <cell r="M1734">
            <v>3018</v>
          </cell>
          <cell r="N1734" t="str">
            <v>동양</v>
          </cell>
          <cell r="O1734" t="str">
            <v>펌프카(1대)</v>
          </cell>
          <cell r="P1734">
            <v>753</v>
          </cell>
          <cell r="Q1734">
            <v>1325</v>
          </cell>
          <cell r="R1734">
            <v>170</v>
          </cell>
          <cell r="S1734">
            <v>43</v>
          </cell>
          <cell r="T1734">
            <v>26</v>
          </cell>
          <cell r="U1734">
            <v>163</v>
          </cell>
          <cell r="V1734"/>
          <cell r="W1734" t="str">
            <v>김광록</v>
          </cell>
          <cell r="X1734" t="str">
            <v>(인)</v>
          </cell>
          <cell r="Y1734" t="str">
            <v>김광록</v>
          </cell>
          <cell r="Z1734" t="str">
            <v>(인)</v>
          </cell>
          <cell r="AA1734" t="str">
            <v>박상갑</v>
          </cell>
          <cell r="AB1734" t="str">
            <v>(인)</v>
          </cell>
          <cell r="AC1734" t="str">
            <v>박상갑</v>
          </cell>
          <cell r="AD1734" t="str">
            <v>(인)</v>
          </cell>
          <cell r="AE1734">
            <v>181.9</v>
          </cell>
          <cell r="AF1734" t="str">
            <v>동절기</v>
          </cell>
          <cell r="AG1734">
            <v>3</v>
          </cell>
          <cell r="AH1734">
            <v>0</v>
          </cell>
        </row>
        <row r="1735">
          <cell r="G1735">
            <v>2501210101</v>
          </cell>
          <cell r="H1735" t="str">
            <v>111동</v>
          </cell>
          <cell r="I1735">
            <v>250121</v>
          </cell>
          <cell r="J1735" t="str">
            <v>111동 15층 바닥</v>
          </cell>
          <cell r="K1735">
            <v>286</v>
          </cell>
          <cell r="L1735">
            <v>286</v>
          </cell>
          <cell r="M1735">
            <v>3018</v>
          </cell>
          <cell r="N1735" t="str">
            <v>대공</v>
          </cell>
          <cell r="O1735" t="str">
            <v>펌프카(1대)</v>
          </cell>
          <cell r="P1735">
            <v>850</v>
          </cell>
          <cell r="Q1735">
            <v>1422</v>
          </cell>
          <cell r="R1735">
            <v>200</v>
          </cell>
          <cell r="S1735">
            <v>45</v>
          </cell>
          <cell r="T1735">
            <v>16</v>
          </cell>
          <cell r="U1735">
            <v>168</v>
          </cell>
          <cell r="V1735"/>
          <cell r="W1735" t="str">
            <v>박순홍</v>
          </cell>
          <cell r="X1735" t="str">
            <v>(인)</v>
          </cell>
          <cell r="Y1735" t="str">
            <v>김광록</v>
          </cell>
          <cell r="Z1735" t="str">
            <v>(인)</v>
          </cell>
          <cell r="AA1735" t="str">
            <v>박상갑</v>
          </cell>
          <cell r="AB1735" t="str">
            <v>(인)</v>
          </cell>
          <cell r="AC1735" t="str">
            <v>박상갑</v>
          </cell>
          <cell r="AD1735" t="str">
            <v>(인)</v>
          </cell>
          <cell r="AE1735">
            <v>184</v>
          </cell>
          <cell r="AF1735" t="str">
            <v>동절기</v>
          </cell>
          <cell r="AG1735">
            <v>1</v>
          </cell>
          <cell r="AH1735">
            <v>1</v>
          </cell>
          <cell r="AI1735">
            <v>3193</v>
          </cell>
          <cell r="AJ1735">
            <v>3188</v>
          </cell>
          <cell r="AK1735">
            <v>245600</v>
          </cell>
          <cell r="AL1735">
            <v>3628</v>
          </cell>
          <cell r="AM1735">
            <v>3892</v>
          </cell>
          <cell r="AN1735">
            <v>3727</v>
          </cell>
          <cell r="AO1735">
            <v>3809</v>
          </cell>
          <cell r="AP1735">
            <v>3686</v>
          </cell>
          <cell r="AQ1735">
            <v>3692</v>
          </cell>
          <cell r="AR1735">
            <v>3717</v>
          </cell>
          <cell r="AS1735">
            <v>3816</v>
          </cell>
          <cell r="AT1735">
            <v>299200</v>
          </cell>
        </row>
        <row r="1736">
          <cell r="G1736">
            <v>2501210102</v>
          </cell>
          <cell r="H1736" t="str">
            <v>111동</v>
          </cell>
          <cell r="I1736">
            <v>250121</v>
          </cell>
          <cell r="J1736" t="str">
            <v>111동 15층 바닥</v>
          </cell>
          <cell r="K1736">
            <v>286</v>
          </cell>
          <cell r="L1736">
            <v>286</v>
          </cell>
          <cell r="M1736">
            <v>3018</v>
          </cell>
          <cell r="N1736" t="str">
            <v>대공</v>
          </cell>
          <cell r="O1736" t="str">
            <v>펌프카(1대)</v>
          </cell>
          <cell r="P1736">
            <v>850</v>
          </cell>
          <cell r="Q1736">
            <v>1422</v>
          </cell>
          <cell r="R1736">
            <v>200</v>
          </cell>
          <cell r="S1736">
            <v>48</v>
          </cell>
          <cell r="T1736">
            <v>50</v>
          </cell>
          <cell r="U1736">
            <v>145</v>
          </cell>
          <cell r="V1736"/>
          <cell r="W1736" t="str">
            <v>박순홍</v>
          </cell>
          <cell r="X1736" t="str">
            <v>(인)</v>
          </cell>
          <cell r="Y1736" t="str">
            <v>김광록</v>
          </cell>
          <cell r="Z1736" t="str">
            <v>(인)</v>
          </cell>
          <cell r="AA1736" t="str">
            <v>박상갑</v>
          </cell>
          <cell r="AB1736" t="str">
            <v>(인)</v>
          </cell>
          <cell r="AC1736" t="str">
            <v>박상갑</v>
          </cell>
          <cell r="AD1736" t="str">
            <v>(인)</v>
          </cell>
          <cell r="AE1736">
            <v>182.8</v>
          </cell>
          <cell r="AF1736" t="str">
            <v>동절기</v>
          </cell>
          <cell r="AG1736">
            <v>2</v>
          </cell>
          <cell r="AH1736">
            <v>0</v>
          </cell>
        </row>
        <row r="1737">
          <cell r="G1737">
            <v>2501210103</v>
          </cell>
          <cell r="H1737" t="str">
            <v>111동</v>
          </cell>
          <cell r="I1737">
            <v>250121</v>
          </cell>
          <cell r="J1737" t="str">
            <v>111동 15층 바닥</v>
          </cell>
          <cell r="K1737">
            <v>286</v>
          </cell>
          <cell r="L1737">
            <v>286</v>
          </cell>
          <cell r="M1737">
            <v>3018</v>
          </cell>
          <cell r="N1737" t="str">
            <v>대공</v>
          </cell>
          <cell r="O1737" t="str">
            <v>펌프카(1대)</v>
          </cell>
          <cell r="P1737">
            <v>850</v>
          </cell>
          <cell r="Q1737">
            <v>1422</v>
          </cell>
          <cell r="R1737">
            <v>195</v>
          </cell>
          <cell r="S1737">
            <v>45</v>
          </cell>
          <cell r="T1737">
            <v>18</v>
          </cell>
          <cell r="U1737">
            <v>159</v>
          </cell>
          <cell r="V1737"/>
          <cell r="W1737" t="str">
            <v>박순홍</v>
          </cell>
          <cell r="X1737" t="str">
            <v>(인)</v>
          </cell>
          <cell r="Y1737" t="str">
            <v>김광록</v>
          </cell>
          <cell r="Z1737" t="str">
            <v>(인)</v>
          </cell>
          <cell r="AA1737" t="str">
            <v>박상갑</v>
          </cell>
          <cell r="AB1737" t="str">
            <v>(인)</v>
          </cell>
          <cell r="AC1737" t="str">
            <v>박상갑</v>
          </cell>
          <cell r="AD1737" t="str">
            <v>(인)</v>
          </cell>
          <cell r="AE1737">
            <v>179.8</v>
          </cell>
          <cell r="AF1737" t="str">
            <v>동절기</v>
          </cell>
          <cell r="AG1737">
            <v>3</v>
          </cell>
          <cell r="AH1737">
            <v>0</v>
          </cell>
        </row>
        <row r="1738">
          <cell r="G1738">
            <v>2501210201</v>
          </cell>
          <cell r="H1738" t="str">
            <v>117동</v>
          </cell>
          <cell r="I1738">
            <v>250121</v>
          </cell>
          <cell r="J1738" t="str">
            <v>117동 주변주차장 누름</v>
          </cell>
          <cell r="K1738">
            <v>36</v>
          </cell>
          <cell r="L1738">
            <v>36</v>
          </cell>
          <cell r="M1738">
            <v>1815</v>
          </cell>
          <cell r="N1738" t="str">
            <v>대공</v>
          </cell>
          <cell r="O1738" t="str">
            <v>펌프카(1대)</v>
          </cell>
          <cell r="P1738">
            <v>1412</v>
          </cell>
          <cell r="Q1738">
            <v>1551</v>
          </cell>
          <cell r="R1738">
            <v>150</v>
          </cell>
          <cell r="S1738">
            <v>36</v>
          </cell>
          <cell r="T1738">
            <v>142</v>
          </cell>
          <cell r="U1738">
            <v>145</v>
          </cell>
          <cell r="V1738"/>
          <cell r="W1738" t="str">
            <v>박순홍</v>
          </cell>
          <cell r="X1738" t="str">
            <v>(인)</v>
          </cell>
          <cell r="Y1738" t="str">
            <v>김광록</v>
          </cell>
          <cell r="Z1738" t="str">
            <v>(인)</v>
          </cell>
          <cell r="AA1738" t="str">
            <v>박상갑</v>
          </cell>
          <cell r="AB1738" t="str">
            <v>(인)</v>
          </cell>
          <cell r="AC1738" t="str">
            <v>박상갑</v>
          </cell>
          <cell r="AD1738" t="str">
            <v>(인)</v>
          </cell>
          <cell r="AE1738">
            <v>186.2</v>
          </cell>
          <cell r="AF1738" t="str">
            <v>동절기</v>
          </cell>
          <cell r="AG1738">
            <v>1</v>
          </cell>
          <cell r="AH1738">
            <v>1</v>
          </cell>
          <cell r="AI1738">
            <v>1830</v>
          </cell>
          <cell r="AJ1738">
            <v>1788</v>
          </cell>
          <cell r="AK1738">
            <v>140800</v>
          </cell>
          <cell r="AL1738">
            <v>2383</v>
          </cell>
          <cell r="AM1738">
            <v>2566</v>
          </cell>
          <cell r="AN1738">
            <v>2584</v>
          </cell>
          <cell r="AO1738">
            <v>2427</v>
          </cell>
          <cell r="AP1738">
            <v>2347</v>
          </cell>
          <cell r="AQ1738">
            <v>2401</v>
          </cell>
          <cell r="AR1738">
            <v>2513</v>
          </cell>
          <cell r="AS1738">
            <v>2463</v>
          </cell>
          <cell r="AT1738">
            <v>194400</v>
          </cell>
        </row>
        <row r="1739">
          <cell r="G1739">
            <v>2501220101</v>
          </cell>
          <cell r="H1739" t="str">
            <v>113동</v>
          </cell>
          <cell r="I1739">
            <v>250122</v>
          </cell>
          <cell r="J1739" t="str">
            <v>113동 18층 바닥</v>
          </cell>
          <cell r="K1739">
            <v>336</v>
          </cell>
          <cell r="L1739">
            <v>336</v>
          </cell>
          <cell r="M1739">
            <v>3018</v>
          </cell>
          <cell r="N1739" t="str">
            <v>한진</v>
          </cell>
          <cell r="O1739" t="str">
            <v>펌프카(1대)</v>
          </cell>
          <cell r="P1739">
            <v>847</v>
          </cell>
          <cell r="Q1739">
            <v>1518</v>
          </cell>
          <cell r="R1739">
            <v>190</v>
          </cell>
          <cell r="S1739">
            <v>50</v>
          </cell>
          <cell r="T1739">
            <v>101</v>
          </cell>
          <cell r="U1739">
            <v>148</v>
          </cell>
          <cell r="V1739"/>
          <cell r="W1739" t="str">
            <v>박순홍</v>
          </cell>
          <cell r="X1739" t="str">
            <v>(인)</v>
          </cell>
          <cell r="Y1739" t="str">
            <v>김광록</v>
          </cell>
          <cell r="Z1739" t="str">
            <v>(인)</v>
          </cell>
          <cell r="AA1739" t="str">
            <v>박상갑</v>
          </cell>
          <cell r="AB1739" t="str">
            <v>(인)</v>
          </cell>
          <cell r="AC1739" t="str">
            <v>박상갑</v>
          </cell>
          <cell r="AD1739" t="str">
            <v>(인)</v>
          </cell>
          <cell r="AE1739">
            <v>181.2</v>
          </cell>
          <cell r="AF1739" t="str">
            <v>동절기</v>
          </cell>
          <cell r="AG1739">
            <v>1</v>
          </cell>
          <cell r="AH1739">
            <v>1</v>
          </cell>
          <cell r="AI1739">
            <v>2981</v>
          </cell>
          <cell r="AJ1739">
            <v>3068</v>
          </cell>
          <cell r="AK1739">
            <v>237400</v>
          </cell>
          <cell r="AL1739">
            <v>3810</v>
          </cell>
          <cell r="AM1739">
            <v>3729</v>
          </cell>
          <cell r="AN1739">
            <v>3819</v>
          </cell>
          <cell r="AO1739">
            <v>3765</v>
          </cell>
          <cell r="AP1739">
            <v>3809</v>
          </cell>
          <cell r="AQ1739">
            <v>3715</v>
          </cell>
          <cell r="AR1739">
            <v>3629</v>
          </cell>
          <cell r="AS1739">
            <v>3788</v>
          </cell>
          <cell r="AT1739">
            <v>301000</v>
          </cell>
        </row>
        <row r="1740">
          <cell r="G1740">
            <v>2501220102</v>
          </cell>
          <cell r="H1740" t="str">
            <v>113동</v>
          </cell>
          <cell r="I1740">
            <v>250122</v>
          </cell>
          <cell r="J1740" t="str">
            <v>113동 18층 바닥</v>
          </cell>
          <cell r="K1740">
            <v>336</v>
          </cell>
          <cell r="L1740">
            <v>336</v>
          </cell>
          <cell r="M1740">
            <v>3018</v>
          </cell>
          <cell r="N1740" t="str">
            <v>한진</v>
          </cell>
          <cell r="O1740" t="str">
            <v>펌프카(1대)</v>
          </cell>
          <cell r="P1740">
            <v>847</v>
          </cell>
          <cell r="Q1740">
            <v>1518</v>
          </cell>
          <cell r="R1740">
            <v>200</v>
          </cell>
          <cell r="S1740">
            <v>52</v>
          </cell>
          <cell r="T1740">
            <v>117</v>
          </cell>
          <cell r="U1740">
            <v>183</v>
          </cell>
          <cell r="V1740"/>
          <cell r="W1740" t="str">
            <v>박순홍</v>
          </cell>
          <cell r="X1740" t="str">
            <v>(인)</v>
          </cell>
          <cell r="Y1740" t="str">
            <v>김광록</v>
          </cell>
          <cell r="Z1740" t="str">
            <v>(인)</v>
          </cell>
          <cell r="AA1740" t="str">
            <v>박상갑</v>
          </cell>
          <cell r="AB1740" t="str">
            <v>(인)</v>
          </cell>
          <cell r="AC1740" t="str">
            <v>박상갑</v>
          </cell>
          <cell r="AD1740" t="str">
            <v>(인)</v>
          </cell>
          <cell r="AE1740">
            <v>179.6</v>
          </cell>
          <cell r="AF1740" t="str">
            <v>동절기</v>
          </cell>
          <cell r="AG1740">
            <v>2</v>
          </cell>
          <cell r="AH1740">
            <v>0</v>
          </cell>
        </row>
        <row r="1741">
          <cell r="G1741">
            <v>2501220103</v>
          </cell>
          <cell r="H1741" t="str">
            <v>113동</v>
          </cell>
          <cell r="I1741">
            <v>250122</v>
          </cell>
          <cell r="J1741" t="str">
            <v>113동 18층 바닥</v>
          </cell>
          <cell r="K1741">
            <v>336</v>
          </cell>
          <cell r="L1741">
            <v>336</v>
          </cell>
          <cell r="M1741">
            <v>3018</v>
          </cell>
          <cell r="N1741" t="str">
            <v>한진</v>
          </cell>
          <cell r="O1741" t="str">
            <v>펌프카(1대)</v>
          </cell>
          <cell r="P1741">
            <v>847</v>
          </cell>
          <cell r="Q1741">
            <v>1518</v>
          </cell>
          <cell r="R1741">
            <v>185</v>
          </cell>
          <cell r="S1741">
            <v>46</v>
          </cell>
          <cell r="T1741">
            <v>98</v>
          </cell>
          <cell r="U1741">
            <v>162</v>
          </cell>
          <cell r="V1741"/>
          <cell r="W1741" t="str">
            <v>박순홍</v>
          </cell>
          <cell r="X1741" t="str">
            <v>(인)</v>
          </cell>
          <cell r="Y1741" t="str">
            <v>김광록</v>
          </cell>
          <cell r="Z1741" t="str">
            <v>(인)</v>
          </cell>
          <cell r="AA1741" t="str">
            <v>박상갑</v>
          </cell>
          <cell r="AB1741" t="str">
            <v>(인)</v>
          </cell>
          <cell r="AC1741" t="str">
            <v>박상갑</v>
          </cell>
          <cell r="AD1741" t="str">
            <v>(인)</v>
          </cell>
          <cell r="AE1741">
            <v>184.5</v>
          </cell>
          <cell r="AF1741" t="str">
            <v>동절기</v>
          </cell>
          <cell r="AG1741">
            <v>3</v>
          </cell>
          <cell r="AH1741">
            <v>0</v>
          </cell>
        </row>
        <row r="1742">
          <cell r="G1742">
            <v>2501220201</v>
          </cell>
          <cell r="H1742" t="str">
            <v>110동</v>
          </cell>
          <cell r="I1742">
            <v>250122</v>
          </cell>
          <cell r="J1742" t="str">
            <v>110동 15층 바닥</v>
          </cell>
          <cell r="K1742">
            <v>296</v>
          </cell>
          <cell r="L1742">
            <v>296</v>
          </cell>
          <cell r="M1742">
            <v>3018</v>
          </cell>
          <cell r="N1742" t="str">
            <v>영진</v>
          </cell>
          <cell r="O1742" t="str">
            <v>펌프카(1대)</v>
          </cell>
          <cell r="P1742">
            <v>8201340</v>
          </cell>
          <cell r="Q1742">
            <v>1610</v>
          </cell>
          <cell r="R1742">
            <v>175</v>
          </cell>
          <cell r="S1742">
            <v>45</v>
          </cell>
          <cell r="T1742">
            <v>85</v>
          </cell>
          <cell r="U1742">
            <v>181</v>
          </cell>
          <cell r="V1742"/>
          <cell r="W1742" t="str">
            <v>김광록</v>
          </cell>
          <cell r="X1742" t="str">
            <v>(인)</v>
          </cell>
          <cell r="Y1742" t="str">
            <v>김광록</v>
          </cell>
          <cell r="Z1742" t="str">
            <v>(인)</v>
          </cell>
          <cell r="AA1742" t="str">
            <v>박상갑</v>
          </cell>
          <cell r="AB1742" t="str">
            <v>(인)</v>
          </cell>
          <cell r="AC1742" t="str">
            <v>박상갑</v>
          </cell>
          <cell r="AD1742" t="str">
            <v>(인)</v>
          </cell>
          <cell r="AE1742">
            <v>178.3</v>
          </cell>
          <cell r="AF1742" t="str">
            <v>동절기</v>
          </cell>
          <cell r="AG1742">
            <v>1</v>
          </cell>
          <cell r="AH1742">
            <v>1</v>
          </cell>
          <cell r="AI1742">
            <v>3017</v>
          </cell>
          <cell r="AJ1742">
            <v>3100</v>
          </cell>
          <cell r="AK1742">
            <v>245200</v>
          </cell>
          <cell r="AL1742">
            <v>3587</v>
          </cell>
          <cell r="AM1742">
            <v>3711</v>
          </cell>
          <cell r="AN1742">
            <v>3753</v>
          </cell>
          <cell r="AO1742">
            <v>3629</v>
          </cell>
          <cell r="AP1742">
            <v>3638</v>
          </cell>
          <cell r="AQ1742">
            <v>3664</v>
          </cell>
          <cell r="AR1742">
            <v>3618</v>
          </cell>
          <cell r="AS1742">
            <v>3728</v>
          </cell>
          <cell r="AT1742">
            <v>273400</v>
          </cell>
        </row>
        <row r="1743">
          <cell r="G1743">
            <v>2501220202</v>
          </cell>
          <cell r="H1743" t="str">
            <v>110동</v>
          </cell>
          <cell r="I1743">
            <v>250122</v>
          </cell>
          <cell r="J1743" t="str">
            <v>110동 15층 바닥</v>
          </cell>
          <cell r="K1743">
            <v>296</v>
          </cell>
          <cell r="L1743">
            <v>296</v>
          </cell>
          <cell r="M1743">
            <v>3018</v>
          </cell>
          <cell r="N1743" t="str">
            <v>영진</v>
          </cell>
          <cell r="O1743" t="str">
            <v>펌프카(1대)</v>
          </cell>
          <cell r="P1743">
            <v>8201340</v>
          </cell>
          <cell r="Q1743">
            <v>1610</v>
          </cell>
          <cell r="R1743">
            <v>180</v>
          </cell>
          <cell r="S1743">
            <v>50</v>
          </cell>
          <cell r="T1743">
            <v>64</v>
          </cell>
          <cell r="U1743">
            <v>146</v>
          </cell>
          <cell r="V1743"/>
          <cell r="W1743" t="str">
            <v>김광록</v>
          </cell>
          <cell r="X1743" t="str">
            <v>(인)</v>
          </cell>
          <cell r="Y1743" t="str">
            <v>김광록</v>
          </cell>
          <cell r="Z1743" t="str">
            <v>(인)</v>
          </cell>
          <cell r="AA1743" t="str">
            <v>박상갑</v>
          </cell>
          <cell r="AB1743" t="str">
            <v>(인)</v>
          </cell>
          <cell r="AC1743" t="str">
            <v>박상갑</v>
          </cell>
          <cell r="AD1743" t="str">
            <v>(인)</v>
          </cell>
          <cell r="AE1743">
            <v>182</v>
          </cell>
          <cell r="AF1743" t="str">
            <v>동절기</v>
          </cell>
          <cell r="AG1743">
            <v>2</v>
          </cell>
          <cell r="AH1743">
            <v>0</v>
          </cell>
        </row>
        <row r="1744">
          <cell r="G1744">
            <v>2501220203</v>
          </cell>
          <cell r="H1744" t="str">
            <v>110동</v>
          </cell>
          <cell r="I1744">
            <v>250122</v>
          </cell>
          <cell r="J1744" t="str">
            <v>110동 15층 바닥</v>
          </cell>
          <cell r="K1744">
            <v>296</v>
          </cell>
          <cell r="L1744">
            <v>296</v>
          </cell>
          <cell r="M1744">
            <v>3018</v>
          </cell>
          <cell r="N1744" t="str">
            <v>영진</v>
          </cell>
          <cell r="O1744" t="str">
            <v>펌프카(1대)</v>
          </cell>
          <cell r="P1744">
            <v>8201340</v>
          </cell>
          <cell r="Q1744">
            <v>1610</v>
          </cell>
          <cell r="R1744">
            <v>200</v>
          </cell>
          <cell r="S1744">
            <v>48</v>
          </cell>
          <cell r="T1744">
            <v>27</v>
          </cell>
          <cell r="U1744">
            <v>163</v>
          </cell>
          <cell r="V1744"/>
          <cell r="W1744" t="str">
            <v>김광록</v>
          </cell>
          <cell r="X1744" t="str">
            <v>(인)</v>
          </cell>
          <cell r="Y1744" t="str">
            <v>김광록</v>
          </cell>
          <cell r="Z1744" t="str">
            <v>(인)</v>
          </cell>
          <cell r="AA1744" t="str">
            <v>박상갑</v>
          </cell>
          <cell r="AB1744" t="str">
            <v>(인)</v>
          </cell>
          <cell r="AC1744" t="str">
            <v>박상갑</v>
          </cell>
          <cell r="AD1744" t="str">
            <v>(인)</v>
          </cell>
          <cell r="AE1744">
            <v>180.4</v>
          </cell>
          <cell r="AF1744" t="str">
            <v>동절기</v>
          </cell>
          <cell r="AG1744">
            <v>3</v>
          </cell>
          <cell r="AH1744">
            <v>0</v>
          </cell>
        </row>
        <row r="1745">
          <cell r="G1745">
            <v>2501220301</v>
          </cell>
          <cell r="H1745" t="str">
            <v>주차장</v>
          </cell>
          <cell r="I1745">
            <v>250122</v>
          </cell>
          <cell r="J1745" t="str">
            <v>주차장 12-1구간 지붕층</v>
          </cell>
          <cell r="K1745">
            <v>114</v>
          </cell>
          <cell r="L1745">
            <v>114</v>
          </cell>
          <cell r="M1745">
            <v>2715</v>
          </cell>
          <cell r="N1745" t="str">
            <v>영진</v>
          </cell>
          <cell r="O1745" t="str">
            <v>펌프카(1대)</v>
          </cell>
          <cell r="P1745">
            <v>1425</v>
          </cell>
          <cell r="Q1745">
            <v>1610</v>
          </cell>
          <cell r="R1745">
            <v>150</v>
          </cell>
          <cell r="S1745">
            <v>50</v>
          </cell>
          <cell r="T1745">
            <v>103</v>
          </cell>
          <cell r="U1745">
            <v>150</v>
          </cell>
          <cell r="V1745"/>
          <cell r="W1745" t="str">
            <v>박순홍</v>
          </cell>
          <cell r="X1745" t="str">
            <v>(인)</v>
          </cell>
          <cell r="Y1745" t="str">
            <v>김광록</v>
          </cell>
          <cell r="Z1745" t="str">
            <v>(인)</v>
          </cell>
          <cell r="AA1745" t="str">
            <v>박상갑</v>
          </cell>
          <cell r="AB1745" t="str">
            <v>(인)</v>
          </cell>
          <cell r="AC1745" t="str">
            <v>박상갑</v>
          </cell>
          <cell r="AD1745" t="str">
            <v>(인)</v>
          </cell>
          <cell r="AE1745">
            <v>180.6</v>
          </cell>
          <cell r="AF1745" t="str">
            <v>동절기</v>
          </cell>
          <cell r="AG1745">
            <v>1</v>
          </cell>
          <cell r="AH1745">
            <v>1</v>
          </cell>
          <cell r="AI1745">
            <v>2762</v>
          </cell>
          <cell r="AJ1745">
            <v>2690</v>
          </cell>
          <cell r="AK1745">
            <v>216600</v>
          </cell>
          <cell r="AL1745">
            <v>3298</v>
          </cell>
          <cell r="AM1745">
            <v>3361</v>
          </cell>
          <cell r="AN1745">
            <v>3493</v>
          </cell>
          <cell r="AO1745">
            <v>3381</v>
          </cell>
          <cell r="AP1745">
            <v>3278</v>
          </cell>
          <cell r="AQ1745">
            <v>3348</v>
          </cell>
          <cell r="AR1745">
            <v>3248</v>
          </cell>
          <cell r="AS1745">
            <v>3396</v>
          </cell>
          <cell r="AT1745">
            <v>258200</v>
          </cell>
        </row>
        <row r="1746">
          <cell r="G1746">
            <v>2501230101</v>
          </cell>
          <cell r="H1746" t="str">
            <v>108동</v>
          </cell>
          <cell r="I1746">
            <v>250123</v>
          </cell>
          <cell r="J1746" t="str">
            <v>108동 10층 바닥</v>
          </cell>
          <cell r="K1746">
            <v>281</v>
          </cell>
          <cell r="L1746">
            <v>281</v>
          </cell>
          <cell r="M1746">
            <v>3018</v>
          </cell>
          <cell r="N1746" t="str">
            <v>용호</v>
          </cell>
          <cell r="O1746" t="str">
            <v>펌프카(1대)</v>
          </cell>
          <cell r="P1746">
            <v>1300</v>
          </cell>
          <cell r="Q1746">
            <v>1716</v>
          </cell>
          <cell r="R1746">
            <v>195</v>
          </cell>
          <cell r="S1746">
            <v>43</v>
          </cell>
          <cell r="T1746">
            <v>41</v>
          </cell>
          <cell r="U1746">
            <v>155</v>
          </cell>
          <cell r="V1746"/>
          <cell r="W1746" t="str">
            <v>박순홍</v>
          </cell>
          <cell r="X1746" t="str">
            <v>(인)</v>
          </cell>
          <cell r="Y1746" t="str">
            <v>김광록</v>
          </cell>
          <cell r="Z1746" t="str">
            <v>(인)</v>
          </cell>
          <cell r="AA1746" t="str">
            <v>박상갑</v>
          </cell>
          <cell r="AB1746" t="str">
            <v>(인)</v>
          </cell>
          <cell r="AC1746" t="str">
            <v>박상갑</v>
          </cell>
          <cell r="AD1746" t="str">
            <v>(인)</v>
          </cell>
          <cell r="AE1746">
            <v>187</v>
          </cell>
          <cell r="AF1746" t="str">
            <v>동절기</v>
          </cell>
          <cell r="AG1746">
            <v>1</v>
          </cell>
          <cell r="AH1746">
            <v>1</v>
          </cell>
          <cell r="AI1746">
            <v>2895</v>
          </cell>
          <cell r="AJ1746">
            <v>2876</v>
          </cell>
          <cell r="AK1746">
            <v>230000</v>
          </cell>
          <cell r="AL1746">
            <v>3810</v>
          </cell>
          <cell r="AM1746">
            <v>3682</v>
          </cell>
          <cell r="AN1746">
            <v>3725</v>
          </cell>
          <cell r="AO1746">
            <v>3824</v>
          </cell>
          <cell r="AP1746">
            <v>3827</v>
          </cell>
          <cell r="AQ1746">
            <v>3750</v>
          </cell>
          <cell r="AR1746">
            <v>3763</v>
          </cell>
          <cell r="AS1746">
            <v>3811</v>
          </cell>
          <cell r="AT1746">
            <v>292600</v>
          </cell>
        </row>
        <row r="1747">
          <cell r="G1747">
            <v>2501230102</v>
          </cell>
          <cell r="H1747" t="str">
            <v>108동</v>
          </cell>
          <cell r="I1747">
            <v>250123</v>
          </cell>
          <cell r="J1747" t="str">
            <v>108동 10층 바닥</v>
          </cell>
          <cell r="K1747">
            <v>281</v>
          </cell>
          <cell r="L1747">
            <v>281</v>
          </cell>
          <cell r="M1747">
            <v>3018</v>
          </cell>
          <cell r="N1747" t="str">
            <v>용호</v>
          </cell>
          <cell r="O1747" t="str">
            <v>펌프카(1대)</v>
          </cell>
          <cell r="P1747">
            <v>1300</v>
          </cell>
          <cell r="Q1747">
            <v>1716</v>
          </cell>
          <cell r="R1747">
            <v>190</v>
          </cell>
          <cell r="S1747">
            <v>46</v>
          </cell>
          <cell r="T1747">
            <v>67</v>
          </cell>
          <cell r="U1747">
            <v>161</v>
          </cell>
          <cell r="V1747"/>
          <cell r="W1747" t="str">
            <v>박순홍</v>
          </cell>
          <cell r="X1747" t="str">
            <v>(인)</v>
          </cell>
          <cell r="Y1747" t="str">
            <v>김광록</v>
          </cell>
          <cell r="Z1747" t="str">
            <v>(인)</v>
          </cell>
          <cell r="AA1747" t="str">
            <v>박상갑</v>
          </cell>
          <cell r="AB1747" t="str">
            <v>(인)</v>
          </cell>
          <cell r="AC1747" t="str">
            <v>박상갑</v>
          </cell>
          <cell r="AD1747" t="str">
            <v>(인)</v>
          </cell>
          <cell r="AE1747">
            <v>185.4</v>
          </cell>
          <cell r="AF1747" t="str">
            <v>동절기</v>
          </cell>
          <cell r="AG1747">
            <v>2</v>
          </cell>
          <cell r="AH1747">
            <v>0</v>
          </cell>
        </row>
        <row r="1748">
          <cell r="G1748">
            <v>2501230103</v>
          </cell>
          <cell r="H1748" t="str">
            <v>108동</v>
          </cell>
          <cell r="I1748">
            <v>250123</v>
          </cell>
          <cell r="J1748" t="str">
            <v>108동 10층 바닥</v>
          </cell>
          <cell r="K1748">
            <v>281</v>
          </cell>
          <cell r="L1748">
            <v>281</v>
          </cell>
          <cell r="M1748">
            <v>3018</v>
          </cell>
          <cell r="N1748" t="str">
            <v>용호</v>
          </cell>
          <cell r="O1748" t="str">
            <v>펌프카(1대)</v>
          </cell>
          <cell r="P1748">
            <v>1300</v>
          </cell>
          <cell r="Q1748">
            <v>1716</v>
          </cell>
          <cell r="R1748">
            <v>200</v>
          </cell>
          <cell r="S1748">
            <v>47</v>
          </cell>
          <cell r="T1748">
            <v>37</v>
          </cell>
          <cell r="U1748">
            <v>154</v>
          </cell>
          <cell r="V1748"/>
          <cell r="W1748" t="str">
            <v>박순홍</v>
          </cell>
          <cell r="X1748" t="str">
            <v>(인)</v>
          </cell>
          <cell r="Y1748" t="str">
            <v>김광록</v>
          </cell>
          <cell r="Z1748" t="str">
            <v>(인)</v>
          </cell>
          <cell r="AA1748" t="str">
            <v>박상갑</v>
          </cell>
          <cell r="AB1748" t="str">
            <v>(인)</v>
          </cell>
          <cell r="AC1748" t="str">
            <v>박상갑</v>
          </cell>
          <cell r="AD1748" t="str">
            <v>(인)</v>
          </cell>
          <cell r="AE1748">
            <v>182.6</v>
          </cell>
          <cell r="AF1748" t="str">
            <v>동절기</v>
          </cell>
          <cell r="AG1748">
            <v>3</v>
          </cell>
          <cell r="AH1748">
            <v>0</v>
          </cell>
        </row>
        <row r="1749">
          <cell r="G1749">
            <v>2501230201</v>
          </cell>
          <cell r="H1749" t="str">
            <v>115동</v>
          </cell>
          <cell r="I1749">
            <v>250123</v>
          </cell>
          <cell r="J1749" t="str">
            <v>115동 10층 바닥</v>
          </cell>
          <cell r="K1749">
            <v>287</v>
          </cell>
          <cell r="L1749">
            <v>287</v>
          </cell>
          <cell r="M1749">
            <v>3018</v>
          </cell>
          <cell r="N1749" t="str">
            <v>영진</v>
          </cell>
          <cell r="O1749" t="str">
            <v>펌프카(1대)</v>
          </cell>
          <cell r="P1749">
            <v>836</v>
          </cell>
          <cell r="Q1749">
            <v>1202</v>
          </cell>
          <cell r="R1749">
            <v>170</v>
          </cell>
          <cell r="S1749">
            <v>52</v>
          </cell>
          <cell r="T1749">
            <v>29</v>
          </cell>
          <cell r="U1749">
            <v>140</v>
          </cell>
          <cell r="V1749"/>
          <cell r="W1749" t="str">
            <v>김광록</v>
          </cell>
          <cell r="X1749" t="str">
            <v>(인)</v>
          </cell>
          <cell r="Y1749" t="str">
            <v>김광록</v>
          </cell>
          <cell r="Z1749" t="str">
            <v>(인)</v>
          </cell>
          <cell r="AA1749" t="str">
            <v>박상갑</v>
          </cell>
          <cell r="AB1749" t="str">
            <v>(인)</v>
          </cell>
          <cell r="AC1749" t="str">
            <v>박상갑</v>
          </cell>
          <cell r="AD1749" t="str">
            <v>(인)</v>
          </cell>
          <cell r="AE1749">
            <v>180.5</v>
          </cell>
          <cell r="AF1749" t="str">
            <v>동절기</v>
          </cell>
          <cell r="AG1749">
            <v>1</v>
          </cell>
          <cell r="AH1749">
            <v>1</v>
          </cell>
          <cell r="AI1749">
            <v>2994</v>
          </cell>
          <cell r="AJ1749">
            <v>2987</v>
          </cell>
          <cell r="AK1749">
            <v>239000</v>
          </cell>
          <cell r="AL1749">
            <v>3826</v>
          </cell>
          <cell r="AM1749">
            <v>3788</v>
          </cell>
          <cell r="AN1749">
            <v>3809</v>
          </cell>
          <cell r="AO1749">
            <v>3769</v>
          </cell>
          <cell r="AP1749">
            <v>3626</v>
          </cell>
          <cell r="AQ1749">
            <v>3750</v>
          </cell>
          <cell r="AR1749">
            <v>3810</v>
          </cell>
          <cell r="AS1749">
            <v>3729</v>
          </cell>
          <cell r="AT1749">
            <v>292200</v>
          </cell>
        </row>
        <row r="1750">
          <cell r="G1750">
            <v>2501230202</v>
          </cell>
          <cell r="H1750" t="str">
            <v>115동</v>
          </cell>
          <cell r="I1750">
            <v>250123</v>
          </cell>
          <cell r="J1750" t="str">
            <v>115동 10층 바닥</v>
          </cell>
          <cell r="K1750">
            <v>287</v>
          </cell>
          <cell r="L1750">
            <v>287</v>
          </cell>
          <cell r="M1750">
            <v>3018</v>
          </cell>
          <cell r="N1750" t="str">
            <v>영진</v>
          </cell>
          <cell r="O1750" t="str">
            <v>펌프카(1대)</v>
          </cell>
          <cell r="P1750">
            <v>836</v>
          </cell>
          <cell r="Q1750">
            <v>1202</v>
          </cell>
          <cell r="R1750">
            <v>200</v>
          </cell>
          <cell r="S1750">
            <v>50</v>
          </cell>
          <cell r="T1750">
            <v>71</v>
          </cell>
          <cell r="U1750">
            <v>147</v>
          </cell>
          <cell r="V1750"/>
          <cell r="W1750" t="str">
            <v>김광록</v>
          </cell>
          <cell r="X1750" t="str">
            <v>(인)</v>
          </cell>
          <cell r="Y1750" t="str">
            <v>김광록</v>
          </cell>
          <cell r="Z1750" t="str">
            <v>(인)</v>
          </cell>
          <cell r="AA1750" t="str">
            <v>박상갑</v>
          </cell>
          <cell r="AB1750" t="str">
            <v>(인)</v>
          </cell>
          <cell r="AC1750" t="str">
            <v>박상갑</v>
          </cell>
          <cell r="AD1750" t="str">
            <v>(인)</v>
          </cell>
          <cell r="AE1750">
            <v>180.5</v>
          </cell>
          <cell r="AF1750" t="str">
            <v>동절기</v>
          </cell>
          <cell r="AG1750">
            <v>2</v>
          </cell>
          <cell r="AH1750">
            <v>0</v>
          </cell>
        </row>
        <row r="1751">
          <cell r="G1751">
            <v>2501230203</v>
          </cell>
          <cell r="H1751" t="str">
            <v>115동</v>
          </cell>
          <cell r="I1751">
            <v>250123</v>
          </cell>
          <cell r="J1751" t="str">
            <v>115동 10층 바닥</v>
          </cell>
          <cell r="K1751">
            <v>287</v>
          </cell>
          <cell r="L1751">
            <v>287</v>
          </cell>
          <cell r="M1751">
            <v>3018</v>
          </cell>
          <cell r="N1751" t="str">
            <v>영진</v>
          </cell>
          <cell r="O1751" t="str">
            <v>펌프카(1대)</v>
          </cell>
          <cell r="P1751">
            <v>836</v>
          </cell>
          <cell r="Q1751">
            <v>1202</v>
          </cell>
          <cell r="R1751">
            <v>180</v>
          </cell>
          <cell r="S1751">
            <v>41</v>
          </cell>
          <cell r="T1751">
            <v>48</v>
          </cell>
          <cell r="U1751">
            <v>149</v>
          </cell>
          <cell r="V1751"/>
          <cell r="W1751" t="str">
            <v>김광록</v>
          </cell>
          <cell r="X1751" t="str">
            <v>(인)</v>
          </cell>
          <cell r="Y1751" t="str">
            <v>김광록</v>
          </cell>
          <cell r="Z1751" t="str">
            <v>(인)</v>
          </cell>
          <cell r="AA1751" t="str">
            <v>박상갑</v>
          </cell>
          <cell r="AB1751" t="str">
            <v>(인)</v>
          </cell>
          <cell r="AC1751" t="str">
            <v>박상갑</v>
          </cell>
          <cell r="AD1751" t="str">
            <v>(인)</v>
          </cell>
          <cell r="AE1751">
            <v>188.9</v>
          </cell>
          <cell r="AF1751" t="str">
            <v>동절기</v>
          </cell>
          <cell r="AG1751">
            <v>3</v>
          </cell>
          <cell r="AH1751">
            <v>0</v>
          </cell>
        </row>
        <row r="1752">
          <cell r="G1752">
            <v>2501230301</v>
          </cell>
          <cell r="H1752" t="str">
            <v>117동</v>
          </cell>
          <cell r="I1752">
            <v>250123</v>
          </cell>
          <cell r="J1752" t="str">
            <v>117동 7층 바닥</v>
          </cell>
          <cell r="K1752">
            <v>360</v>
          </cell>
          <cell r="L1752">
            <v>360</v>
          </cell>
          <cell r="M1752">
            <v>3018</v>
          </cell>
          <cell r="N1752" t="str">
            <v>대원</v>
          </cell>
          <cell r="O1752" t="str">
            <v>펌프카(1대)</v>
          </cell>
          <cell r="P1752">
            <v>848</v>
          </cell>
          <cell r="Q1752">
            <v>1333</v>
          </cell>
          <cell r="R1752">
            <v>180</v>
          </cell>
          <cell r="S1752">
            <v>44</v>
          </cell>
          <cell r="T1752">
            <v>30</v>
          </cell>
          <cell r="U1752">
            <v>155</v>
          </cell>
          <cell r="V1752"/>
          <cell r="W1752" t="str">
            <v>김광록</v>
          </cell>
          <cell r="X1752" t="str">
            <v>(인)</v>
          </cell>
          <cell r="Y1752" t="str">
            <v>김광록</v>
          </cell>
          <cell r="Z1752" t="str">
            <v>(인)</v>
          </cell>
          <cell r="AA1752" t="str">
            <v>박상갑</v>
          </cell>
          <cell r="AB1752" t="str">
            <v>(인)</v>
          </cell>
          <cell r="AC1752" t="str">
            <v>박상갑</v>
          </cell>
          <cell r="AD1752" t="str">
            <v>(인)</v>
          </cell>
          <cell r="AE1752">
            <v>181.1</v>
          </cell>
          <cell r="AF1752" t="str">
            <v>동절기</v>
          </cell>
          <cell r="AG1752">
            <v>1</v>
          </cell>
          <cell r="AH1752">
            <v>1</v>
          </cell>
          <cell r="AI1752">
            <v>3078</v>
          </cell>
          <cell r="AJ1752">
            <v>3077</v>
          </cell>
          <cell r="AK1752">
            <v>246000</v>
          </cell>
          <cell r="AL1752">
            <v>3727</v>
          </cell>
          <cell r="AM1752">
            <v>3728</v>
          </cell>
          <cell r="AN1752">
            <v>3850</v>
          </cell>
          <cell r="AO1752">
            <v>3818</v>
          </cell>
          <cell r="AP1752">
            <v>3639</v>
          </cell>
          <cell r="AQ1752">
            <v>3809</v>
          </cell>
          <cell r="AR1752">
            <v>3765</v>
          </cell>
          <cell r="AS1752">
            <v>3727</v>
          </cell>
          <cell r="AT1752">
            <v>294800</v>
          </cell>
        </row>
        <row r="1753">
          <cell r="G1753">
            <v>2501230302</v>
          </cell>
          <cell r="H1753" t="str">
            <v>117동</v>
          </cell>
          <cell r="I1753">
            <v>250123</v>
          </cell>
          <cell r="J1753" t="str">
            <v>117동 7층 바닥</v>
          </cell>
          <cell r="K1753">
            <v>360</v>
          </cell>
          <cell r="L1753">
            <v>360</v>
          </cell>
          <cell r="M1753">
            <v>3018</v>
          </cell>
          <cell r="N1753" t="str">
            <v>대원</v>
          </cell>
          <cell r="O1753" t="str">
            <v>펌프카(1대)</v>
          </cell>
          <cell r="P1753">
            <v>848</v>
          </cell>
          <cell r="Q1753">
            <v>1333</v>
          </cell>
          <cell r="R1753">
            <v>200</v>
          </cell>
          <cell r="S1753">
            <v>50</v>
          </cell>
          <cell r="T1753">
            <v>45</v>
          </cell>
          <cell r="U1753">
            <v>152</v>
          </cell>
          <cell r="V1753"/>
          <cell r="W1753" t="str">
            <v>김광록</v>
          </cell>
          <cell r="X1753" t="str">
            <v>(인)</v>
          </cell>
          <cell r="Y1753" t="str">
            <v>김광록</v>
          </cell>
          <cell r="Z1753" t="str">
            <v>(인)</v>
          </cell>
          <cell r="AA1753" t="str">
            <v>박상갑</v>
          </cell>
          <cell r="AB1753" t="str">
            <v>(인)</v>
          </cell>
          <cell r="AC1753" t="str">
            <v>박상갑</v>
          </cell>
          <cell r="AD1753" t="str">
            <v>(인)</v>
          </cell>
          <cell r="AE1753">
            <v>180.5</v>
          </cell>
          <cell r="AF1753" t="str">
            <v>동절기</v>
          </cell>
          <cell r="AG1753">
            <v>2</v>
          </cell>
          <cell r="AH1753">
            <v>0</v>
          </cell>
        </row>
        <row r="1754">
          <cell r="G1754">
            <v>2501230303</v>
          </cell>
          <cell r="H1754" t="str">
            <v>117동</v>
          </cell>
          <cell r="I1754">
            <v>250123</v>
          </cell>
          <cell r="J1754" t="str">
            <v>117동 7층 바닥</v>
          </cell>
          <cell r="K1754">
            <v>360</v>
          </cell>
          <cell r="L1754">
            <v>360</v>
          </cell>
          <cell r="M1754">
            <v>3018</v>
          </cell>
          <cell r="N1754" t="str">
            <v>대원</v>
          </cell>
          <cell r="O1754" t="str">
            <v>펌프카(1대)</v>
          </cell>
          <cell r="P1754">
            <v>848</v>
          </cell>
          <cell r="Q1754">
            <v>1333</v>
          </cell>
          <cell r="R1754">
            <v>185</v>
          </cell>
          <cell r="S1754">
            <v>45</v>
          </cell>
          <cell r="T1754">
            <v>41</v>
          </cell>
          <cell r="U1754">
            <v>165</v>
          </cell>
          <cell r="V1754"/>
          <cell r="W1754" t="str">
            <v>김광록</v>
          </cell>
          <cell r="X1754" t="str">
            <v>(인)</v>
          </cell>
          <cell r="Y1754" t="str">
            <v>김광록</v>
          </cell>
          <cell r="Z1754" t="str">
            <v>(인)</v>
          </cell>
          <cell r="AA1754" t="str">
            <v>박상갑</v>
          </cell>
          <cell r="AB1754" t="str">
            <v>(인)</v>
          </cell>
          <cell r="AC1754" t="str">
            <v>박상갑</v>
          </cell>
          <cell r="AD1754" t="str">
            <v>(인)</v>
          </cell>
          <cell r="AE1754">
            <v>179.8</v>
          </cell>
          <cell r="AF1754" t="str">
            <v>동절기</v>
          </cell>
          <cell r="AG1754">
            <v>3</v>
          </cell>
          <cell r="AH1754">
            <v>0</v>
          </cell>
        </row>
        <row r="1755">
          <cell r="G1755">
            <v>2501230401</v>
          </cell>
          <cell r="H1755" t="str">
            <v>120동</v>
          </cell>
          <cell r="I1755">
            <v>250123</v>
          </cell>
          <cell r="J1755" t="str">
            <v>120동 주변주차장 지붕층</v>
          </cell>
          <cell r="K1755">
            <v>190</v>
          </cell>
          <cell r="L1755">
            <v>194</v>
          </cell>
          <cell r="M1755">
            <v>2715</v>
          </cell>
          <cell r="N1755" t="str">
            <v>대원</v>
          </cell>
          <cell r="O1755" t="str">
            <v>펌프카(1대)</v>
          </cell>
          <cell r="P1755">
            <v>1420</v>
          </cell>
          <cell r="Q1755">
            <v>1735</v>
          </cell>
          <cell r="R1755">
            <v>150</v>
          </cell>
          <cell r="S1755">
            <v>46</v>
          </cell>
          <cell r="T1755">
            <v>67</v>
          </cell>
          <cell r="U1755">
            <v>153</v>
          </cell>
          <cell r="V1755"/>
          <cell r="W1755" t="str">
            <v>박순홍</v>
          </cell>
          <cell r="X1755" t="str">
            <v>(인)</v>
          </cell>
          <cell r="Y1755" t="str">
            <v>김광록</v>
          </cell>
          <cell r="Z1755" t="str">
            <v>(인)</v>
          </cell>
          <cell r="AA1755" t="str">
            <v>박상갑</v>
          </cell>
          <cell r="AB1755" t="str">
            <v>(인)</v>
          </cell>
          <cell r="AC1755" t="str">
            <v>박상갑</v>
          </cell>
          <cell r="AD1755" t="str">
            <v>(인)</v>
          </cell>
          <cell r="AE1755">
            <v>177.6</v>
          </cell>
          <cell r="AF1755" t="str">
            <v>동절기</v>
          </cell>
          <cell r="AG1755">
            <v>1</v>
          </cell>
          <cell r="AH1755">
            <v>1</v>
          </cell>
          <cell r="AI1755">
            <v>2722</v>
          </cell>
          <cell r="AJ1755">
            <v>2730</v>
          </cell>
          <cell r="AK1755">
            <v>212200</v>
          </cell>
          <cell r="AL1755">
            <v>3470</v>
          </cell>
          <cell r="AM1755">
            <v>3294</v>
          </cell>
          <cell r="AN1755">
            <v>3371</v>
          </cell>
          <cell r="AO1755">
            <v>3384</v>
          </cell>
          <cell r="AP1755">
            <v>3368</v>
          </cell>
          <cell r="AQ1755">
            <v>3473</v>
          </cell>
          <cell r="AR1755">
            <v>3265</v>
          </cell>
          <cell r="AS1755">
            <v>3471</v>
          </cell>
          <cell r="AT1755">
            <v>261400</v>
          </cell>
        </row>
        <row r="1756">
          <cell r="G1756">
            <v>2501230402</v>
          </cell>
          <cell r="H1756" t="str">
            <v>120동</v>
          </cell>
          <cell r="I1756">
            <v>250123</v>
          </cell>
          <cell r="J1756" t="str">
            <v>120동 주변주차장 지붕층</v>
          </cell>
          <cell r="K1756">
            <v>190</v>
          </cell>
          <cell r="L1756">
            <v>194</v>
          </cell>
          <cell r="M1756">
            <v>2715</v>
          </cell>
          <cell r="N1756" t="str">
            <v>대원</v>
          </cell>
          <cell r="O1756" t="str">
            <v>펌프카(1대)</v>
          </cell>
          <cell r="P1756">
            <v>1420</v>
          </cell>
          <cell r="Q1756">
            <v>1735</v>
          </cell>
          <cell r="R1756">
            <v>170</v>
          </cell>
          <cell r="S1756">
            <v>49</v>
          </cell>
          <cell r="T1756">
            <v>72</v>
          </cell>
          <cell r="U1756">
            <v>159</v>
          </cell>
          <cell r="V1756"/>
          <cell r="W1756" t="str">
            <v>박순홍</v>
          </cell>
          <cell r="X1756" t="str">
            <v>(인)</v>
          </cell>
          <cell r="Y1756" t="str">
            <v>김광록</v>
          </cell>
          <cell r="Z1756" t="str">
            <v>(인)</v>
          </cell>
          <cell r="AA1756" t="str">
            <v>박상갑</v>
          </cell>
          <cell r="AB1756" t="str">
            <v>(인)</v>
          </cell>
          <cell r="AC1756" t="str">
            <v>박상갑</v>
          </cell>
          <cell r="AD1756" t="str">
            <v>(인)</v>
          </cell>
          <cell r="AE1756">
            <v>188</v>
          </cell>
          <cell r="AF1756" t="str">
            <v>동절기</v>
          </cell>
          <cell r="AG1756">
            <v>2</v>
          </cell>
          <cell r="AH1756">
            <v>0</v>
          </cell>
        </row>
        <row r="1757">
          <cell r="G1757">
            <v>2501240101</v>
          </cell>
          <cell r="H1757" t="str">
            <v>109동</v>
          </cell>
          <cell r="I1757">
            <v>250124</v>
          </cell>
          <cell r="J1757" t="str">
            <v>109동 16층 바닥</v>
          </cell>
          <cell r="K1757">
            <v>285</v>
          </cell>
          <cell r="L1757">
            <v>285</v>
          </cell>
          <cell r="M1757">
            <v>3018</v>
          </cell>
          <cell r="N1757" t="str">
            <v>동양</v>
          </cell>
          <cell r="O1757" t="str">
            <v>펌프카(1대)</v>
          </cell>
          <cell r="P1757">
            <v>824</v>
          </cell>
          <cell r="Q1757">
            <v>1240</v>
          </cell>
          <cell r="R1757">
            <v>195</v>
          </cell>
          <cell r="S1757">
            <v>43</v>
          </cell>
          <cell r="T1757">
            <v>61</v>
          </cell>
          <cell r="U1757">
            <v>153</v>
          </cell>
          <cell r="V1757"/>
          <cell r="W1757" t="str">
            <v>김광록</v>
          </cell>
          <cell r="X1757" t="str">
            <v>(인)</v>
          </cell>
          <cell r="Y1757" t="str">
            <v>박순홍</v>
          </cell>
          <cell r="Z1757" t="str">
            <v>(인)</v>
          </cell>
          <cell r="AA1757" t="str">
            <v>박상갑</v>
          </cell>
          <cell r="AB1757" t="str">
            <v>(인)</v>
          </cell>
          <cell r="AC1757" t="str">
            <v>박상갑</v>
          </cell>
          <cell r="AD1757" t="str">
            <v>(인)</v>
          </cell>
          <cell r="AE1757">
            <v>178.1</v>
          </cell>
          <cell r="AF1757" t="str">
            <v>동절기</v>
          </cell>
          <cell r="AG1757">
            <v>1</v>
          </cell>
          <cell r="AH1757">
            <v>1</v>
          </cell>
          <cell r="AI1757">
            <v>2997</v>
          </cell>
          <cell r="AJ1757">
            <v>2994</v>
          </cell>
          <cell r="AK1757">
            <v>237000</v>
          </cell>
          <cell r="AL1757">
            <v>3674</v>
          </cell>
          <cell r="AM1757">
            <v>3636</v>
          </cell>
          <cell r="AN1757">
            <v>3684</v>
          </cell>
          <cell r="AO1757">
            <v>3729</v>
          </cell>
          <cell r="AP1757">
            <v>3802</v>
          </cell>
          <cell r="AQ1757">
            <v>3668</v>
          </cell>
          <cell r="AR1757">
            <v>3642</v>
          </cell>
          <cell r="AS1757">
            <v>3608</v>
          </cell>
          <cell r="AT1757">
            <v>292600</v>
          </cell>
        </row>
        <row r="1758">
          <cell r="G1758">
            <v>2501240102</v>
          </cell>
          <cell r="H1758" t="str">
            <v>109동</v>
          </cell>
          <cell r="I1758">
            <v>250124</v>
          </cell>
          <cell r="J1758" t="str">
            <v>109동 16층 바닥</v>
          </cell>
          <cell r="K1758">
            <v>285</v>
          </cell>
          <cell r="L1758">
            <v>285</v>
          </cell>
          <cell r="M1758">
            <v>3018</v>
          </cell>
          <cell r="N1758" t="str">
            <v>동양</v>
          </cell>
          <cell r="O1758" t="str">
            <v>펌프카(1대)</v>
          </cell>
          <cell r="P1758">
            <v>824</v>
          </cell>
          <cell r="Q1758">
            <v>1240</v>
          </cell>
          <cell r="R1758">
            <v>195</v>
          </cell>
          <cell r="S1758">
            <v>38</v>
          </cell>
          <cell r="T1758">
            <v>53</v>
          </cell>
          <cell r="U1758">
            <v>141</v>
          </cell>
          <cell r="V1758"/>
          <cell r="W1758" t="str">
            <v>김광록</v>
          </cell>
          <cell r="X1758" t="str">
            <v>(인)</v>
          </cell>
          <cell r="Y1758" t="str">
            <v>박순홍</v>
          </cell>
          <cell r="Z1758" t="str">
            <v>(인)</v>
          </cell>
          <cell r="AA1758" t="str">
            <v>박상갑</v>
          </cell>
          <cell r="AB1758" t="str">
            <v>(인)</v>
          </cell>
          <cell r="AC1758" t="str">
            <v>박상갑</v>
          </cell>
          <cell r="AD1758" t="str">
            <v>(인)</v>
          </cell>
          <cell r="AE1758">
            <v>184.5</v>
          </cell>
          <cell r="AF1758" t="str">
            <v>동절기</v>
          </cell>
          <cell r="AG1758">
            <v>2</v>
          </cell>
          <cell r="AH1758">
            <v>0</v>
          </cell>
        </row>
        <row r="1759">
          <cell r="G1759">
            <v>2501240103</v>
          </cell>
          <cell r="H1759" t="str">
            <v>109동</v>
          </cell>
          <cell r="I1759">
            <v>250124</v>
          </cell>
          <cell r="J1759" t="str">
            <v>109동 16층 바닥</v>
          </cell>
          <cell r="K1759">
            <v>285</v>
          </cell>
          <cell r="L1759">
            <v>285</v>
          </cell>
          <cell r="M1759">
            <v>3018</v>
          </cell>
          <cell r="N1759" t="str">
            <v>동양</v>
          </cell>
          <cell r="O1759" t="str">
            <v>펌프카(1대)</v>
          </cell>
          <cell r="P1759">
            <v>824</v>
          </cell>
          <cell r="Q1759">
            <v>1240</v>
          </cell>
          <cell r="R1759">
            <v>205</v>
          </cell>
          <cell r="S1759">
            <v>58</v>
          </cell>
          <cell r="T1759">
            <v>60</v>
          </cell>
          <cell r="U1759">
            <v>171</v>
          </cell>
          <cell r="V1759"/>
          <cell r="W1759" t="str">
            <v>김광록</v>
          </cell>
          <cell r="X1759" t="str">
            <v>(인)</v>
          </cell>
          <cell r="Y1759" t="str">
            <v>박순홍</v>
          </cell>
          <cell r="Z1759" t="str">
            <v>(인)</v>
          </cell>
          <cell r="AA1759" t="str">
            <v>박상갑</v>
          </cell>
          <cell r="AB1759" t="str">
            <v>(인)</v>
          </cell>
          <cell r="AC1759" t="str">
            <v>박상갑</v>
          </cell>
          <cell r="AD1759" t="str">
            <v>(인)</v>
          </cell>
          <cell r="AE1759">
            <v>180</v>
          </cell>
          <cell r="AF1759" t="str">
            <v>동절기</v>
          </cell>
          <cell r="AG1759">
            <v>3</v>
          </cell>
          <cell r="AH1759">
            <v>0</v>
          </cell>
        </row>
        <row r="1760">
          <cell r="G1760">
            <v>2501240201</v>
          </cell>
          <cell r="H1760" t="str">
            <v>112동</v>
          </cell>
          <cell r="I1760">
            <v>250124</v>
          </cell>
          <cell r="J1760" t="str">
            <v>112동 6층 바닥</v>
          </cell>
          <cell r="K1760">
            <v>210</v>
          </cell>
          <cell r="L1760">
            <v>210</v>
          </cell>
          <cell r="M1760">
            <v>3018</v>
          </cell>
          <cell r="N1760" t="str">
            <v>대성</v>
          </cell>
          <cell r="O1760" t="str">
            <v>펌프카(1대)</v>
          </cell>
          <cell r="P1760">
            <v>1328</v>
          </cell>
          <cell r="Q1760">
            <v>1710</v>
          </cell>
          <cell r="R1760">
            <v>200</v>
          </cell>
          <cell r="S1760">
            <v>44</v>
          </cell>
          <cell r="T1760">
            <v>65</v>
          </cell>
          <cell r="U1760">
            <v>173</v>
          </cell>
          <cell r="V1760"/>
          <cell r="W1760" t="str">
            <v>박순홍</v>
          </cell>
          <cell r="X1760" t="str">
            <v>(인)</v>
          </cell>
          <cell r="Y1760" t="str">
            <v>박순홍</v>
          </cell>
          <cell r="Z1760" t="str">
            <v>(인)</v>
          </cell>
          <cell r="AA1760" t="str">
            <v>박상갑</v>
          </cell>
          <cell r="AB1760" t="str">
            <v>(인)</v>
          </cell>
          <cell r="AC1760" t="str">
            <v>박상갑</v>
          </cell>
          <cell r="AD1760" t="str">
            <v>(인)</v>
          </cell>
          <cell r="AE1760">
            <v>178.1</v>
          </cell>
          <cell r="AF1760" t="str">
            <v>동절기</v>
          </cell>
          <cell r="AG1760">
            <v>1</v>
          </cell>
          <cell r="AH1760">
            <v>1</v>
          </cell>
          <cell r="AI1760">
            <v>3065</v>
          </cell>
          <cell r="AJ1760">
            <v>2946</v>
          </cell>
          <cell r="AK1760">
            <v>235400</v>
          </cell>
          <cell r="AL1760">
            <v>3837</v>
          </cell>
          <cell r="AM1760">
            <v>3822</v>
          </cell>
          <cell r="AN1760">
            <v>3806</v>
          </cell>
          <cell r="AO1760">
            <v>3792</v>
          </cell>
          <cell r="AP1760">
            <v>3772</v>
          </cell>
          <cell r="AQ1760">
            <v>3608</v>
          </cell>
          <cell r="AR1760">
            <v>3817</v>
          </cell>
          <cell r="AS1760">
            <v>3730</v>
          </cell>
          <cell r="AT1760">
            <v>302600</v>
          </cell>
        </row>
        <row r="1761">
          <cell r="G1761">
            <v>2501240202</v>
          </cell>
          <cell r="H1761" t="str">
            <v>112동</v>
          </cell>
          <cell r="I1761">
            <v>250124</v>
          </cell>
          <cell r="J1761" t="str">
            <v>112동 6층 바닥</v>
          </cell>
          <cell r="K1761">
            <v>210</v>
          </cell>
          <cell r="L1761">
            <v>210</v>
          </cell>
          <cell r="M1761">
            <v>3018</v>
          </cell>
          <cell r="N1761" t="str">
            <v>대성</v>
          </cell>
          <cell r="O1761" t="str">
            <v>펌프카(1대)</v>
          </cell>
          <cell r="P1761">
            <v>1328</v>
          </cell>
          <cell r="Q1761">
            <v>1710</v>
          </cell>
          <cell r="R1761">
            <v>190</v>
          </cell>
          <cell r="S1761">
            <v>52</v>
          </cell>
          <cell r="T1761">
            <v>32</v>
          </cell>
          <cell r="U1761">
            <v>205</v>
          </cell>
          <cell r="V1761"/>
          <cell r="W1761" t="str">
            <v>박순홍</v>
          </cell>
          <cell r="X1761" t="str">
            <v>(인)</v>
          </cell>
          <cell r="Y1761" t="str">
            <v>박순홍</v>
          </cell>
          <cell r="Z1761" t="str">
            <v>(인)</v>
          </cell>
          <cell r="AA1761" t="str">
            <v>박상갑</v>
          </cell>
          <cell r="AB1761" t="str">
            <v>(인)</v>
          </cell>
          <cell r="AC1761" t="str">
            <v>박상갑</v>
          </cell>
          <cell r="AD1761" t="str">
            <v>(인)</v>
          </cell>
          <cell r="AE1761">
            <v>187</v>
          </cell>
          <cell r="AF1761" t="str">
            <v>동절기</v>
          </cell>
          <cell r="AG1761">
            <v>2</v>
          </cell>
          <cell r="AH1761">
            <v>0</v>
          </cell>
        </row>
        <row r="1762">
          <cell r="G1762">
            <v>2501240301</v>
          </cell>
          <cell r="H1762" t="str">
            <v>116동</v>
          </cell>
          <cell r="I1762">
            <v>250124</v>
          </cell>
          <cell r="J1762" t="str">
            <v>116동 8층 바닥</v>
          </cell>
          <cell r="K1762">
            <v>282</v>
          </cell>
          <cell r="L1762">
            <v>282</v>
          </cell>
          <cell r="M1762">
            <v>3018</v>
          </cell>
          <cell r="N1762" t="str">
            <v>영진</v>
          </cell>
          <cell r="O1762" t="str">
            <v>펌프카(1대)</v>
          </cell>
          <cell r="P1762">
            <v>1024</v>
          </cell>
          <cell r="Q1762">
            <v>1405</v>
          </cell>
          <cell r="R1762">
            <v>180</v>
          </cell>
          <cell r="S1762">
            <v>43</v>
          </cell>
          <cell r="T1762">
            <v>56</v>
          </cell>
          <cell r="U1762">
            <v>146</v>
          </cell>
          <cell r="V1762"/>
          <cell r="W1762" t="str">
            <v>박순홍</v>
          </cell>
          <cell r="X1762" t="str">
            <v>(인)</v>
          </cell>
          <cell r="Y1762" t="str">
            <v>박순홍</v>
          </cell>
          <cell r="Z1762" t="str">
            <v>(인)</v>
          </cell>
          <cell r="AA1762" t="str">
            <v>박상갑</v>
          </cell>
          <cell r="AB1762" t="str">
            <v>(인)</v>
          </cell>
          <cell r="AC1762" t="str">
            <v>박상갑</v>
          </cell>
          <cell r="AD1762" t="str">
            <v>(인)</v>
          </cell>
          <cell r="AE1762">
            <v>173.1</v>
          </cell>
          <cell r="AF1762" t="str">
            <v>동절기</v>
          </cell>
          <cell r="AG1762">
            <v>1</v>
          </cell>
          <cell r="AH1762">
            <v>1</v>
          </cell>
          <cell r="AI1762">
            <v>2839</v>
          </cell>
          <cell r="AJ1762">
            <v>2902</v>
          </cell>
          <cell r="AK1762">
            <v>222600</v>
          </cell>
          <cell r="AL1762">
            <v>3692</v>
          </cell>
          <cell r="AM1762">
            <v>3679</v>
          </cell>
          <cell r="AN1762">
            <v>3704</v>
          </cell>
          <cell r="AO1762">
            <v>3730</v>
          </cell>
          <cell r="AP1762">
            <v>3816</v>
          </cell>
          <cell r="AQ1762">
            <v>3688</v>
          </cell>
          <cell r="AR1762">
            <v>3712</v>
          </cell>
          <cell r="AS1762">
            <v>3811</v>
          </cell>
          <cell r="AT1762">
            <v>287000</v>
          </cell>
        </row>
        <row r="1763">
          <cell r="G1763">
            <v>2501240302</v>
          </cell>
          <cell r="H1763" t="str">
            <v>116동</v>
          </cell>
          <cell r="I1763">
            <v>250124</v>
          </cell>
          <cell r="J1763" t="str">
            <v>116동 8층 바닥</v>
          </cell>
          <cell r="K1763">
            <v>282</v>
          </cell>
          <cell r="L1763">
            <v>282</v>
          </cell>
          <cell r="M1763">
            <v>3018</v>
          </cell>
          <cell r="N1763" t="str">
            <v>영진</v>
          </cell>
          <cell r="O1763" t="str">
            <v>펌프카(1대)</v>
          </cell>
          <cell r="P1763">
            <v>1024</v>
          </cell>
          <cell r="Q1763">
            <v>1405</v>
          </cell>
          <cell r="R1763">
            <v>200</v>
          </cell>
          <cell r="S1763">
            <v>50</v>
          </cell>
          <cell r="T1763">
            <v>75</v>
          </cell>
          <cell r="U1763">
            <v>154</v>
          </cell>
          <cell r="V1763"/>
          <cell r="W1763" t="str">
            <v>박순홍</v>
          </cell>
          <cell r="X1763" t="str">
            <v>(인)</v>
          </cell>
          <cell r="Y1763" t="str">
            <v>박순홍</v>
          </cell>
          <cell r="Z1763" t="str">
            <v>(인)</v>
          </cell>
          <cell r="AA1763" t="str">
            <v>박상갑</v>
          </cell>
          <cell r="AB1763" t="str">
            <v>(인)</v>
          </cell>
          <cell r="AC1763" t="str">
            <v>박상갑</v>
          </cell>
          <cell r="AD1763" t="str">
            <v>(인)</v>
          </cell>
          <cell r="AE1763">
            <v>176.8</v>
          </cell>
          <cell r="AF1763" t="str">
            <v>동절기</v>
          </cell>
          <cell r="AG1763">
            <v>2</v>
          </cell>
          <cell r="AH1763">
            <v>0</v>
          </cell>
        </row>
        <row r="1764">
          <cell r="G1764">
            <v>2501240303</v>
          </cell>
          <cell r="H1764" t="str">
            <v>116동</v>
          </cell>
          <cell r="I1764">
            <v>250124</v>
          </cell>
          <cell r="J1764" t="str">
            <v>116동 8층 바닥</v>
          </cell>
          <cell r="K1764">
            <v>282</v>
          </cell>
          <cell r="L1764">
            <v>282</v>
          </cell>
          <cell r="M1764">
            <v>3018</v>
          </cell>
          <cell r="N1764" t="str">
            <v>영진</v>
          </cell>
          <cell r="O1764" t="str">
            <v>펌프카(1대)</v>
          </cell>
          <cell r="P1764">
            <v>1024</v>
          </cell>
          <cell r="Q1764">
            <v>1405</v>
          </cell>
          <cell r="R1764">
            <v>170</v>
          </cell>
          <cell r="S1764">
            <v>35</v>
          </cell>
          <cell r="T1764">
            <v>41</v>
          </cell>
          <cell r="U1764">
            <v>130</v>
          </cell>
          <cell r="V1764"/>
          <cell r="W1764" t="str">
            <v>박순홍</v>
          </cell>
          <cell r="X1764" t="str">
            <v>(인)</v>
          </cell>
          <cell r="Y1764" t="str">
            <v>박순홍</v>
          </cell>
          <cell r="Z1764" t="str">
            <v>(인)</v>
          </cell>
          <cell r="AA1764" t="str">
            <v>박상갑</v>
          </cell>
          <cell r="AB1764" t="str">
            <v>(인)</v>
          </cell>
          <cell r="AC1764" t="str">
            <v>박상갑</v>
          </cell>
          <cell r="AD1764" t="str">
            <v>(인)</v>
          </cell>
          <cell r="AE1764">
            <v>180</v>
          </cell>
          <cell r="AF1764" t="str">
            <v>동절기</v>
          </cell>
          <cell r="AG1764">
            <v>3</v>
          </cell>
          <cell r="AH1764">
            <v>0</v>
          </cell>
        </row>
        <row r="1765">
          <cell r="G1765">
            <v>2501240401</v>
          </cell>
          <cell r="H1765" t="str">
            <v>118동</v>
          </cell>
          <cell r="I1765">
            <v>250124</v>
          </cell>
          <cell r="J1765" t="str">
            <v>118동 주변주차장 기초 외1</v>
          </cell>
          <cell r="K1765">
            <v>261</v>
          </cell>
          <cell r="L1765">
            <v>261</v>
          </cell>
          <cell r="M1765">
            <v>2715</v>
          </cell>
          <cell r="N1765" t="str">
            <v>용호</v>
          </cell>
          <cell r="O1765" t="str">
            <v>펌프카(1대)</v>
          </cell>
          <cell r="P1765">
            <v>715</v>
          </cell>
          <cell r="Q1765">
            <v>1107</v>
          </cell>
          <cell r="R1765">
            <v>170</v>
          </cell>
          <cell r="S1765">
            <v>42</v>
          </cell>
          <cell r="T1765">
            <v>69</v>
          </cell>
          <cell r="U1765">
            <v>130</v>
          </cell>
          <cell r="V1765"/>
          <cell r="W1765" t="str">
            <v>박순홍</v>
          </cell>
          <cell r="X1765" t="str">
            <v>(인)</v>
          </cell>
          <cell r="Y1765" t="str">
            <v>박순홍</v>
          </cell>
          <cell r="Z1765" t="str">
            <v>(인)</v>
          </cell>
          <cell r="AA1765" t="str">
            <v>박상갑</v>
          </cell>
          <cell r="AB1765" t="str">
            <v>(인)</v>
          </cell>
          <cell r="AC1765" t="str">
            <v>박상갑</v>
          </cell>
          <cell r="AD1765" t="str">
            <v>(인)</v>
          </cell>
          <cell r="AE1765">
            <v>173.1</v>
          </cell>
          <cell r="AF1765" t="str">
            <v>동절기</v>
          </cell>
          <cell r="AG1765">
            <v>1</v>
          </cell>
          <cell r="AH1765">
            <v>1</v>
          </cell>
          <cell r="AI1765">
            <v>2783</v>
          </cell>
          <cell r="AJ1765">
            <v>2687</v>
          </cell>
          <cell r="AK1765">
            <v>213800</v>
          </cell>
          <cell r="AL1765">
            <v>3442</v>
          </cell>
          <cell r="AM1765">
            <v>3445</v>
          </cell>
          <cell r="AN1765">
            <v>3402</v>
          </cell>
          <cell r="AO1765">
            <v>3316</v>
          </cell>
          <cell r="AP1765">
            <v>3384</v>
          </cell>
          <cell r="AQ1765">
            <v>3402</v>
          </cell>
          <cell r="AR1765">
            <v>3309</v>
          </cell>
          <cell r="AS1765">
            <v>3378</v>
          </cell>
          <cell r="AT1765">
            <v>265200</v>
          </cell>
        </row>
        <row r="1766">
          <cell r="G1766">
            <v>2501240402</v>
          </cell>
          <cell r="H1766" t="str">
            <v>118동</v>
          </cell>
          <cell r="I1766">
            <v>250124</v>
          </cell>
          <cell r="J1766" t="str">
            <v>118동 주변주차장 기초 외1</v>
          </cell>
          <cell r="K1766">
            <v>261</v>
          </cell>
          <cell r="L1766">
            <v>261</v>
          </cell>
          <cell r="M1766">
            <v>2715</v>
          </cell>
          <cell r="N1766" t="str">
            <v>용호</v>
          </cell>
          <cell r="O1766" t="str">
            <v>펌프카(1대)</v>
          </cell>
          <cell r="P1766">
            <v>715</v>
          </cell>
          <cell r="Q1766">
            <v>1107</v>
          </cell>
          <cell r="R1766">
            <v>175</v>
          </cell>
          <cell r="S1766">
            <v>48</v>
          </cell>
          <cell r="T1766">
            <v>33</v>
          </cell>
          <cell r="U1766">
            <v>147</v>
          </cell>
          <cell r="V1766"/>
          <cell r="W1766" t="str">
            <v>박순홍</v>
          </cell>
          <cell r="X1766" t="str">
            <v>(인)</v>
          </cell>
          <cell r="Y1766" t="str">
            <v>박순홍</v>
          </cell>
          <cell r="Z1766" t="str">
            <v>(인)</v>
          </cell>
          <cell r="AA1766" t="str">
            <v>박상갑</v>
          </cell>
          <cell r="AB1766" t="str">
            <v>(인)</v>
          </cell>
          <cell r="AC1766" t="str">
            <v>박상갑</v>
          </cell>
          <cell r="AD1766" t="str">
            <v>(인)</v>
          </cell>
          <cell r="AE1766">
            <v>175.8</v>
          </cell>
          <cell r="AF1766" t="str">
            <v>동절기</v>
          </cell>
          <cell r="AG1766">
            <v>2</v>
          </cell>
          <cell r="AH1766">
            <v>0</v>
          </cell>
        </row>
        <row r="1767">
          <cell r="G1767">
            <v>2501240403</v>
          </cell>
          <cell r="H1767" t="str">
            <v>118동</v>
          </cell>
          <cell r="I1767">
            <v>250124</v>
          </cell>
          <cell r="J1767" t="str">
            <v>118동 주변주차장 기초 외1</v>
          </cell>
          <cell r="K1767">
            <v>261</v>
          </cell>
          <cell r="L1767">
            <v>261</v>
          </cell>
          <cell r="M1767">
            <v>2715</v>
          </cell>
          <cell r="N1767" t="str">
            <v>용호</v>
          </cell>
          <cell r="O1767" t="str">
            <v>펌프카(1대)</v>
          </cell>
          <cell r="P1767">
            <v>715</v>
          </cell>
          <cell r="Q1767">
            <v>1107</v>
          </cell>
          <cell r="R1767">
            <v>160</v>
          </cell>
          <cell r="S1767">
            <v>58</v>
          </cell>
          <cell r="T1767">
            <v>27</v>
          </cell>
          <cell r="U1767">
            <v>129</v>
          </cell>
          <cell r="V1767"/>
          <cell r="W1767" t="str">
            <v>박순홍</v>
          </cell>
          <cell r="X1767" t="str">
            <v>(인)</v>
          </cell>
          <cell r="Y1767" t="str">
            <v>박순홍</v>
          </cell>
          <cell r="Z1767" t="str">
            <v>(인)</v>
          </cell>
          <cell r="AA1767" t="str">
            <v>박상갑</v>
          </cell>
          <cell r="AB1767" t="str">
            <v>(인)</v>
          </cell>
          <cell r="AC1767" t="str">
            <v>박상갑</v>
          </cell>
          <cell r="AD1767" t="str">
            <v>(인)</v>
          </cell>
          <cell r="AE1767">
            <v>171.5</v>
          </cell>
          <cell r="AF1767" t="str">
            <v>동절기</v>
          </cell>
          <cell r="AG1767">
            <v>3</v>
          </cell>
          <cell r="AH1767">
            <v>0</v>
          </cell>
        </row>
        <row r="1768">
          <cell r="G1768">
            <v>2501240501</v>
          </cell>
          <cell r="H1768" t="str">
            <v>118동</v>
          </cell>
          <cell r="I1768">
            <v>250124</v>
          </cell>
          <cell r="J1768" t="str">
            <v>118동 주변주차장 기초</v>
          </cell>
          <cell r="K1768">
            <v>120</v>
          </cell>
          <cell r="L1768">
            <v>120</v>
          </cell>
          <cell r="M1768">
            <v>2415</v>
          </cell>
          <cell r="N1768" t="str">
            <v>용호</v>
          </cell>
          <cell r="O1768" t="str">
            <v>펌프카(1대)</v>
          </cell>
          <cell r="P1768">
            <v>1100</v>
          </cell>
          <cell r="Q1768">
            <v>1329</v>
          </cell>
          <cell r="R1768">
            <v>170</v>
          </cell>
          <cell r="S1768">
            <v>39</v>
          </cell>
          <cell r="T1768">
            <v>28</v>
          </cell>
          <cell r="U1768">
            <v>132</v>
          </cell>
          <cell r="V1768"/>
          <cell r="W1768" t="str">
            <v>박순홍</v>
          </cell>
          <cell r="X1768" t="str">
            <v>(인)</v>
          </cell>
          <cell r="Y1768" t="str">
            <v>박순홍</v>
          </cell>
          <cell r="Z1768" t="str">
            <v>(인)</v>
          </cell>
          <cell r="AA1768" t="str">
            <v>박상갑</v>
          </cell>
          <cell r="AB1768" t="str">
            <v>(인)</v>
          </cell>
          <cell r="AC1768" t="str">
            <v>박상갑</v>
          </cell>
          <cell r="AD1768" t="str">
            <v>(인)</v>
          </cell>
          <cell r="AE1768">
            <v>172.6</v>
          </cell>
          <cell r="AF1768" t="str">
            <v>동절기</v>
          </cell>
          <cell r="AG1768">
            <v>1</v>
          </cell>
          <cell r="AH1768">
            <v>1</v>
          </cell>
          <cell r="AI1768">
            <v>2396</v>
          </cell>
          <cell r="AJ1768">
            <v>2404</v>
          </cell>
          <cell r="AK1768">
            <v>193800</v>
          </cell>
          <cell r="AL1768">
            <v>3099</v>
          </cell>
          <cell r="AM1768">
            <v>3106</v>
          </cell>
          <cell r="AN1768">
            <v>3172</v>
          </cell>
          <cell r="AO1768">
            <v>3088</v>
          </cell>
          <cell r="AP1768">
            <v>3172</v>
          </cell>
          <cell r="AQ1768">
            <v>3096</v>
          </cell>
          <cell r="AR1768">
            <v>3086</v>
          </cell>
          <cell r="AS1768">
            <v>3072</v>
          </cell>
          <cell r="AT1768">
            <v>241600</v>
          </cell>
        </row>
        <row r="1769">
          <cell r="G1769">
            <v>2501240601</v>
          </cell>
          <cell r="H1769" t="str">
            <v>119동</v>
          </cell>
          <cell r="I1769">
            <v>250124</v>
          </cell>
          <cell r="J1769" t="str">
            <v>119동 주변주차장 누름</v>
          </cell>
          <cell r="K1769">
            <v>99</v>
          </cell>
          <cell r="L1769">
            <v>99</v>
          </cell>
          <cell r="M1769">
            <v>1815</v>
          </cell>
          <cell r="N1769" t="str">
            <v>용호</v>
          </cell>
          <cell r="O1769" t="str">
            <v>펌프카(1대)</v>
          </cell>
          <cell r="P1769">
            <v>1410</v>
          </cell>
          <cell r="Q1769">
            <v>1610</v>
          </cell>
          <cell r="R1769">
            <v>170</v>
          </cell>
          <cell r="S1769">
            <v>49</v>
          </cell>
          <cell r="T1769">
            <v>66</v>
          </cell>
          <cell r="U1769">
            <v>165</v>
          </cell>
          <cell r="V1769"/>
          <cell r="W1769" t="str">
            <v>박순홍</v>
          </cell>
          <cell r="X1769" t="str">
            <v>(인)</v>
          </cell>
          <cell r="Y1769" t="str">
            <v>박순홍</v>
          </cell>
          <cell r="Z1769" t="str">
            <v>(인)</v>
          </cell>
          <cell r="AA1769" t="str">
            <v>박상갑</v>
          </cell>
          <cell r="AB1769" t="str">
            <v>(인)</v>
          </cell>
          <cell r="AC1769" t="str">
            <v>박상갑</v>
          </cell>
          <cell r="AD1769" t="str">
            <v>(인)</v>
          </cell>
          <cell r="AE1769">
            <v>167.6</v>
          </cell>
          <cell r="AF1769" t="str">
            <v>동절기</v>
          </cell>
          <cell r="AG1769">
            <v>1</v>
          </cell>
          <cell r="AH1769">
            <v>1</v>
          </cell>
          <cell r="AI1769">
            <v>1741</v>
          </cell>
          <cell r="AJ1769">
            <v>1708</v>
          </cell>
          <cell r="AK1769">
            <v>139600</v>
          </cell>
          <cell r="AL1769">
            <v>2291</v>
          </cell>
          <cell r="AM1769">
            <v>2240</v>
          </cell>
          <cell r="AN1769">
            <v>2307</v>
          </cell>
          <cell r="AO1769">
            <v>2316</v>
          </cell>
          <cell r="AP1769">
            <v>2306</v>
          </cell>
          <cell r="AQ1769">
            <v>2412</v>
          </cell>
          <cell r="AR1769">
            <v>2302</v>
          </cell>
          <cell r="AS1769">
            <v>2218</v>
          </cell>
          <cell r="AT1769">
            <v>182800</v>
          </cell>
        </row>
        <row r="1770">
          <cell r="G1770">
            <v>2502030101</v>
          </cell>
          <cell r="H1770" t="str">
            <v>119동</v>
          </cell>
          <cell r="I1770">
            <v>250203</v>
          </cell>
          <cell r="J1770" t="str">
            <v>119동 6층 바닥</v>
          </cell>
          <cell r="K1770">
            <v>300</v>
          </cell>
          <cell r="L1770">
            <v>300</v>
          </cell>
          <cell r="M1770">
            <v>3018</v>
          </cell>
          <cell r="N1770" t="str">
            <v>대원</v>
          </cell>
          <cell r="O1770" t="str">
            <v>펌프카(1대)</v>
          </cell>
          <cell r="P1770">
            <v>807</v>
          </cell>
          <cell r="Q1770">
            <v>1213</v>
          </cell>
          <cell r="R1770">
            <v>200</v>
          </cell>
          <cell r="S1770">
            <v>42</v>
          </cell>
          <cell r="T1770">
            <v>30</v>
          </cell>
          <cell r="U1770">
            <v>148</v>
          </cell>
          <cell r="V1770"/>
          <cell r="W1770" t="str">
            <v>박순홍</v>
          </cell>
          <cell r="X1770" t="str">
            <v>(인)</v>
          </cell>
          <cell r="Y1770" t="str">
            <v>박순홍</v>
          </cell>
          <cell r="Z1770" t="str">
            <v>(인)</v>
          </cell>
          <cell r="AA1770" t="str">
            <v>이홍걸</v>
          </cell>
          <cell r="AB1770" t="str">
            <v>(인)</v>
          </cell>
          <cell r="AC1770" t="str">
            <v>박정환</v>
          </cell>
          <cell r="AD1770" t="str">
            <v>(인)</v>
          </cell>
          <cell r="AE1770">
            <v>182.8</v>
          </cell>
          <cell r="AF1770" t="str">
            <v>동절기</v>
          </cell>
          <cell r="AG1770">
            <v>1</v>
          </cell>
          <cell r="AH1770">
            <v>1</v>
          </cell>
          <cell r="AI1770">
            <v>2654</v>
          </cell>
          <cell r="AJ1770">
            <v>2701</v>
          </cell>
          <cell r="AK1770">
            <v>211200</v>
          </cell>
          <cell r="AL1770">
            <v>3706</v>
          </cell>
          <cell r="AM1770">
            <v>3718</v>
          </cell>
          <cell r="AN1770">
            <v>3866</v>
          </cell>
          <cell r="AO1770">
            <v>3788</v>
          </cell>
          <cell r="AP1770">
            <v>3862</v>
          </cell>
          <cell r="AQ1770">
            <v>3894</v>
          </cell>
          <cell r="AR1770">
            <v>3688</v>
          </cell>
          <cell r="AS1770">
            <v>3590</v>
          </cell>
          <cell r="AT1770">
            <v>291400</v>
          </cell>
        </row>
        <row r="1771">
          <cell r="G1771">
            <v>2502030102</v>
          </cell>
          <cell r="H1771" t="str">
            <v>119동</v>
          </cell>
          <cell r="I1771">
            <v>250203</v>
          </cell>
          <cell r="J1771" t="str">
            <v>119동 6층 바닥</v>
          </cell>
          <cell r="K1771">
            <v>300</v>
          </cell>
          <cell r="L1771">
            <v>300</v>
          </cell>
          <cell r="M1771">
            <v>3018</v>
          </cell>
          <cell r="N1771" t="str">
            <v>대원</v>
          </cell>
          <cell r="O1771" t="str">
            <v>펌프카(1대)</v>
          </cell>
          <cell r="P1771">
            <v>807</v>
          </cell>
          <cell r="Q1771">
            <v>1213</v>
          </cell>
          <cell r="R1771">
            <v>195</v>
          </cell>
          <cell r="S1771">
            <v>40</v>
          </cell>
          <cell r="T1771">
            <v>31</v>
          </cell>
          <cell r="U1771">
            <v>154</v>
          </cell>
          <cell r="V1771"/>
          <cell r="W1771" t="str">
            <v>박순홍</v>
          </cell>
          <cell r="X1771" t="str">
            <v>(인)</v>
          </cell>
          <cell r="Y1771" t="str">
            <v>박순홍</v>
          </cell>
          <cell r="Z1771" t="str">
            <v>(인)</v>
          </cell>
          <cell r="AA1771" t="str">
            <v>이홍걸</v>
          </cell>
          <cell r="AB1771" t="str">
            <v>(인)</v>
          </cell>
          <cell r="AC1771" t="str">
            <v>박정환</v>
          </cell>
          <cell r="AD1771" t="str">
            <v>(인)</v>
          </cell>
          <cell r="AE1771">
            <v>180.1</v>
          </cell>
          <cell r="AF1771" t="str">
            <v>동절기</v>
          </cell>
          <cell r="AG1771">
            <v>2</v>
          </cell>
          <cell r="AH1771">
            <v>0</v>
          </cell>
        </row>
        <row r="1772">
          <cell r="G1772">
            <v>2502030103</v>
          </cell>
          <cell r="H1772" t="str">
            <v>119동</v>
          </cell>
          <cell r="I1772">
            <v>250203</v>
          </cell>
          <cell r="J1772" t="str">
            <v>119동 6층 바닥</v>
          </cell>
          <cell r="K1772">
            <v>300</v>
          </cell>
          <cell r="L1772">
            <v>300</v>
          </cell>
          <cell r="M1772">
            <v>3018</v>
          </cell>
          <cell r="N1772" t="str">
            <v>대원</v>
          </cell>
          <cell r="O1772" t="str">
            <v>펌프카(1대)</v>
          </cell>
          <cell r="P1772">
            <v>807</v>
          </cell>
          <cell r="Q1772">
            <v>1213</v>
          </cell>
          <cell r="R1772">
            <v>190</v>
          </cell>
          <cell r="S1772">
            <v>40</v>
          </cell>
          <cell r="T1772">
            <v>23</v>
          </cell>
          <cell r="U1772">
            <v>142</v>
          </cell>
          <cell r="V1772"/>
          <cell r="W1772" t="str">
            <v>박순홍</v>
          </cell>
          <cell r="X1772" t="str">
            <v>(인)</v>
          </cell>
          <cell r="Y1772" t="str">
            <v>박순홍</v>
          </cell>
          <cell r="Z1772" t="str">
            <v>(인)</v>
          </cell>
          <cell r="AA1772" t="str">
            <v>이홍걸</v>
          </cell>
          <cell r="AB1772" t="str">
            <v>(인)</v>
          </cell>
          <cell r="AC1772" t="str">
            <v>박정환</v>
          </cell>
          <cell r="AD1772" t="str">
            <v>(인)</v>
          </cell>
          <cell r="AE1772">
            <v>182.3</v>
          </cell>
          <cell r="AF1772" t="str">
            <v>동절기</v>
          </cell>
          <cell r="AG1772">
            <v>3</v>
          </cell>
          <cell r="AH1772">
            <v>0</v>
          </cell>
        </row>
        <row r="1773">
          <cell r="G1773">
            <v>2502030201</v>
          </cell>
          <cell r="H1773" t="str">
            <v>120동</v>
          </cell>
          <cell r="I1773">
            <v>250203</v>
          </cell>
          <cell r="J1773" t="str">
            <v>120동 5층 바닥</v>
          </cell>
          <cell r="K1773">
            <v>274</v>
          </cell>
          <cell r="L1773">
            <v>274</v>
          </cell>
          <cell r="M1773">
            <v>3018</v>
          </cell>
          <cell r="N1773" t="str">
            <v>대원</v>
          </cell>
          <cell r="O1773" t="str">
            <v>펌프카(1대)</v>
          </cell>
          <cell r="P1773">
            <v>1252</v>
          </cell>
          <cell r="Q1773">
            <v>1636</v>
          </cell>
          <cell r="R1773">
            <v>190</v>
          </cell>
          <cell r="S1773">
            <v>45</v>
          </cell>
          <cell r="T1773">
            <v>40</v>
          </cell>
          <cell r="U1773">
            <v>142</v>
          </cell>
          <cell r="V1773"/>
          <cell r="W1773" t="str">
            <v>박순홍</v>
          </cell>
          <cell r="X1773" t="str">
            <v>(인)</v>
          </cell>
          <cell r="Y1773" t="str">
            <v>박순홍</v>
          </cell>
          <cell r="Z1773" t="str">
            <v>(인)</v>
          </cell>
          <cell r="AA1773" t="str">
            <v>이홍걸</v>
          </cell>
          <cell r="AB1773" t="str">
            <v>(인)</v>
          </cell>
          <cell r="AC1773" t="str">
            <v>박정환</v>
          </cell>
          <cell r="AD1773" t="str">
            <v>(인)</v>
          </cell>
          <cell r="AE1773">
            <v>183.9</v>
          </cell>
          <cell r="AF1773" t="str">
            <v>동절기</v>
          </cell>
          <cell r="AG1773">
            <v>1</v>
          </cell>
          <cell r="AH1773">
            <v>1</v>
          </cell>
          <cell r="AI1773">
            <v>2718</v>
          </cell>
          <cell r="AJ1773">
            <v>2706</v>
          </cell>
          <cell r="AK1773">
            <v>207600</v>
          </cell>
          <cell r="AL1773">
            <v>3973</v>
          </cell>
          <cell r="AM1773">
            <v>3867</v>
          </cell>
          <cell r="AN1773">
            <v>4002</v>
          </cell>
          <cell r="AO1773">
            <v>4076</v>
          </cell>
          <cell r="AP1773">
            <v>4031</v>
          </cell>
          <cell r="AQ1773">
            <v>3862</v>
          </cell>
          <cell r="AR1773">
            <v>3873</v>
          </cell>
          <cell r="AS1773">
            <v>3904</v>
          </cell>
          <cell r="AT1773">
            <v>308000</v>
          </cell>
        </row>
        <row r="1774">
          <cell r="G1774">
            <v>2502030202</v>
          </cell>
          <cell r="H1774" t="str">
            <v>120동</v>
          </cell>
          <cell r="I1774">
            <v>250203</v>
          </cell>
          <cell r="J1774" t="str">
            <v>120동 5층 바닥</v>
          </cell>
          <cell r="K1774">
            <v>274</v>
          </cell>
          <cell r="L1774">
            <v>274</v>
          </cell>
          <cell r="M1774">
            <v>3018</v>
          </cell>
          <cell r="N1774" t="str">
            <v>대원</v>
          </cell>
          <cell r="O1774" t="str">
            <v>펌프카(1대)</v>
          </cell>
          <cell r="P1774">
            <v>1252</v>
          </cell>
          <cell r="Q1774">
            <v>1636</v>
          </cell>
          <cell r="R1774">
            <v>190</v>
          </cell>
          <cell r="S1774">
            <v>48</v>
          </cell>
          <cell r="T1774">
            <v>57</v>
          </cell>
          <cell r="U1774">
            <v>135</v>
          </cell>
          <cell r="V1774"/>
          <cell r="W1774" t="str">
            <v>박순홍</v>
          </cell>
          <cell r="X1774" t="str">
            <v>(인)</v>
          </cell>
          <cell r="Y1774" t="str">
            <v>박순홍</v>
          </cell>
          <cell r="Z1774" t="str">
            <v>(인)</v>
          </cell>
          <cell r="AA1774" t="str">
            <v>이홍걸</v>
          </cell>
          <cell r="AB1774" t="str">
            <v>(인)</v>
          </cell>
          <cell r="AC1774" t="str">
            <v>박정환</v>
          </cell>
          <cell r="AD1774" t="str">
            <v>(인)</v>
          </cell>
          <cell r="AE1774">
            <v>186.3</v>
          </cell>
          <cell r="AF1774" t="str">
            <v>동절기</v>
          </cell>
          <cell r="AG1774">
            <v>2</v>
          </cell>
          <cell r="AH1774">
            <v>0</v>
          </cell>
        </row>
        <row r="1775">
          <cell r="G1775">
            <v>2502030203</v>
          </cell>
          <cell r="H1775" t="str">
            <v>120동</v>
          </cell>
          <cell r="I1775">
            <v>250203</v>
          </cell>
          <cell r="J1775" t="str">
            <v>120동 5층 바닥</v>
          </cell>
          <cell r="K1775">
            <v>274</v>
          </cell>
          <cell r="L1775">
            <v>274</v>
          </cell>
          <cell r="M1775">
            <v>3018</v>
          </cell>
          <cell r="N1775" t="str">
            <v>대원</v>
          </cell>
          <cell r="O1775" t="str">
            <v>펌프카(1대)</v>
          </cell>
          <cell r="P1775">
            <v>1252</v>
          </cell>
          <cell r="Q1775">
            <v>1636</v>
          </cell>
          <cell r="R1775">
            <v>200</v>
          </cell>
          <cell r="S1775">
            <v>49</v>
          </cell>
          <cell r="T1775">
            <v>24</v>
          </cell>
          <cell r="U1775">
            <v>145</v>
          </cell>
          <cell r="V1775"/>
          <cell r="W1775" t="str">
            <v>박순홍</v>
          </cell>
          <cell r="X1775" t="str">
            <v>(인)</v>
          </cell>
          <cell r="Y1775" t="str">
            <v>박순홍</v>
          </cell>
          <cell r="Z1775" t="str">
            <v>(인)</v>
          </cell>
          <cell r="AA1775" t="str">
            <v>이홍걸</v>
          </cell>
          <cell r="AB1775" t="str">
            <v>(인)</v>
          </cell>
          <cell r="AC1775" t="str">
            <v>박정환</v>
          </cell>
          <cell r="AD1775" t="str">
            <v>(인)</v>
          </cell>
          <cell r="AE1775">
            <v>190.4</v>
          </cell>
          <cell r="AF1775" t="str">
            <v>동절기</v>
          </cell>
          <cell r="AG1775">
            <v>3</v>
          </cell>
          <cell r="AH1775">
            <v>0</v>
          </cell>
        </row>
        <row r="1776">
          <cell r="G1776">
            <v>2502060101</v>
          </cell>
          <cell r="H1776" t="str">
            <v>118동</v>
          </cell>
          <cell r="I1776">
            <v>250206</v>
          </cell>
          <cell r="J1776" t="str">
            <v>118동 6층 바닥</v>
          </cell>
          <cell r="K1776">
            <v>285</v>
          </cell>
          <cell r="L1776">
            <v>285</v>
          </cell>
          <cell r="M1776">
            <v>3018</v>
          </cell>
          <cell r="N1776" t="str">
            <v>용호</v>
          </cell>
          <cell r="O1776" t="str">
            <v>펌프카(1대)</v>
          </cell>
          <cell r="P1776">
            <v>906</v>
          </cell>
          <cell r="Q1776">
            <v>1254</v>
          </cell>
          <cell r="R1776">
            <v>200</v>
          </cell>
          <cell r="S1776">
            <v>49</v>
          </cell>
          <cell r="T1776">
            <v>22</v>
          </cell>
          <cell r="U1776">
            <v>138</v>
          </cell>
          <cell r="V1776"/>
          <cell r="W1776" t="str">
            <v>박순홍</v>
          </cell>
          <cell r="X1776" t="str">
            <v>(인)</v>
          </cell>
          <cell r="Y1776" t="str">
            <v>박순홍</v>
          </cell>
          <cell r="Z1776" t="str">
            <v>(인)</v>
          </cell>
          <cell r="AA1776" t="str">
            <v>이홍걸</v>
          </cell>
          <cell r="AB1776" t="str">
            <v>(인)</v>
          </cell>
          <cell r="AC1776" t="str">
            <v>박상갑</v>
          </cell>
          <cell r="AD1776" t="str">
            <v>(인)</v>
          </cell>
          <cell r="AE1776">
            <v>183</v>
          </cell>
          <cell r="AF1776" t="str">
            <v>동절기</v>
          </cell>
          <cell r="AG1776">
            <v>1</v>
          </cell>
          <cell r="AH1776">
            <v>1</v>
          </cell>
          <cell r="AI1776">
            <v>2706</v>
          </cell>
          <cell r="AJ1776">
            <v>2684</v>
          </cell>
          <cell r="AK1776">
            <v>213200</v>
          </cell>
          <cell r="AL1776">
            <v>3600</v>
          </cell>
          <cell r="AM1776">
            <v>3621</v>
          </cell>
          <cell r="AN1776">
            <v>3619</v>
          </cell>
          <cell r="AO1776">
            <v>3730</v>
          </cell>
          <cell r="AP1776">
            <v>3684</v>
          </cell>
          <cell r="AQ1776">
            <v>3729</v>
          </cell>
          <cell r="AR1776">
            <v>3588</v>
          </cell>
          <cell r="AS1776">
            <v>3712</v>
          </cell>
          <cell r="AT1776">
            <v>279200</v>
          </cell>
        </row>
        <row r="1777">
          <cell r="G1777">
            <v>2502060102</v>
          </cell>
          <cell r="H1777" t="str">
            <v>118동</v>
          </cell>
          <cell r="I1777">
            <v>250206</v>
          </cell>
          <cell r="J1777" t="str">
            <v>118동 6층 바닥</v>
          </cell>
          <cell r="K1777">
            <v>285</v>
          </cell>
          <cell r="L1777">
            <v>285</v>
          </cell>
          <cell r="M1777">
            <v>3018</v>
          </cell>
          <cell r="N1777" t="str">
            <v>용호</v>
          </cell>
          <cell r="O1777" t="str">
            <v>펌프카(1대)</v>
          </cell>
          <cell r="P1777">
            <v>906</v>
          </cell>
          <cell r="Q1777">
            <v>1254</v>
          </cell>
          <cell r="R1777">
            <v>200</v>
          </cell>
          <cell r="S1777">
            <v>44</v>
          </cell>
          <cell r="T1777">
            <v>32</v>
          </cell>
          <cell r="U1777">
            <v>161</v>
          </cell>
          <cell r="V1777"/>
          <cell r="W1777" t="str">
            <v>박순홍</v>
          </cell>
          <cell r="X1777" t="str">
            <v>(인)</v>
          </cell>
          <cell r="Y1777" t="str">
            <v>박순홍</v>
          </cell>
          <cell r="Z1777" t="str">
            <v>(인)</v>
          </cell>
          <cell r="AA1777" t="str">
            <v>이홍걸</v>
          </cell>
          <cell r="AB1777" t="str">
            <v>(인)</v>
          </cell>
          <cell r="AC1777" t="str">
            <v>박상갑</v>
          </cell>
          <cell r="AD1777" t="str">
            <v>(인)</v>
          </cell>
          <cell r="AE1777">
            <v>181.5</v>
          </cell>
          <cell r="AF1777" t="str">
            <v>동절기</v>
          </cell>
          <cell r="AG1777">
            <v>2</v>
          </cell>
          <cell r="AH1777">
            <v>0</v>
          </cell>
        </row>
        <row r="1778">
          <cell r="G1778">
            <v>2502060103</v>
          </cell>
          <cell r="H1778" t="str">
            <v>118동</v>
          </cell>
          <cell r="I1778">
            <v>250206</v>
          </cell>
          <cell r="J1778" t="str">
            <v>118동 6층 바닥</v>
          </cell>
          <cell r="K1778">
            <v>285</v>
          </cell>
          <cell r="L1778">
            <v>285</v>
          </cell>
          <cell r="M1778">
            <v>3018</v>
          </cell>
          <cell r="N1778" t="str">
            <v>용호</v>
          </cell>
          <cell r="O1778" t="str">
            <v>펌프카(1대)</v>
          </cell>
          <cell r="P1778">
            <v>906</v>
          </cell>
          <cell r="Q1778">
            <v>1254</v>
          </cell>
          <cell r="R1778">
            <v>180</v>
          </cell>
          <cell r="S1778">
            <v>40</v>
          </cell>
          <cell r="T1778">
            <v>24</v>
          </cell>
          <cell r="U1778">
            <v>145</v>
          </cell>
          <cell r="V1778"/>
          <cell r="W1778" t="str">
            <v>박순홍</v>
          </cell>
          <cell r="X1778" t="str">
            <v>(인)</v>
          </cell>
          <cell r="Y1778" t="str">
            <v>박순홍</v>
          </cell>
          <cell r="Z1778" t="str">
            <v>(인)</v>
          </cell>
          <cell r="AA1778" t="str">
            <v>이홍걸</v>
          </cell>
          <cell r="AB1778" t="str">
            <v>(인)</v>
          </cell>
          <cell r="AC1778" t="str">
            <v>박상갑</v>
          </cell>
          <cell r="AD1778" t="str">
            <v>(인)</v>
          </cell>
          <cell r="AE1778">
            <v>187.6</v>
          </cell>
          <cell r="AF1778" t="str">
            <v>동절기</v>
          </cell>
          <cell r="AG1778">
            <v>3</v>
          </cell>
          <cell r="AH1778">
            <v>0</v>
          </cell>
        </row>
        <row r="1779">
          <cell r="G1779">
            <v>2502060201</v>
          </cell>
          <cell r="H1779" t="str">
            <v>110동</v>
          </cell>
          <cell r="I1779">
            <v>250206</v>
          </cell>
          <cell r="J1779" t="str">
            <v>110동 16층 바닥</v>
          </cell>
          <cell r="K1779">
            <v>286</v>
          </cell>
          <cell r="L1779">
            <v>286</v>
          </cell>
          <cell r="M1779">
            <v>3018</v>
          </cell>
          <cell r="N1779" t="str">
            <v>대공</v>
          </cell>
          <cell r="O1779" t="str">
            <v>펌프카(1대)</v>
          </cell>
          <cell r="P1779">
            <v>901</v>
          </cell>
          <cell r="Q1779">
            <v>1327</v>
          </cell>
          <cell r="R1779">
            <v>200</v>
          </cell>
          <cell r="S1779">
            <v>40</v>
          </cell>
          <cell r="T1779">
            <v>69</v>
          </cell>
          <cell r="U1779">
            <v>148</v>
          </cell>
          <cell r="V1779"/>
          <cell r="W1779" t="str">
            <v>박순홍</v>
          </cell>
          <cell r="X1779" t="str">
            <v>(인)</v>
          </cell>
          <cell r="Y1779" t="str">
            <v>박순홍</v>
          </cell>
          <cell r="Z1779" t="str">
            <v>(인)</v>
          </cell>
          <cell r="AA1779" t="str">
            <v>이홍걸</v>
          </cell>
          <cell r="AB1779" t="str">
            <v>(인)</v>
          </cell>
          <cell r="AC1779" t="str">
            <v>박상갑</v>
          </cell>
          <cell r="AD1779" t="str">
            <v>(인)</v>
          </cell>
          <cell r="AE1779">
            <v>182.8</v>
          </cell>
          <cell r="AF1779" t="str">
            <v>동절기</v>
          </cell>
          <cell r="AG1779">
            <v>1</v>
          </cell>
          <cell r="AH1779">
            <v>1</v>
          </cell>
          <cell r="AI1779">
            <v>2602</v>
          </cell>
          <cell r="AJ1779">
            <v>2672</v>
          </cell>
          <cell r="AK1779">
            <v>207400</v>
          </cell>
          <cell r="AL1779">
            <v>3735</v>
          </cell>
          <cell r="AM1779">
            <v>3789</v>
          </cell>
          <cell r="AN1779">
            <v>3710</v>
          </cell>
          <cell r="AO1779">
            <v>3806</v>
          </cell>
          <cell r="AP1779">
            <v>3812</v>
          </cell>
          <cell r="AQ1779">
            <v>3738</v>
          </cell>
          <cell r="AR1779">
            <v>3714</v>
          </cell>
          <cell r="AS1779">
            <v>3800</v>
          </cell>
          <cell r="AT1779">
            <v>296000</v>
          </cell>
        </row>
        <row r="1780">
          <cell r="G1780">
            <v>2502060202</v>
          </cell>
          <cell r="H1780" t="str">
            <v>110동</v>
          </cell>
          <cell r="I1780">
            <v>250206</v>
          </cell>
          <cell r="J1780" t="str">
            <v>110동 16층 바닥</v>
          </cell>
          <cell r="K1780">
            <v>286</v>
          </cell>
          <cell r="L1780">
            <v>286</v>
          </cell>
          <cell r="M1780">
            <v>3018</v>
          </cell>
          <cell r="N1780" t="str">
            <v>대공</v>
          </cell>
          <cell r="O1780" t="str">
            <v>펌프카(1대)</v>
          </cell>
          <cell r="P1780">
            <v>901</v>
          </cell>
          <cell r="Q1780">
            <v>1327</v>
          </cell>
          <cell r="R1780">
            <v>200</v>
          </cell>
          <cell r="S1780">
            <v>50</v>
          </cell>
          <cell r="T1780">
            <v>23</v>
          </cell>
          <cell r="U1780">
            <v>153</v>
          </cell>
          <cell r="V1780"/>
          <cell r="W1780" t="str">
            <v>박순홍</v>
          </cell>
          <cell r="X1780" t="str">
            <v>(인)</v>
          </cell>
          <cell r="Y1780" t="str">
            <v>박순홍</v>
          </cell>
          <cell r="Z1780" t="str">
            <v>(인)</v>
          </cell>
          <cell r="AA1780" t="str">
            <v>이홍걸</v>
          </cell>
          <cell r="AB1780" t="str">
            <v>(인)</v>
          </cell>
          <cell r="AC1780" t="str">
            <v>박상갑</v>
          </cell>
          <cell r="AD1780" t="str">
            <v>(인)</v>
          </cell>
          <cell r="AE1780">
            <v>183.5</v>
          </cell>
          <cell r="AF1780" t="str">
            <v>동절기</v>
          </cell>
          <cell r="AG1780">
            <v>2</v>
          </cell>
          <cell r="AH1780">
            <v>0</v>
          </cell>
        </row>
        <row r="1781">
          <cell r="G1781">
            <v>2502060203</v>
          </cell>
          <cell r="H1781" t="str">
            <v>110동</v>
          </cell>
          <cell r="I1781">
            <v>250206</v>
          </cell>
          <cell r="J1781" t="str">
            <v>110동 16층 바닥</v>
          </cell>
          <cell r="K1781">
            <v>286</v>
          </cell>
          <cell r="L1781">
            <v>286</v>
          </cell>
          <cell r="M1781">
            <v>3018</v>
          </cell>
          <cell r="N1781" t="str">
            <v>대공</v>
          </cell>
          <cell r="O1781" t="str">
            <v>펌프카(1대)</v>
          </cell>
          <cell r="P1781">
            <v>901</v>
          </cell>
          <cell r="Q1781">
            <v>1327</v>
          </cell>
          <cell r="R1781">
            <v>185</v>
          </cell>
          <cell r="S1781">
            <v>45</v>
          </cell>
          <cell r="T1781">
            <v>21</v>
          </cell>
          <cell r="U1781">
            <v>146</v>
          </cell>
          <cell r="V1781"/>
          <cell r="W1781" t="str">
            <v>박순홍</v>
          </cell>
          <cell r="X1781" t="str">
            <v>(인)</v>
          </cell>
          <cell r="Y1781" t="str">
            <v>박순홍</v>
          </cell>
          <cell r="Z1781" t="str">
            <v>(인)</v>
          </cell>
          <cell r="AA1781" t="str">
            <v>이홍걸</v>
          </cell>
          <cell r="AB1781" t="str">
            <v>(인)</v>
          </cell>
          <cell r="AC1781" t="str">
            <v>박상갑</v>
          </cell>
          <cell r="AD1781" t="str">
            <v>(인)</v>
          </cell>
          <cell r="AE1781">
            <v>184.2</v>
          </cell>
          <cell r="AF1781" t="str">
            <v>동절기</v>
          </cell>
          <cell r="AG1781">
            <v>3</v>
          </cell>
          <cell r="AH1781">
            <v>0</v>
          </cell>
        </row>
        <row r="1782">
          <cell r="G1782">
            <v>2502060301</v>
          </cell>
          <cell r="H1782" t="str">
            <v>108동</v>
          </cell>
          <cell r="I1782">
            <v>250206</v>
          </cell>
          <cell r="J1782" t="str">
            <v>108동 11층 바닥</v>
          </cell>
          <cell r="K1782">
            <v>282</v>
          </cell>
          <cell r="L1782">
            <v>282</v>
          </cell>
          <cell r="M1782">
            <v>3018</v>
          </cell>
          <cell r="N1782" t="str">
            <v>영진</v>
          </cell>
          <cell r="O1782" t="str">
            <v>펌프카(1대)</v>
          </cell>
          <cell r="P1782">
            <v>1359</v>
          </cell>
          <cell r="Q1782">
            <v>1702</v>
          </cell>
          <cell r="R1782">
            <v>180</v>
          </cell>
          <cell r="S1782">
            <v>40</v>
          </cell>
          <cell r="T1782">
            <v>48</v>
          </cell>
          <cell r="U1782">
            <v>150</v>
          </cell>
          <cell r="V1782"/>
          <cell r="W1782" t="str">
            <v>박순홍</v>
          </cell>
          <cell r="X1782" t="str">
            <v>(인)</v>
          </cell>
          <cell r="Y1782" t="str">
            <v>박순홍</v>
          </cell>
          <cell r="Z1782" t="str">
            <v>(인)</v>
          </cell>
          <cell r="AA1782" t="str">
            <v>이홍걸</v>
          </cell>
          <cell r="AB1782" t="str">
            <v>(인)</v>
          </cell>
          <cell r="AC1782" t="str">
            <v>박상갑</v>
          </cell>
          <cell r="AD1782" t="str">
            <v>(인)</v>
          </cell>
          <cell r="AE1782">
            <v>179.3</v>
          </cell>
          <cell r="AF1782" t="str">
            <v>동절기</v>
          </cell>
          <cell r="AG1782">
            <v>1</v>
          </cell>
          <cell r="AH1782">
            <v>1</v>
          </cell>
          <cell r="AI1782">
            <v>2688</v>
          </cell>
          <cell r="AJ1782">
            <v>2706</v>
          </cell>
          <cell r="AK1782">
            <v>213400</v>
          </cell>
          <cell r="AL1782">
            <v>3669</v>
          </cell>
          <cell r="AM1782">
            <v>3692</v>
          </cell>
          <cell r="AN1782">
            <v>3710</v>
          </cell>
          <cell r="AO1782">
            <v>3684</v>
          </cell>
          <cell r="AP1782">
            <v>3702</v>
          </cell>
          <cell r="AQ1782">
            <v>3694</v>
          </cell>
          <cell r="AR1782">
            <v>3710</v>
          </cell>
          <cell r="AS1782">
            <v>3688</v>
          </cell>
          <cell r="AT1782">
            <v>289000</v>
          </cell>
        </row>
        <row r="1783">
          <cell r="G1783">
            <v>2502060302</v>
          </cell>
          <cell r="H1783" t="str">
            <v>108동</v>
          </cell>
          <cell r="I1783">
            <v>250206</v>
          </cell>
          <cell r="J1783" t="str">
            <v>108동 11층 바닥</v>
          </cell>
          <cell r="K1783">
            <v>282</v>
          </cell>
          <cell r="L1783">
            <v>282</v>
          </cell>
          <cell r="M1783">
            <v>3018</v>
          </cell>
          <cell r="N1783" t="str">
            <v>영진</v>
          </cell>
          <cell r="O1783" t="str">
            <v>펌프카(1대)</v>
          </cell>
          <cell r="P1783">
            <v>1359</v>
          </cell>
          <cell r="Q1783">
            <v>1702</v>
          </cell>
          <cell r="R1783">
            <v>190</v>
          </cell>
          <cell r="S1783">
            <v>45</v>
          </cell>
          <cell r="T1783">
            <v>96</v>
          </cell>
          <cell r="U1783">
            <v>159</v>
          </cell>
          <cell r="V1783"/>
          <cell r="W1783" t="str">
            <v>박순홍</v>
          </cell>
          <cell r="X1783" t="str">
            <v>(인)</v>
          </cell>
          <cell r="Y1783" t="str">
            <v>박순홍</v>
          </cell>
          <cell r="Z1783" t="str">
            <v>(인)</v>
          </cell>
          <cell r="AA1783" t="str">
            <v>이홍걸</v>
          </cell>
          <cell r="AB1783" t="str">
            <v>(인)</v>
          </cell>
          <cell r="AC1783" t="str">
            <v>박상갑</v>
          </cell>
          <cell r="AD1783" t="str">
            <v>(인)</v>
          </cell>
          <cell r="AE1783">
            <v>181.6</v>
          </cell>
          <cell r="AF1783" t="str">
            <v>동절기</v>
          </cell>
          <cell r="AG1783">
            <v>2</v>
          </cell>
          <cell r="AH1783">
            <v>0</v>
          </cell>
        </row>
        <row r="1784">
          <cell r="G1784">
            <v>2502060303</v>
          </cell>
          <cell r="H1784" t="str">
            <v>108동</v>
          </cell>
          <cell r="I1784">
            <v>250206</v>
          </cell>
          <cell r="J1784" t="str">
            <v>108동 11층 바닥</v>
          </cell>
          <cell r="K1784">
            <v>282</v>
          </cell>
          <cell r="L1784">
            <v>282</v>
          </cell>
          <cell r="M1784">
            <v>3018</v>
          </cell>
          <cell r="N1784" t="str">
            <v>영진</v>
          </cell>
          <cell r="O1784" t="str">
            <v>펌프카(1대)</v>
          </cell>
          <cell r="P1784">
            <v>1359</v>
          </cell>
          <cell r="Q1784">
            <v>1702</v>
          </cell>
          <cell r="R1784">
            <v>200</v>
          </cell>
          <cell r="S1784">
            <v>49</v>
          </cell>
          <cell r="T1784">
            <v>83</v>
          </cell>
          <cell r="U1784">
            <v>143</v>
          </cell>
          <cell r="V1784"/>
          <cell r="W1784" t="str">
            <v>박순홍</v>
          </cell>
          <cell r="X1784" t="str">
            <v>(인)</v>
          </cell>
          <cell r="Y1784" t="str">
            <v>박순홍</v>
          </cell>
          <cell r="Z1784" t="str">
            <v>(인)</v>
          </cell>
          <cell r="AA1784" t="str">
            <v>이홍걸</v>
          </cell>
          <cell r="AB1784" t="str">
            <v>(인)</v>
          </cell>
          <cell r="AC1784" t="str">
            <v>박상갑</v>
          </cell>
          <cell r="AD1784" t="str">
            <v>(인)</v>
          </cell>
          <cell r="AE1784">
            <v>183.6</v>
          </cell>
          <cell r="AF1784" t="str">
            <v>동절기</v>
          </cell>
          <cell r="AG1784">
            <v>3</v>
          </cell>
          <cell r="AH1784">
            <v>0</v>
          </cell>
        </row>
        <row r="1785">
          <cell r="G1785">
            <v>2502060401</v>
          </cell>
          <cell r="H1785" t="str">
            <v>101동</v>
          </cell>
          <cell r="I1785">
            <v>250206</v>
          </cell>
          <cell r="J1785" t="str">
            <v>101동 1코어PH1, 2코어 PH2 바닥</v>
          </cell>
          <cell r="K1785">
            <v>60</v>
          </cell>
          <cell r="L1785">
            <v>60</v>
          </cell>
          <cell r="M1785">
            <v>3018</v>
          </cell>
          <cell r="N1785" t="str">
            <v>울산</v>
          </cell>
          <cell r="O1785" t="str">
            <v>펌프카(1대)</v>
          </cell>
          <cell r="P1785">
            <v>1000</v>
          </cell>
          <cell r="Q1785">
            <v>1644</v>
          </cell>
          <cell r="R1785">
            <v>200</v>
          </cell>
          <cell r="S1785">
            <v>48</v>
          </cell>
          <cell r="T1785">
            <v>42</v>
          </cell>
          <cell r="U1785">
            <v>138</v>
          </cell>
          <cell r="V1785"/>
          <cell r="W1785" t="str">
            <v>박순홍</v>
          </cell>
          <cell r="X1785" t="str">
            <v>(인)</v>
          </cell>
          <cell r="Y1785" t="str">
            <v>박순홍</v>
          </cell>
          <cell r="Z1785" t="str">
            <v>(인)</v>
          </cell>
          <cell r="AA1785" t="str">
            <v>이홍걸</v>
          </cell>
          <cell r="AB1785" t="str">
            <v>(인)</v>
          </cell>
          <cell r="AC1785" t="str">
            <v>박상갑</v>
          </cell>
          <cell r="AD1785" t="str">
            <v>(인)</v>
          </cell>
          <cell r="AE1785">
            <v>182.3</v>
          </cell>
          <cell r="AF1785" t="str">
            <v>동절기</v>
          </cell>
          <cell r="AG1785">
            <v>1</v>
          </cell>
          <cell r="AH1785">
            <v>1</v>
          </cell>
          <cell r="AI1785">
            <v>2572</v>
          </cell>
          <cell r="AJ1785">
            <v>2629</v>
          </cell>
          <cell r="AK1785">
            <v>200000</v>
          </cell>
          <cell r="AL1785">
            <v>3628</v>
          </cell>
          <cell r="AM1785">
            <v>3722</v>
          </cell>
          <cell r="AN1785">
            <v>3621</v>
          </cell>
          <cell r="AO1785">
            <v>3702</v>
          </cell>
          <cell r="AP1785">
            <v>3736</v>
          </cell>
          <cell r="AQ1785">
            <v>3684</v>
          </cell>
          <cell r="AR1785">
            <v>3729</v>
          </cell>
          <cell r="AS1785">
            <v>3684</v>
          </cell>
          <cell r="AT1785">
            <v>282800</v>
          </cell>
        </row>
        <row r="1786">
          <cell r="G1786">
            <v>2502070101</v>
          </cell>
          <cell r="H1786" t="str">
            <v>117동</v>
          </cell>
          <cell r="I1786">
            <v>250207</v>
          </cell>
          <cell r="J1786" t="str">
            <v>117동 8층 바닥</v>
          </cell>
          <cell r="K1786">
            <v>354</v>
          </cell>
          <cell r="L1786">
            <v>354</v>
          </cell>
          <cell r="M1786">
            <v>3018</v>
          </cell>
          <cell r="N1786" t="str">
            <v>신우</v>
          </cell>
          <cell r="O1786" t="str">
            <v>펌프카(1대)</v>
          </cell>
          <cell r="P1786">
            <v>838</v>
          </cell>
          <cell r="Q1786">
            <v>1450</v>
          </cell>
          <cell r="R1786">
            <v>200</v>
          </cell>
          <cell r="S1786">
            <v>39</v>
          </cell>
          <cell r="T1786">
            <v>74</v>
          </cell>
          <cell r="U1786">
            <v>149</v>
          </cell>
          <cell r="V1786"/>
          <cell r="W1786" t="str">
            <v>김광록</v>
          </cell>
          <cell r="X1786" t="str">
            <v>(인)</v>
          </cell>
          <cell r="Y1786" t="str">
            <v>박순홍</v>
          </cell>
          <cell r="Z1786" t="str">
            <v>(인)</v>
          </cell>
          <cell r="AA1786" t="str">
            <v>이홍걸</v>
          </cell>
          <cell r="AB1786" t="str">
            <v>(인)</v>
          </cell>
          <cell r="AC1786" t="str">
            <v>박상갑</v>
          </cell>
          <cell r="AD1786" t="str">
            <v>(인)</v>
          </cell>
          <cell r="AE1786">
            <v>181.8</v>
          </cell>
          <cell r="AF1786" t="str">
            <v>동절기</v>
          </cell>
          <cell r="AG1786">
            <v>1</v>
          </cell>
          <cell r="AH1786">
            <v>1</v>
          </cell>
          <cell r="AI1786">
            <v>2763</v>
          </cell>
          <cell r="AJ1786">
            <v>2812</v>
          </cell>
          <cell r="AK1786">
            <v>215600</v>
          </cell>
          <cell r="AL1786">
            <v>3730</v>
          </cell>
          <cell r="AM1786">
            <v>3740</v>
          </cell>
          <cell r="AN1786">
            <v>3716</v>
          </cell>
          <cell r="AO1786">
            <v>3840</v>
          </cell>
          <cell r="AP1786">
            <v>3729</v>
          </cell>
          <cell r="AQ1786">
            <v>3774</v>
          </cell>
          <cell r="AR1786">
            <v>3689</v>
          </cell>
          <cell r="AS1786">
            <v>3701</v>
          </cell>
          <cell r="AT1786">
            <v>299400</v>
          </cell>
        </row>
        <row r="1787">
          <cell r="G1787">
            <v>2502070102</v>
          </cell>
          <cell r="H1787" t="str">
            <v>117동</v>
          </cell>
          <cell r="I1787">
            <v>250207</v>
          </cell>
          <cell r="J1787" t="str">
            <v>117동 8층 바닥</v>
          </cell>
          <cell r="K1787">
            <v>354</v>
          </cell>
          <cell r="L1787">
            <v>354</v>
          </cell>
          <cell r="M1787">
            <v>3018</v>
          </cell>
          <cell r="N1787" t="str">
            <v>신우</v>
          </cell>
          <cell r="O1787" t="str">
            <v>펌프카(1대)</v>
          </cell>
          <cell r="P1787">
            <v>838</v>
          </cell>
          <cell r="Q1787">
            <v>1450</v>
          </cell>
          <cell r="R1787">
            <v>185</v>
          </cell>
          <cell r="S1787">
            <v>49</v>
          </cell>
          <cell r="T1787">
            <v>118</v>
          </cell>
          <cell r="U1787">
            <v>146</v>
          </cell>
          <cell r="V1787"/>
          <cell r="W1787" t="str">
            <v>김광록</v>
          </cell>
          <cell r="X1787" t="str">
            <v>(인)</v>
          </cell>
          <cell r="Y1787" t="str">
            <v>박순홍</v>
          </cell>
          <cell r="Z1787" t="str">
            <v>(인)</v>
          </cell>
          <cell r="AA1787" t="str">
            <v>이홍걸</v>
          </cell>
          <cell r="AB1787" t="str">
            <v>(인)</v>
          </cell>
          <cell r="AC1787" t="str">
            <v>박상갑</v>
          </cell>
          <cell r="AD1787" t="str">
            <v>(인)</v>
          </cell>
          <cell r="AE1787">
            <v>183.1</v>
          </cell>
          <cell r="AF1787" t="str">
            <v>동절기</v>
          </cell>
          <cell r="AG1787">
            <v>2</v>
          </cell>
          <cell r="AH1787">
            <v>0</v>
          </cell>
        </row>
        <row r="1788">
          <cell r="G1788">
            <v>2502070103</v>
          </cell>
          <cell r="H1788" t="str">
            <v>117동</v>
          </cell>
          <cell r="I1788">
            <v>250207</v>
          </cell>
          <cell r="J1788" t="str">
            <v>117동 8층 바닥</v>
          </cell>
          <cell r="K1788">
            <v>354</v>
          </cell>
          <cell r="L1788">
            <v>354</v>
          </cell>
          <cell r="M1788">
            <v>3018</v>
          </cell>
          <cell r="N1788" t="str">
            <v>신우</v>
          </cell>
          <cell r="O1788" t="str">
            <v>펌프카(1대)</v>
          </cell>
          <cell r="P1788">
            <v>838</v>
          </cell>
          <cell r="Q1788">
            <v>1450</v>
          </cell>
          <cell r="R1788">
            <v>200</v>
          </cell>
          <cell r="S1788">
            <v>51</v>
          </cell>
          <cell r="T1788">
            <v>53</v>
          </cell>
          <cell r="U1788">
            <v>171</v>
          </cell>
          <cell r="V1788"/>
          <cell r="W1788" t="str">
            <v>김광록</v>
          </cell>
          <cell r="X1788" t="str">
            <v>(인)</v>
          </cell>
          <cell r="Y1788" t="str">
            <v>박순홍</v>
          </cell>
          <cell r="Z1788" t="str">
            <v>(인)</v>
          </cell>
          <cell r="AA1788" t="str">
            <v>이홍걸</v>
          </cell>
          <cell r="AB1788" t="str">
            <v>(인)</v>
          </cell>
          <cell r="AC1788" t="str">
            <v>박상갑</v>
          </cell>
          <cell r="AD1788" t="str">
            <v>(인)</v>
          </cell>
          <cell r="AE1788">
            <v>182.6</v>
          </cell>
          <cell r="AF1788" t="str">
            <v>동절기</v>
          </cell>
          <cell r="AG1788">
            <v>3</v>
          </cell>
          <cell r="AH1788">
            <v>0</v>
          </cell>
        </row>
        <row r="1789">
          <cell r="G1789">
            <v>2502070201</v>
          </cell>
          <cell r="H1789" t="str">
            <v>115동</v>
          </cell>
          <cell r="I1789">
            <v>250207</v>
          </cell>
          <cell r="J1789" t="str">
            <v>115동 11층 바닥</v>
          </cell>
          <cell r="K1789">
            <v>291</v>
          </cell>
          <cell r="L1789">
            <v>291</v>
          </cell>
          <cell r="M1789">
            <v>3018</v>
          </cell>
          <cell r="N1789" t="str">
            <v>영진</v>
          </cell>
          <cell r="O1789" t="str">
            <v>펌프카(1대)</v>
          </cell>
          <cell r="P1789">
            <v>838</v>
          </cell>
          <cell r="Q1789">
            <v>1242</v>
          </cell>
          <cell r="R1789">
            <v>175</v>
          </cell>
          <cell r="S1789">
            <v>45</v>
          </cell>
          <cell r="T1789">
            <v>30</v>
          </cell>
          <cell r="U1789">
            <v>142</v>
          </cell>
          <cell r="V1789"/>
          <cell r="W1789" t="str">
            <v>김광록</v>
          </cell>
          <cell r="X1789" t="str">
            <v>(인)</v>
          </cell>
          <cell r="Y1789" t="str">
            <v>박순홍</v>
          </cell>
          <cell r="Z1789" t="str">
            <v>(인)</v>
          </cell>
          <cell r="AA1789" t="str">
            <v>이홍걸</v>
          </cell>
          <cell r="AB1789" t="str">
            <v>(인)</v>
          </cell>
          <cell r="AC1789" t="str">
            <v>박상갑</v>
          </cell>
          <cell r="AD1789" t="str">
            <v>(인)</v>
          </cell>
          <cell r="AE1789">
            <v>180.9</v>
          </cell>
          <cell r="AF1789" t="str">
            <v>동절기</v>
          </cell>
          <cell r="AG1789">
            <v>1</v>
          </cell>
          <cell r="AH1789">
            <v>1</v>
          </cell>
          <cell r="AI1789">
            <v>2757</v>
          </cell>
          <cell r="AJ1789">
            <v>2813</v>
          </cell>
          <cell r="AK1789">
            <v>213800</v>
          </cell>
          <cell r="AL1789">
            <v>3623</v>
          </cell>
          <cell r="AM1789">
            <v>3654</v>
          </cell>
          <cell r="AN1789">
            <v>3704</v>
          </cell>
          <cell r="AO1789">
            <v>3630</v>
          </cell>
          <cell r="AP1789">
            <v>3729</v>
          </cell>
          <cell r="AQ1789">
            <v>3601</v>
          </cell>
          <cell r="AR1789">
            <v>3634</v>
          </cell>
          <cell r="AS1789">
            <v>3588</v>
          </cell>
          <cell r="AT1789">
            <v>290400</v>
          </cell>
        </row>
        <row r="1790">
          <cell r="G1790">
            <v>2502070202</v>
          </cell>
          <cell r="H1790" t="str">
            <v>115동</v>
          </cell>
          <cell r="I1790">
            <v>250207</v>
          </cell>
          <cell r="J1790" t="str">
            <v>115동 11층 바닥</v>
          </cell>
          <cell r="K1790">
            <v>291</v>
          </cell>
          <cell r="L1790">
            <v>291</v>
          </cell>
          <cell r="M1790">
            <v>3018</v>
          </cell>
          <cell r="N1790" t="str">
            <v>영진</v>
          </cell>
          <cell r="O1790" t="str">
            <v>펌프카(1대)</v>
          </cell>
          <cell r="P1790">
            <v>838</v>
          </cell>
          <cell r="Q1790">
            <v>1242</v>
          </cell>
          <cell r="R1790">
            <v>180</v>
          </cell>
          <cell r="S1790">
            <v>50</v>
          </cell>
          <cell r="T1790">
            <v>59</v>
          </cell>
          <cell r="U1790">
            <v>148</v>
          </cell>
          <cell r="V1790"/>
          <cell r="W1790" t="str">
            <v>김광록</v>
          </cell>
          <cell r="X1790" t="str">
            <v>(인)</v>
          </cell>
          <cell r="Y1790" t="str">
            <v>박순홍</v>
          </cell>
          <cell r="Z1790" t="str">
            <v>(인)</v>
          </cell>
          <cell r="AA1790" t="str">
            <v>이홍걸</v>
          </cell>
          <cell r="AB1790" t="str">
            <v>(인)</v>
          </cell>
          <cell r="AC1790" t="str">
            <v>박상갑</v>
          </cell>
          <cell r="AD1790" t="str">
            <v>(인)</v>
          </cell>
          <cell r="AE1790">
            <v>181.6</v>
          </cell>
          <cell r="AF1790" t="str">
            <v>동절기</v>
          </cell>
          <cell r="AG1790">
            <v>2</v>
          </cell>
          <cell r="AH1790">
            <v>0</v>
          </cell>
        </row>
        <row r="1791">
          <cell r="G1791">
            <v>2502070203</v>
          </cell>
          <cell r="H1791" t="str">
            <v>115동</v>
          </cell>
          <cell r="I1791">
            <v>250207</v>
          </cell>
          <cell r="J1791" t="str">
            <v>115동 11층 바닥</v>
          </cell>
          <cell r="K1791">
            <v>291</v>
          </cell>
          <cell r="L1791">
            <v>291</v>
          </cell>
          <cell r="M1791">
            <v>3018</v>
          </cell>
          <cell r="N1791" t="str">
            <v>영진</v>
          </cell>
          <cell r="O1791" t="str">
            <v>펌프카(1대)</v>
          </cell>
          <cell r="P1791">
            <v>838</v>
          </cell>
          <cell r="Q1791">
            <v>1242</v>
          </cell>
          <cell r="R1791">
            <v>190</v>
          </cell>
          <cell r="S1791">
            <v>51</v>
          </cell>
          <cell r="T1791">
            <v>40</v>
          </cell>
          <cell r="U1791">
            <v>153</v>
          </cell>
          <cell r="V1791"/>
          <cell r="W1791" t="str">
            <v>김광록</v>
          </cell>
          <cell r="X1791" t="str">
            <v>(인)</v>
          </cell>
          <cell r="Y1791" t="str">
            <v>박순홍</v>
          </cell>
          <cell r="Z1791" t="str">
            <v>(인)</v>
          </cell>
          <cell r="AA1791" t="str">
            <v>이홍걸</v>
          </cell>
          <cell r="AB1791" t="str">
            <v>(인)</v>
          </cell>
          <cell r="AC1791" t="str">
            <v>박상갑</v>
          </cell>
          <cell r="AD1791" t="str">
            <v>(인)</v>
          </cell>
          <cell r="AE1791">
            <v>183.3</v>
          </cell>
          <cell r="AF1791" t="str">
            <v>동절기</v>
          </cell>
          <cell r="AG1791">
            <v>3</v>
          </cell>
          <cell r="AH1791">
            <v>0</v>
          </cell>
        </row>
        <row r="1792">
          <cell r="G1792">
            <v>2502100101</v>
          </cell>
          <cell r="H1792" t="str">
            <v>109동</v>
          </cell>
          <cell r="I1792">
            <v>250210</v>
          </cell>
          <cell r="J1792" t="str">
            <v>109동 17층 바닥</v>
          </cell>
          <cell r="K1792">
            <v>293</v>
          </cell>
          <cell r="L1792">
            <v>293</v>
          </cell>
          <cell r="M1792">
            <v>3018</v>
          </cell>
          <cell r="N1792" t="str">
            <v>대공</v>
          </cell>
          <cell r="O1792" t="str">
            <v>펌프카(1대)</v>
          </cell>
          <cell r="P1792">
            <v>1303</v>
          </cell>
          <cell r="Q1792">
            <v>1741</v>
          </cell>
          <cell r="R1792">
            <v>200</v>
          </cell>
          <cell r="S1792">
            <v>43</v>
          </cell>
          <cell r="T1792">
            <v>34</v>
          </cell>
          <cell r="U1792">
            <v>174</v>
          </cell>
          <cell r="V1792"/>
          <cell r="W1792" t="str">
            <v>박순홍</v>
          </cell>
          <cell r="X1792" t="str">
            <v>(인)</v>
          </cell>
          <cell r="Y1792" t="str">
            <v>박순홍</v>
          </cell>
          <cell r="Z1792" t="str">
            <v>(인)</v>
          </cell>
          <cell r="AA1792" t="str">
            <v>박상갑</v>
          </cell>
          <cell r="AB1792" t="str">
            <v>(인)</v>
          </cell>
          <cell r="AC1792" t="str">
            <v>이홍걸</v>
          </cell>
          <cell r="AD1792" t="str">
            <v>(인)</v>
          </cell>
          <cell r="AE1792">
            <v>181.8</v>
          </cell>
          <cell r="AF1792" t="str">
            <v>동절기</v>
          </cell>
          <cell r="AG1792">
            <v>1</v>
          </cell>
          <cell r="AH1792">
            <v>1</v>
          </cell>
          <cell r="AI1792">
            <v>2816</v>
          </cell>
          <cell r="AJ1792">
            <v>2778</v>
          </cell>
          <cell r="AK1792">
            <v>218600</v>
          </cell>
          <cell r="AL1792">
            <v>3709</v>
          </cell>
          <cell r="AM1792">
            <v>3788</v>
          </cell>
          <cell r="AN1792">
            <v>3792</v>
          </cell>
          <cell r="AO1792">
            <v>3816</v>
          </cell>
          <cell r="AP1792">
            <v>3870</v>
          </cell>
          <cell r="AQ1792">
            <v>3902</v>
          </cell>
          <cell r="AR1792">
            <v>3864</v>
          </cell>
          <cell r="AS1792">
            <v>3872</v>
          </cell>
          <cell r="AT1792">
            <v>299400</v>
          </cell>
        </row>
        <row r="1793">
          <cell r="G1793">
            <v>2502100102</v>
          </cell>
          <cell r="H1793" t="str">
            <v>109동</v>
          </cell>
          <cell r="I1793">
            <v>250210</v>
          </cell>
          <cell r="J1793" t="str">
            <v>109동 17층 바닥</v>
          </cell>
          <cell r="K1793">
            <v>293</v>
          </cell>
          <cell r="L1793">
            <v>293</v>
          </cell>
          <cell r="M1793">
            <v>3018</v>
          </cell>
          <cell r="N1793" t="str">
            <v>대공</v>
          </cell>
          <cell r="O1793" t="str">
            <v>펌프카(1대)</v>
          </cell>
          <cell r="P1793">
            <v>1303</v>
          </cell>
          <cell r="Q1793">
            <v>1741</v>
          </cell>
          <cell r="R1793">
            <v>190</v>
          </cell>
          <cell r="S1793">
            <v>50</v>
          </cell>
          <cell r="T1793">
            <v>29</v>
          </cell>
          <cell r="U1793">
            <v>175</v>
          </cell>
          <cell r="V1793"/>
          <cell r="W1793" t="str">
            <v>박순홍</v>
          </cell>
          <cell r="X1793" t="str">
            <v>(인)</v>
          </cell>
          <cell r="Y1793" t="str">
            <v>박순홍</v>
          </cell>
          <cell r="Z1793" t="str">
            <v>(인)</v>
          </cell>
          <cell r="AA1793" t="str">
            <v>박상갑</v>
          </cell>
          <cell r="AB1793" t="str">
            <v>(인)</v>
          </cell>
          <cell r="AC1793" t="str">
            <v>이홍걸</v>
          </cell>
          <cell r="AD1793" t="str">
            <v>(인)</v>
          </cell>
          <cell r="AE1793">
            <v>185</v>
          </cell>
          <cell r="AF1793" t="str">
            <v>동절기</v>
          </cell>
          <cell r="AG1793">
            <v>2</v>
          </cell>
          <cell r="AH1793">
            <v>0</v>
          </cell>
        </row>
        <row r="1794">
          <cell r="G1794">
            <v>2502100103</v>
          </cell>
          <cell r="H1794" t="str">
            <v>109동</v>
          </cell>
          <cell r="I1794">
            <v>250210</v>
          </cell>
          <cell r="J1794" t="str">
            <v>109동 17층 바닥</v>
          </cell>
          <cell r="K1794">
            <v>293</v>
          </cell>
          <cell r="L1794">
            <v>293</v>
          </cell>
          <cell r="M1794">
            <v>3018</v>
          </cell>
          <cell r="N1794" t="str">
            <v>대공</v>
          </cell>
          <cell r="O1794" t="str">
            <v>펌프카(1대)</v>
          </cell>
          <cell r="P1794">
            <v>1303</v>
          </cell>
          <cell r="Q1794">
            <v>1741</v>
          </cell>
          <cell r="R1794">
            <v>190</v>
          </cell>
          <cell r="S1794">
            <v>40</v>
          </cell>
          <cell r="T1794">
            <v>25</v>
          </cell>
          <cell r="U1794">
            <v>152</v>
          </cell>
          <cell r="V1794"/>
          <cell r="W1794" t="str">
            <v>박순홍</v>
          </cell>
          <cell r="X1794" t="str">
            <v>(인)</v>
          </cell>
          <cell r="Y1794" t="str">
            <v>박순홍</v>
          </cell>
          <cell r="Z1794" t="str">
            <v>(인)</v>
          </cell>
          <cell r="AA1794" t="str">
            <v>박상갑</v>
          </cell>
          <cell r="AB1794" t="str">
            <v>(인)</v>
          </cell>
          <cell r="AC1794" t="str">
            <v>이홍걸</v>
          </cell>
          <cell r="AD1794" t="str">
            <v>(인)</v>
          </cell>
          <cell r="AE1794">
            <v>189.2</v>
          </cell>
          <cell r="AF1794" t="str">
            <v>동절기</v>
          </cell>
          <cell r="AG1794">
            <v>3</v>
          </cell>
          <cell r="AH1794">
            <v>0</v>
          </cell>
        </row>
        <row r="1795">
          <cell r="G1795">
            <v>2502100201</v>
          </cell>
          <cell r="H1795" t="str">
            <v>111동</v>
          </cell>
          <cell r="I1795">
            <v>250210</v>
          </cell>
          <cell r="J1795" t="str">
            <v>111동 16층 바닥</v>
          </cell>
          <cell r="K1795">
            <v>312</v>
          </cell>
          <cell r="L1795">
            <v>312</v>
          </cell>
          <cell r="M1795">
            <v>3018</v>
          </cell>
          <cell r="N1795" t="str">
            <v>용호</v>
          </cell>
          <cell r="O1795" t="str">
            <v>펌프카(1대)</v>
          </cell>
          <cell r="P1795">
            <v>900</v>
          </cell>
          <cell r="Q1795">
            <v>1410</v>
          </cell>
          <cell r="R1795">
            <v>200</v>
          </cell>
          <cell r="S1795">
            <v>48</v>
          </cell>
          <cell r="T1795">
            <v>70</v>
          </cell>
          <cell r="U1795">
            <v>178</v>
          </cell>
          <cell r="V1795"/>
          <cell r="W1795" t="str">
            <v>박순홍</v>
          </cell>
          <cell r="X1795" t="str">
            <v>(인)</v>
          </cell>
          <cell r="Y1795" t="str">
            <v>박순홍</v>
          </cell>
          <cell r="Z1795" t="str">
            <v>(인)</v>
          </cell>
          <cell r="AA1795" t="str">
            <v>박상갑</v>
          </cell>
          <cell r="AB1795" t="str">
            <v>(인)</v>
          </cell>
          <cell r="AC1795" t="str">
            <v>이홍걸</v>
          </cell>
          <cell r="AD1795" t="str">
            <v>(인)</v>
          </cell>
          <cell r="AE1795">
            <v>185.3</v>
          </cell>
          <cell r="AF1795" t="str">
            <v>동절기</v>
          </cell>
          <cell r="AG1795">
            <v>1</v>
          </cell>
          <cell r="AH1795">
            <v>1</v>
          </cell>
          <cell r="AI1795">
            <v>2809</v>
          </cell>
          <cell r="AJ1795">
            <v>2783</v>
          </cell>
          <cell r="AK1795">
            <v>219600</v>
          </cell>
          <cell r="AL1795">
            <v>3864</v>
          </cell>
          <cell r="AM1795">
            <v>3802</v>
          </cell>
          <cell r="AN1795">
            <v>3729</v>
          </cell>
          <cell r="AO1795">
            <v>3760</v>
          </cell>
          <cell r="AP1795">
            <v>3684</v>
          </cell>
          <cell r="AQ1795">
            <v>3679</v>
          </cell>
          <cell r="AR1795">
            <v>3688</v>
          </cell>
          <cell r="AS1795">
            <v>3613</v>
          </cell>
          <cell r="AT1795">
            <v>293400</v>
          </cell>
        </row>
        <row r="1796">
          <cell r="G1796">
            <v>2502100202</v>
          </cell>
          <cell r="H1796" t="str">
            <v>111동</v>
          </cell>
          <cell r="I1796">
            <v>250210</v>
          </cell>
          <cell r="J1796" t="str">
            <v>111동 16층 바닥</v>
          </cell>
          <cell r="K1796">
            <v>312</v>
          </cell>
          <cell r="L1796">
            <v>312</v>
          </cell>
          <cell r="M1796">
            <v>3018</v>
          </cell>
          <cell r="N1796" t="str">
            <v>용호</v>
          </cell>
          <cell r="O1796" t="str">
            <v>펌프카(1대)</v>
          </cell>
          <cell r="P1796">
            <v>900</v>
          </cell>
          <cell r="Q1796">
            <v>1410</v>
          </cell>
          <cell r="R1796">
            <v>195</v>
          </cell>
          <cell r="S1796">
            <v>51</v>
          </cell>
          <cell r="T1796">
            <v>33</v>
          </cell>
          <cell r="U1796">
            <v>163</v>
          </cell>
          <cell r="V1796"/>
          <cell r="W1796" t="str">
            <v>박순홍</v>
          </cell>
          <cell r="X1796" t="str">
            <v>(인)</v>
          </cell>
          <cell r="Y1796" t="str">
            <v>박순홍</v>
          </cell>
          <cell r="Z1796" t="str">
            <v>(인)</v>
          </cell>
          <cell r="AA1796" t="str">
            <v>박상갑</v>
          </cell>
          <cell r="AB1796" t="str">
            <v>(인)</v>
          </cell>
          <cell r="AC1796" t="str">
            <v>이홍걸</v>
          </cell>
          <cell r="AD1796" t="str">
            <v>(인)</v>
          </cell>
          <cell r="AE1796">
            <v>191.9</v>
          </cell>
          <cell r="AF1796" t="str">
            <v>동절기</v>
          </cell>
          <cell r="AG1796">
            <v>2</v>
          </cell>
          <cell r="AH1796">
            <v>0</v>
          </cell>
        </row>
        <row r="1797">
          <cell r="G1797">
            <v>2502100203</v>
          </cell>
          <cell r="H1797" t="str">
            <v>111동</v>
          </cell>
          <cell r="I1797">
            <v>250210</v>
          </cell>
          <cell r="J1797" t="str">
            <v>111동 16층 바닥</v>
          </cell>
          <cell r="K1797">
            <v>312</v>
          </cell>
          <cell r="L1797">
            <v>312</v>
          </cell>
          <cell r="M1797">
            <v>3018</v>
          </cell>
          <cell r="N1797" t="str">
            <v>용호</v>
          </cell>
          <cell r="O1797" t="str">
            <v>펌프카(1대)</v>
          </cell>
          <cell r="P1797">
            <v>900</v>
          </cell>
          <cell r="Q1797">
            <v>1410</v>
          </cell>
          <cell r="R1797">
            <v>190</v>
          </cell>
          <cell r="S1797">
            <v>53</v>
          </cell>
          <cell r="T1797">
            <v>83</v>
          </cell>
          <cell r="U1797">
            <v>135</v>
          </cell>
          <cell r="V1797"/>
          <cell r="W1797" t="str">
            <v>박순홍</v>
          </cell>
          <cell r="X1797" t="str">
            <v>(인)</v>
          </cell>
          <cell r="Y1797" t="str">
            <v>박순홍</v>
          </cell>
          <cell r="Z1797" t="str">
            <v>(인)</v>
          </cell>
          <cell r="AA1797" t="str">
            <v>박상갑</v>
          </cell>
          <cell r="AB1797" t="str">
            <v>(인)</v>
          </cell>
          <cell r="AC1797" t="str">
            <v>이홍걸</v>
          </cell>
          <cell r="AD1797" t="str">
            <v>(인)</v>
          </cell>
          <cell r="AE1797">
            <v>184.4</v>
          </cell>
          <cell r="AF1797" t="str">
            <v>동절기</v>
          </cell>
          <cell r="AG1797">
            <v>3</v>
          </cell>
          <cell r="AH1797">
            <v>0</v>
          </cell>
        </row>
        <row r="1798">
          <cell r="G1798">
            <v>2502100301</v>
          </cell>
          <cell r="H1798" t="str">
            <v>116동</v>
          </cell>
          <cell r="I1798">
            <v>250210</v>
          </cell>
          <cell r="J1798" t="str">
            <v>116동 9층 바닥</v>
          </cell>
          <cell r="K1798">
            <v>282</v>
          </cell>
          <cell r="L1798">
            <v>282</v>
          </cell>
          <cell r="M1798">
            <v>3018</v>
          </cell>
          <cell r="N1798" t="str">
            <v>신우</v>
          </cell>
          <cell r="O1798" t="str">
            <v>펌프카(1대)</v>
          </cell>
          <cell r="P1798">
            <v>845</v>
          </cell>
          <cell r="Q1798">
            <v>1342</v>
          </cell>
          <cell r="R1798">
            <v>170</v>
          </cell>
          <cell r="S1798">
            <v>55</v>
          </cell>
          <cell r="T1798">
            <v>33</v>
          </cell>
          <cell r="U1798">
            <v>153</v>
          </cell>
          <cell r="V1798"/>
          <cell r="W1798" t="str">
            <v>김광록</v>
          </cell>
          <cell r="X1798" t="str">
            <v>(인)</v>
          </cell>
          <cell r="Y1798" t="str">
            <v>박순홍</v>
          </cell>
          <cell r="Z1798" t="str">
            <v>(인)</v>
          </cell>
          <cell r="AA1798" t="str">
            <v>박상갑</v>
          </cell>
          <cell r="AB1798" t="str">
            <v>(인)</v>
          </cell>
          <cell r="AC1798" t="str">
            <v>이홍걸</v>
          </cell>
          <cell r="AD1798" t="str">
            <v>(인)</v>
          </cell>
          <cell r="AE1798">
            <v>181.8</v>
          </cell>
          <cell r="AF1798" t="str">
            <v>동절기</v>
          </cell>
          <cell r="AG1798">
            <v>1</v>
          </cell>
          <cell r="AH1798">
            <v>1</v>
          </cell>
          <cell r="AI1798">
            <v>2721</v>
          </cell>
          <cell r="AJ1798">
            <v>2569</v>
          </cell>
          <cell r="AK1798">
            <v>221000</v>
          </cell>
          <cell r="AL1798">
            <v>3612</v>
          </cell>
          <cell r="AM1798">
            <v>3590</v>
          </cell>
          <cell r="AN1798">
            <v>3604</v>
          </cell>
          <cell r="AO1798">
            <v>3612</v>
          </cell>
          <cell r="AP1798">
            <v>3700</v>
          </cell>
          <cell r="AQ1798">
            <v>3692</v>
          </cell>
          <cell r="AR1798">
            <v>3576</v>
          </cell>
          <cell r="AS1798">
            <v>3588</v>
          </cell>
          <cell r="AT1798">
            <v>289400</v>
          </cell>
        </row>
        <row r="1799">
          <cell r="G1799">
            <v>2502100302</v>
          </cell>
          <cell r="H1799" t="str">
            <v>116동</v>
          </cell>
          <cell r="I1799">
            <v>250210</v>
          </cell>
          <cell r="J1799" t="str">
            <v>116동 9층 바닥</v>
          </cell>
          <cell r="K1799">
            <v>282</v>
          </cell>
          <cell r="L1799">
            <v>282</v>
          </cell>
          <cell r="M1799">
            <v>3018</v>
          </cell>
          <cell r="N1799" t="str">
            <v>신우</v>
          </cell>
          <cell r="O1799" t="str">
            <v>펌프카(1대)</v>
          </cell>
          <cell r="P1799">
            <v>845</v>
          </cell>
          <cell r="Q1799">
            <v>1342</v>
          </cell>
          <cell r="R1799">
            <v>165</v>
          </cell>
          <cell r="S1799">
            <v>50</v>
          </cell>
          <cell r="T1799">
            <v>83</v>
          </cell>
          <cell r="U1799">
            <v>165</v>
          </cell>
          <cell r="V1799"/>
          <cell r="W1799" t="str">
            <v>김광록</v>
          </cell>
          <cell r="X1799" t="str">
            <v>(인)</v>
          </cell>
          <cell r="Y1799" t="str">
            <v>박순홍</v>
          </cell>
          <cell r="Z1799" t="str">
            <v>(인)</v>
          </cell>
          <cell r="AA1799" t="str">
            <v>박상갑</v>
          </cell>
          <cell r="AB1799" t="str">
            <v>(인)</v>
          </cell>
          <cell r="AC1799" t="str">
            <v>이홍걸</v>
          </cell>
          <cell r="AD1799" t="str">
            <v>(인)</v>
          </cell>
          <cell r="AE1799">
            <v>182.9</v>
          </cell>
          <cell r="AF1799" t="str">
            <v>동절기</v>
          </cell>
          <cell r="AG1799">
            <v>2</v>
          </cell>
          <cell r="AH1799">
            <v>0</v>
          </cell>
        </row>
        <row r="1800">
          <cell r="G1800">
            <v>2502100303</v>
          </cell>
          <cell r="H1800" t="str">
            <v>116동</v>
          </cell>
          <cell r="I1800">
            <v>250210</v>
          </cell>
          <cell r="J1800" t="str">
            <v>116동 9층 바닥</v>
          </cell>
          <cell r="K1800">
            <v>282</v>
          </cell>
          <cell r="L1800">
            <v>282</v>
          </cell>
          <cell r="M1800">
            <v>3018</v>
          </cell>
          <cell r="N1800" t="str">
            <v>신우</v>
          </cell>
          <cell r="O1800" t="str">
            <v>펌프카(1대)</v>
          </cell>
          <cell r="P1800">
            <v>845</v>
          </cell>
          <cell r="Q1800">
            <v>1342</v>
          </cell>
          <cell r="R1800">
            <v>170</v>
          </cell>
          <cell r="S1800">
            <v>40</v>
          </cell>
          <cell r="T1800">
            <v>70</v>
          </cell>
          <cell r="U1800">
            <v>158</v>
          </cell>
          <cell r="V1800"/>
          <cell r="W1800" t="str">
            <v>김광록</v>
          </cell>
          <cell r="X1800" t="str">
            <v>(인)</v>
          </cell>
          <cell r="Y1800" t="str">
            <v>박순홍</v>
          </cell>
          <cell r="Z1800" t="str">
            <v>(인)</v>
          </cell>
          <cell r="AA1800" t="str">
            <v>박상갑</v>
          </cell>
          <cell r="AB1800" t="str">
            <v>(인)</v>
          </cell>
          <cell r="AC1800" t="str">
            <v>이홍걸</v>
          </cell>
          <cell r="AD1800" t="str">
            <v>(인)</v>
          </cell>
          <cell r="AE1800">
            <v>183.7</v>
          </cell>
          <cell r="AF1800" t="str">
            <v>동절기</v>
          </cell>
          <cell r="AG1800">
            <v>3</v>
          </cell>
          <cell r="AH1800">
            <v>0</v>
          </cell>
        </row>
        <row r="1801">
          <cell r="G1801">
            <v>2502100401</v>
          </cell>
          <cell r="H1801" t="str">
            <v>112동</v>
          </cell>
          <cell r="I1801">
            <v>250210</v>
          </cell>
          <cell r="J1801" t="str">
            <v>112동 7층 바닥</v>
          </cell>
          <cell r="K1801">
            <v>216</v>
          </cell>
          <cell r="L1801">
            <v>216</v>
          </cell>
          <cell r="M1801">
            <v>3018</v>
          </cell>
          <cell r="N1801" t="str">
            <v>용호</v>
          </cell>
          <cell r="O1801" t="str">
            <v>펌프카(1대)</v>
          </cell>
          <cell r="P1801">
            <v>1430</v>
          </cell>
          <cell r="Q1801">
            <v>1716</v>
          </cell>
          <cell r="R1801">
            <v>175</v>
          </cell>
          <cell r="S1801">
            <v>36</v>
          </cell>
          <cell r="T1801">
            <v>26</v>
          </cell>
          <cell r="U1801">
            <v>135</v>
          </cell>
          <cell r="V1801"/>
          <cell r="W1801" t="str">
            <v>박순홍</v>
          </cell>
          <cell r="X1801" t="str">
            <v>(인)</v>
          </cell>
          <cell r="Y1801" t="str">
            <v>박순홍</v>
          </cell>
          <cell r="Z1801" t="str">
            <v>(인)</v>
          </cell>
          <cell r="AA1801" t="str">
            <v>박상갑</v>
          </cell>
          <cell r="AB1801" t="str">
            <v>(인)</v>
          </cell>
          <cell r="AC1801" t="str">
            <v>이홍걸</v>
          </cell>
          <cell r="AD1801" t="str">
            <v>(인)</v>
          </cell>
          <cell r="AE1801">
            <v>181.8</v>
          </cell>
          <cell r="AF1801" t="str">
            <v>동절기</v>
          </cell>
          <cell r="AG1801">
            <v>1</v>
          </cell>
          <cell r="AH1801">
            <v>1</v>
          </cell>
          <cell r="AI1801">
            <v>2821</v>
          </cell>
          <cell r="AJ1801">
            <v>2900</v>
          </cell>
          <cell r="AK1801">
            <v>220600</v>
          </cell>
          <cell r="AL1801">
            <v>3716</v>
          </cell>
          <cell r="AM1801">
            <v>3788</v>
          </cell>
          <cell r="AN1801">
            <v>3890</v>
          </cell>
          <cell r="AO1801">
            <v>3712</v>
          </cell>
          <cell r="AP1801">
            <v>3866</v>
          </cell>
          <cell r="AQ1801">
            <v>3873</v>
          </cell>
          <cell r="AR1801">
            <v>3902</v>
          </cell>
          <cell r="AS1801">
            <v>3704</v>
          </cell>
          <cell r="AT1801">
            <v>293000</v>
          </cell>
        </row>
        <row r="1802">
          <cell r="G1802">
            <v>2502100402</v>
          </cell>
          <cell r="H1802" t="str">
            <v>112동</v>
          </cell>
          <cell r="I1802">
            <v>250210</v>
          </cell>
          <cell r="J1802" t="str">
            <v>112동 7층 바닥</v>
          </cell>
          <cell r="K1802">
            <v>216</v>
          </cell>
          <cell r="L1802">
            <v>216</v>
          </cell>
          <cell r="M1802">
            <v>3018</v>
          </cell>
          <cell r="N1802" t="str">
            <v>용호</v>
          </cell>
          <cell r="O1802" t="str">
            <v>펌프카(1대)</v>
          </cell>
          <cell r="P1802">
            <v>1430</v>
          </cell>
          <cell r="Q1802">
            <v>1716</v>
          </cell>
          <cell r="R1802">
            <v>190</v>
          </cell>
          <cell r="S1802">
            <v>34</v>
          </cell>
          <cell r="T1802">
            <v>27</v>
          </cell>
          <cell r="U1802">
            <v>144</v>
          </cell>
          <cell r="V1802"/>
          <cell r="W1802" t="str">
            <v>박순홍</v>
          </cell>
          <cell r="X1802" t="str">
            <v>(인)</v>
          </cell>
          <cell r="Y1802" t="str">
            <v>박순홍</v>
          </cell>
          <cell r="Z1802" t="str">
            <v>(인)</v>
          </cell>
          <cell r="AA1802" t="str">
            <v>박상갑</v>
          </cell>
          <cell r="AB1802" t="str">
            <v>(인)</v>
          </cell>
          <cell r="AC1802" t="str">
            <v>이홍걸</v>
          </cell>
          <cell r="AD1802" t="str">
            <v>(인)</v>
          </cell>
          <cell r="AE1802">
            <v>184.4</v>
          </cell>
          <cell r="AF1802" t="str">
            <v>동절기</v>
          </cell>
          <cell r="AG1802">
            <v>2</v>
          </cell>
          <cell r="AH1802">
            <v>0</v>
          </cell>
        </row>
        <row r="1803">
          <cell r="G1803">
            <v>2502100501</v>
          </cell>
          <cell r="H1803" t="str">
            <v>주차장</v>
          </cell>
          <cell r="I1803">
            <v>250210</v>
          </cell>
          <cell r="J1803" t="str">
            <v>N-1구간 지하1층 낮은바닥</v>
          </cell>
          <cell r="K1803">
            <v>84</v>
          </cell>
          <cell r="L1803">
            <v>84</v>
          </cell>
          <cell r="M1803">
            <v>2715</v>
          </cell>
          <cell r="N1803" t="str">
            <v>대공</v>
          </cell>
          <cell r="O1803" t="str">
            <v>펌프카(1대)</v>
          </cell>
          <cell r="P1803">
            <v>826</v>
          </cell>
          <cell r="Q1803">
            <v>1013</v>
          </cell>
          <cell r="R1803">
            <v>160</v>
          </cell>
          <cell r="S1803">
            <v>46</v>
          </cell>
          <cell r="T1803">
            <v>47</v>
          </cell>
          <cell r="U1803">
            <v>155</v>
          </cell>
          <cell r="V1803"/>
          <cell r="W1803" t="str">
            <v>김광록</v>
          </cell>
          <cell r="X1803" t="str">
            <v>(인)</v>
          </cell>
          <cell r="Y1803" t="str">
            <v>박순홍</v>
          </cell>
          <cell r="Z1803" t="str">
            <v>(인)</v>
          </cell>
          <cell r="AA1803" t="str">
            <v>박상갑</v>
          </cell>
          <cell r="AB1803" t="str">
            <v>(인)</v>
          </cell>
          <cell r="AC1803" t="str">
            <v>이홍걸</v>
          </cell>
          <cell r="AD1803" t="str">
            <v>(인)</v>
          </cell>
          <cell r="AE1803">
            <v>172</v>
          </cell>
          <cell r="AF1803" t="str">
            <v>동절기</v>
          </cell>
          <cell r="AG1803">
            <v>1</v>
          </cell>
          <cell r="AH1803">
            <v>1</v>
          </cell>
          <cell r="AI1803">
            <v>2503</v>
          </cell>
          <cell r="AJ1803">
            <v>2522</v>
          </cell>
          <cell r="AK1803">
            <v>197400</v>
          </cell>
          <cell r="AL1803">
            <v>3290</v>
          </cell>
          <cell r="AM1803">
            <v>3287</v>
          </cell>
          <cell r="AN1803">
            <v>3192</v>
          </cell>
          <cell r="AO1803">
            <v>3301</v>
          </cell>
          <cell r="AP1803">
            <v>3288</v>
          </cell>
          <cell r="AQ1803">
            <v>3207</v>
          </cell>
          <cell r="AR1803">
            <v>3216</v>
          </cell>
          <cell r="AS1803">
            <v>3204</v>
          </cell>
          <cell r="AT1803">
            <v>250400</v>
          </cell>
        </row>
        <row r="1804">
          <cell r="G1804">
            <v>2502100601</v>
          </cell>
          <cell r="H1804" t="str">
            <v>램프</v>
          </cell>
          <cell r="I1804">
            <v>250210</v>
          </cell>
          <cell r="J1804" t="str">
            <v>118동 주변 램프</v>
          </cell>
          <cell r="K1804">
            <v>23</v>
          </cell>
          <cell r="L1804">
            <v>23</v>
          </cell>
          <cell r="M1804">
            <v>2715</v>
          </cell>
          <cell r="N1804" t="str">
            <v>신우</v>
          </cell>
          <cell r="O1804" t="str">
            <v>펌프카(1대)</v>
          </cell>
          <cell r="P1804">
            <v>1425</v>
          </cell>
          <cell r="Q1804">
            <v>1602</v>
          </cell>
          <cell r="R1804">
            <v>165</v>
          </cell>
          <cell r="S1804">
            <v>38</v>
          </cell>
          <cell r="T1804">
            <v>20</v>
          </cell>
          <cell r="U1804">
            <v>150</v>
          </cell>
          <cell r="V1804"/>
          <cell r="W1804" t="str">
            <v>박순홍</v>
          </cell>
          <cell r="X1804" t="str">
            <v>(인)</v>
          </cell>
          <cell r="Y1804" t="str">
            <v>박순홍</v>
          </cell>
          <cell r="Z1804" t="str">
            <v>(인)</v>
          </cell>
          <cell r="AA1804" t="str">
            <v>박상갑</v>
          </cell>
          <cell r="AB1804" t="str">
            <v>(인)</v>
          </cell>
          <cell r="AC1804" t="str">
            <v>이홍걸</v>
          </cell>
          <cell r="AD1804" t="str">
            <v>(인)</v>
          </cell>
          <cell r="AE1804">
            <v>182.9</v>
          </cell>
          <cell r="AF1804" t="str">
            <v>동절기</v>
          </cell>
          <cell r="AG1804">
            <v>1</v>
          </cell>
          <cell r="AH1804">
            <v>1</v>
          </cell>
          <cell r="AI1804">
            <v>2470</v>
          </cell>
          <cell r="AJ1804">
            <v>2522</v>
          </cell>
          <cell r="AK1804">
            <v>201200</v>
          </cell>
          <cell r="AL1804">
            <v>3211</v>
          </cell>
          <cell r="AM1804">
            <v>3302</v>
          </cell>
          <cell r="AN1804">
            <v>3208</v>
          </cell>
          <cell r="AO1804">
            <v>3262</v>
          </cell>
          <cell r="AP1804">
            <v>3288</v>
          </cell>
          <cell r="AQ1804">
            <v>3219</v>
          </cell>
          <cell r="AR1804">
            <v>3260</v>
          </cell>
          <cell r="AS1804">
            <v>3177</v>
          </cell>
          <cell r="AT1804">
            <v>251200</v>
          </cell>
        </row>
        <row r="1805">
          <cell r="G1805">
            <v>2502110101</v>
          </cell>
          <cell r="H1805" t="str">
            <v>119동</v>
          </cell>
          <cell r="I1805">
            <v>250211</v>
          </cell>
          <cell r="J1805" t="str">
            <v>119동 7층 바닥</v>
          </cell>
          <cell r="K1805">
            <v>287</v>
          </cell>
          <cell r="L1805">
            <v>287</v>
          </cell>
          <cell r="M1805">
            <v>3018</v>
          </cell>
          <cell r="N1805" t="str">
            <v>대원</v>
          </cell>
          <cell r="O1805" t="str">
            <v>펌프카(1대)</v>
          </cell>
          <cell r="P1805">
            <v>850</v>
          </cell>
          <cell r="Q1805">
            <v>1418</v>
          </cell>
          <cell r="R1805">
            <v>195</v>
          </cell>
          <cell r="S1805">
            <v>44</v>
          </cell>
          <cell r="T1805">
            <v>121</v>
          </cell>
          <cell r="U1805">
            <v>142</v>
          </cell>
          <cell r="V1805"/>
          <cell r="W1805" t="str">
            <v>박순홍</v>
          </cell>
          <cell r="X1805" t="str">
            <v>(인)</v>
          </cell>
          <cell r="Y1805" t="str">
            <v>박순홍</v>
          </cell>
          <cell r="Z1805" t="str">
            <v>(인)</v>
          </cell>
          <cell r="AA1805" t="str">
            <v>박상갑</v>
          </cell>
          <cell r="AB1805" t="str">
            <v>(인)</v>
          </cell>
          <cell r="AC1805" t="str">
            <v>이홍걸</v>
          </cell>
          <cell r="AD1805" t="str">
            <v>(인)</v>
          </cell>
          <cell r="AE1805">
            <v>181.9</v>
          </cell>
          <cell r="AF1805" t="str">
            <v>동절기</v>
          </cell>
          <cell r="AG1805">
            <v>1</v>
          </cell>
          <cell r="AH1805">
            <v>1</v>
          </cell>
          <cell r="AI1805">
            <v>2788</v>
          </cell>
          <cell r="AJ1805">
            <v>2806</v>
          </cell>
          <cell r="AK1805">
            <v>220000</v>
          </cell>
          <cell r="AL1805">
            <v>3701</v>
          </cell>
          <cell r="AM1805">
            <v>3816</v>
          </cell>
          <cell r="AN1805">
            <v>3707</v>
          </cell>
          <cell r="AO1805">
            <v>3607</v>
          </cell>
          <cell r="AP1805">
            <v>3812</v>
          </cell>
          <cell r="AQ1805">
            <v>3769</v>
          </cell>
          <cell r="AR1805">
            <v>3694</v>
          </cell>
          <cell r="AS1805">
            <v>3688</v>
          </cell>
          <cell r="AT1805">
            <v>287000</v>
          </cell>
        </row>
        <row r="1806">
          <cell r="G1806">
            <v>2502110102</v>
          </cell>
          <cell r="H1806" t="str">
            <v>119동</v>
          </cell>
          <cell r="I1806">
            <v>250211</v>
          </cell>
          <cell r="J1806" t="str">
            <v>119동 7층 바닥</v>
          </cell>
          <cell r="K1806">
            <v>287</v>
          </cell>
          <cell r="L1806">
            <v>287</v>
          </cell>
          <cell r="M1806">
            <v>3018</v>
          </cell>
          <cell r="N1806" t="str">
            <v>대원</v>
          </cell>
          <cell r="O1806" t="str">
            <v>펌프카(1대)</v>
          </cell>
          <cell r="P1806">
            <v>850</v>
          </cell>
          <cell r="Q1806">
            <v>1418</v>
          </cell>
          <cell r="R1806">
            <v>190</v>
          </cell>
          <cell r="S1806">
            <v>40</v>
          </cell>
          <cell r="T1806">
            <v>40</v>
          </cell>
          <cell r="U1806">
            <v>144</v>
          </cell>
          <cell r="V1806"/>
          <cell r="W1806" t="str">
            <v>박순홍</v>
          </cell>
          <cell r="X1806" t="str">
            <v>(인)</v>
          </cell>
          <cell r="Y1806" t="str">
            <v>박순홍</v>
          </cell>
          <cell r="Z1806" t="str">
            <v>(인)</v>
          </cell>
          <cell r="AA1806" t="str">
            <v>박상갑</v>
          </cell>
          <cell r="AB1806" t="str">
            <v>(인)</v>
          </cell>
          <cell r="AC1806" t="str">
            <v>이홍걸</v>
          </cell>
          <cell r="AD1806" t="str">
            <v>(인)</v>
          </cell>
          <cell r="AE1806">
            <v>186</v>
          </cell>
          <cell r="AF1806" t="str">
            <v>동절기</v>
          </cell>
          <cell r="AG1806">
            <v>2</v>
          </cell>
          <cell r="AH1806">
            <v>0</v>
          </cell>
        </row>
        <row r="1807">
          <cell r="G1807">
            <v>2502110103</v>
          </cell>
          <cell r="H1807" t="str">
            <v>119동</v>
          </cell>
          <cell r="I1807">
            <v>250211</v>
          </cell>
          <cell r="J1807" t="str">
            <v>119동 7층 바닥</v>
          </cell>
          <cell r="K1807">
            <v>287</v>
          </cell>
          <cell r="L1807">
            <v>287</v>
          </cell>
          <cell r="M1807">
            <v>3018</v>
          </cell>
          <cell r="N1807" t="str">
            <v>대원</v>
          </cell>
          <cell r="O1807" t="str">
            <v>펌프카(1대)</v>
          </cell>
          <cell r="P1807">
            <v>850</v>
          </cell>
          <cell r="Q1807">
            <v>1418</v>
          </cell>
          <cell r="R1807">
            <v>200</v>
          </cell>
          <cell r="S1807">
            <v>46</v>
          </cell>
          <cell r="T1807">
            <v>95</v>
          </cell>
          <cell r="U1807">
            <v>150</v>
          </cell>
          <cell r="V1807"/>
          <cell r="W1807" t="str">
            <v>박순홍</v>
          </cell>
          <cell r="X1807" t="str">
            <v>(인)</v>
          </cell>
          <cell r="Y1807" t="str">
            <v>박순홍</v>
          </cell>
          <cell r="Z1807" t="str">
            <v>(인)</v>
          </cell>
          <cell r="AA1807" t="str">
            <v>박상갑</v>
          </cell>
          <cell r="AB1807" t="str">
            <v>(인)</v>
          </cell>
          <cell r="AC1807" t="str">
            <v>이홍걸</v>
          </cell>
          <cell r="AD1807" t="str">
            <v>(인)</v>
          </cell>
          <cell r="AE1807">
            <v>184.3</v>
          </cell>
          <cell r="AF1807" t="str">
            <v>동절기</v>
          </cell>
          <cell r="AG1807">
            <v>3</v>
          </cell>
          <cell r="AH1807">
            <v>0</v>
          </cell>
        </row>
        <row r="1808">
          <cell r="G1808">
            <v>2502110201</v>
          </cell>
          <cell r="H1808" t="str">
            <v>102동</v>
          </cell>
          <cell r="I1808">
            <v>250211</v>
          </cell>
          <cell r="J1808" t="str">
            <v>107동 옥탑 및 102동 PH2</v>
          </cell>
          <cell r="K1808">
            <v>140</v>
          </cell>
          <cell r="L1808">
            <v>137</v>
          </cell>
          <cell r="M1808">
            <v>3018</v>
          </cell>
          <cell r="N1808" t="str">
            <v>영진</v>
          </cell>
          <cell r="O1808" t="str">
            <v>펌프카(1대)</v>
          </cell>
          <cell r="P1808">
            <v>844</v>
          </cell>
          <cell r="Q1808">
            <v>1730</v>
          </cell>
          <cell r="R1808">
            <v>190</v>
          </cell>
          <cell r="S1808">
            <v>55</v>
          </cell>
          <cell r="T1808">
            <v>61</v>
          </cell>
          <cell r="U1808">
            <v>117</v>
          </cell>
          <cell r="V1808"/>
          <cell r="W1808" t="str">
            <v>박순홍</v>
          </cell>
          <cell r="X1808" t="str">
            <v>(인)</v>
          </cell>
          <cell r="Y1808" t="str">
            <v>박순홍</v>
          </cell>
          <cell r="Z1808" t="str">
            <v>(인)</v>
          </cell>
          <cell r="AA1808" t="str">
            <v>박상갑</v>
          </cell>
          <cell r="AB1808" t="str">
            <v>(인)</v>
          </cell>
          <cell r="AC1808" t="str">
            <v>이홍걸</v>
          </cell>
          <cell r="AD1808" t="str">
            <v>(인)</v>
          </cell>
          <cell r="AE1808">
            <v>173.7</v>
          </cell>
          <cell r="AF1808" t="str">
            <v>동절기</v>
          </cell>
          <cell r="AG1808">
            <v>1</v>
          </cell>
          <cell r="AH1808">
            <v>1</v>
          </cell>
          <cell r="AI1808">
            <v>2778</v>
          </cell>
          <cell r="AJ1808">
            <v>2811</v>
          </cell>
          <cell r="AK1808">
            <v>215400</v>
          </cell>
          <cell r="AL1808">
            <v>3802</v>
          </cell>
          <cell r="AM1808">
            <v>3794</v>
          </cell>
          <cell r="AN1808">
            <v>3789</v>
          </cell>
          <cell r="AO1808">
            <v>3730</v>
          </cell>
          <cell r="AP1808">
            <v>3894</v>
          </cell>
          <cell r="AQ1808">
            <v>3867</v>
          </cell>
          <cell r="AR1808">
            <v>3887</v>
          </cell>
          <cell r="AS1808">
            <v>3690</v>
          </cell>
          <cell r="AT1808">
            <v>293000</v>
          </cell>
        </row>
        <row r="1809">
          <cell r="G1809">
            <v>2502110202</v>
          </cell>
          <cell r="H1809" t="str">
            <v>107동</v>
          </cell>
          <cell r="I1809">
            <v>250211</v>
          </cell>
          <cell r="J1809" t="str">
            <v>107동 옥탑 및 102동 PH2</v>
          </cell>
          <cell r="K1809">
            <v>140</v>
          </cell>
          <cell r="L1809">
            <v>137</v>
          </cell>
          <cell r="M1809">
            <v>3018</v>
          </cell>
          <cell r="N1809" t="str">
            <v>영진</v>
          </cell>
          <cell r="O1809" t="str">
            <v>펌프카(1대)</v>
          </cell>
          <cell r="P1809">
            <v>844</v>
          </cell>
          <cell r="Q1809">
            <v>1730</v>
          </cell>
          <cell r="R1809">
            <v>195</v>
          </cell>
          <cell r="S1809">
            <v>42</v>
          </cell>
          <cell r="T1809">
            <v>89</v>
          </cell>
          <cell r="U1809">
            <v>132</v>
          </cell>
          <cell r="V1809"/>
          <cell r="W1809" t="str">
            <v>박순홍</v>
          </cell>
          <cell r="X1809" t="str">
            <v>(인)</v>
          </cell>
          <cell r="Y1809" t="str">
            <v>박순홍</v>
          </cell>
          <cell r="Z1809" t="str">
            <v>(인)</v>
          </cell>
          <cell r="AA1809" t="str">
            <v>박상갑</v>
          </cell>
          <cell r="AB1809" t="str">
            <v>(인)</v>
          </cell>
          <cell r="AC1809" t="str">
            <v>이홍걸</v>
          </cell>
          <cell r="AD1809" t="str">
            <v>(인)</v>
          </cell>
          <cell r="AE1809">
            <v>181.9</v>
          </cell>
          <cell r="AF1809" t="str">
            <v>동절기</v>
          </cell>
          <cell r="AG1809">
            <v>2</v>
          </cell>
          <cell r="AH1809">
            <v>0</v>
          </cell>
        </row>
        <row r="1810">
          <cell r="G1810">
            <v>2502130101</v>
          </cell>
          <cell r="H1810" t="str">
            <v>114동</v>
          </cell>
          <cell r="I1810">
            <v>250213</v>
          </cell>
          <cell r="J1810" t="str">
            <v>114동 13층 바닥</v>
          </cell>
          <cell r="K1810">
            <v>288</v>
          </cell>
          <cell r="L1810">
            <v>288</v>
          </cell>
          <cell r="M1810">
            <v>3018</v>
          </cell>
          <cell r="N1810" t="str">
            <v>대원</v>
          </cell>
          <cell r="O1810" t="str">
            <v>펌프카(1대)</v>
          </cell>
          <cell r="P1810">
            <v>1300</v>
          </cell>
          <cell r="Q1810">
            <v>1729</v>
          </cell>
          <cell r="R1810">
            <v>180</v>
          </cell>
          <cell r="S1810">
            <v>39</v>
          </cell>
          <cell r="T1810">
            <v>18</v>
          </cell>
          <cell r="U1810">
            <v>148</v>
          </cell>
          <cell r="V1810"/>
          <cell r="W1810" t="str">
            <v>박순홍</v>
          </cell>
          <cell r="X1810" t="str">
            <v>(인)</v>
          </cell>
          <cell r="Y1810" t="str">
            <v>박순홍</v>
          </cell>
          <cell r="Z1810" t="str">
            <v>(인)</v>
          </cell>
          <cell r="AA1810" t="str">
            <v>박상갑</v>
          </cell>
          <cell r="AB1810" t="str">
            <v>(인)</v>
          </cell>
          <cell r="AC1810" t="str">
            <v>이홍걸</v>
          </cell>
          <cell r="AD1810" t="str">
            <v>(인)</v>
          </cell>
          <cell r="AE1810">
            <v>181.8</v>
          </cell>
          <cell r="AF1810" t="str">
            <v>동절기</v>
          </cell>
          <cell r="AG1810">
            <v>1</v>
          </cell>
          <cell r="AH1810">
            <v>1</v>
          </cell>
          <cell r="AI1810">
            <v>2750</v>
          </cell>
          <cell r="AJ1810">
            <v>2819</v>
          </cell>
          <cell r="AK1810">
            <v>213800</v>
          </cell>
          <cell r="AL1810">
            <v>3791</v>
          </cell>
          <cell r="AM1810">
            <v>3804</v>
          </cell>
          <cell r="AN1810">
            <v>3812</v>
          </cell>
          <cell r="AO1810">
            <v>3767</v>
          </cell>
          <cell r="AP1810">
            <v>3730</v>
          </cell>
          <cell r="AQ1810">
            <v>3762</v>
          </cell>
          <cell r="AR1810">
            <v>3872</v>
          </cell>
          <cell r="AS1810">
            <v>3867</v>
          </cell>
          <cell r="AT1810">
            <v>304800</v>
          </cell>
        </row>
        <row r="1811">
          <cell r="G1811">
            <v>2502130102</v>
          </cell>
          <cell r="H1811" t="str">
            <v>114동</v>
          </cell>
          <cell r="I1811">
            <v>250213</v>
          </cell>
          <cell r="J1811" t="str">
            <v>114동 13층 바닥</v>
          </cell>
          <cell r="K1811">
            <v>288</v>
          </cell>
          <cell r="L1811">
            <v>288</v>
          </cell>
          <cell r="M1811">
            <v>3018</v>
          </cell>
          <cell r="N1811" t="str">
            <v>대원</v>
          </cell>
          <cell r="O1811" t="str">
            <v>펌프카(1대)</v>
          </cell>
          <cell r="P1811">
            <v>1300</v>
          </cell>
          <cell r="Q1811">
            <v>1729</v>
          </cell>
          <cell r="R1811">
            <v>190</v>
          </cell>
          <cell r="S1811">
            <v>42</v>
          </cell>
          <cell r="T1811">
            <v>44</v>
          </cell>
          <cell r="U1811">
            <v>141</v>
          </cell>
          <cell r="V1811"/>
          <cell r="W1811" t="str">
            <v>박순홍</v>
          </cell>
          <cell r="X1811" t="str">
            <v>(인)</v>
          </cell>
          <cell r="Y1811" t="str">
            <v>박순홍</v>
          </cell>
          <cell r="Z1811" t="str">
            <v>(인)</v>
          </cell>
          <cell r="AA1811" t="str">
            <v>박상갑</v>
          </cell>
          <cell r="AB1811" t="str">
            <v>(인)</v>
          </cell>
          <cell r="AC1811" t="str">
            <v>이홍걸</v>
          </cell>
          <cell r="AD1811" t="str">
            <v>(인)</v>
          </cell>
          <cell r="AE1811">
            <v>186</v>
          </cell>
          <cell r="AF1811" t="str">
            <v>동절기</v>
          </cell>
          <cell r="AG1811">
            <v>2</v>
          </cell>
          <cell r="AH1811">
            <v>0</v>
          </cell>
        </row>
        <row r="1812">
          <cell r="G1812">
            <v>2502130103</v>
          </cell>
          <cell r="H1812" t="str">
            <v>114동</v>
          </cell>
          <cell r="I1812">
            <v>250213</v>
          </cell>
          <cell r="J1812" t="str">
            <v>114동 13층 바닥</v>
          </cell>
          <cell r="K1812">
            <v>288</v>
          </cell>
          <cell r="L1812">
            <v>288</v>
          </cell>
          <cell r="M1812">
            <v>3018</v>
          </cell>
          <cell r="N1812" t="str">
            <v>대원</v>
          </cell>
          <cell r="O1812" t="str">
            <v>펌프카(1대)</v>
          </cell>
          <cell r="P1812">
            <v>1300</v>
          </cell>
          <cell r="Q1812">
            <v>1729</v>
          </cell>
          <cell r="R1812">
            <v>200</v>
          </cell>
          <cell r="S1812">
            <v>43</v>
          </cell>
          <cell r="T1812">
            <v>61</v>
          </cell>
          <cell r="U1812">
            <v>151</v>
          </cell>
          <cell r="V1812"/>
          <cell r="W1812" t="str">
            <v>박순홍</v>
          </cell>
          <cell r="X1812" t="str">
            <v>(인)</v>
          </cell>
          <cell r="Y1812" t="str">
            <v>박순홍</v>
          </cell>
          <cell r="Z1812" t="str">
            <v>(인)</v>
          </cell>
          <cell r="AA1812" t="str">
            <v>박상갑</v>
          </cell>
          <cell r="AB1812" t="str">
            <v>(인)</v>
          </cell>
          <cell r="AC1812" t="str">
            <v>이홍걸</v>
          </cell>
          <cell r="AD1812" t="str">
            <v>(인)</v>
          </cell>
          <cell r="AE1812">
            <v>183.4</v>
          </cell>
          <cell r="AF1812" t="str">
            <v>동절기</v>
          </cell>
          <cell r="AG1812">
            <v>3</v>
          </cell>
          <cell r="AH1812">
            <v>0</v>
          </cell>
        </row>
        <row r="1813">
          <cell r="G1813">
            <v>2502130201</v>
          </cell>
          <cell r="H1813" t="str">
            <v>120동</v>
          </cell>
          <cell r="I1813">
            <v>250213</v>
          </cell>
          <cell r="J1813" t="str">
            <v>120동 6층 바닥</v>
          </cell>
          <cell r="K1813">
            <v>294</v>
          </cell>
          <cell r="L1813">
            <v>294</v>
          </cell>
          <cell r="M1813">
            <v>3018</v>
          </cell>
          <cell r="N1813" t="str">
            <v>동양</v>
          </cell>
          <cell r="O1813" t="str">
            <v>펌프카(1대)</v>
          </cell>
          <cell r="P1813">
            <v>820</v>
          </cell>
          <cell r="Q1813">
            <v>1255</v>
          </cell>
          <cell r="R1813">
            <v>190</v>
          </cell>
          <cell r="S1813">
            <v>43</v>
          </cell>
          <cell r="T1813">
            <v>41</v>
          </cell>
          <cell r="U1813">
            <v>154</v>
          </cell>
          <cell r="V1813"/>
          <cell r="W1813" t="str">
            <v>박순홍</v>
          </cell>
          <cell r="X1813" t="str">
            <v>(인)</v>
          </cell>
          <cell r="Y1813" t="str">
            <v>박순홍</v>
          </cell>
          <cell r="Z1813" t="str">
            <v>(인)</v>
          </cell>
          <cell r="AA1813" t="str">
            <v>박상갑</v>
          </cell>
          <cell r="AB1813" t="str">
            <v>(인)</v>
          </cell>
          <cell r="AC1813" t="str">
            <v>이홍걸</v>
          </cell>
          <cell r="AD1813" t="str">
            <v>(인)</v>
          </cell>
          <cell r="AE1813">
            <v>183.7</v>
          </cell>
          <cell r="AF1813" t="str">
            <v>동절기</v>
          </cell>
          <cell r="AG1813">
            <v>1</v>
          </cell>
          <cell r="AH1813">
            <v>1</v>
          </cell>
          <cell r="AI1813">
            <v>2762</v>
          </cell>
          <cell r="AJ1813">
            <v>2717</v>
          </cell>
          <cell r="AK1813">
            <v>223000</v>
          </cell>
          <cell r="AL1813">
            <v>3930</v>
          </cell>
          <cell r="AM1813">
            <v>4016</v>
          </cell>
          <cell r="AN1813">
            <v>4027</v>
          </cell>
          <cell r="AO1813">
            <v>3927</v>
          </cell>
          <cell r="AP1813">
            <v>3867</v>
          </cell>
          <cell r="AQ1813">
            <v>3872</v>
          </cell>
          <cell r="AR1813">
            <v>3902</v>
          </cell>
          <cell r="AS1813">
            <v>3972</v>
          </cell>
          <cell r="AT1813">
            <v>300600</v>
          </cell>
        </row>
        <row r="1814">
          <cell r="G1814">
            <v>2502130202</v>
          </cell>
          <cell r="H1814" t="str">
            <v>120동</v>
          </cell>
          <cell r="I1814">
            <v>250213</v>
          </cell>
          <cell r="J1814" t="str">
            <v>120동 6층 바닥</v>
          </cell>
          <cell r="K1814">
            <v>294</v>
          </cell>
          <cell r="L1814">
            <v>294</v>
          </cell>
          <cell r="M1814">
            <v>3018</v>
          </cell>
          <cell r="N1814" t="str">
            <v>동양</v>
          </cell>
          <cell r="O1814" t="str">
            <v>펌프카(1대)</v>
          </cell>
          <cell r="P1814">
            <v>820</v>
          </cell>
          <cell r="Q1814">
            <v>1255</v>
          </cell>
          <cell r="R1814">
            <v>170</v>
          </cell>
          <cell r="S1814">
            <v>49</v>
          </cell>
          <cell r="T1814">
            <v>14</v>
          </cell>
          <cell r="U1814">
            <v>132</v>
          </cell>
          <cell r="V1814"/>
          <cell r="W1814" t="str">
            <v>박순홍</v>
          </cell>
          <cell r="X1814" t="str">
            <v>(인)</v>
          </cell>
          <cell r="Y1814" t="str">
            <v>박순홍</v>
          </cell>
          <cell r="Z1814" t="str">
            <v>(인)</v>
          </cell>
          <cell r="AA1814" t="str">
            <v>박상갑</v>
          </cell>
          <cell r="AB1814" t="str">
            <v>(인)</v>
          </cell>
          <cell r="AC1814" t="str">
            <v>이홍걸</v>
          </cell>
          <cell r="AD1814" t="str">
            <v>(인)</v>
          </cell>
          <cell r="AE1814">
            <v>181.9</v>
          </cell>
          <cell r="AF1814" t="str">
            <v>동절기</v>
          </cell>
          <cell r="AG1814">
            <v>2</v>
          </cell>
          <cell r="AH1814">
            <v>0</v>
          </cell>
        </row>
        <row r="1815">
          <cell r="G1815">
            <v>2502130203</v>
          </cell>
          <cell r="H1815" t="str">
            <v>120동</v>
          </cell>
          <cell r="I1815">
            <v>250213</v>
          </cell>
          <cell r="J1815" t="str">
            <v>120동 6층 바닥</v>
          </cell>
          <cell r="K1815">
            <v>294</v>
          </cell>
          <cell r="L1815">
            <v>294</v>
          </cell>
          <cell r="M1815">
            <v>3018</v>
          </cell>
          <cell r="N1815" t="str">
            <v>동양</v>
          </cell>
          <cell r="O1815" t="str">
            <v>펌프카(1대)</v>
          </cell>
          <cell r="P1815">
            <v>820</v>
          </cell>
          <cell r="Q1815">
            <v>1255</v>
          </cell>
          <cell r="R1815">
            <v>185</v>
          </cell>
          <cell r="S1815">
            <v>51</v>
          </cell>
          <cell r="T1815">
            <v>16</v>
          </cell>
          <cell r="U1815">
            <v>140</v>
          </cell>
          <cell r="V1815"/>
          <cell r="W1815" t="str">
            <v>박순홍</v>
          </cell>
          <cell r="X1815" t="str">
            <v>(인)</v>
          </cell>
          <cell r="Y1815" t="str">
            <v>박순홍</v>
          </cell>
          <cell r="Z1815" t="str">
            <v>(인)</v>
          </cell>
          <cell r="AA1815" t="str">
            <v>박상갑</v>
          </cell>
          <cell r="AB1815" t="str">
            <v>(인)</v>
          </cell>
          <cell r="AC1815" t="str">
            <v>이홍걸</v>
          </cell>
          <cell r="AD1815" t="str">
            <v>(인)</v>
          </cell>
          <cell r="AE1815">
            <v>182.9</v>
          </cell>
          <cell r="AF1815" t="str">
            <v>동절기</v>
          </cell>
          <cell r="AG1815">
            <v>3</v>
          </cell>
          <cell r="AH1815">
            <v>0</v>
          </cell>
        </row>
        <row r="1816">
          <cell r="G1816">
            <v>2502130301</v>
          </cell>
          <cell r="H1816" t="str">
            <v>103,104,105동</v>
          </cell>
          <cell r="I1816">
            <v>250213</v>
          </cell>
          <cell r="J1816" t="str">
            <v>103, 104, 105동 주출입구</v>
          </cell>
          <cell r="K1816">
            <v>66</v>
          </cell>
          <cell r="L1816">
            <v>66</v>
          </cell>
          <cell r="M1816">
            <v>3018</v>
          </cell>
          <cell r="N1816" t="str">
            <v>영진</v>
          </cell>
          <cell r="O1816" t="str">
            <v>펌프카(1대)</v>
          </cell>
          <cell r="P1816">
            <v>928</v>
          </cell>
          <cell r="Q1816">
            <v>1405</v>
          </cell>
          <cell r="R1816">
            <v>180</v>
          </cell>
          <cell r="S1816">
            <v>50</v>
          </cell>
          <cell r="T1816">
            <v>28</v>
          </cell>
          <cell r="U1816">
            <v>142</v>
          </cell>
          <cell r="V1816"/>
          <cell r="W1816" t="str">
            <v>박순홍</v>
          </cell>
          <cell r="X1816" t="str">
            <v>(인)</v>
          </cell>
          <cell r="Y1816" t="str">
            <v>박순홍</v>
          </cell>
          <cell r="Z1816" t="str">
            <v>(인)</v>
          </cell>
          <cell r="AA1816" t="str">
            <v>박상갑</v>
          </cell>
          <cell r="AB1816" t="str">
            <v>(인)</v>
          </cell>
          <cell r="AC1816" t="str">
            <v>이홍걸</v>
          </cell>
          <cell r="AD1816" t="str">
            <v>(인)</v>
          </cell>
          <cell r="AE1816">
            <v>183.1</v>
          </cell>
          <cell r="AF1816" t="str">
            <v>동절기</v>
          </cell>
          <cell r="AG1816">
            <v>1</v>
          </cell>
          <cell r="AH1816">
            <v>1</v>
          </cell>
          <cell r="AI1816">
            <v>2671</v>
          </cell>
          <cell r="AJ1816">
            <v>2663</v>
          </cell>
          <cell r="AK1816">
            <v>221200</v>
          </cell>
          <cell r="AL1816">
            <v>3672</v>
          </cell>
          <cell r="AM1816">
            <v>3592</v>
          </cell>
          <cell r="AN1816">
            <v>3573</v>
          </cell>
          <cell r="AO1816">
            <v>3584</v>
          </cell>
          <cell r="AP1816">
            <v>3577</v>
          </cell>
          <cell r="AQ1816">
            <v>3607</v>
          </cell>
          <cell r="AR1816">
            <v>3630</v>
          </cell>
          <cell r="AS1816">
            <v>3572</v>
          </cell>
          <cell r="AT1816">
            <v>281200</v>
          </cell>
        </row>
        <row r="1817">
          <cell r="G1817">
            <v>2502130401</v>
          </cell>
          <cell r="H1817" t="str">
            <v>주차장</v>
          </cell>
          <cell r="I1817">
            <v>250213</v>
          </cell>
          <cell r="J1817" t="str">
            <v>N-2구간 높은바닥</v>
          </cell>
          <cell r="K1817">
            <v>162</v>
          </cell>
          <cell r="L1817">
            <v>162</v>
          </cell>
          <cell r="M1817">
            <v>2715</v>
          </cell>
          <cell r="N1817" t="str">
            <v>동양</v>
          </cell>
          <cell r="O1817" t="str">
            <v>펌프카(1대)</v>
          </cell>
          <cell r="P1817">
            <v>1410</v>
          </cell>
          <cell r="Q1817">
            <v>1705</v>
          </cell>
          <cell r="R1817">
            <v>165</v>
          </cell>
          <cell r="S1817">
            <v>43</v>
          </cell>
          <cell r="T1817">
            <v>21</v>
          </cell>
          <cell r="U1817">
            <v>159</v>
          </cell>
          <cell r="V1817"/>
          <cell r="W1817" t="str">
            <v>박순홍</v>
          </cell>
          <cell r="X1817" t="str">
            <v>(인)</v>
          </cell>
          <cell r="Y1817" t="str">
            <v>박순홍</v>
          </cell>
          <cell r="Z1817" t="str">
            <v>(인)</v>
          </cell>
          <cell r="AA1817" t="str">
            <v>박상갑</v>
          </cell>
          <cell r="AB1817" t="str">
            <v>(인)</v>
          </cell>
          <cell r="AC1817" t="str">
            <v>이홍걸</v>
          </cell>
          <cell r="AD1817" t="str">
            <v>(인)</v>
          </cell>
          <cell r="AE1817">
            <v>183.5</v>
          </cell>
          <cell r="AF1817" t="str">
            <v>동절기</v>
          </cell>
          <cell r="AG1817">
            <v>1</v>
          </cell>
          <cell r="AH1817">
            <v>1</v>
          </cell>
          <cell r="AI1817">
            <v>2485</v>
          </cell>
          <cell r="AJ1817">
            <v>2377</v>
          </cell>
          <cell r="AK1817">
            <v>186000</v>
          </cell>
          <cell r="AL1817">
            <v>3276</v>
          </cell>
          <cell r="AM1817">
            <v>3290</v>
          </cell>
          <cell r="AN1817">
            <v>3172</v>
          </cell>
          <cell r="AO1817">
            <v>3188</v>
          </cell>
          <cell r="AP1817">
            <v>3206</v>
          </cell>
          <cell r="AQ1817">
            <v>3188</v>
          </cell>
          <cell r="AR1817">
            <v>3316</v>
          </cell>
          <cell r="AS1817">
            <v>3207</v>
          </cell>
          <cell r="AT1817">
            <v>250000</v>
          </cell>
        </row>
        <row r="1818">
          <cell r="G1818">
            <v>2502130402</v>
          </cell>
          <cell r="H1818" t="str">
            <v>주차장</v>
          </cell>
          <cell r="I1818">
            <v>250213</v>
          </cell>
          <cell r="J1818" t="str">
            <v>N-2구간 높은바닥</v>
          </cell>
          <cell r="K1818">
            <v>162</v>
          </cell>
          <cell r="L1818">
            <v>162</v>
          </cell>
          <cell r="M1818">
            <v>2715</v>
          </cell>
          <cell r="N1818" t="str">
            <v>동양</v>
          </cell>
          <cell r="O1818" t="str">
            <v>펌프카(1대)</v>
          </cell>
          <cell r="P1818">
            <v>1410</v>
          </cell>
          <cell r="Q1818">
            <v>1705</v>
          </cell>
          <cell r="R1818">
            <v>160</v>
          </cell>
          <cell r="S1818">
            <v>41</v>
          </cell>
          <cell r="T1818">
            <v>41</v>
          </cell>
          <cell r="U1818">
            <v>153</v>
          </cell>
          <cell r="V1818"/>
          <cell r="W1818" t="str">
            <v>박순홍</v>
          </cell>
          <cell r="X1818" t="str">
            <v>(인)</v>
          </cell>
          <cell r="Y1818" t="str">
            <v>박순홍</v>
          </cell>
          <cell r="Z1818" t="str">
            <v>(인)</v>
          </cell>
          <cell r="AA1818" t="str">
            <v>박상갑</v>
          </cell>
          <cell r="AB1818" t="str">
            <v>(인)</v>
          </cell>
          <cell r="AC1818" t="str">
            <v>이홍걸</v>
          </cell>
          <cell r="AD1818" t="str">
            <v>(인)</v>
          </cell>
          <cell r="AE1818">
            <v>184.5</v>
          </cell>
          <cell r="AF1818" t="str">
            <v>동절기</v>
          </cell>
          <cell r="AG1818">
            <v>2</v>
          </cell>
          <cell r="AH1818">
            <v>0</v>
          </cell>
        </row>
        <row r="1819">
          <cell r="G1819">
            <v>2502130501</v>
          </cell>
          <cell r="H1819" t="str">
            <v>누름</v>
          </cell>
          <cell r="I1819">
            <v>250213</v>
          </cell>
          <cell r="J1819" t="str">
            <v>2-1구간 누름</v>
          </cell>
          <cell r="K1819">
            <v>24</v>
          </cell>
          <cell r="L1819">
            <v>24</v>
          </cell>
          <cell r="M1819">
            <v>1815</v>
          </cell>
          <cell r="N1819" t="str">
            <v>대공</v>
          </cell>
          <cell r="O1819" t="str">
            <v>펌프카(1대)</v>
          </cell>
          <cell r="P1819">
            <v>1454</v>
          </cell>
          <cell r="Q1819">
            <v>1531</v>
          </cell>
          <cell r="R1819">
            <v>150</v>
          </cell>
          <cell r="S1819">
            <v>52</v>
          </cell>
          <cell r="T1819">
            <v>103</v>
          </cell>
          <cell r="U1819">
            <v>158</v>
          </cell>
          <cell r="V1819"/>
          <cell r="W1819" t="str">
            <v>박순홍</v>
          </cell>
          <cell r="X1819" t="str">
            <v>(인)</v>
          </cell>
          <cell r="Y1819" t="str">
            <v>박순홍</v>
          </cell>
          <cell r="Z1819" t="str">
            <v>(인)</v>
          </cell>
          <cell r="AA1819" t="str">
            <v>박상갑</v>
          </cell>
          <cell r="AB1819" t="str">
            <v>(인)</v>
          </cell>
          <cell r="AC1819" t="str">
            <v>이홍걸</v>
          </cell>
          <cell r="AD1819" t="str">
            <v>(인)</v>
          </cell>
          <cell r="AE1819">
            <v>177.6</v>
          </cell>
          <cell r="AF1819" t="str">
            <v>동절기</v>
          </cell>
          <cell r="AG1819">
            <v>1</v>
          </cell>
          <cell r="AH1819">
            <v>1</v>
          </cell>
          <cell r="AI1819">
            <v>1619</v>
          </cell>
          <cell r="AJ1819">
            <v>1578</v>
          </cell>
          <cell r="AK1819">
            <v>124800</v>
          </cell>
          <cell r="AL1819">
            <v>2316</v>
          </cell>
          <cell r="AM1819">
            <v>2302</v>
          </cell>
          <cell r="AN1819">
            <v>2276</v>
          </cell>
          <cell r="AO1819">
            <v>2306</v>
          </cell>
          <cell r="AP1819">
            <v>2317</v>
          </cell>
          <cell r="AQ1819">
            <v>2307</v>
          </cell>
          <cell r="AR1819">
            <v>2319</v>
          </cell>
          <cell r="AS1819">
            <v>2416</v>
          </cell>
          <cell r="AT1819">
            <v>186400</v>
          </cell>
        </row>
        <row r="1820">
          <cell r="G1820">
            <v>2502140101</v>
          </cell>
          <cell r="H1820" t="str">
            <v>118동</v>
          </cell>
          <cell r="I1820">
            <v>250214</v>
          </cell>
          <cell r="J1820" t="str">
            <v>118동 7층 바닥</v>
          </cell>
          <cell r="K1820">
            <v>288</v>
          </cell>
          <cell r="L1820">
            <v>288</v>
          </cell>
          <cell r="M1820">
            <v>3018</v>
          </cell>
          <cell r="N1820" t="str">
            <v>한진</v>
          </cell>
          <cell r="O1820" t="str">
            <v>펌프카(1대)</v>
          </cell>
          <cell r="P1820">
            <v>754</v>
          </cell>
          <cell r="Q1820">
            <v>1239</v>
          </cell>
          <cell r="R1820">
            <v>185</v>
          </cell>
          <cell r="S1820">
            <v>45</v>
          </cell>
          <cell r="T1820">
            <v>11</v>
          </cell>
          <cell r="U1820">
            <v>146</v>
          </cell>
          <cell r="V1820"/>
          <cell r="W1820" t="str">
            <v>김광록</v>
          </cell>
          <cell r="X1820" t="str">
            <v>(인)</v>
          </cell>
          <cell r="Y1820" t="str">
            <v>박순홍</v>
          </cell>
          <cell r="Z1820" t="str">
            <v>(인)</v>
          </cell>
          <cell r="AA1820" t="str">
            <v>박상갑</v>
          </cell>
          <cell r="AB1820" t="str">
            <v>(인)</v>
          </cell>
          <cell r="AC1820" t="str">
            <v>이홍걸</v>
          </cell>
          <cell r="AD1820" t="str">
            <v>(인)</v>
          </cell>
          <cell r="AE1820">
            <v>185.3</v>
          </cell>
          <cell r="AF1820" t="str">
            <v>동절기</v>
          </cell>
          <cell r="AG1820">
            <v>1</v>
          </cell>
          <cell r="AH1820">
            <v>1</v>
          </cell>
          <cell r="AI1820">
            <v>2643</v>
          </cell>
          <cell r="AJ1820">
            <v>2688</v>
          </cell>
          <cell r="AK1820">
            <v>216000</v>
          </cell>
          <cell r="AL1820">
            <v>3720</v>
          </cell>
          <cell r="AM1820">
            <v>3890</v>
          </cell>
          <cell r="AN1820">
            <v>3887</v>
          </cell>
          <cell r="AO1820">
            <v>3890</v>
          </cell>
          <cell r="AP1820">
            <v>3902</v>
          </cell>
          <cell r="AQ1820">
            <v>3870</v>
          </cell>
          <cell r="AR1820">
            <v>3878</v>
          </cell>
          <cell r="AS1820">
            <v>3890</v>
          </cell>
          <cell r="AT1820">
            <v>305400</v>
          </cell>
        </row>
        <row r="1821">
          <cell r="G1821">
            <v>2502140102</v>
          </cell>
          <cell r="H1821" t="str">
            <v>118동</v>
          </cell>
          <cell r="I1821">
            <v>250214</v>
          </cell>
          <cell r="J1821" t="str">
            <v>118동 7층 바닥</v>
          </cell>
          <cell r="K1821">
            <v>288</v>
          </cell>
          <cell r="L1821">
            <v>288</v>
          </cell>
          <cell r="M1821">
            <v>3018</v>
          </cell>
          <cell r="N1821" t="str">
            <v>한진</v>
          </cell>
          <cell r="O1821" t="str">
            <v>펌프카(1대)</v>
          </cell>
          <cell r="P1821">
            <v>754</v>
          </cell>
          <cell r="Q1821">
            <v>1239</v>
          </cell>
          <cell r="R1821">
            <v>185</v>
          </cell>
          <cell r="S1821">
            <v>40</v>
          </cell>
          <cell r="T1821">
            <v>8</v>
          </cell>
          <cell r="U1821">
            <v>149</v>
          </cell>
          <cell r="V1821"/>
          <cell r="W1821" t="str">
            <v>김광록</v>
          </cell>
          <cell r="X1821" t="str">
            <v>(인)</v>
          </cell>
          <cell r="Y1821" t="str">
            <v>박순홍</v>
          </cell>
          <cell r="Z1821" t="str">
            <v>(인)</v>
          </cell>
          <cell r="AA1821" t="str">
            <v>박상갑</v>
          </cell>
          <cell r="AB1821" t="str">
            <v>(인)</v>
          </cell>
          <cell r="AC1821" t="str">
            <v>이홍걸</v>
          </cell>
          <cell r="AD1821" t="str">
            <v>(인)</v>
          </cell>
          <cell r="AE1821">
            <v>184.5</v>
          </cell>
          <cell r="AF1821" t="str">
            <v>동절기</v>
          </cell>
          <cell r="AG1821">
            <v>2</v>
          </cell>
          <cell r="AH1821">
            <v>0</v>
          </cell>
        </row>
        <row r="1822">
          <cell r="G1822">
            <v>2502140103</v>
          </cell>
          <cell r="H1822" t="str">
            <v>118동</v>
          </cell>
          <cell r="I1822">
            <v>250214</v>
          </cell>
          <cell r="J1822" t="str">
            <v>118동 7층 바닥</v>
          </cell>
          <cell r="K1822">
            <v>288</v>
          </cell>
          <cell r="L1822">
            <v>288</v>
          </cell>
          <cell r="M1822">
            <v>3018</v>
          </cell>
          <cell r="N1822" t="str">
            <v>한진</v>
          </cell>
          <cell r="O1822" t="str">
            <v>펌프카(1대)</v>
          </cell>
          <cell r="P1822">
            <v>754</v>
          </cell>
          <cell r="Q1822">
            <v>1239</v>
          </cell>
          <cell r="R1822">
            <v>190</v>
          </cell>
          <cell r="S1822">
            <v>47</v>
          </cell>
          <cell r="T1822">
            <v>42</v>
          </cell>
          <cell r="U1822">
            <v>154</v>
          </cell>
          <cell r="V1822"/>
          <cell r="W1822" t="str">
            <v>김광록</v>
          </cell>
          <cell r="X1822" t="str">
            <v>(인)</v>
          </cell>
          <cell r="Y1822" t="str">
            <v>박순홍</v>
          </cell>
          <cell r="Z1822" t="str">
            <v>(인)</v>
          </cell>
          <cell r="AA1822" t="str">
            <v>박상갑</v>
          </cell>
          <cell r="AB1822" t="str">
            <v>(인)</v>
          </cell>
          <cell r="AC1822" t="str">
            <v>이홍걸</v>
          </cell>
          <cell r="AD1822" t="str">
            <v>(인)</v>
          </cell>
          <cell r="AE1822">
            <v>181.2</v>
          </cell>
          <cell r="AF1822" t="str">
            <v>동절기</v>
          </cell>
          <cell r="AG1822">
            <v>3</v>
          </cell>
          <cell r="AH1822">
            <v>0</v>
          </cell>
        </row>
        <row r="1823">
          <cell r="G1823">
            <v>2502140201</v>
          </cell>
          <cell r="H1823" t="str">
            <v>113동</v>
          </cell>
          <cell r="I1823">
            <v>250214</v>
          </cell>
          <cell r="J1823" t="str">
            <v>113동 옥상층</v>
          </cell>
          <cell r="K1823">
            <v>402</v>
          </cell>
          <cell r="L1823">
            <v>402</v>
          </cell>
          <cell r="M1823">
            <v>3018</v>
          </cell>
          <cell r="N1823" t="str">
            <v>대공</v>
          </cell>
          <cell r="O1823" t="str">
            <v>펌프카(1대)</v>
          </cell>
          <cell r="P1823">
            <v>833</v>
          </cell>
          <cell r="Q1823">
            <v>1601</v>
          </cell>
          <cell r="R1823">
            <v>200</v>
          </cell>
          <cell r="S1823">
            <v>50</v>
          </cell>
          <cell r="T1823">
            <v>30</v>
          </cell>
          <cell r="U1823">
            <v>161</v>
          </cell>
          <cell r="V1823"/>
          <cell r="W1823" t="str">
            <v>김광록</v>
          </cell>
          <cell r="X1823" t="str">
            <v>(인)</v>
          </cell>
          <cell r="Y1823" t="str">
            <v>박순홍</v>
          </cell>
          <cell r="Z1823" t="str">
            <v>(인)</v>
          </cell>
          <cell r="AA1823" t="str">
            <v>박상갑</v>
          </cell>
          <cell r="AB1823" t="str">
            <v>(인)</v>
          </cell>
          <cell r="AC1823" t="str">
            <v>이홍걸</v>
          </cell>
          <cell r="AD1823" t="str">
            <v>(인)</v>
          </cell>
          <cell r="AE1823">
            <v>174.8</v>
          </cell>
          <cell r="AF1823" t="str">
            <v>동절기</v>
          </cell>
          <cell r="AG1823">
            <v>1</v>
          </cell>
          <cell r="AH1823">
            <v>1</v>
          </cell>
          <cell r="AI1823">
            <v>2872</v>
          </cell>
          <cell r="AJ1823">
            <v>2730</v>
          </cell>
          <cell r="AK1823">
            <v>211800</v>
          </cell>
          <cell r="AL1823">
            <v>3796</v>
          </cell>
          <cell r="AM1823">
            <v>3902</v>
          </cell>
          <cell r="AN1823">
            <v>3876</v>
          </cell>
          <cell r="AO1823">
            <v>3870</v>
          </cell>
          <cell r="AP1823">
            <v>3906</v>
          </cell>
          <cell r="AQ1823">
            <v>4016</v>
          </cell>
          <cell r="AR1823">
            <v>4088</v>
          </cell>
          <cell r="AS1823">
            <v>4072</v>
          </cell>
          <cell r="AT1823">
            <v>299200</v>
          </cell>
        </row>
        <row r="1824">
          <cell r="G1824">
            <v>2502140202</v>
          </cell>
          <cell r="H1824" t="str">
            <v>113동</v>
          </cell>
          <cell r="I1824">
            <v>250214</v>
          </cell>
          <cell r="J1824" t="str">
            <v>113동 옥상층</v>
          </cell>
          <cell r="K1824">
            <v>402</v>
          </cell>
          <cell r="L1824">
            <v>402</v>
          </cell>
          <cell r="M1824">
            <v>3018</v>
          </cell>
          <cell r="N1824" t="str">
            <v>대공</v>
          </cell>
          <cell r="O1824" t="str">
            <v>펌프카(1대)</v>
          </cell>
          <cell r="P1824">
            <v>833</v>
          </cell>
          <cell r="Q1824">
            <v>1601</v>
          </cell>
          <cell r="R1824">
            <v>195</v>
          </cell>
          <cell r="S1824">
            <v>45</v>
          </cell>
          <cell r="T1824">
            <v>36</v>
          </cell>
          <cell r="U1824">
            <v>159</v>
          </cell>
          <cell r="V1824"/>
          <cell r="W1824" t="str">
            <v>김광록</v>
          </cell>
          <cell r="X1824" t="str">
            <v>(인)</v>
          </cell>
          <cell r="Y1824" t="str">
            <v>박순홍</v>
          </cell>
          <cell r="Z1824" t="str">
            <v>(인)</v>
          </cell>
          <cell r="AA1824" t="str">
            <v>박상갑</v>
          </cell>
          <cell r="AB1824" t="str">
            <v>(인)</v>
          </cell>
          <cell r="AC1824" t="str">
            <v>이홍걸</v>
          </cell>
          <cell r="AD1824" t="str">
            <v>(인)</v>
          </cell>
          <cell r="AE1824">
            <v>172.6</v>
          </cell>
          <cell r="AF1824" t="str">
            <v>동절기</v>
          </cell>
          <cell r="AG1824">
            <v>2</v>
          </cell>
          <cell r="AH1824">
            <v>0</v>
          </cell>
        </row>
        <row r="1825">
          <cell r="G1825">
            <v>2502140203</v>
          </cell>
          <cell r="H1825" t="str">
            <v>113동</v>
          </cell>
          <cell r="I1825">
            <v>250214</v>
          </cell>
          <cell r="J1825" t="str">
            <v>113동 옥상층</v>
          </cell>
          <cell r="K1825">
            <v>402</v>
          </cell>
          <cell r="L1825">
            <v>402</v>
          </cell>
          <cell r="M1825">
            <v>3018</v>
          </cell>
          <cell r="N1825" t="str">
            <v>대공</v>
          </cell>
          <cell r="O1825" t="str">
            <v>펌프카(1대)</v>
          </cell>
          <cell r="P1825">
            <v>833</v>
          </cell>
          <cell r="Q1825">
            <v>1601</v>
          </cell>
          <cell r="R1825">
            <v>190</v>
          </cell>
          <cell r="S1825">
            <v>41</v>
          </cell>
          <cell r="T1825">
            <v>44</v>
          </cell>
          <cell r="U1825">
            <v>158</v>
          </cell>
          <cell r="V1825"/>
          <cell r="W1825" t="str">
            <v>김광록</v>
          </cell>
          <cell r="X1825" t="str">
            <v>(인)</v>
          </cell>
          <cell r="Y1825" t="str">
            <v>박순홍</v>
          </cell>
          <cell r="Z1825" t="str">
            <v>(인)</v>
          </cell>
          <cell r="AA1825" t="str">
            <v>박상갑</v>
          </cell>
          <cell r="AB1825" t="str">
            <v>(인)</v>
          </cell>
          <cell r="AC1825" t="str">
            <v>이홍걸</v>
          </cell>
          <cell r="AD1825" t="str">
            <v>(인)</v>
          </cell>
          <cell r="AE1825">
            <v>174.2</v>
          </cell>
          <cell r="AF1825" t="str">
            <v>동절기</v>
          </cell>
          <cell r="AG1825">
            <v>3</v>
          </cell>
          <cell r="AH1825">
            <v>0</v>
          </cell>
        </row>
        <row r="1826">
          <cell r="G1826">
            <v>2502140204</v>
          </cell>
          <cell r="H1826" t="str">
            <v>113동</v>
          </cell>
          <cell r="I1826">
            <v>250214</v>
          </cell>
          <cell r="J1826" t="str">
            <v>113동 옥상층</v>
          </cell>
          <cell r="K1826">
            <v>402</v>
          </cell>
          <cell r="L1826">
            <v>402</v>
          </cell>
          <cell r="M1826">
            <v>3018</v>
          </cell>
          <cell r="N1826" t="str">
            <v>대공</v>
          </cell>
          <cell r="O1826" t="str">
            <v>펌프카(1대)</v>
          </cell>
          <cell r="P1826">
            <v>833</v>
          </cell>
          <cell r="Q1826">
            <v>1601</v>
          </cell>
          <cell r="R1826">
            <v>195</v>
          </cell>
          <cell r="S1826">
            <v>48</v>
          </cell>
          <cell r="T1826">
            <v>93</v>
          </cell>
          <cell r="U1826">
            <v>165</v>
          </cell>
          <cell r="V1826"/>
          <cell r="W1826" t="str">
            <v>김광록</v>
          </cell>
          <cell r="X1826" t="str">
            <v>(인)</v>
          </cell>
          <cell r="Y1826" t="str">
            <v>박순홍</v>
          </cell>
          <cell r="Z1826" t="str">
            <v>(인)</v>
          </cell>
          <cell r="AA1826" t="str">
            <v>박상갑</v>
          </cell>
          <cell r="AB1826" t="str">
            <v>(인)</v>
          </cell>
          <cell r="AC1826" t="str">
            <v>이홍걸</v>
          </cell>
          <cell r="AD1826" t="str">
            <v>(인)</v>
          </cell>
          <cell r="AE1826">
            <v>178.3</v>
          </cell>
          <cell r="AF1826" t="str">
            <v>동절기</v>
          </cell>
          <cell r="AG1826">
            <v>4</v>
          </cell>
          <cell r="AH1826">
            <v>1</v>
          </cell>
          <cell r="AL1826">
            <v>3720</v>
          </cell>
          <cell r="AM1826">
            <v>3673</v>
          </cell>
          <cell r="AN1826">
            <v>3688</v>
          </cell>
          <cell r="AO1826">
            <v>3694</v>
          </cell>
          <cell r="AP1826">
            <v>3688</v>
          </cell>
          <cell r="AQ1826">
            <v>3704</v>
          </cell>
          <cell r="AR1826">
            <v>3608</v>
          </cell>
          <cell r="AS1826">
            <v>3810</v>
          </cell>
          <cell r="AT1826">
            <v>295600</v>
          </cell>
        </row>
        <row r="1827">
          <cell r="G1827">
            <v>2502140301</v>
          </cell>
          <cell r="H1827" t="str">
            <v>108동</v>
          </cell>
          <cell r="I1827">
            <v>250214</v>
          </cell>
          <cell r="J1827" t="str">
            <v>108동 12층 바닥</v>
          </cell>
          <cell r="K1827">
            <v>288</v>
          </cell>
          <cell r="L1827">
            <v>288</v>
          </cell>
          <cell r="M1827">
            <v>3018</v>
          </cell>
          <cell r="N1827" t="str">
            <v>대원</v>
          </cell>
          <cell r="O1827" t="str">
            <v>펌프카(1대)</v>
          </cell>
          <cell r="P1827">
            <v>1329</v>
          </cell>
          <cell r="Q1827">
            <v>1716</v>
          </cell>
          <cell r="R1827">
            <v>205</v>
          </cell>
          <cell r="S1827">
            <v>42</v>
          </cell>
          <cell r="T1827">
            <v>29</v>
          </cell>
          <cell r="U1827">
            <v>167</v>
          </cell>
          <cell r="V1827"/>
          <cell r="W1827" t="str">
            <v>김광록</v>
          </cell>
          <cell r="X1827" t="str">
            <v>(인)</v>
          </cell>
          <cell r="Y1827" t="str">
            <v>박순홍</v>
          </cell>
          <cell r="Z1827" t="str">
            <v>(인)</v>
          </cell>
          <cell r="AA1827" t="str">
            <v>박상갑</v>
          </cell>
          <cell r="AB1827" t="str">
            <v>(인)</v>
          </cell>
          <cell r="AC1827" t="str">
            <v>이홍걸</v>
          </cell>
          <cell r="AD1827" t="str">
            <v>(인)</v>
          </cell>
          <cell r="AE1827">
            <v>173.8</v>
          </cell>
          <cell r="AF1827" t="str">
            <v>동절기</v>
          </cell>
          <cell r="AG1827">
            <v>1</v>
          </cell>
          <cell r="AH1827">
            <v>1</v>
          </cell>
          <cell r="AI1827">
            <v>2783</v>
          </cell>
          <cell r="AJ1827">
            <v>2860</v>
          </cell>
          <cell r="AK1827">
            <v>222400</v>
          </cell>
          <cell r="AL1827">
            <v>3713</v>
          </cell>
          <cell r="AM1827">
            <v>3716</v>
          </cell>
          <cell r="AN1827">
            <v>3730</v>
          </cell>
          <cell r="AO1827">
            <v>3688</v>
          </cell>
          <cell r="AP1827">
            <v>3712</v>
          </cell>
          <cell r="AQ1827">
            <v>3690</v>
          </cell>
          <cell r="AR1827">
            <v>3714</v>
          </cell>
          <cell r="AS1827">
            <v>3688</v>
          </cell>
          <cell r="AT1827">
            <v>290400</v>
          </cell>
        </row>
        <row r="1828">
          <cell r="G1828">
            <v>2502140302</v>
          </cell>
          <cell r="H1828" t="str">
            <v>108동</v>
          </cell>
          <cell r="I1828">
            <v>250214</v>
          </cell>
          <cell r="J1828" t="str">
            <v>108동 12층 바닥</v>
          </cell>
          <cell r="K1828">
            <v>288</v>
          </cell>
          <cell r="L1828">
            <v>288</v>
          </cell>
          <cell r="M1828">
            <v>3018</v>
          </cell>
          <cell r="N1828" t="str">
            <v>대원</v>
          </cell>
          <cell r="O1828" t="str">
            <v>펌프카(1대)</v>
          </cell>
          <cell r="P1828">
            <v>1329</v>
          </cell>
          <cell r="Q1828">
            <v>1716</v>
          </cell>
          <cell r="R1828">
            <v>200</v>
          </cell>
          <cell r="S1828">
            <v>51</v>
          </cell>
          <cell r="T1828">
            <v>12</v>
          </cell>
          <cell r="U1828">
            <v>166</v>
          </cell>
          <cell r="V1828"/>
          <cell r="W1828" t="str">
            <v>김광록</v>
          </cell>
          <cell r="X1828" t="str">
            <v>(인)</v>
          </cell>
          <cell r="Y1828" t="str">
            <v>박순홍</v>
          </cell>
          <cell r="Z1828" t="str">
            <v>(인)</v>
          </cell>
          <cell r="AA1828" t="str">
            <v>박상갑</v>
          </cell>
          <cell r="AB1828" t="str">
            <v>(인)</v>
          </cell>
          <cell r="AC1828" t="str">
            <v>이홍걸</v>
          </cell>
          <cell r="AD1828" t="str">
            <v>(인)</v>
          </cell>
          <cell r="AE1828">
            <v>177.5</v>
          </cell>
          <cell r="AF1828" t="str">
            <v>동절기</v>
          </cell>
          <cell r="AG1828">
            <v>2</v>
          </cell>
          <cell r="AH1828">
            <v>0</v>
          </cell>
        </row>
        <row r="1829">
          <cell r="G1829">
            <v>2502140303</v>
          </cell>
          <cell r="H1829" t="str">
            <v>108동</v>
          </cell>
          <cell r="I1829">
            <v>250214</v>
          </cell>
          <cell r="J1829" t="str">
            <v>108동 12층 바닥</v>
          </cell>
          <cell r="K1829">
            <v>288</v>
          </cell>
          <cell r="L1829">
            <v>288</v>
          </cell>
          <cell r="M1829">
            <v>3018</v>
          </cell>
          <cell r="N1829" t="str">
            <v>대원</v>
          </cell>
          <cell r="O1829" t="str">
            <v>펌프카(1대)</v>
          </cell>
          <cell r="P1829">
            <v>1329</v>
          </cell>
          <cell r="Q1829">
            <v>1716</v>
          </cell>
          <cell r="R1829">
            <v>190</v>
          </cell>
          <cell r="S1829">
            <v>52</v>
          </cell>
          <cell r="T1829">
            <v>64</v>
          </cell>
          <cell r="U1829">
            <v>161</v>
          </cell>
          <cell r="V1829"/>
          <cell r="W1829" t="str">
            <v>김광록</v>
          </cell>
          <cell r="X1829" t="str">
            <v>(인)</v>
          </cell>
          <cell r="Y1829" t="str">
            <v>박순홍</v>
          </cell>
          <cell r="Z1829" t="str">
            <v>(인)</v>
          </cell>
          <cell r="AA1829" t="str">
            <v>박상갑</v>
          </cell>
          <cell r="AB1829" t="str">
            <v>(인)</v>
          </cell>
          <cell r="AC1829" t="str">
            <v>이홍걸</v>
          </cell>
          <cell r="AD1829" t="str">
            <v>(인)</v>
          </cell>
          <cell r="AE1829">
            <v>174.3</v>
          </cell>
          <cell r="AF1829" t="str">
            <v>동절기</v>
          </cell>
          <cell r="AG1829">
            <v>3</v>
          </cell>
          <cell r="AH1829">
            <v>0</v>
          </cell>
        </row>
        <row r="1830">
          <cell r="G1830">
            <v>2502140401</v>
          </cell>
          <cell r="H1830" t="str">
            <v>주차장</v>
          </cell>
          <cell r="I1830">
            <v>250214</v>
          </cell>
          <cell r="J1830" t="str">
            <v>N-2구간, O구간 B2 주차장</v>
          </cell>
          <cell r="K1830">
            <v>348</v>
          </cell>
          <cell r="L1830">
            <v>348</v>
          </cell>
          <cell r="M1830">
            <v>2715</v>
          </cell>
          <cell r="N1830" t="str">
            <v>영진</v>
          </cell>
          <cell r="O1830" t="str">
            <v>펌프카(1대)</v>
          </cell>
          <cell r="P1830">
            <v>829</v>
          </cell>
          <cell r="Q1830">
            <v>1539</v>
          </cell>
          <cell r="R1830">
            <v>165</v>
          </cell>
          <cell r="S1830">
            <v>51</v>
          </cell>
          <cell r="T1830">
            <v>83</v>
          </cell>
          <cell r="U1830">
            <v>155</v>
          </cell>
          <cell r="V1830"/>
          <cell r="W1830" t="str">
            <v>김광록</v>
          </cell>
          <cell r="X1830" t="str">
            <v>(인)</v>
          </cell>
          <cell r="Y1830" t="str">
            <v>박순홍</v>
          </cell>
          <cell r="Z1830" t="str">
            <v>(인)</v>
          </cell>
          <cell r="AA1830" t="str">
            <v>박상갑</v>
          </cell>
          <cell r="AB1830" t="str">
            <v>(인)</v>
          </cell>
          <cell r="AC1830" t="str">
            <v>이홍걸</v>
          </cell>
          <cell r="AD1830" t="str">
            <v>(인)</v>
          </cell>
          <cell r="AE1830">
            <v>173</v>
          </cell>
          <cell r="AF1830" t="str">
            <v>동절기</v>
          </cell>
          <cell r="AG1830">
            <v>1</v>
          </cell>
          <cell r="AH1830">
            <v>1</v>
          </cell>
          <cell r="AI1830">
            <v>2442</v>
          </cell>
          <cell r="AJ1830">
            <v>2387</v>
          </cell>
          <cell r="AK1830">
            <v>201000</v>
          </cell>
          <cell r="AL1830">
            <v>3129</v>
          </cell>
          <cell r="AM1830">
            <v>3200</v>
          </cell>
          <cell r="AN1830">
            <v>3301</v>
          </cell>
          <cell r="AO1830">
            <v>3139</v>
          </cell>
          <cell r="AP1830">
            <v>3216</v>
          </cell>
          <cell r="AQ1830">
            <v>3207</v>
          </cell>
          <cell r="AR1830">
            <v>3201</v>
          </cell>
          <cell r="AS1830">
            <v>3300</v>
          </cell>
          <cell r="AT1830">
            <v>244800</v>
          </cell>
        </row>
        <row r="1831">
          <cell r="G1831">
            <v>2502140402</v>
          </cell>
          <cell r="H1831" t="str">
            <v>주차장</v>
          </cell>
          <cell r="I1831">
            <v>250214</v>
          </cell>
          <cell r="J1831" t="str">
            <v>N-2구간, O구간 B2 주차장</v>
          </cell>
          <cell r="K1831">
            <v>348</v>
          </cell>
          <cell r="L1831">
            <v>348</v>
          </cell>
          <cell r="M1831">
            <v>2715</v>
          </cell>
          <cell r="N1831" t="str">
            <v>영진</v>
          </cell>
          <cell r="O1831" t="str">
            <v>펌프카(1대)</v>
          </cell>
          <cell r="P1831">
            <v>829</v>
          </cell>
          <cell r="Q1831">
            <v>1539</v>
          </cell>
          <cell r="R1831">
            <v>160</v>
          </cell>
          <cell r="S1831">
            <v>38</v>
          </cell>
          <cell r="T1831">
            <v>61</v>
          </cell>
          <cell r="U1831">
            <v>161</v>
          </cell>
          <cell r="V1831"/>
          <cell r="W1831" t="str">
            <v>김광록</v>
          </cell>
          <cell r="X1831" t="str">
            <v>(인)</v>
          </cell>
          <cell r="Y1831" t="str">
            <v>박순홍</v>
          </cell>
          <cell r="Z1831" t="str">
            <v>(인)</v>
          </cell>
          <cell r="AA1831" t="str">
            <v>박상갑</v>
          </cell>
          <cell r="AB1831" t="str">
            <v>(인)</v>
          </cell>
          <cell r="AC1831" t="str">
            <v>이홍걸</v>
          </cell>
          <cell r="AD1831" t="str">
            <v>(인)</v>
          </cell>
          <cell r="AE1831">
            <v>173.7</v>
          </cell>
          <cell r="AF1831" t="str">
            <v>동절기</v>
          </cell>
          <cell r="AG1831">
            <v>2</v>
          </cell>
          <cell r="AH1831">
            <v>0</v>
          </cell>
        </row>
        <row r="1832">
          <cell r="G1832">
            <v>2502140403</v>
          </cell>
          <cell r="H1832" t="str">
            <v>주차장</v>
          </cell>
          <cell r="I1832">
            <v>250214</v>
          </cell>
          <cell r="J1832" t="str">
            <v>N-2구간, O구간 B2 주차장</v>
          </cell>
          <cell r="K1832">
            <v>348</v>
          </cell>
          <cell r="L1832">
            <v>348</v>
          </cell>
          <cell r="M1832">
            <v>2715</v>
          </cell>
          <cell r="N1832" t="str">
            <v>영진</v>
          </cell>
          <cell r="O1832" t="str">
            <v>펌프카(1대)</v>
          </cell>
          <cell r="P1832">
            <v>829</v>
          </cell>
          <cell r="Q1832">
            <v>1539</v>
          </cell>
          <cell r="R1832">
            <v>155</v>
          </cell>
          <cell r="S1832">
            <v>41</v>
          </cell>
          <cell r="T1832">
            <v>54</v>
          </cell>
          <cell r="U1832">
            <v>150</v>
          </cell>
          <cell r="V1832"/>
          <cell r="W1832" t="str">
            <v>김광록</v>
          </cell>
          <cell r="X1832" t="str">
            <v>(인)</v>
          </cell>
          <cell r="Y1832" t="str">
            <v>박순홍</v>
          </cell>
          <cell r="Z1832" t="str">
            <v>(인)</v>
          </cell>
          <cell r="AA1832" t="str">
            <v>박상갑</v>
          </cell>
          <cell r="AB1832" t="str">
            <v>(인)</v>
          </cell>
          <cell r="AC1832" t="str">
            <v>이홍걸</v>
          </cell>
          <cell r="AD1832" t="str">
            <v>(인)</v>
          </cell>
          <cell r="AE1832">
            <v>173.6</v>
          </cell>
          <cell r="AF1832" t="str">
            <v>동절기</v>
          </cell>
          <cell r="AG1832">
            <v>3</v>
          </cell>
          <cell r="AH1832">
            <v>0</v>
          </cell>
        </row>
        <row r="1833">
          <cell r="G1833">
            <v>2502170101</v>
          </cell>
          <cell r="H1833" t="str">
            <v>117동</v>
          </cell>
          <cell r="I1833">
            <v>250217</v>
          </cell>
          <cell r="J1833" t="str">
            <v>117동 9층 바닥</v>
          </cell>
          <cell r="K1833">
            <v>346</v>
          </cell>
          <cell r="L1833">
            <v>346</v>
          </cell>
          <cell r="M1833">
            <v>3018</v>
          </cell>
          <cell r="N1833" t="str">
            <v>영진</v>
          </cell>
          <cell r="O1833" t="str">
            <v>펌프카(1대)</v>
          </cell>
          <cell r="P1833">
            <v>847</v>
          </cell>
          <cell r="Q1833">
            <v>1350</v>
          </cell>
          <cell r="R1833">
            <v>180</v>
          </cell>
          <cell r="S1833">
            <v>41</v>
          </cell>
          <cell r="T1833">
            <v>81</v>
          </cell>
          <cell r="U1833">
            <v>172</v>
          </cell>
          <cell r="V1833"/>
          <cell r="W1833" t="str">
            <v>김광록</v>
          </cell>
          <cell r="X1833" t="str">
            <v>(인)</v>
          </cell>
          <cell r="Y1833" t="str">
            <v>김광록</v>
          </cell>
          <cell r="Z1833" t="str">
            <v>(인)</v>
          </cell>
          <cell r="AA1833" t="str">
            <v>이홍걸</v>
          </cell>
          <cell r="AB1833" t="str">
            <v>(인)</v>
          </cell>
          <cell r="AC1833" t="str">
            <v>박상갑</v>
          </cell>
          <cell r="AD1833" t="str">
            <v>(인)</v>
          </cell>
          <cell r="AE1833">
            <v>185.3</v>
          </cell>
          <cell r="AF1833" t="str">
            <v>동절기</v>
          </cell>
          <cell r="AG1833">
            <v>1</v>
          </cell>
          <cell r="AH1833">
            <v>1</v>
          </cell>
          <cell r="AI1833">
            <v>2730</v>
          </cell>
          <cell r="AJ1833">
            <v>2688</v>
          </cell>
          <cell r="AK1833">
            <v>213000</v>
          </cell>
          <cell r="AL1833">
            <v>3728</v>
          </cell>
          <cell r="AM1833">
            <v>3677</v>
          </cell>
          <cell r="AN1833">
            <v>3828</v>
          </cell>
          <cell r="AO1833">
            <v>3754</v>
          </cell>
          <cell r="AP1833">
            <v>3806</v>
          </cell>
          <cell r="AQ1833">
            <v>3681</v>
          </cell>
          <cell r="AR1833">
            <v>3642</v>
          </cell>
          <cell r="AS1833">
            <v>3711</v>
          </cell>
          <cell r="AT1833">
            <v>291800</v>
          </cell>
        </row>
        <row r="1834">
          <cell r="G1834">
            <v>2502170102</v>
          </cell>
          <cell r="H1834" t="str">
            <v>117동</v>
          </cell>
          <cell r="I1834">
            <v>250217</v>
          </cell>
          <cell r="J1834" t="str">
            <v>117동 9층 바닥</v>
          </cell>
          <cell r="K1834">
            <v>346</v>
          </cell>
          <cell r="L1834">
            <v>346</v>
          </cell>
          <cell r="M1834">
            <v>3018</v>
          </cell>
          <cell r="N1834" t="str">
            <v>영진</v>
          </cell>
          <cell r="O1834" t="str">
            <v>펌프카(1대)</v>
          </cell>
          <cell r="P1834">
            <v>847</v>
          </cell>
          <cell r="Q1834">
            <v>1350</v>
          </cell>
          <cell r="R1834">
            <v>175</v>
          </cell>
          <cell r="S1834">
            <v>35</v>
          </cell>
          <cell r="T1834">
            <v>53</v>
          </cell>
          <cell r="U1834">
            <v>164</v>
          </cell>
          <cell r="V1834"/>
          <cell r="W1834" t="str">
            <v>김광록</v>
          </cell>
          <cell r="X1834" t="str">
            <v>(인)</v>
          </cell>
          <cell r="Y1834" t="str">
            <v>김광록</v>
          </cell>
          <cell r="Z1834" t="str">
            <v>(인)</v>
          </cell>
          <cell r="AA1834" t="str">
            <v>이홍걸</v>
          </cell>
          <cell r="AB1834" t="str">
            <v>(인)</v>
          </cell>
          <cell r="AC1834" t="str">
            <v>박상갑</v>
          </cell>
          <cell r="AD1834" t="str">
            <v>(인)</v>
          </cell>
          <cell r="AE1834">
            <v>178.3</v>
          </cell>
          <cell r="AF1834" t="str">
            <v>동절기</v>
          </cell>
          <cell r="AG1834">
            <v>2</v>
          </cell>
          <cell r="AH1834">
            <v>0</v>
          </cell>
        </row>
        <row r="1835">
          <cell r="G1835">
            <v>2502170103</v>
          </cell>
          <cell r="H1835" t="str">
            <v>117동</v>
          </cell>
          <cell r="I1835">
            <v>250217</v>
          </cell>
          <cell r="J1835" t="str">
            <v>117동 9층 바닥</v>
          </cell>
          <cell r="K1835">
            <v>346</v>
          </cell>
          <cell r="L1835">
            <v>346</v>
          </cell>
          <cell r="M1835">
            <v>3018</v>
          </cell>
          <cell r="N1835" t="str">
            <v>영진</v>
          </cell>
          <cell r="O1835" t="str">
            <v>펌프카(1대)</v>
          </cell>
          <cell r="P1835">
            <v>847</v>
          </cell>
          <cell r="Q1835">
            <v>1350</v>
          </cell>
          <cell r="R1835">
            <v>200</v>
          </cell>
          <cell r="S1835">
            <v>46</v>
          </cell>
          <cell r="T1835">
            <v>22</v>
          </cell>
          <cell r="U1835">
            <v>179</v>
          </cell>
          <cell r="V1835"/>
          <cell r="W1835" t="str">
            <v>김광록</v>
          </cell>
          <cell r="X1835" t="str">
            <v>(인)</v>
          </cell>
          <cell r="Y1835" t="str">
            <v>김광록</v>
          </cell>
          <cell r="Z1835" t="str">
            <v>(인)</v>
          </cell>
          <cell r="AA1835" t="str">
            <v>이홍걸</v>
          </cell>
          <cell r="AB1835" t="str">
            <v>(인)</v>
          </cell>
          <cell r="AC1835" t="str">
            <v>박상갑</v>
          </cell>
          <cell r="AD1835" t="str">
            <v>(인)</v>
          </cell>
          <cell r="AE1835">
            <v>184.5</v>
          </cell>
          <cell r="AF1835" t="str">
            <v>동절기</v>
          </cell>
          <cell r="AG1835">
            <v>3</v>
          </cell>
          <cell r="AH1835">
            <v>0</v>
          </cell>
        </row>
        <row r="1836">
          <cell r="G1836">
            <v>2502170201</v>
          </cell>
          <cell r="H1836" t="str">
            <v>115동</v>
          </cell>
          <cell r="I1836">
            <v>250217</v>
          </cell>
          <cell r="J1836" t="str">
            <v>115동 12층 바닥</v>
          </cell>
          <cell r="K1836">
            <v>281</v>
          </cell>
          <cell r="L1836">
            <v>281</v>
          </cell>
          <cell r="M1836">
            <v>3018</v>
          </cell>
          <cell r="N1836" t="str">
            <v>용호</v>
          </cell>
          <cell r="O1836" t="str">
            <v>펌프카(1대)</v>
          </cell>
          <cell r="P1836">
            <v>907</v>
          </cell>
          <cell r="Q1836">
            <v>1310</v>
          </cell>
          <cell r="R1836">
            <v>200</v>
          </cell>
          <cell r="S1836">
            <v>54</v>
          </cell>
          <cell r="T1836">
            <v>88</v>
          </cell>
          <cell r="U1836">
            <v>182</v>
          </cell>
          <cell r="V1836"/>
          <cell r="W1836" t="str">
            <v>김광록</v>
          </cell>
          <cell r="X1836" t="str">
            <v>(인)</v>
          </cell>
          <cell r="Y1836" t="str">
            <v>김광록</v>
          </cell>
          <cell r="Z1836" t="str">
            <v>(인)</v>
          </cell>
          <cell r="AA1836" t="str">
            <v>이홍걸</v>
          </cell>
          <cell r="AB1836" t="str">
            <v>(인)</v>
          </cell>
          <cell r="AC1836" t="str">
            <v>박상갑</v>
          </cell>
          <cell r="AD1836" t="str">
            <v>(인)</v>
          </cell>
          <cell r="AE1836">
            <v>170</v>
          </cell>
          <cell r="AF1836" t="str">
            <v>동절기</v>
          </cell>
          <cell r="AG1836">
            <v>1</v>
          </cell>
          <cell r="AH1836">
            <v>1</v>
          </cell>
          <cell r="AI1836">
            <v>2670</v>
          </cell>
          <cell r="AJ1836">
            <v>2687</v>
          </cell>
          <cell r="AK1836">
            <v>208600</v>
          </cell>
          <cell r="AL1836">
            <v>3827</v>
          </cell>
          <cell r="AM1836">
            <v>3786</v>
          </cell>
          <cell r="AN1836">
            <v>3842</v>
          </cell>
          <cell r="AO1836">
            <v>3866</v>
          </cell>
          <cell r="AP1836">
            <v>3892</v>
          </cell>
          <cell r="AQ1836">
            <v>3728</v>
          </cell>
          <cell r="AR1836">
            <v>3687</v>
          </cell>
          <cell r="AS1836">
            <v>3728</v>
          </cell>
          <cell r="AT1836">
            <v>299400</v>
          </cell>
        </row>
        <row r="1837">
          <cell r="G1837">
            <v>2502170202</v>
          </cell>
          <cell r="H1837" t="str">
            <v>115동</v>
          </cell>
          <cell r="I1837">
            <v>250217</v>
          </cell>
          <cell r="J1837" t="str">
            <v>115동 12층 바닥</v>
          </cell>
          <cell r="K1837">
            <v>281</v>
          </cell>
          <cell r="L1837">
            <v>281</v>
          </cell>
          <cell r="M1837">
            <v>3018</v>
          </cell>
          <cell r="N1837" t="str">
            <v>용호</v>
          </cell>
          <cell r="O1837" t="str">
            <v>펌프카(1대)</v>
          </cell>
          <cell r="P1837">
            <v>907</v>
          </cell>
          <cell r="Q1837">
            <v>1310</v>
          </cell>
          <cell r="R1837">
            <v>190</v>
          </cell>
          <cell r="S1837">
            <v>51</v>
          </cell>
          <cell r="T1837">
            <v>86</v>
          </cell>
          <cell r="U1837">
            <v>165</v>
          </cell>
          <cell r="V1837"/>
          <cell r="W1837" t="str">
            <v>김광록</v>
          </cell>
          <cell r="X1837" t="str">
            <v>(인)</v>
          </cell>
          <cell r="Y1837" t="str">
            <v>김광록</v>
          </cell>
          <cell r="Z1837" t="str">
            <v>(인)</v>
          </cell>
          <cell r="AA1837" t="str">
            <v>이홍걸</v>
          </cell>
          <cell r="AB1837" t="str">
            <v>(인)</v>
          </cell>
          <cell r="AC1837" t="str">
            <v>박상갑</v>
          </cell>
          <cell r="AD1837" t="str">
            <v>(인)</v>
          </cell>
          <cell r="AE1837">
            <v>189.6</v>
          </cell>
          <cell r="AF1837" t="str">
            <v>동절기</v>
          </cell>
          <cell r="AG1837">
            <v>2</v>
          </cell>
          <cell r="AH1837">
            <v>0</v>
          </cell>
        </row>
        <row r="1838">
          <cell r="G1838">
            <v>2502170203</v>
          </cell>
          <cell r="H1838" t="str">
            <v>115동</v>
          </cell>
          <cell r="I1838">
            <v>250217</v>
          </cell>
          <cell r="J1838" t="str">
            <v>115동 12층 바닥</v>
          </cell>
          <cell r="K1838">
            <v>281</v>
          </cell>
          <cell r="L1838">
            <v>281</v>
          </cell>
          <cell r="M1838">
            <v>3018</v>
          </cell>
          <cell r="N1838" t="str">
            <v>용호</v>
          </cell>
          <cell r="O1838" t="str">
            <v>펌프카(1대)</v>
          </cell>
          <cell r="P1838">
            <v>907</v>
          </cell>
          <cell r="Q1838">
            <v>1310</v>
          </cell>
          <cell r="R1838">
            <v>185</v>
          </cell>
          <cell r="S1838">
            <v>49</v>
          </cell>
          <cell r="T1838">
            <v>82</v>
          </cell>
          <cell r="U1838">
            <v>142</v>
          </cell>
          <cell r="V1838"/>
          <cell r="W1838" t="str">
            <v>김광록</v>
          </cell>
          <cell r="X1838" t="str">
            <v>(인)</v>
          </cell>
          <cell r="Y1838" t="str">
            <v>김광록</v>
          </cell>
          <cell r="Z1838" t="str">
            <v>(인)</v>
          </cell>
          <cell r="AA1838" t="str">
            <v>이홍걸</v>
          </cell>
          <cell r="AB1838" t="str">
            <v>(인)</v>
          </cell>
          <cell r="AC1838" t="str">
            <v>박상갑</v>
          </cell>
          <cell r="AD1838" t="str">
            <v>(인)</v>
          </cell>
          <cell r="AE1838">
            <v>181.2</v>
          </cell>
          <cell r="AF1838" t="str">
            <v>동절기</v>
          </cell>
          <cell r="AG1838">
            <v>3</v>
          </cell>
          <cell r="AH1838">
            <v>0</v>
          </cell>
        </row>
        <row r="1839">
          <cell r="G1839">
            <v>2502180101</v>
          </cell>
          <cell r="H1839" t="str">
            <v>116동</v>
          </cell>
          <cell r="I1839">
            <v>250218</v>
          </cell>
          <cell r="J1839" t="str">
            <v>116동 10층 바닥</v>
          </cell>
          <cell r="K1839">
            <v>281</v>
          </cell>
          <cell r="L1839">
            <v>281</v>
          </cell>
          <cell r="M1839">
            <v>3018</v>
          </cell>
          <cell r="N1839" t="str">
            <v>대원</v>
          </cell>
          <cell r="O1839" t="str">
            <v>펌프카(1대)</v>
          </cell>
          <cell r="P1839">
            <v>820</v>
          </cell>
          <cell r="Q1839">
            <v>1212</v>
          </cell>
          <cell r="R1839">
            <v>200</v>
          </cell>
          <cell r="S1839">
            <v>52</v>
          </cell>
          <cell r="T1839">
            <v>14</v>
          </cell>
          <cell r="U1839">
            <v>175</v>
          </cell>
          <cell r="V1839"/>
          <cell r="W1839" t="str">
            <v>김광록</v>
          </cell>
          <cell r="X1839" t="str">
            <v>(인)</v>
          </cell>
          <cell r="Y1839" t="str">
            <v>김광록</v>
          </cell>
          <cell r="Z1839" t="str">
            <v>(인)</v>
          </cell>
          <cell r="AA1839" t="str">
            <v>이홍걸</v>
          </cell>
          <cell r="AB1839" t="str">
            <v>(인)</v>
          </cell>
          <cell r="AC1839" t="str">
            <v>박상갑</v>
          </cell>
          <cell r="AD1839" t="str">
            <v>(인)</v>
          </cell>
          <cell r="AE1839">
            <v>191.9</v>
          </cell>
          <cell r="AF1839" t="str">
            <v>동절기</v>
          </cell>
          <cell r="AG1839">
            <v>1</v>
          </cell>
          <cell r="AH1839">
            <v>1</v>
          </cell>
          <cell r="AI1839">
            <v>2869</v>
          </cell>
          <cell r="AJ1839">
            <v>2780</v>
          </cell>
          <cell r="AK1839">
            <v>214200</v>
          </cell>
          <cell r="AL1839">
            <v>3684</v>
          </cell>
          <cell r="AM1839">
            <v>3828</v>
          </cell>
          <cell r="AN1839">
            <v>3738</v>
          </cell>
          <cell r="AO1839">
            <v>3871</v>
          </cell>
          <cell r="AP1839">
            <v>3816</v>
          </cell>
          <cell r="AQ1839">
            <v>3725</v>
          </cell>
          <cell r="AR1839">
            <v>3628</v>
          </cell>
          <cell r="AS1839">
            <v>3766</v>
          </cell>
          <cell r="AT1839">
            <v>290800</v>
          </cell>
        </row>
        <row r="1840">
          <cell r="G1840">
            <v>2502180102</v>
          </cell>
          <cell r="H1840" t="str">
            <v>116동</v>
          </cell>
          <cell r="I1840">
            <v>250218</v>
          </cell>
          <cell r="J1840" t="str">
            <v>116동 10층 바닥</v>
          </cell>
          <cell r="K1840">
            <v>281</v>
          </cell>
          <cell r="L1840">
            <v>281</v>
          </cell>
          <cell r="M1840">
            <v>3018</v>
          </cell>
          <cell r="N1840" t="str">
            <v>대원</v>
          </cell>
          <cell r="O1840" t="str">
            <v>펌프카(1대)</v>
          </cell>
          <cell r="P1840">
            <v>820</v>
          </cell>
          <cell r="Q1840">
            <v>1212</v>
          </cell>
          <cell r="R1840">
            <v>190</v>
          </cell>
          <cell r="S1840">
            <v>49</v>
          </cell>
          <cell r="T1840">
            <v>28</v>
          </cell>
          <cell r="U1840">
            <v>191</v>
          </cell>
          <cell r="V1840"/>
          <cell r="W1840" t="str">
            <v>김광록</v>
          </cell>
          <cell r="X1840" t="str">
            <v>(인)</v>
          </cell>
          <cell r="Y1840" t="str">
            <v>김광록</v>
          </cell>
          <cell r="Z1840" t="str">
            <v>(인)</v>
          </cell>
          <cell r="AA1840" t="str">
            <v>이홍걸</v>
          </cell>
          <cell r="AB1840" t="str">
            <v>(인)</v>
          </cell>
          <cell r="AC1840" t="str">
            <v>박상갑</v>
          </cell>
          <cell r="AD1840" t="str">
            <v>(인)</v>
          </cell>
          <cell r="AE1840">
            <v>183.2</v>
          </cell>
          <cell r="AF1840" t="str">
            <v>동절기</v>
          </cell>
          <cell r="AG1840">
            <v>2</v>
          </cell>
          <cell r="AH1840">
            <v>0</v>
          </cell>
        </row>
        <row r="1841">
          <cell r="G1841">
            <v>2502180103</v>
          </cell>
          <cell r="H1841" t="str">
            <v>116동</v>
          </cell>
          <cell r="I1841">
            <v>250218</v>
          </cell>
          <cell r="J1841" t="str">
            <v>116동 10층 바닥</v>
          </cell>
          <cell r="K1841">
            <v>281</v>
          </cell>
          <cell r="L1841">
            <v>281</v>
          </cell>
          <cell r="M1841">
            <v>3018</v>
          </cell>
          <cell r="N1841" t="str">
            <v>대원</v>
          </cell>
          <cell r="O1841" t="str">
            <v>펌프카(1대)</v>
          </cell>
          <cell r="P1841">
            <v>820</v>
          </cell>
          <cell r="Q1841">
            <v>1212</v>
          </cell>
          <cell r="R1841">
            <v>200</v>
          </cell>
          <cell r="S1841">
            <v>48</v>
          </cell>
          <cell r="T1841">
            <v>70</v>
          </cell>
          <cell r="U1841">
            <v>151</v>
          </cell>
          <cell r="V1841"/>
          <cell r="W1841" t="str">
            <v>김광록</v>
          </cell>
          <cell r="X1841" t="str">
            <v>(인)</v>
          </cell>
          <cell r="Y1841" t="str">
            <v>김광록</v>
          </cell>
          <cell r="Z1841" t="str">
            <v>(인)</v>
          </cell>
          <cell r="AA1841" t="str">
            <v>이홍걸</v>
          </cell>
          <cell r="AB1841" t="str">
            <v>(인)</v>
          </cell>
          <cell r="AC1841" t="str">
            <v>박상갑</v>
          </cell>
          <cell r="AD1841" t="str">
            <v>(인)</v>
          </cell>
          <cell r="AE1841">
            <v>182.9</v>
          </cell>
          <cell r="AF1841" t="str">
            <v>동절기</v>
          </cell>
          <cell r="AG1841">
            <v>3</v>
          </cell>
          <cell r="AH1841">
            <v>0</v>
          </cell>
        </row>
        <row r="1842">
          <cell r="G1842">
            <v>2502180201</v>
          </cell>
          <cell r="H1842" t="str">
            <v>110동</v>
          </cell>
          <cell r="I1842">
            <v>250218</v>
          </cell>
          <cell r="J1842" t="str">
            <v>110동 17층 바닥</v>
          </cell>
          <cell r="K1842">
            <v>286</v>
          </cell>
          <cell r="L1842">
            <v>286</v>
          </cell>
          <cell r="M1842">
            <v>3018</v>
          </cell>
          <cell r="N1842" t="str">
            <v>용호</v>
          </cell>
          <cell r="O1842" t="str">
            <v>펌프카(1대)</v>
          </cell>
          <cell r="P1842">
            <v>831</v>
          </cell>
          <cell r="Q1842">
            <v>1237</v>
          </cell>
          <cell r="R1842">
            <v>185</v>
          </cell>
          <cell r="S1842">
            <v>49</v>
          </cell>
          <cell r="T1842">
            <v>28</v>
          </cell>
          <cell r="U1842">
            <v>173</v>
          </cell>
          <cell r="V1842"/>
          <cell r="W1842" t="str">
            <v>김광록</v>
          </cell>
          <cell r="X1842" t="str">
            <v>(인)</v>
          </cell>
          <cell r="Y1842" t="str">
            <v>김광록</v>
          </cell>
          <cell r="Z1842" t="str">
            <v>(인)</v>
          </cell>
          <cell r="AA1842" t="str">
            <v>이홍걸</v>
          </cell>
          <cell r="AB1842" t="str">
            <v>(인)</v>
          </cell>
          <cell r="AC1842" t="str">
            <v>박상갑</v>
          </cell>
          <cell r="AD1842" t="str">
            <v>(인)</v>
          </cell>
          <cell r="AE1842">
            <v>179.3</v>
          </cell>
          <cell r="AF1842" t="str">
            <v>동절기</v>
          </cell>
          <cell r="AG1842">
            <v>1</v>
          </cell>
          <cell r="AH1842">
            <v>1</v>
          </cell>
          <cell r="AI1842">
            <v>2682</v>
          </cell>
          <cell r="AJ1842">
            <v>2607</v>
          </cell>
          <cell r="AK1842">
            <v>207000</v>
          </cell>
          <cell r="AL1842">
            <v>3781</v>
          </cell>
          <cell r="AM1842">
            <v>3821</v>
          </cell>
          <cell r="AN1842">
            <v>3621</v>
          </cell>
          <cell r="AO1842">
            <v>3766</v>
          </cell>
          <cell r="AP1842">
            <v>3746</v>
          </cell>
          <cell r="AQ1842">
            <v>3804</v>
          </cell>
          <cell r="AR1842">
            <v>3827</v>
          </cell>
          <cell r="AS1842">
            <v>3627</v>
          </cell>
          <cell r="AT1842">
            <v>297600</v>
          </cell>
        </row>
        <row r="1843">
          <cell r="G1843">
            <v>2502180202</v>
          </cell>
          <cell r="H1843" t="str">
            <v>110동</v>
          </cell>
          <cell r="I1843">
            <v>250218</v>
          </cell>
          <cell r="J1843" t="str">
            <v>110동 17층 바닥</v>
          </cell>
          <cell r="K1843">
            <v>286</v>
          </cell>
          <cell r="L1843">
            <v>286</v>
          </cell>
          <cell r="M1843">
            <v>3018</v>
          </cell>
          <cell r="N1843" t="str">
            <v>용호</v>
          </cell>
          <cell r="O1843" t="str">
            <v>펌프카(1대)</v>
          </cell>
          <cell r="P1843">
            <v>831</v>
          </cell>
          <cell r="Q1843">
            <v>1237</v>
          </cell>
          <cell r="R1843">
            <v>180</v>
          </cell>
          <cell r="S1843">
            <v>44</v>
          </cell>
          <cell r="T1843">
            <v>18</v>
          </cell>
          <cell r="U1843">
            <v>166</v>
          </cell>
          <cell r="V1843"/>
          <cell r="W1843" t="str">
            <v>김광록</v>
          </cell>
          <cell r="X1843" t="str">
            <v>(인)</v>
          </cell>
          <cell r="Y1843" t="str">
            <v>김광록</v>
          </cell>
          <cell r="Z1843" t="str">
            <v>(인)</v>
          </cell>
          <cell r="AA1843" t="str">
            <v>이홍걸</v>
          </cell>
          <cell r="AB1843" t="str">
            <v>(인)</v>
          </cell>
          <cell r="AC1843" t="str">
            <v>박상갑</v>
          </cell>
          <cell r="AD1843" t="str">
            <v>(인)</v>
          </cell>
          <cell r="AE1843">
            <v>179.2</v>
          </cell>
          <cell r="AF1843" t="str">
            <v>동절기</v>
          </cell>
          <cell r="AG1843">
            <v>2</v>
          </cell>
          <cell r="AH1843">
            <v>0</v>
          </cell>
        </row>
        <row r="1844">
          <cell r="G1844">
            <v>2502180203</v>
          </cell>
          <cell r="H1844" t="str">
            <v>110동</v>
          </cell>
          <cell r="I1844">
            <v>250218</v>
          </cell>
          <cell r="J1844" t="str">
            <v>110동 17층 바닥</v>
          </cell>
          <cell r="K1844">
            <v>286</v>
          </cell>
          <cell r="L1844">
            <v>286</v>
          </cell>
          <cell r="M1844">
            <v>3018</v>
          </cell>
          <cell r="N1844" t="str">
            <v>용호</v>
          </cell>
          <cell r="O1844" t="str">
            <v>펌프카(1대)</v>
          </cell>
          <cell r="P1844">
            <v>831</v>
          </cell>
          <cell r="Q1844">
            <v>1237</v>
          </cell>
          <cell r="R1844">
            <v>190</v>
          </cell>
          <cell r="S1844">
            <v>47</v>
          </cell>
          <cell r="T1844">
            <v>22</v>
          </cell>
          <cell r="U1844">
            <v>150</v>
          </cell>
          <cell r="V1844"/>
          <cell r="W1844" t="str">
            <v>김광록</v>
          </cell>
          <cell r="X1844" t="str">
            <v>(인)</v>
          </cell>
          <cell r="Y1844" t="str">
            <v>김광록</v>
          </cell>
          <cell r="Z1844" t="str">
            <v>(인)</v>
          </cell>
          <cell r="AA1844" t="str">
            <v>이홍걸</v>
          </cell>
          <cell r="AB1844" t="str">
            <v>(인)</v>
          </cell>
          <cell r="AC1844" t="str">
            <v>박상갑</v>
          </cell>
          <cell r="AD1844" t="str">
            <v>(인)</v>
          </cell>
          <cell r="AE1844">
            <v>179.2</v>
          </cell>
          <cell r="AF1844" t="str">
            <v>동절기</v>
          </cell>
          <cell r="AG1844">
            <v>3</v>
          </cell>
          <cell r="AH1844">
            <v>0</v>
          </cell>
        </row>
        <row r="1845">
          <cell r="G1845">
            <v>2502180301</v>
          </cell>
          <cell r="H1845" t="str">
            <v>101동</v>
          </cell>
          <cell r="I1845">
            <v>250218</v>
          </cell>
          <cell r="J1845" t="str">
            <v>101동 1코어 PH2 지붕</v>
          </cell>
          <cell r="K1845">
            <v>33</v>
          </cell>
          <cell r="L1845">
            <v>33</v>
          </cell>
          <cell r="M1845">
            <v>3018</v>
          </cell>
          <cell r="N1845" t="str">
            <v>대공</v>
          </cell>
          <cell r="O1845" t="str">
            <v>펌프카(1대)</v>
          </cell>
          <cell r="P1845">
            <v>854</v>
          </cell>
          <cell r="Q1845">
            <v>1305</v>
          </cell>
          <cell r="R1845">
            <v>195</v>
          </cell>
          <cell r="S1845">
            <v>49</v>
          </cell>
          <cell r="T1845">
            <v>10</v>
          </cell>
          <cell r="U1845">
            <v>135</v>
          </cell>
          <cell r="V1845"/>
          <cell r="W1845" t="str">
            <v>김광록</v>
          </cell>
          <cell r="X1845" t="str">
            <v>(인)</v>
          </cell>
          <cell r="Y1845" t="str">
            <v>김광록</v>
          </cell>
          <cell r="Z1845" t="str">
            <v>(인)</v>
          </cell>
          <cell r="AA1845" t="str">
            <v>이홍걸</v>
          </cell>
          <cell r="AB1845" t="str">
            <v>(인)</v>
          </cell>
          <cell r="AC1845" t="str">
            <v>박상갑</v>
          </cell>
          <cell r="AD1845" t="str">
            <v>(인)</v>
          </cell>
          <cell r="AE1845">
            <v>193.7</v>
          </cell>
          <cell r="AF1845" t="str">
            <v>동절기</v>
          </cell>
          <cell r="AG1845">
            <v>1</v>
          </cell>
          <cell r="AH1845">
            <v>1</v>
          </cell>
          <cell r="AI1845">
            <v>2730</v>
          </cell>
          <cell r="AJ1845">
            <v>2810</v>
          </cell>
          <cell r="AK1845">
            <v>214200</v>
          </cell>
          <cell r="AL1845">
            <v>3851</v>
          </cell>
          <cell r="AM1845">
            <v>3752</v>
          </cell>
          <cell r="AN1845">
            <v>3598</v>
          </cell>
          <cell r="AO1845">
            <v>3836</v>
          </cell>
          <cell r="AP1845">
            <v>3728</v>
          </cell>
          <cell r="AQ1845">
            <v>3761</v>
          </cell>
          <cell r="AR1845">
            <v>3827</v>
          </cell>
          <cell r="AS1845">
            <v>3629</v>
          </cell>
          <cell r="AT1845">
            <v>283400</v>
          </cell>
        </row>
        <row r="1846">
          <cell r="G1846">
            <v>2502190101</v>
          </cell>
          <cell r="H1846" t="str">
            <v>109동</v>
          </cell>
          <cell r="I1846">
            <v>250219</v>
          </cell>
          <cell r="J1846" t="str">
            <v>109동 18층 바닥, 110동 외부계단</v>
          </cell>
          <cell r="K1846">
            <v>292</v>
          </cell>
          <cell r="L1846">
            <v>292</v>
          </cell>
          <cell r="M1846">
            <v>3018</v>
          </cell>
          <cell r="N1846" t="str">
            <v>영진</v>
          </cell>
          <cell r="O1846" t="str">
            <v>펌프카(1대)</v>
          </cell>
          <cell r="P1846">
            <v>835</v>
          </cell>
          <cell r="Q1846">
            <v>1345</v>
          </cell>
          <cell r="R1846">
            <v>195</v>
          </cell>
          <cell r="S1846">
            <v>50</v>
          </cell>
          <cell r="T1846">
            <v>43</v>
          </cell>
          <cell r="U1846">
            <v>160</v>
          </cell>
          <cell r="V1846"/>
          <cell r="W1846" t="str">
            <v>김광록</v>
          </cell>
          <cell r="X1846" t="str">
            <v>(인)</v>
          </cell>
          <cell r="Y1846" t="str">
            <v>김광록</v>
          </cell>
          <cell r="Z1846" t="str">
            <v>(인)</v>
          </cell>
          <cell r="AA1846" t="str">
            <v>이홍걸</v>
          </cell>
          <cell r="AB1846" t="str">
            <v>(인)</v>
          </cell>
          <cell r="AC1846" t="str">
            <v>박상갑</v>
          </cell>
          <cell r="AD1846" t="str">
            <v>(인)</v>
          </cell>
          <cell r="AE1846">
            <v>183.2</v>
          </cell>
          <cell r="AF1846" t="str">
            <v>동절기</v>
          </cell>
          <cell r="AG1846">
            <v>1</v>
          </cell>
          <cell r="AH1846">
            <v>1</v>
          </cell>
          <cell r="AI1846">
            <v>2683</v>
          </cell>
          <cell r="AJ1846">
            <v>2711</v>
          </cell>
          <cell r="AK1846">
            <v>212600</v>
          </cell>
          <cell r="AL1846">
            <v>3696</v>
          </cell>
          <cell r="AM1846">
            <v>3742</v>
          </cell>
          <cell r="AN1846">
            <v>3816</v>
          </cell>
          <cell r="AO1846">
            <v>3682</v>
          </cell>
          <cell r="AP1846">
            <v>3771</v>
          </cell>
          <cell r="AQ1846">
            <v>3729</v>
          </cell>
          <cell r="AR1846">
            <v>3748</v>
          </cell>
          <cell r="AS1846">
            <v>3697</v>
          </cell>
          <cell r="AT1846">
            <v>301400</v>
          </cell>
        </row>
        <row r="1847">
          <cell r="G1847">
            <v>2502190102</v>
          </cell>
          <cell r="H1847" t="str">
            <v>109동</v>
          </cell>
          <cell r="I1847">
            <v>250219</v>
          </cell>
          <cell r="J1847" t="str">
            <v>109동 18층 바닥, 110동 외부계단</v>
          </cell>
          <cell r="K1847">
            <v>292</v>
          </cell>
          <cell r="L1847">
            <v>292</v>
          </cell>
          <cell r="M1847">
            <v>3018</v>
          </cell>
          <cell r="N1847" t="str">
            <v>영진</v>
          </cell>
          <cell r="O1847" t="str">
            <v>펌프카(1대)</v>
          </cell>
          <cell r="P1847">
            <v>835</v>
          </cell>
          <cell r="Q1847">
            <v>1345</v>
          </cell>
          <cell r="R1847">
            <v>190</v>
          </cell>
          <cell r="S1847">
            <v>45</v>
          </cell>
          <cell r="T1847">
            <v>58</v>
          </cell>
          <cell r="U1847">
            <v>158</v>
          </cell>
          <cell r="V1847"/>
          <cell r="W1847" t="str">
            <v>김광록</v>
          </cell>
          <cell r="X1847" t="str">
            <v>(인)</v>
          </cell>
          <cell r="Y1847" t="str">
            <v>김광록</v>
          </cell>
          <cell r="Z1847" t="str">
            <v>(인)</v>
          </cell>
          <cell r="AA1847" t="str">
            <v>이홍걸</v>
          </cell>
          <cell r="AB1847" t="str">
            <v>(인)</v>
          </cell>
          <cell r="AC1847" t="str">
            <v>박상갑</v>
          </cell>
          <cell r="AD1847" t="str">
            <v>(인)</v>
          </cell>
          <cell r="AE1847">
            <v>182.9</v>
          </cell>
          <cell r="AF1847" t="str">
            <v>동절기</v>
          </cell>
          <cell r="AG1847">
            <v>2</v>
          </cell>
          <cell r="AH1847">
            <v>0</v>
          </cell>
        </row>
        <row r="1848">
          <cell r="G1848">
            <v>2502190103</v>
          </cell>
          <cell r="H1848" t="str">
            <v>109동</v>
          </cell>
          <cell r="I1848">
            <v>250219</v>
          </cell>
          <cell r="J1848" t="str">
            <v>109동 18층 바닥, 110동 외부계단</v>
          </cell>
          <cell r="K1848">
            <v>292</v>
          </cell>
          <cell r="L1848">
            <v>292</v>
          </cell>
          <cell r="M1848">
            <v>3018</v>
          </cell>
          <cell r="N1848" t="str">
            <v>영진</v>
          </cell>
          <cell r="O1848" t="str">
            <v>펌프카(1대)</v>
          </cell>
          <cell r="P1848">
            <v>835</v>
          </cell>
          <cell r="Q1848">
            <v>1345</v>
          </cell>
          <cell r="R1848">
            <v>180</v>
          </cell>
          <cell r="S1848">
            <v>52</v>
          </cell>
          <cell r="T1848">
            <v>98</v>
          </cell>
          <cell r="U1848">
            <v>166</v>
          </cell>
          <cell r="V1848"/>
          <cell r="W1848" t="str">
            <v>김광록</v>
          </cell>
          <cell r="X1848" t="str">
            <v>(인)</v>
          </cell>
          <cell r="Y1848" t="str">
            <v>김광록</v>
          </cell>
          <cell r="Z1848" t="str">
            <v>(인)</v>
          </cell>
          <cell r="AA1848" t="str">
            <v>이홍걸</v>
          </cell>
          <cell r="AB1848" t="str">
            <v>(인)</v>
          </cell>
          <cell r="AC1848" t="str">
            <v>박상갑</v>
          </cell>
          <cell r="AD1848" t="str">
            <v>(인)</v>
          </cell>
          <cell r="AE1848">
            <v>181.8</v>
          </cell>
          <cell r="AF1848" t="str">
            <v>동절기</v>
          </cell>
          <cell r="AG1848">
            <v>3</v>
          </cell>
          <cell r="AH1848">
            <v>0</v>
          </cell>
        </row>
        <row r="1849">
          <cell r="G1849">
            <v>2502190201</v>
          </cell>
          <cell r="H1849" t="str">
            <v>112동</v>
          </cell>
          <cell r="I1849">
            <v>250219</v>
          </cell>
          <cell r="J1849" t="str">
            <v>112동 8층 바닥</v>
          </cell>
          <cell r="K1849">
            <v>216</v>
          </cell>
          <cell r="L1849">
            <v>216</v>
          </cell>
          <cell r="M1849">
            <v>3018</v>
          </cell>
          <cell r="N1849" t="str">
            <v>대공</v>
          </cell>
          <cell r="O1849" t="str">
            <v>펌프카(1대)</v>
          </cell>
          <cell r="P1849">
            <v>832</v>
          </cell>
          <cell r="Q1849">
            <v>1158</v>
          </cell>
          <cell r="R1849">
            <v>190</v>
          </cell>
          <cell r="S1849">
            <v>44</v>
          </cell>
          <cell r="T1849">
            <v>34</v>
          </cell>
          <cell r="U1849">
            <v>166</v>
          </cell>
          <cell r="V1849"/>
          <cell r="W1849" t="str">
            <v>김광록</v>
          </cell>
          <cell r="X1849" t="str">
            <v>(인)</v>
          </cell>
          <cell r="Y1849" t="str">
            <v>김광록</v>
          </cell>
          <cell r="Z1849" t="str">
            <v>(인)</v>
          </cell>
          <cell r="AA1849" t="str">
            <v>이홍걸</v>
          </cell>
          <cell r="AB1849" t="str">
            <v>(인)</v>
          </cell>
          <cell r="AC1849" t="str">
            <v>박상갑</v>
          </cell>
          <cell r="AD1849" t="str">
            <v>(인)</v>
          </cell>
          <cell r="AE1849">
            <v>170.2</v>
          </cell>
          <cell r="AF1849" t="str">
            <v>동절기</v>
          </cell>
          <cell r="AG1849">
            <v>1</v>
          </cell>
          <cell r="AH1849">
            <v>1</v>
          </cell>
          <cell r="AI1849">
            <v>2900</v>
          </cell>
          <cell r="AJ1849">
            <v>2872</v>
          </cell>
          <cell r="AK1849">
            <v>227000</v>
          </cell>
          <cell r="AL1849">
            <v>3826</v>
          </cell>
          <cell r="AM1849">
            <v>3739</v>
          </cell>
          <cell r="AN1849">
            <v>3642</v>
          </cell>
          <cell r="AO1849">
            <v>3768</v>
          </cell>
          <cell r="AP1849">
            <v>3828</v>
          </cell>
          <cell r="AQ1849">
            <v>3716</v>
          </cell>
          <cell r="AR1849">
            <v>3687</v>
          </cell>
          <cell r="AS1849">
            <v>3672</v>
          </cell>
          <cell r="AT1849">
            <v>300600</v>
          </cell>
        </row>
        <row r="1850">
          <cell r="G1850">
            <v>2502190202</v>
          </cell>
          <cell r="H1850" t="str">
            <v>112동</v>
          </cell>
          <cell r="I1850">
            <v>250219</v>
          </cell>
          <cell r="J1850" t="str">
            <v>112동 8층 바닥</v>
          </cell>
          <cell r="K1850">
            <v>216</v>
          </cell>
          <cell r="L1850">
            <v>216</v>
          </cell>
          <cell r="M1850">
            <v>3018</v>
          </cell>
          <cell r="N1850" t="str">
            <v>대공</v>
          </cell>
          <cell r="O1850" t="str">
            <v>펌프카(1대)</v>
          </cell>
          <cell r="P1850">
            <v>832</v>
          </cell>
          <cell r="Q1850">
            <v>1158</v>
          </cell>
          <cell r="R1850">
            <v>200</v>
          </cell>
          <cell r="S1850">
            <v>51</v>
          </cell>
          <cell r="T1850">
            <v>11</v>
          </cell>
          <cell r="U1850">
            <v>148</v>
          </cell>
          <cell r="V1850"/>
          <cell r="W1850" t="str">
            <v>김광록</v>
          </cell>
          <cell r="X1850" t="str">
            <v>(인)</v>
          </cell>
          <cell r="Y1850" t="str">
            <v>김광록</v>
          </cell>
          <cell r="Z1850" t="str">
            <v>(인)</v>
          </cell>
          <cell r="AA1850" t="str">
            <v>이홍걸</v>
          </cell>
          <cell r="AB1850" t="str">
            <v>(인)</v>
          </cell>
          <cell r="AC1850" t="str">
            <v>박상갑</v>
          </cell>
          <cell r="AD1850" t="str">
            <v>(인)</v>
          </cell>
          <cell r="AE1850">
            <v>184.4</v>
          </cell>
          <cell r="AF1850" t="str">
            <v>동절기</v>
          </cell>
          <cell r="AG1850">
            <v>2</v>
          </cell>
          <cell r="AH1850">
            <v>0</v>
          </cell>
        </row>
        <row r="1851">
          <cell r="G1851">
            <v>2502190301</v>
          </cell>
          <cell r="H1851" t="str">
            <v>120동</v>
          </cell>
          <cell r="I1851">
            <v>250219</v>
          </cell>
          <cell r="J1851" t="str">
            <v>120동 주변주차장 누름</v>
          </cell>
          <cell r="K1851">
            <v>167</v>
          </cell>
          <cell r="L1851">
            <v>167</v>
          </cell>
          <cell r="M1851">
            <v>1815</v>
          </cell>
          <cell r="N1851" t="str">
            <v>대공</v>
          </cell>
          <cell r="O1851" t="str">
            <v>펌프카(1대)</v>
          </cell>
          <cell r="P1851">
            <v>1331</v>
          </cell>
          <cell r="Q1851">
            <v>1645</v>
          </cell>
          <cell r="R1851">
            <v>145</v>
          </cell>
          <cell r="S1851">
            <v>36</v>
          </cell>
          <cell r="T1851">
            <v>52</v>
          </cell>
          <cell r="U1851">
            <v>146</v>
          </cell>
          <cell r="V1851"/>
          <cell r="W1851" t="str">
            <v>김광록</v>
          </cell>
          <cell r="X1851" t="str">
            <v>(인)</v>
          </cell>
          <cell r="Y1851" t="str">
            <v>김광록</v>
          </cell>
          <cell r="Z1851" t="str">
            <v>(인)</v>
          </cell>
          <cell r="AA1851" t="str">
            <v>이홍걸</v>
          </cell>
          <cell r="AB1851" t="str">
            <v>(인)</v>
          </cell>
          <cell r="AC1851" t="str">
            <v>박상갑</v>
          </cell>
          <cell r="AD1851" t="str">
            <v>(인)</v>
          </cell>
          <cell r="AE1851">
            <v>177.2</v>
          </cell>
          <cell r="AF1851" t="str">
            <v>동절기</v>
          </cell>
          <cell r="AG1851">
            <v>1</v>
          </cell>
          <cell r="AH1851">
            <v>1</v>
          </cell>
          <cell r="AI1851">
            <v>1494</v>
          </cell>
          <cell r="AJ1851">
            <v>1429</v>
          </cell>
          <cell r="AK1851">
            <v>117800</v>
          </cell>
          <cell r="AL1851">
            <v>2380</v>
          </cell>
          <cell r="AM1851">
            <v>2248</v>
          </cell>
          <cell r="AN1851">
            <v>2274</v>
          </cell>
          <cell r="AO1851">
            <v>2435</v>
          </cell>
          <cell r="AP1851">
            <v>2328</v>
          </cell>
          <cell r="AQ1851">
            <v>2363</v>
          </cell>
          <cell r="AR1851">
            <v>2396</v>
          </cell>
          <cell r="AS1851">
            <v>2434</v>
          </cell>
          <cell r="AT1851">
            <v>181600</v>
          </cell>
        </row>
        <row r="1852">
          <cell r="G1852">
            <v>2502190302</v>
          </cell>
          <cell r="H1852" t="str">
            <v>120동</v>
          </cell>
          <cell r="I1852">
            <v>250219</v>
          </cell>
          <cell r="J1852" t="str">
            <v>120동 주변주차장 누름</v>
          </cell>
          <cell r="K1852">
            <v>167</v>
          </cell>
          <cell r="L1852">
            <v>167</v>
          </cell>
          <cell r="M1852">
            <v>1815</v>
          </cell>
          <cell r="N1852" t="str">
            <v>대공</v>
          </cell>
          <cell r="O1852" t="str">
            <v>펌프카(1대)</v>
          </cell>
          <cell r="P1852">
            <v>1331</v>
          </cell>
          <cell r="Q1852">
            <v>1645</v>
          </cell>
          <cell r="R1852">
            <v>170</v>
          </cell>
          <cell r="S1852">
            <v>45</v>
          </cell>
          <cell r="T1852">
            <v>44</v>
          </cell>
          <cell r="U1852">
            <v>134</v>
          </cell>
          <cell r="V1852"/>
          <cell r="W1852" t="str">
            <v>김광록</v>
          </cell>
          <cell r="X1852" t="str">
            <v>(인)</v>
          </cell>
          <cell r="Y1852" t="str">
            <v>김광록</v>
          </cell>
          <cell r="Z1852" t="str">
            <v>(인)</v>
          </cell>
          <cell r="AA1852" t="str">
            <v>이홍걸</v>
          </cell>
          <cell r="AB1852" t="str">
            <v>(인)</v>
          </cell>
          <cell r="AC1852" t="str">
            <v>박상갑</v>
          </cell>
          <cell r="AD1852" t="str">
            <v>(인)</v>
          </cell>
          <cell r="AE1852">
            <v>175.9</v>
          </cell>
          <cell r="AF1852" t="str">
            <v>동절기</v>
          </cell>
          <cell r="AG1852">
            <v>2</v>
          </cell>
          <cell r="AH1852">
            <v>0</v>
          </cell>
        </row>
        <row r="1853">
          <cell r="G1853">
            <v>2502200101</v>
          </cell>
          <cell r="H1853" t="str">
            <v>119동</v>
          </cell>
          <cell r="I1853">
            <v>250220</v>
          </cell>
          <cell r="J1853" t="str">
            <v>119동 8층 바닥</v>
          </cell>
          <cell r="K1853">
            <v>286</v>
          </cell>
          <cell r="L1853">
            <v>286</v>
          </cell>
          <cell r="M1853">
            <v>3018</v>
          </cell>
          <cell r="N1853" t="str">
            <v>대원</v>
          </cell>
          <cell r="O1853" t="str">
            <v>펌프카(1대)</v>
          </cell>
          <cell r="P1853">
            <v>758</v>
          </cell>
          <cell r="Q1853">
            <v>1213</v>
          </cell>
          <cell r="R1853">
            <v>200</v>
          </cell>
          <cell r="S1853">
            <v>49</v>
          </cell>
          <cell r="T1853">
            <v>54</v>
          </cell>
          <cell r="U1853">
            <v>163</v>
          </cell>
          <cell r="V1853"/>
          <cell r="W1853" t="str">
            <v>김광록</v>
          </cell>
          <cell r="X1853" t="str">
            <v>(인)</v>
          </cell>
          <cell r="Y1853" t="str">
            <v>박순홍</v>
          </cell>
          <cell r="Z1853" t="str">
            <v>(인)</v>
          </cell>
          <cell r="AA1853" t="str">
            <v>이홍걸</v>
          </cell>
          <cell r="AB1853" t="str">
            <v>(인)</v>
          </cell>
          <cell r="AC1853" t="str">
            <v>박상갑</v>
          </cell>
          <cell r="AD1853" t="str">
            <v>(인)</v>
          </cell>
          <cell r="AE1853">
            <v>189.6</v>
          </cell>
          <cell r="AF1853" t="str">
            <v>동절기</v>
          </cell>
          <cell r="AG1853">
            <v>1</v>
          </cell>
          <cell r="AH1853">
            <v>1</v>
          </cell>
          <cell r="AI1853">
            <v>2702</v>
          </cell>
          <cell r="AJ1853">
            <v>2684</v>
          </cell>
          <cell r="AK1853">
            <v>209600</v>
          </cell>
          <cell r="AL1853">
            <v>3735</v>
          </cell>
          <cell r="AM1853">
            <v>3836</v>
          </cell>
          <cell r="AN1853">
            <v>3726</v>
          </cell>
          <cell r="AO1853">
            <v>3811</v>
          </cell>
          <cell r="AP1853">
            <v>3724</v>
          </cell>
          <cell r="AQ1853">
            <v>3704</v>
          </cell>
          <cell r="AR1853">
            <v>3800</v>
          </cell>
          <cell r="AS1853">
            <v>3912</v>
          </cell>
          <cell r="AT1853">
            <v>300000</v>
          </cell>
        </row>
        <row r="1854">
          <cell r="G1854">
            <v>2502200102</v>
          </cell>
          <cell r="H1854" t="str">
            <v>119동</v>
          </cell>
          <cell r="I1854">
            <v>250220</v>
          </cell>
          <cell r="J1854" t="str">
            <v>119동 8층 바닥</v>
          </cell>
          <cell r="K1854">
            <v>286</v>
          </cell>
          <cell r="L1854">
            <v>286</v>
          </cell>
          <cell r="M1854">
            <v>3018</v>
          </cell>
          <cell r="N1854" t="str">
            <v>대원</v>
          </cell>
          <cell r="O1854" t="str">
            <v>펌프카(1대)</v>
          </cell>
          <cell r="P1854">
            <v>758</v>
          </cell>
          <cell r="Q1854">
            <v>1213</v>
          </cell>
          <cell r="R1854">
            <v>200</v>
          </cell>
          <cell r="S1854">
            <v>45</v>
          </cell>
          <cell r="T1854">
            <v>30</v>
          </cell>
          <cell r="U1854">
            <v>156</v>
          </cell>
          <cell r="V1854"/>
          <cell r="W1854" t="str">
            <v>김광록</v>
          </cell>
          <cell r="X1854" t="str">
            <v>(인)</v>
          </cell>
          <cell r="Y1854" t="str">
            <v>박순홍</v>
          </cell>
          <cell r="Z1854" t="str">
            <v>(인)</v>
          </cell>
          <cell r="AA1854" t="str">
            <v>이홍걸</v>
          </cell>
          <cell r="AB1854" t="str">
            <v>(인)</v>
          </cell>
          <cell r="AC1854" t="str">
            <v>박상갑</v>
          </cell>
          <cell r="AD1854" t="str">
            <v>(인)</v>
          </cell>
          <cell r="AE1854">
            <v>181.2</v>
          </cell>
          <cell r="AF1854" t="str">
            <v>동절기</v>
          </cell>
          <cell r="AG1854">
            <v>2</v>
          </cell>
          <cell r="AH1854">
            <v>0</v>
          </cell>
        </row>
        <row r="1855">
          <cell r="G1855">
            <v>2502200103</v>
          </cell>
          <cell r="H1855" t="str">
            <v>119동</v>
          </cell>
          <cell r="I1855">
            <v>250220</v>
          </cell>
          <cell r="J1855" t="str">
            <v>119동 8층 바닥</v>
          </cell>
          <cell r="K1855">
            <v>286</v>
          </cell>
          <cell r="L1855">
            <v>286</v>
          </cell>
          <cell r="M1855">
            <v>3018</v>
          </cell>
          <cell r="N1855" t="str">
            <v>대원</v>
          </cell>
          <cell r="O1855" t="str">
            <v>펌프카(1대)</v>
          </cell>
          <cell r="P1855">
            <v>758</v>
          </cell>
          <cell r="Q1855">
            <v>1213</v>
          </cell>
          <cell r="R1855">
            <v>200</v>
          </cell>
          <cell r="S1855">
            <v>50</v>
          </cell>
          <cell r="T1855">
            <v>6</v>
          </cell>
          <cell r="U1855">
            <v>161</v>
          </cell>
          <cell r="V1855"/>
          <cell r="W1855" t="str">
            <v>김광록</v>
          </cell>
          <cell r="X1855" t="str">
            <v>(인)</v>
          </cell>
          <cell r="Y1855" t="str">
            <v>박순홍</v>
          </cell>
          <cell r="Z1855" t="str">
            <v>(인)</v>
          </cell>
          <cell r="AA1855" t="str">
            <v>이홍걸</v>
          </cell>
          <cell r="AB1855" t="str">
            <v>(인)</v>
          </cell>
          <cell r="AC1855" t="str">
            <v>박상갑</v>
          </cell>
          <cell r="AD1855" t="str">
            <v>(인)</v>
          </cell>
          <cell r="AE1855">
            <v>185.3</v>
          </cell>
          <cell r="AF1855" t="str">
            <v>동절기</v>
          </cell>
          <cell r="AG1855">
            <v>3</v>
          </cell>
          <cell r="AH1855">
            <v>0</v>
          </cell>
        </row>
        <row r="1856">
          <cell r="G1856">
            <v>2502200201</v>
          </cell>
          <cell r="H1856" t="str">
            <v>주차장</v>
          </cell>
          <cell r="I1856">
            <v>250220</v>
          </cell>
          <cell r="J1856" t="str">
            <v>112동 주변주차장 Q구간 지하2층</v>
          </cell>
          <cell r="K1856">
            <v>125</v>
          </cell>
          <cell r="L1856">
            <v>125</v>
          </cell>
          <cell r="M1856">
            <v>2715</v>
          </cell>
          <cell r="N1856" t="str">
            <v>영진</v>
          </cell>
          <cell r="O1856" t="str">
            <v>펌프카(1대)</v>
          </cell>
          <cell r="P1856">
            <v>1324</v>
          </cell>
          <cell r="Q1856">
            <v>1610</v>
          </cell>
          <cell r="R1856">
            <v>150</v>
          </cell>
          <cell r="S1856">
            <v>37</v>
          </cell>
          <cell r="T1856">
            <v>20</v>
          </cell>
          <cell r="U1856">
            <v>132</v>
          </cell>
          <cell r="V1856"/>
          <cell r="W1856" t="str">
            <v>김광록</v>
          </cell>
          <cell r="X1856" t="str">
            <v>(인)</v>
          </cell>
          <cell r="Y1856" t="str">
            <v>박순홍</v>
          </cell>
          <cell r="Z1856" t="str">
            <v>(인)</v>
          </cell>
          <cell r="AA1856" t="str">
            <v>이홍걸</v>
          </cell>
          <cell r="AB1856" t="str">
            <v>(인)</v>
          </cell>
          <cell r="AC1856" t="str">
            <v>박상갑</v>
          </cell>
          <cell r="AD1856" t="str">
            <v>(인)</v>
          </cell>
          <cell r="AE1856">
            <v>175</v>
          </cell>
          <cell r="AF1856" t="str">
            <v>동절기</v>
          </cell>
          <cell r="AG1856">
            <v>1</v>
          </cell>
          <cell r="AH1856">
            <v>1</v>
          </cell>
          <cell r="AI1856">
            <v>2302</v>
          </cell>
          <cell r="AJ1856">
            <v>2278</v>
          </cell>
          <cell r="AK1856">
            <v>178200</v>
          </cell>
          <cell r="AL1856">
            <v>3183</v>
          </cell>
          <cell r="AM1856">
            <v>3211</v>
          </cell>
          <cell r="AN1856">
            <v>3216</v>
          </cell>
          <cell r="AO1856">
            <v>3167</v>
          </cell>
          <cell r="AP1856">
            <v>3180</v>
          </cell>
          <cell r="AQ1856">
            <v>3204</v>
          </cell>
          <cell r="AR1856">
            <v>3209</v>
          </cell>
          <cell r="AS1856">
            <v>3214</v>
          </cell>
          <cell r="AT1856">
            <v>254400</v>
          </cell>
        </row>
        <row r="1857">
          <cell r="G1857">
            <v>2502200202</v>
          </cell>
          <cell r="H1857" t="str">
            <v>주차장</v>
          </cell>
          <cell r="I1857">
            <v>250220</v>
          </cell>
          <cell r="J1857" t="str">
            <v>112동 주변주차장 Q구간 지하2층</v>
          </cell>
          <cell r="K1857">
            <v>125</v>
          </cell>
          <cell r="L1857">
            <v>125</v>
          </cell>
          <cell r="M1857">
            <v>2715</v>
          </cell>
          <cell r="N1857" t="str">
            <v>영진</v>
          </cell>
          <cell r="O1857" t="str">
            <v>펌프카(1대)</v>
          </cell>
          <cell r="P1857">
            <v>1324</v>
          </cell>
          <cell r="Q1857">
            <v>1610</v>
          </cell>
          <cell r="R1857">
            <v>155</v>
          </cell>
          <cell r="S1857">
            <v>44</v>
          </cell>
          <cell r="T1857">
            <v>22</v>
          </cell>
          <cell r="U1857">
            <v>138</v>
          </cell>
          <cell r="V1857"/>
          <cell r="W1857" t="str">
            <v>김광록</v>
          </cell>
          <cell r="X1857" t="str">
            <v>(인)</v>
          </cell>
          <cell r="Y1857" t="str">
            <v>박순홍</v>
          </cell>
          <cell r="Z1857" t="str">
            <v>(인)</v>
          </cell>
          <cell r="AA1857" t="str">
            <v>이홍걸</v>
          </cell>
          <cell r="AB1857" t="str">
            <v>(인)</v>
          </cell>
          <cell r="AC1857" t="str">
            <v>박상갑</v>
          </cell>
          <cell r="AD1857" t="str">
            <v>(인)</v>
          </cell>
          <cell r="AE1857">
            <v>177.5</v>
          </cell>
          <cell r="AF1857" t="str">
            <v>동절기</v>
          </cell>
          <cell r="AG1857">
            <v>2</v>
          </cell>
          <cell r="AH1857">
            <v>0</v>
          </cell>
        </row>
        <row r="1858">
          <cell r="G1858">
            <v>2502210101</v>
          </cell>
          <cell r="H1858" t="str">
            <v>114동</v>
          </cell>
          <cell r="I1858">
            <v>250221</v>
          </cell>
          <cell r="J1858" t="str">
            <v>114동 14층 바닥</v>
          </cell>
          <cell r="K1858">
            <v>285</v>
          </cell>
          <cell r="L1858">
            <v>285</v>
          </cell>
          <cell r="M1858">
            <v>3018</v>
          </cell>
          <cell r="N1858" t="str">
            <v>대원</v>
          </cell>
          <cell r="O1858" t="str">
            <v>펌프카(1대)</v>
          </cell>
          <cell r="P1858">
            <v>934</v>
          </cell>
          <cell r="Q1858">
            <v>1359</v>
          </cell>
          <cell r="R1858">
            <v>200</v>
          </cell>
          <cell r="S1858">
            <v>49</v>
          </cell>
          <cell r="T1858">
            <v>114</v>
          </cell>
          <cell r="U1858">
            <v>154</v>
          </cell>
          <cell r="V1858"/>
          <cell r="W1858" t="str">
            <v>박순홍</v>
          </cell>
          <cell r="X1858" t="str">
            <v>(인)</v>
          </cell>
          <cell r="Y1858" t="str">
            <v>김광록</v>
          </cell>
          <cell r="Z1858" t="str">
            <v>(인)</v>
          </cell>
          <cell r="AA1858" t="str">
            <v>이홍걸</v>
          </cell>
          <cell r="AB1858" t="str">
            <v>(인)</v>
          </cell>
          <cell r="AC1858" t="str">
            <v>박상갑</v>
          </cell>
          <cell r="AD1858" t="str">
            <v>(인)</v>
          </cell>
          <cell r="AE1858">
            <v>182.4</v>
          </cell>
          <cell r="AF1858" t="str">
            <v>동절기</v>
          </cell>
          <cell r="AG1858">
            <v>1</v>
          </cell>
          <cell r="AH1858">
            <v>1</v>
          </cell>
          <cell r="AI1858">
            <v>2689</v>
          </cell>
          <cell r="AJ1858">
            <v>2673</v>
          </cell>
          <cell r="AK1858">
            <v>205200</v>
          </cell>
          <cell r="AL1858">
            <v>3717</v>
          </cell>
          <cell r="AM1858">
            <v>3860</v>
          </cell>
          <cell r="AN1858">
            <v>3729</v>
          </cell>
          <cell r="AO1858">
            <v>3722</v>
          </cell>
          <cell r="AP1858">
            <v>3866</v>
          </cell>
          <cell r="AQ1858">
            <v>3718</v>
          </cell>
          <cell r="AR1858">
            <v>3761</v>
          </cell>
          <cell r="AS1858">
            <v>3827</v>
          </cell>
          <cell r="AT1858">
            <v>302200</v>
          </cell>
        </row>
        <row r="1859">
          <cell r="G1859">
            <v>2502210102</v>
          </cell>
          <cell r="H1859" t="str">
            <v>114동</v>
          </cell>
          <cell r="I1859">
            <v>250221</v>
          </cell>
          <cell r="J1859" t="str">
            <v>114동 14층 바닥</v>
          </cell>
          <cell r="K1859">
            <v>285</v>
          </cell>
          <cell r="L1859">
            <v>285</v>
          </cell>
          <cell r="M1859">
            <v>3018</v>
          </cell>
          <cell r="N1859" t="str">
            <v>대원</v>
          </cell>
          <cell r="O1859" t="str">
            <v>펌프카(1대)</v>
          </cell>
          <cell r="P1859">
            <v>934</v>
          </cell>
          <cell r="Q1859">
            <v>1359</v>
          </cell>
          <cell r="R1859">
            <v>180</v>
          </cell>
          <cell r="S1859">
            <v>46</v>
          </cell>
          <cell r="T1859">
            <v>41</v>
          </cell>
          <cell r="U1859">
            <v>157</v>
          </cell>
          <cell r="V1859"/>
          <cell r="W1859" t="str">
            <v>박순홍</v>
          </cell>
          <cell r="X1859" t="str">
            <v>(인)</v>
          </cell>
          <cell r="Y1859" t="str">
            <v>김광록</v>
          </cell>
          <cell r="Z1859" t="str">
            <v>(인)</v>
          </cell>
          <cell r="AA1859" t="str">
            <v>이홍걸</v>
          </cell>
          <cell r="AB1859" t="str">
            <v>(인)</v>
          </cell>
          <cell r="AC1859" t="str">
            <v>박상갑</v>
          </cell>
          <cell r="AD1859" t="str">
            <v>(인)</v>
          </cell>
          <cell r="AE1859">
            <v>186.3</v>
          </cell>
          <cell r="AF1859" t="str">
            <v>동절기</v>
          </cell>
          <cell r="AG1859">
            <v>2</v>
          </cell>
          <cell r="AH1859">
            <v>0</v>
          </cell>
        </row>
        <row r="1860">
          <cell r="G1860">
            <v>2502210103</v>
          </cell>
          <cell r="H1860" t="str">
            <v>114동</v>
          </cell>
          <cell r="I1860">
            <v>250221</v>
          </cell>
          <cell r="J1860" t="str">
            <v>114동 14층 바닥</v>
          </cell>
          <cell r="K1860">
            <v>285</v>
          </cell>
          <cell r="L1860">
            <v>285</v>
          </cell>
          <cell r="M1860">
            <v>3018</v>
          </cell>
          <cell r="N1860" t="str">
            <v>대원</v>
          </cell>
          <cell r="O1860" t="str">
            <v>펌프카(1대)</v>
          </cell>
          <cell r="P1860">
            <v>934</v>
          </cell>
          <cell r="Q1860">
            <v>1359</v>
          </cell>
          <cell r="R1860">
            <v>190</v>
          </cell>
          <cell r="S1860">
            <v>48</v>
          </cell>
          <cell r="T1860">
            <v>68</v>
          </cell>
          <cell r="U1860">
            <v>16</v>
          </cell>
          <cell r="V1860"/>
          <cell r="W1860" t="str">
            <v>박순홍</v>
          </cell>
          <cell r="X1860" t="str">
            <v>(인)</v>
          </cell>
          <cell r="Y1860" t="str">
            <v>김광록</v>
          </cell>
          <cell r="Z1860" t="str">
            <v>(인)</v>
          </cell>
          <cell r="AA1860" t="str">
            <v>이홍걸</v>
          </cell>
          <cell r="AB1860" t="str">
            <v>(인)</v>
          </cell>
          <cell r="AC1860" t="str">
            <v>박상갑</v>
          </cell>
          <cell r="AD1860" t="str">
            <v>(인)</v>
          </cell>
          <cell r="AE1860">
            <v>190.6</v>
          </cell>
          <cell r="AF1860" t="str">
            <v>동절기</v>
          </cell>
          <cell r="AG1860">
            <v>3</v>
          </cell>
          <cell r="AH1860">
            <v>0</v>
          </cell>
        </row>
        <row r="1861">
          <cell r="G1861">
            <v>2502210201</v>
          </cell>
          <cell r="H1861" t="str">
            <v>120동</v>
          </cell>
          <cell r="I1861">
            <v>250221</v>
          </cell>
          <cell r="J1861" t="str">
            <v>120동 7층 바닥</v>
          </cell>
          <cell r="K1861">
            <v>288</v>
          </cell>
          <cell r="L1861">
            <v>288</v>
          </cell>
          <cell r="M1861">
            <v>3018</v>
          </cell>
          <cell r="N1861" t="str">
            <v>용호</v>
          </cell>
          <cell r="O1861" t="str">
            <v>펌프카(1대)</v>
          </cell>
          <cell r="P1861">
            <v>810</v>
          </cell>
          <cell r="Q1861">
            <v>1213</v>
          </cell>
          <cell r="R1861">
            <v>185</v>
          </cell>
          <cell r="S1861">
            <v>40</v>
          </cell>
          <cell r="T1861">
            <v>17</v>
          </cell>
          <cell r="U1861">
            <v>145</v>
          </cell>
          <cell r="V1861"/>
          <cell r="W1861" t="str">
            <v>박순홍</v>
          </cell>
          <cell r="X1861" t="str">
            <v>(인)</v>
          </cell>
          <cell r="Y1861" t="str">
            <v>김광록</v>
          </cell>
          <cell r="Z1861" t="str">
            <v>(인)</v>
          </cell>
          <cell r="AA1861" t="str">
            <v>이홍걸</v>
          </cell>
          <cell r="AB1861" t="str">
            <v>(인)</v>
          </cell>
          <cell r="AC1861" t="str">
            <v>박상갑</v>
          </cell>
          <cell r="AD1861" t="str">
            <v>(인)</v>
          </cell>
          <cell r="AE1861">
            <v>187.6</v>
          </cell>
          <cell r="AF1861" t="str">
            <v>동절기</v>
          </cell>
          <cell r="AG1861">
            <v>1</v>
          </cell>
          <cell r="AH1861">
            <v>1</v>
          </cell>
          <cell r="AI1861">
            <v>2697</v>
          </cell>
          <cell r="AJ1861">
            <v>2711</v>
          </cell>
          <cell r="AK1861">
            <v>216200</v>
          </cell>
          <cell r="AL1861">
            <v>3707</v>
          </cell>
          <cell r="AM1861">
            <v>3842</v>
          </cell>
          <cell r="AN1861">
            <v>3861</v>
          </cell>
          <cell r="AO1861">
            <v>3871</v>
          </cell>
          <cell r="AP1861">
            <v>3763</v>
          </cell>
          <cell r="AQ1861">
            <v>3755</v>
          </cell>
          <cell r="AR1861">
            <v>3919</v>
          </cell>
          <cell r="AS1861">
            <v>3727</v>
          </cell>
          <cell r="AT1861">
            <v>299000</v>
          </cell>
        </row>
        <row r="1862">
          <cell r="G1862">
            <v>2502210202</v>
          </cell>
          <cell r="H1862" t="str">
            <v>120동</v>
          </cell>
          <cell r="I1862">
            <v>250221</v>
          </cell>
          <cell r="J1862" t="str">
            <v>120동 7층 바닥</v>
          </cell>
          <cell r="K1862">
            <v>288</v>
          </cell>
          <cell r="L1862">
            <v>288</v>
          </cell>
          <cell r="M1862">
            <v>3018</v>
          </cell>
          <cell r="N1862" t="str">
            <v>용호</v>
          </cell>
          <cell r="O1862" t="str">
            <v>펌프카(1대)</v>
          </cell>
          <cell r="P1862">
            <v>810</v>
          </cell>
          <cell r="Q1862">
            <v>1213</v>
          </cell>
          <cell r="R1862">
            <v>180</v>
          </cell>
          <cell r="S1862">
            <v>43</v>
          </cell>
          <cell r="T1862">
            <v>17</v>
          </cell>
          <cell r="U1862">
            <v>137</v>
          </cell>
          <cell r="V1862"/>
          <cell r="W1862" t="str">
            <v>박순홍</v>
          </cell>
          <cell r="X1862" t="str">
            <v>(인)</v>
          </cell>
          <cell r="Y1862" t="str">
            <v>김광록</v>
          </cell>
          <cell r="Z1862" t="str">
            <v>(인)</v>
          </cell>
          <cell r="AA1862" t="str">
            <v>이홍걸</v>
          </cell>
          <cell r="AB1862" t="str">
            <v>(인)</v>
          </cell>
          <cell r="AC1862" t="str">
            <v>박상갑</v>
          </cell>
          <cell r="AD1862" t="str">
            <v>(인)</v>
          </cell>
          <cell r="AE1862">
            <v>184.3</v>
          </cell>
          <cell r="AF1862" t="str">
            <v>동절기</v>
          </cell>
          <cell r="AG1862">
            <v>2</v>
          </cell>
          <cell r="AH1862">
            <v>0</v>
          </cell>
        </row>
        <row r="1863">
          <cell r="G1863">
            <v>2502210203</v>
          </cell>
          <cell r="H1863" t="str">
            <v>120동</v>
          </cell>
          <cell r="I1863">
            <v>250221</v>
          </cell>
          <cell r="J1863" t="str">
            <v>120동 7층 바닥</v>
          </cell>
          <cell r="K1863">
            <v>288</v>
          </cell>
          <cell r="L1863">
            <v>288</v>
          </cell>
          <cell r="M1863">
            <v>3018</v>
          </cell>
          <cell r="N1863" t="str">
            <v>용호</v>
          </cell>
          <cell r="O1863" t="str">
            <v>펌프카(1대)</v>
          </cell>
          <cell r="P1863">
            <v>810</v>
          </cell>
          <cell r="Q1863">
            <v>1213</v>
          </cell>
          <cell r="R1863">
            <v>180</v>
          </cell>
          <cell r="S1863">
            <v>37</v>
          </cell>
          <cell r="T1863">
            <v>23</v>
          </cell>
          <cell r="U1863">
            <v>150</v>
          </cell>
          <cell r="V1863"/>
          <cell r="W1863" t="str">
            <v>박순홍</v>
          </cell>
          <cell r="X1863" t="str">
            <v>(인)</v>
          </cell>
          <cell r="Y1863" t="str">
            <v>김광록</v>
          </cell>
          <cell r="Z1863" t="str">
            <v>(인)</v>
          </cell>
          <cell r="AA1863" t="str">
            <v>이홍걸</v>
          </cell>
          <cell r="AB1863" t="str">
            <v>(인)</v>
          </cell>
          <cell r="AC1863" t="str">
            <v>박상갑</v>
          </cell>
          <cell r="AD1863" t="str">
            <v>(인)</v>
          </cell>
          <cell r="AE1863">
            <v>181.6</v>
          </cell>
          <cell r="AF1863" t="str">
            <v>동절기</v>
          </cell>
          <cell r="AG1863">
            <v>3</v>
          </cell>
          <cell r="AH1863">
            <v>0</v>
          </cell>
        </row>
        <row r="1864">
          <cell r="G1864">
            <v>2502240101</v>
          </cell>
          <cell r="H1864" t="str">
            <v>118동</v>
          </cell>
          <cell r="I1864">
            <v>250224</v>
          </cell>
          <cell r="J1864" t="str">
            <v>118동 8층 바닥</v>
          </cell>
          <cell r="K1864">
            <v>288</v>
          </cell>
          <cell r="L1864">
            <v>288</v>
          </cell>
          <cell r="M1864">
            <v>3018</v>
          </cell>
          <cell r="N1864" t="str">
            <v>용호</v>
          </cell>
          <cell r="O1864" t="str">
            <v>펌프카(1대)</v>
          </cell>
          <cell r="P1864">
            <v>803</v>
          </cell>
          <cell r="Q1864">
            <v>1349</v>
          </cell>
          <cell r="R1864">
            <v>195</v>
          </cell>
          <cell r="S1864">
            <v>50</v>
          </cell>
          <cell r="T1864">
            <v>7</v>
          </cell>
          <cell r="U1864">
            <v>175</v>
          </cell>
          <cell r="V1864"/>
          <cell r="W1864" t="str">
            <v>박순홍</v>
          </cell>
          <cell r="X1864" t="str">
            <v>(인)</v>
          </cell>
          <cell r="Y1864" t="str">
            <v>김광록</v>
          </cell>
          <cell r="Z1864" t="str">
            <v>(인)</v>
          </cell>
          <cell r="AA1864" t="str">
            <v>박상갑</v>
          </cell>
          <cell r="AB1864" t="str">
            <v>(인)</v>
          </cell>
          <cell r="AC1864" t="str">
            <v>이홍걸</v>
          </cell>
          <cell r="AD1864" t="str">
            <v>(인)</v>
          </cell>
          <cell r="AE1864">
            <v>181.2</v>
          </cell>
          <cell r="AF1864" t="str">
            <v>동절기</v>
          </cell>
          <cell r="AG1864">
            <v>1</v>
          </cell>
          <cell r="AH1864">
            <v>1</v>
          </cell>
          <cell r="AI1864">
            <v>2607</v>
          </cell>
          <cell r="AJ1864">
            <v>2684</v>
          </cell>
          <cell r="AK1864">
            <v>204000</v>
          </cell>
          <cell r="AL1864">
            <v>3860</v>
          </cell>
          <cell r="AM1864">
            <v>3733</v>
          </cell>
          <cell r="AN1864">
            <v>3771</v>
          </cell>
          <cell r="AO1864">
            <v>3854</v>
          </cell>
          <cell r="AP1864">
            <v>3862</v>
          </cell>
          <cell r="AQ1864">
            <v>3678</v>
          </cell>
          <cell r="AR1864">
            <v>3629</v>
          </cell>
          <cell r="AS1864">
            <v>3810</v>
          </cell>
          <cell r="AT1864">
            <v>292800</v>
          </cell>
        </row>
        <row r="1865">
          <cell r="G1865">
            <v>2502240102</v>
          </cell>
          <cell r="H1865" t="str">
            <v>118동</v>
          </cell>
          <cell r="I1865">
            <v>250224</v>
          </cell>
          <cell r="J1865" t="str">
            <v>118동 8층 바닥</v>
          </cell>
          <cell r="K1865">
            <v>288</v>
          </cell>
          <cell r="L1865">
            <v>288</v>
          </cell>
          <cell r="M1865">
            <v>3018</v>
          </cell>
          <cell r="N1865" t="str">
            <v>용호</v>
          </cell>
          <cell r="O1865" t="str">
            <v>펌프카(1대)</v>
          </cell>
          <cell r="P1865">
            <v>803</v>
          </cell>
          <cell r="Q1865">
            <v>1349</v>
          </cell>
          <cell r="R1865">
            <v>185</v>
          </cell>
          <cell r="S1865">
            <v>34</v>
          </cell>
          <cell r="T1865">
            <v>25</v>
          </cell>
          <cell r="U1865">
            <v>178</v>
          </cell>
          <cell r="V1865"/>
          <cell r="W1865" t="str">
            <v>박순홍</v>
          </cell>
          <cell r="X1865" t="str">
            <v>(인)</v>
          </cell>
          <cell r="Y1865" t="str">
            <v>김광록</v>
          </cell>
          <cell r="Z1865" t="str">
            <v>(인)</v>
          </cell>
          <cell r="AA1865" t="str">
            <v>박상갑</v>
          </cell>
          <cell r="AB1865" t="str">
            <v>(인)</v>
          </cell>
          <cell r="AC1865" t="str">
            <v>이홍걸</v>
          </cell>
          <cell r="AD1865" t="str">
            <v>(인)</v>
          </cell>
          <cell r="AE1865">
            <v>185.3</v>
          </cell>
          <cell r="AF1865" t="str">
            <v>동절기</v>
          </cell>
          <cell r="AG1865">
            <v>2</v>
          </cell>
          <cell r="AH1865">
            <v>0</v>
          </cell>
        </row>
        <row r="1866">
          <cell r="G1866">
            <v>2502240103</v>
          </cell>
          <cell r="H1866" t="str">
            <v>118동</v>
          </cell>
          <cell r="I1866">
            <v>250224</v>
          </cell>
          <cell r="J1866" t="str">
            <v>118동 8층 바닥</v>
          </cell>
          <cell r="K1866">
            <v>288</v>
          </cell>
          <cell r="L1866">
            <v>288</v>
          </cell>
          <cell r="M1866">
            <v>3018</v>
          </cell>
          <cell r="N1866" t="str">
            <v>용호</v>
          </cell>
          <cell r="O1866" t="str">
            <v>펌프카(1대)</v>
          </cell>
          <cell r="P1866">
            <v>803</v>
          </cell>
          <cell r="Q1866">
            <v>1349</v>
          </cell>
          <cell r="R1866">
            <v>200</v>
          </cell>
          <cell r="S1866">
            <v>55</v>
          </cell>
          <cell r="T1866">
            <v>13</v>
          </cell>
          <cell r="U1866">
            <v>193</v>
          </cell>
          <cell r="V1866"/>
          <cell r="W1866" t="str">
            <v>박순홍</v>
          </cell>
          <cell r="X1866" t="str">
            <v>(인)</v>
          </cell>
          <cell r="Y1866" t="str">
            <v>김광록</v>
          </cell>
          <cell r="Z1866" t="str">
            <v>(인)</v>
          </cell>
          <cell r="AA1866" t="str">
            <v>박상갑</v>
          </cell>
          <cell r="AB1866" t="str">
            <v>(인)</v>
          </cell>
          <cell r="AC1866" t="str">
            <v>이홍걸</v>
          </cell>
          <cell r="AD1866" t="str">
            <v>(인)</v>
          </cell>
          <cell r="AE1866">
            <v>182.7</v>
          </cell>
          <cell r="AF1866" t="str">
            <v>동절기</v>
          </cell>
          <cell r="AG1866">
            <v>3</v>
          </cell>
          <cell r="AH1866">
            <v>0</v>
          </cell>
        </row>
        <row r="1867">
          <cell r="G1867">
            <v>2502240201</v>
          </cell>
          <cell r="H1867" t="str">
            <v>108동</v>
          </cell>
          <cell r="I1867">
            <v>250224</v>
          </cell>
          <cell r="J1867" t="str">
            <v>108동 13층 바닥</v>
          </cell>
          <cell r="K1867">
            <v>285</v>
          </cell>
          <cell r="L1867">
            <v>285</v>
          </cell>
          <cell r="M1867">
            <v>3018</v>
          </cell>
          <cell r="N1867" t="str">
            <v>영진</v>
          </cell>
          <cell r="O1867" t="str">
            <v>펌프카(1대)</v>
          </cell>
          <cell r="P1867">
            <v>825</v>
          </cell>
          <cell r="Q1867">
            <v>1355</v>
          </cell>
          <cell r="R1867">
            <v>185</v>
          </cell>
          <cell r="S1867">
            <v>45</v>
          </cell>
          <cell r="T1867">
            <v>55</v>
          </cell>
          <cell r="U1867">
            <v>153</v>
          </cell>
          <cell r="V1867"/>
          <cell r="W1867" t="str">
            <v>김광록</v>
          </cell>
          <cell r="X1867" t="str">
            <v>(인)</v>
          </cell>
          <cell r="Y1867" t="str">
            <v>김광록</v>
          </cell>
          <cell r="Z1867" t="str">
            <v>(인)</v>
          </cell>
          <cell r="AA1867" t="str">
            <v>박상갑</v>
          </cell>
          <cell r="AB1867" t="str">
            <v>(인)</v>
          </cell>
          <cell r="AC1867" t="str">
            <v>이홍걸</v>
          </cell>
          <cell r="AD1867" t="str">
            <v>(인)</v>
          </cell>
          <cell r="AE1867">
            <v>186.6</v>
          </cell>
          <cell r="AF1867" t="str">
            <v>동절기</v>
          </cell>
          <cell r="AG1867">
            <v>1</v>
          </cell>
          <cell r="AH1867">
            <v>1</v>
          </cell>
          <cell r="AI1867">
            <v>2810</v>
          </cell>
          <cell r="AJ1867">
            <v>2806</v>
          </cell>
          <cell r="AK1867">
            <v>218000</v>
          </cell>
          <cell r="AL1867">
            <v>3739</v>
          </cell>
          <cell r="AM1867">
            <v>3648</v>
          </cell>
          <cell r="AN1867">
            <v>3770</v>
          </cell>
          <cell r="AO1867">
            <v>3718</v>
          </cell>
          <cell r="AP1867">
            <v>3642</v>
          </cell>
          <cell r="AQ1867">
            <v>3881</v>
          </cell>
          <cell r="AR1867">
            <v>3817</v>
          </cell>
          <cell r="AS1867">
            <v>3796</v>
          </cell>
          <cell r="AT1867">
            <v>304800</v>
          </cell>
        </row>
        <row r="1868">
          <cell r="G1868">
            <v>2502240202</v>
          </cell>
          <cell r="H1868" t="str">
            <v>108동</v>
          </cell>
          <cell r="I1868">
            <v>250224</v>
          </cell>
          <cell r="J1868" t="str">
            <v>108동 13층 바닥</v>
          </cell>
          <cell r="K1868">
            <v>285</v>
          </cell>
          <cell r="L1868">
            <v>285</v>
          </cell>
          <cell r="M1868">
            <v>3018</v>
          </cell>
          <cell r="N1868" t="str">
            <v>영진</v>
          </cell>
          <cell r="O1868" t="str">
            <v>펌프카(1대)</v>
          </cell>
          <cell r="P1868">
            <v>825</v>
          </cell>
          <cell r="Q1868">
            <v>1355</v>
          </cell>
          <cell r="R1868">
            <v>180</v>
          </cell>
          <cell r="S1868">
            <v>40</v>
          </cell>
          <cell r="T1868">
            <v>11</v>
          </cell>
          <cell r="U1868">
            <v>142</v>
          </cell>
          <cell r="V1868"/>
          <cell r="W1868" t="str">
            <v>김광록</v>
          </cell>
          <cell r="X1868" t="str">
            <v>(인)</v>
          </cell>
          <cell r="Y1868" t="str">
            <v>김광록</v>
          </cell>
          <cell r="Z1868" t="str">
            <v>(인)</v>
          </cell>
          <cell r="AA1868" t="str">
            <v>박상갑</v>
          </cell>
          <cell r="AB1868" t="str">
            <v>(인)</v>
          </cell>
          <cell r="AC1868" t="str">
            <v>이홍걸</v>
          </cell>
          <cell r="AD1868" t="str">
            <v>(인)</v>
          </cell>
          <cell r="AE1868">
            <v>185.9</v>
          </cell>
          <cell r="AF1868" t="str">
            <v>동절기</v>
          </cell>
          <cell r="AG1868">
            <v>2</v>
          </cell>
          <cell r="AH1868">
            <v>0</v>
          </cell>
        </row>
        <row r="1869">
          <cell r="G1869">
            <v>2502240203</v>
          </cell>
          <cell r="H1869" t="str">
            <v>108동</v>
          </cell>
          <cell r="I1869">
            <v>250224</v>
          </cell>
          <cell r="J1869" t="str">
            <v>108동 13층 바닥</v>
          </cell>
          <cell r="K1869">
            <v>285</v>
          </cell>
          <cell r="L1869">
            <v>285</v>
          </cell>
          <cell r="M1869">
            <v>3018</v>
          </cell>
          <cell r="N1869" t="str">
            <v>영진</v>
          </cell>
          <cell r="O1869" t="str">
            <v>펌프카(1대)</v>
          </cell>
          <cell r="P1869">
            <v>825</v>
          </cell>
          <cell r="Q1869">
            <v>1355</v>
          </cell>
          <cell r="R1869">
            <v>195</v>
          </cell>
          <cell r="S1869">
            <v>49</v>
          </cell>
          <cell r="T1869">
            <v>17</v>
          </cell>
          <cell r="U1869">
            <v>154</v>
          </cell>
          <cell r="V1869"/>
          <cell r="W1869" t="str">
            <v>김광록</v>
          </cell>
          <cell r="X1869" t="str">
            <v>(인)</v>
          </cell>
          <cell r="Y1869" t="str">
            <v>김광록</v>
          </cell>
          <cell r="Z1869" t="str">
            <v>(인)</v>
          </cell>
          <cell r="AA1869" t="str">
            <v>박상갑</v>
          </cell>
          <cell r="AB1869" t="str">
            <v>(인)</v>
          </cell>
          <cell r="AC1869" t="str">
            <v>이홍걸</v>
          </cell>
          <cell r="AD1869" t="str">
            <v>(인)</v>
          </cell>
          <cell r="AE1869">
            <v>185.5</v>
          </cell>
          <cell r="AF1869" t="str">
            <v>동절기</v>
          </cell>
          <cell r="AG1869">
            <v>3</v>
          </cell>
          <cell r="AH1869">
            <v>0</v>
          </cell>
        </row>
        <row r="1870">
          <cell r="G1870">
            <v>2502240301</v>
          </cell>
          <cell r="H1870" t="str">
            <v>117동</v>
          </cell>
          <cell r="I1870">
            <v>250224</v>
          </cell>
          <cell r="J1870" t="str">
            <v>117동 10층 바닥</v>
          </cell>
          <cell r="K1870">
            <v>348</v>
          </cell>
          <cell r="L1870">
            <v>348</v>
          </cell>
          <cell r="M1870">
            <v>3018</v>
          </cell>
          <cell r="N1870" t="str">
            <v>신우</v>
          </cell>
          <cell r="O1870" t="str">
            <v>펌프카(1대)</v>
          </cell>
          <cell r="P1870">
            <v>833</v>
          </cell>
          <cell r="Q1870">
            <v>1427</v>
          </cell>
          <cell r="R1870">
            <v>195</v>
          </cell>
          <cell r="S1870">
            <v>40</v>
          </cell>
          <cell r="T1870">
            <v>23</v>
          </cell>
          <cell r="U1870">
            <v>141</v>
          </cell>
          <cell r="V1870"/>
          <cell r="W1870" t="str">
            <v>김광록</v>
          </cell>
          <cell r="X1870" t="str">
            <v>(인)</v>
          </cell>
          <cell r="Y1870" t="str">
            <v>김광록</v>
          </cell>
          <cell r="Z1870" t="str">
            <v>(인)</v>
          </cell>
          <cell r="AA1870" t="str">
            <v>박상갑</v>
          </cell>
          <cell r="AB1870" t="str">
            <v>(인)</v>
          </cell>
          <cell r="AC1870" t="str">
            <v>이홍걸</v>
          </cell>
          <cell r="AD1870" t="str">
            <v>(인)</v>
          </cell>
          <cell r="AE1870">
            <v>183.6</v>
          </cell>
          <cell r="AF1870" t="str">
            <v>동절기</v>
          </cell>
          <cell r="AG1870">
            <v>1</v>
          </cell>
          <cell r="AH1870">
            <v>1</v>
          </cell>
          <cell r="AI1870">
            <v>2578</v>
          </cell>
          <cell r="AJ1870">
            <v>2612</v>
          </cell>
          <cell r="AK1870">
            <v>200400</v>
          </cell>
          <cell r="AL1870">
            <v>3710</v>
          </cell>
          <cell r="AM1870">
            <v>3910</v>
          </cell>
          <cell r="AN1870">
            <v>3628</v>
          </cell>
          <cell r="AO1870">
            <v>3821</v>
          </cell>
          <cell r="AP1870">
            <v>3784</v>
          </cell>
          <cell r="AQ1870">
            <v>3638</v>
          </cell>
          <cell r="AR1870">
            <v>3768</v>
          </cell>
          <cell r="AS1870">
            <v>3781</v>
          </cell>
          <cell r="AT1870">
            <v>287400</v>
          </cell>
        </row>
        <row r="1871">
          <cell r="G1871">
            <v>2502240302</v>
          </cell>
          <cell r="H1871" t="str">
            <v>117동</v>
          </cell>
          <cell r="I1871">
            <v>250224</v>
          </cell>
          <cell r="J1871" t="str">
            <v>117동 10층 바닥</v>
          </cell>
          <cell r="K1871">
            <v>348</v>
          </cell>
          <cell r="L1871">
            <v>348</v>
          </cell>
          <cell r="M1871">
            <v>3018</v>
          </cell>
          <cell r="N1871" t="str">
            <v>신우</v>
          </cell>
          <cell r="O1871" t="str">
            <v>펌프카(1대)</v>
          </cell>
          <cell r="P1871">
            <v>833</v>
          </cell>
          <cell r="Q1871">
            <v>1427</v>
          </cell>
          <cell r="R1871">
            <v>190</v>
          </cell>
          <cell r="S1871">
            <v>50</v>
          </cell>
          <cell r="T1871">
            <v>88</v>
          </cell>
          <cell r="U1871">
            <v>164</v>
          </cell>
          <cell r="V1871"/>
          <cell r="W1871" t="str">
            <v>김광록</v>
          </cell>
          <cell r="X1871" t="str">
            <v>(인)</v>
          </cell>
          <cell r="Y1871" t="str">
            <v>김광록</v>
          </cell>
          <cell r="Z1871" t="str">
            <v>(인)</v>
          </cell>
          <cell r="AA1871" t="str">
            <v>박상갑</v>
          </cell>
          <cell r="AB1871" t="str">
            <v>(인)</v>
          </cell>
          <cell r="AC1871" t="str">
            <v>이홍걸</v>
          </cell>
          <cell r="AD1871" t="str">
            <v>(인)</v>
          </cell>
          <cell r="AE1871">
            <v>182.4</v>
          </cell>
          <cell r="AF1871" t="str">
            <v>동절기</v>
          </cell>
          <cell r="AG1871">
            <v>2</v>
          </cell>
          <cell r="AH1871">
            <v>0</v>
          </cell>
        </row>
        <row r="1872">
          <cell r="G1872">
            <v>2502240303</v>
          </cell>
          <cell r="H1872" t="str">
            <v>117동</v>
          </cell>
          <cell r="I1872">
            <v>250224</v>
          </cell>
          <cell r="J1872" t="str">
            <v>117동 10층 바닥</v>
          </cell>
          <cell r="K1872">
            <v>348</v>
          </cell>
          <cell r="L1872">
            <v>348</v>
          </cell>
          <cell r="M1872">
            <v>3018</v>
          </cell>
          <cell r="N1872" t="str">
            <v>신우</v>
          </cell>
          <cell r="O1872" t="str">
            <v>펌프카(1대)</v>
          </cell>
          <cell r="P1872">
            <v>833</v>
          </cell>
          <cell r="Q1872">
            <v>1427</v>
          </cell>
          <cell r="R1872">
            <v>185</v>
          </cell>
          <cell r="S1872">
            <v>41</v>
          </cell>
          <cell r="T1872">
            <v>81</v>
          </cell>
          <cell r="U1872">
            <v>159</v>
          </cell>
          <cell r="V1872"/>
          <cell r="W1872" t="str">
            <v>김광록</v>
          </cell>
          <cell r="X1872" t="str">
            <v>(인)</v>
          </cell>
          <cell r="Y1872" t="str">
            <v>김광록</v>
          </cell>
          <cell r="Z1872" t="str">
            <v>(인)</v>
          </cell>
          <cell r="AA1872" t="str">
            <v>박상갑</v>
          </cell>
          <cell r="AB1872" t="str">
            <v>(인)</v>
          </cell>
          <cell r="AC1872" t="str">
            <v>이홍걸</v>
          </cell>
          <cell r="AD1872" t="str">
            <v>(인)</v>
          </cell>
          <cell r="AE1872">
            <v>181.7</v>
          </cell>
          <cell r="AF1872" t="str">
            <v>동절기</v>
          </cell>
          <cell r="AG1872">
            <v>3</v>
          </cell>
          <cell r="AH1872">
            <v>0</v>
          </cell>
        </row>
        <row r="1873">
          <cell r="G1873">
            <v>2502250101</v>
          </cell>
          <cell r="H1873" t="str">
            <v>110동</v>
          </cell>
          <cell r="I1873">
            <v>250225</v>
          </cell>
          <cell r="J1873" t="str">
            <v>110동 18층 바닥</v>
          </cell>
          <cell r="K1873">
            <v>282</v>
          </cell>
          <cell r="L1873">
            <v>282</v>
          </cell>
          <cell r="M1873">
            <v>3018</v>
          </cell>
          <cell r="N1873" t="str">
            <v>용호</v>
          </cell>
          <cell r="O1873" t="str">
            <v>펌프카(1대)</v>
          </cell>
          <cell r="P1873">
            <v>1339</v>
          </cell>
          <cell r="Q1873">
            <v>1710</v>
          </cell>
          <cell r="R1873">
            <v>200</v>
          </cell>
          <cell r="S1873">
            <v>51</v>
          </cell>
          <cell r="T1873">
            <v>88</v>
          </cell>
          <cell r="U1873">
            <v>171</v>
          </cell>
          <cell r="V1873"/>
          <cell r="W1873" t="str">
            <v>김광록</v>
          </cell>
          <cell r="X1873" t="str">
            <v>(인)</v>
          </cell>
          <cell r="Y1873" t="str">
            <v>박순홍</v>
          </cell>
          <cell r="Z1873" t="str">
            <v>(인)</v>
          </cell>
          <cell r="AA1873" t="str">
            <v>박상갑</v>
          </cell>
          <cell r="AB1873" t="str">
            <v>(인)</v>
          </cell>
          <cell r="AC1873" t="str">
            <v>이홍걸</v>
          </cell>
          <cell r="AD1873" t="str">
            <v>(인)</v>
          </cell>
          <cell r="AE1873">
            <v>189.4</v>
          </cell>
          <cell r="AF1873" t="str">
            <v>동절기</v>
          </cell>
          <cell r="AG1873">
            <v>1</v>
          </cell>
          <cell r="AH1873">
            <v>1</v>
          </cell>
          <cell r="AI1873">
            <v>2750</v>
          </cell>
          <cell r="AJ1873">
            <v>2812</v>
          </cell>
          <cell r="AK1873">
            <v>220400</v>
          </cell>
          <cell r="AL1873">
            <v>3706</v>
          </cell>
          <cell r="AM1873">
            <v>3810</v>
          </cell>
          <cell r="AN1873">
            <v>3726</v>
          </cell>
          <cell r="AO1873">
            <v>3739</v>
          </cell>
          <cell r="AP1873">
            <v>3804</v>
          </cell>
          <cell r="AQ1873">
            <v>3814</v>
          </cell>
          <cell r="AR1873">
            <v>3729</v>
          </cell>
          <cell r="AS1873">
            <v>3684</v>
          </cell>
          <cell r="AT1873">
            <v>296400</v>
          </cell>
        </row>
        <row r="1874">
          <cell r="G1874">
            <v>2502250102</v>
          </cell>
          <cell r="H1874" t="str">
            <v>110동</v>
          </cell>
          <cell r="I1874">
            <v>250225</v>
          </cell>
          <cell r="J1874" t="str">
            <v>110동 18층 바닥</v>
          </cell>
          <cell r="K1874">
            <v>282</v>
          </cell>
          <cell r="L1874">
            <v>282</v>
          </cell>
          <cell r="M1874">
            <v>3018</v>
          </cell>
          <cell r="N1874" t="str">
            <v>용호</v>
          </cell>
          <cell r="O1874" t="str">
            <v>펌프카(1대)</v>
          </cell>
          <cell r="P1874">
            <v>1339</v>
          </cell>
          <cell r="Q1874">
            <v>1710</v>
          </cell>
          <cell r="R1874">
            <v>190</v>
          </cell>
          <cell r="S1874">
            <v>46</v>
          </cell>
          <cell r="T1874">
            <v>54</v>
          </cell>
          <cell r="U1874">
            <v>18.100000000000001</v>
          </cell>
          <cell r="V1874"/>
          <cell r="W1874" t="str">
            <v>김광록</v>
          </cell>
          <cell r="X1874" t="str">
            <v>(인)</v>
          </cell>
          <cell r="Y1874" t="str">
            <v>박순홍</v>
          </cell>
          <cell r="Z1874" t="str">
            <v>(인)</v>
          </cell>
          <cell r="AA1874" t="str">
            <v>박상갑</v>
          </cell>
          <cell r="AB1874" t="str">
            <v>(인)</v>
          </cell>
          <cell r="AC1874" t="str">
            <v>이홍걸</v>
          </cell>
          <cell r="AD1874" t="str">
            <v>(인)</v>
          </cell>
          <cell r="AE1874">
            <v>192.3</v>
          </cell>
          <cell r="AF1874" t="str">
            <v>동절기</v>
          </cell>
          <cell r="AG1874">
            <v>2</v>
          </cell>
          <cell r="AH1874">
            <v>0</v>
          </cell>
        </row>
        <row r="1875">
          <cell r="G1875">
            <v>2502250103</v>
          </cell>
          <cell r="H1875" t="str">
            <v>110동</v>
          </cell>
          <cell r="I1875">
            <v>250225</v>
          </cell>
          <cell r="J1875" t="str">
            <v>110동 18층 바닥</v>
          </cell>
          <cell r="K1875">
            <v>282</v>
          </cell>
          <cell r="L1875">
            <v>282</v>
          </cell>
          <cell r="M1875">
            <v>3018</v>
          </cell>
          <cell r="N1875" t="str">
            <v>용호</v>
          </cell>
          <cell r="O1875" t="str">
            <v>펌프카(1대)</v>
          </cell>
          <cell r="P1875">
            <v>1339</v>
          </cell>
          <cell r="Q1875">
            <v>1710</v>
          </cell>
          <cell r="R1875">
            <v>195</v>
          </cell>
          <cell r="S1875">
            <v>50</v>
          </cell>
          <cell r="T1875">
            <v>80</v>
          </cell>
          <cell r="U1875">
            <v>177</v>
          </cell>
          <cell r="V1875"/>
          <cell r="W1875" t="str">
            <v>김광록</v>
          </cell>
          <cell r="X1875" t="str">
            <v>(인)</v>
          </cell>
          <cell r="Y1875" t="str">
            <v>박순홍</v>
          </cell>
          <cell r="Z1875" t="str">
            <v>(인)</v>
          </cell>
          <cell r="AA1875" t="str">
            <v>박상갑</v>
          </cell>
          <cell r="AB1875" t="str">
            <v>(인)</v>
          </cell>
          <cell r="AC1875" t="str">
            <v>이홍걸</v>
          </cell>
          <cell r="AD1875" t="str">
            <v>(인)</v>
          </cell>
          <cell r="AE1875">
            <v>187.3</v>
          </cell>
          <cell r="AF1875" t="str">
            <v>동절기</v>
          </cell>
          <cell r="AG1875">
            <v>3</v>
          </cell>
          <cell r="AH1875">
            <v>0</v>
          </cell>
        </row>
        <row r="1876">
          <cell r="G1876">
            <v>2502250201</v>
          </cell>
          <cell r="H1876" t="str">
            <v>115동</v>
          </cell>
          <cell r="I1876">
            <v>250225</v>
          </cell>
          <cell r="J1876" t="str">
            <v>115동 13층 바닥</v>
          </cell>
          <cell r="K1876">
            <v>282</v>
          </cell>
          <cell r="L1876">
            <v>282</v>
          </cell>
          <cell r="M1876">
            <v>3018</v>
          </cell>
          <cell r="N1876" t="str">
            <v>용호</v>
          </cell>
          <cell r="O1876" t="str">
            <v>펌프카(1대)</v>
          </cell>
          <cell r="P1876">
            <v>843</v>
          </cell>
          <cell r="Q1876">
            <v>1245</v>
          </cell>
          <cell r="R1876">
            <v>195</v>
          </cell>
          <cell r="S1876">
            <v>46</v>
          </cell>
          <cell r="T1876">
            <v>57</v>
          </cell>
          <cell r="U1876">
            <v>143</v>
          </cell>
          <cell r="V1876"/>
          <cell r="W1876" t="str">
            <v>김광록</v>
          </cell>
          <cell r="X1876" t="str">
            <v>(인)</v>
          </cell>
          <cell r="Y1876" t="str">
            <v>박순홍</v>
          </cell>
          <cell r="Z1876" t="str">
            <v>(인)</v>
          </cell>
          <cell r="AA1876" t="str">
            <v>박상갑</v>
          </cell>
          <cell r="AB1876" t="str">
            <v>(인)</v>
          </cell>
          <cell r="AC1876" t="str">
            <v>이홍걸</v>
          </cell>
          <cell r="AD1876" t="str">
            <v>(인)</v>
          </cell>
          <cell r="AE1876">
            <v>186.6</v>
          </cell>
          <cell r="AF1876" t="str">
            <v>동절기</v>
          </cell>
          <cell r="AG1876">
            <v>1</v>
          </cell>
          <cell r="AH1876">
            <v>1</v>
          </cell>
          <cell r="AI1876">
            <v>2834</v>
          </cell>
          <cell r="AJ1876">
            <v>3778</v>
          </cell>
          <cell r="AK1876">
            <v>222000</v>
          </cell>
          <cell r="AL1876">
            <v>3710</v>
          </cell>
          <cell r="AM1876">
            <v>3687</v>
          </cell>
          <cell r="AN1876">
            <v>3692</v>
          </cell>
          <cell r="AO1876">
            <v>3684</v>
          </cell>
          <cell r="AP1876">
            <v>3704</v>
          </cell>
          <cell r="AQ1876">
            <v>3804</v>
          </cell>
          <cell r="AR1876">
            <v>3687</v>
          </cell>
          <cell r="AS1876">
            <v>3710</v>
          </cell>
          <cell r="AT1876">
            <v>290000</v>
          </cell>
        </row>
        <row r="1877">
          <cell r="G1877">
            <v>2502250202</v>
          </cell>
          <cell r="H1877" t="str">
            <v>115동</v>
          </cell>
          <cell r="I1877">
            <v>250225</v>
          </cell>
          <cell r="J1877" t="str">
            <v>115동 13층 바닥</v>
          </cell>
          <cell r="K1877">
            <v>282</v>
          </cell>
          <cell r="L1877">
            <v>282</v>
          </cell>
          <cell r="M1877">
            <v>3018</v>
          </cell>
          <cell r="N1877" t="str">
            <v>용호</v>
          </cell>
          <cell r="O1877" t="str">
            <v>펌프카(1대)</v>
          </cell>
          <cell r="P1877">
            <v>843</v>
          </cell>
          <cell r="Q1877">
            <v>1245</v>
          </cell>
          <cell r="R1877">
            <v>180</v>
          </cell>
          <cell r="S1877">
            <v>38</v>
          </cell>
          <cell r="T1877">
            <v>47</v>
          </cell>
          <cell r="U1877">
            <v>152</v>
          </cell>
          <cell r="V1877"/>
          <cell r="W1877" t="str">
            <v>김광록</v>
          </cell>
          <cell r="X1877" t="str">
            <v>(인)</v>
          </cell>
          <cell r="Y1877" t="str">
            <v>박순홍</v>
          </cell>
          <cell r="Z1877" t="str">
            <v>(인)</v>
          </cell>
          <cell r="AA1877" t="str">
            <v>박상갑</v>
          </cell>
          <cell r="AB1877" t="str">
            <v>(인)</v>
          </cell>
          <cell r="AC1877" t="str">
            <v>이홍걸</v>
          </cell>
          <cell r="AD1877" t="str">
            <v>(인)</v>
          </cell>
          <cell r="AE1877">
            <v>181.6</v>
          </cell>
          <cell r="AF1877" t="str">
            <v>동절기</v>
          </cell>
          <cell r="AG1877">
            <v>2</v>
          </cell>
          <cell r="AH1877">
            <v>0</v>
          </cell>
        </row>
        <row r="1878">
          <cell r="G1878">
            <v>2502250203</v>
          </cell>
          <cell r="H1878" t="str">
            <v>115동</v>
          </cell>
          <cell r="I1878">
            <v>250225</v>
          </cell>
          <cell r="J1878" t="str">
            <v>115동 13층 바닥</v>
          </cell>
          <cell r="K1878">
            <v>282</v>
          </cell>
          <cell r="L1878">
            <v>282</v>
          </cell>
          <cell r="M1878">
            <v>3018</v>
          </cell>
          <cell r="N1878" t="str">
            <v>용호</v>
          </cell>
          <cell r="O1878" t="str">
            <v>펌프카(1대)</v>
          </cell>
          <cell r="P1878">
            <v>843</v>
          </cell>
          <cell r="Q1878">
            <v>1245</v>
          </cell>
          <cell r="R1878">
            <v>200</v>
          </cell>
          <cell r="S1878">
            <v>51</v>
          </cell>
          <cell r="T1878">
            <v>88</v>
          </cell>
          <cell r="U1878">
            <v>162</v>
          </cell>
          <cell r="V1878"/>
          <cell r="W1878" t="str">
            <v>김광록</v>
          </cell>
          <cell r="X1878" t="str">
            <v>(인)</v>
          </cell>
          <cell r="Y1878" t="str">
            <v>박순홍</v>
          </cell>
          <cell r="Z1878" t="str">
            <v>(인)</v>
          </cell>
          <cell r="AA1878" t="str">
            <v>박상갑</v>
          </cell>
          <cell r="AB1878" t="str">
            <v>(인)</v>
          </cell>
          <cell r="AC1878" t="str">
            <v>이홍걸</v>
          </cell>
          <cell r="AD1878" t="str">
            <v>(인)</v>
          </cell>
          <cell r="AE1878">
            <v>183.2</v>
          </cell>
          <cell r="AF1878" t="str">
            <v>동절기</v>
          </cell>
          <cell r="AG1878">
            <v>3</v>
          </cell>
          <cell r="AH1878">
            <v>0</v>
          </cell>
        </row>
        <row r="1879">
          <cell r="G1879">
            <v>2502250301</v>
          </cell>
          <cell r="H1879" t="str">
            <v>107동</v>
          </cell>
          <cell r="I1879">
            <v>250225</v>
          </cell>
          <cell r="J1879" t="str">
            <v>107동 옥탑 PH2 지붕</v>
          </cell>
          <cell r="K1879">
            <v>42</v>
          </cell>
          <cell r="L1879">
            <v>42</v>
          </cell>
          <cell r="M1879">
            <v>3018</v>
          </cell>
          <cell r="N1879" t="str">
            <v>신우</v>
          </cell>
          <cell r="O1879" t="str">
            <v>펌프카(1대)</v>
          </cell>
          <cell r="P1879">
            <v>908</v>
          </cell>
          <cell r="Q1879">
            <v>1427</v>
          </cell>
          <cell r="R1879">
            <v>200</v>
          </cell>
          <cell r="S1879">
            <v>40</v>
          </cell>
          <cell r="T1879">
            <v>85</v>
          </cell>
          <cell r="U1879">
            <v>147</v>
          </cell>
          <cell r="V1879"/>
          <cell r="W1879" t="str">
            <v>김광록</v>
          </cell>
          <cell r="X1879" t="str">
            <v>(인)</v>
          </cell>
          <cell r="Y1879" t="str">
            <v>박순홍</v>
          </cell>
          <cell r="Z1879" t="str">
            <v>(인)</v>
          </cell>
          <cell r="AA1879" t="str">
            <v>박상갑</v>
          </cell>
          <cell r="AB1879" t="str">
            <v>(인)</v>
          </cell>
          <cell r="AC1879" t="str">
            <v>이홍걸</v>
          </cell>
          <cell r="AD1879" t="str">
            <v>(인)</v>
          </cell>
          <cell r="AE1879">
            <v>180.3</v>
          </cell>
          <cell r="AF1879" t="str">
            <v>동절기</v>
          </cell>
          <cell r="AG1879">
            <v>1</v>
          </cell>
          <cell r="AH1879">
            <v>1</v>
          </cell>
          <cell r="AI1879">
            <v>2953</v>
          </cell>
          <cell r="AJ1879">
            <v>2789</v>
          </cell>
          <cell r="AK1879">
            <v>218200</v>
          </cell>
          <cell r="AL1879">
            <v>3710</v>
          </cell>
          <cell r="AM1879">
            <v>3698</v>
          </cell>
          <cell r="AN1879">
            <v>3704</v>
          </cell>
          <cell r="AO1879">
            <v>3679</v>
          </cell>
          <cell r="AP1879">
            <v>3804</v>
          </cell>
          <cell r="AQ1879">
            <v>3811</v>
          </cell>
          <cell r="AR1879">
            <v>3713</v>
          </cell>
          <cell r="AS1879">
            <v>3902</v>
          </cell>
          <cell r="AT1879">
            <v>295100</v>
          </cell>
        </row>
        <row r="1880">
          <cell r="G1880">
            <v>2502250401</v>
          </cell>
          <cell r="H1880" t="str">
            <v>주차장</v>
          </cell>
          <cell r="I1880">
            <v>250225</v>
          </cell>
          <cell r="J1880" t="str">
            <v>112동 주변주차장 12구간 지하2층</v>
          </cell>
          <cell r="K1880">
            <v>228</v>
          </cell>
          <cell r="L1880">
            <v>228</v>
          </cell>
          <cell r="M1880">
            <v>2715</v>
          </cell>
          <cell r="N1880" t="str">
            <v>영진</v>
          </cell>
          <cell r="O1880" t="str">
            <v>펌프카(1대)</v>
          </cell>
          <cell r="P1880">
            <v>840</v>
          </cell>
          <cell r="Q1880">
            <v>1412</v>
          </cell>
          <cell r="R1880">
            <v>165</v>
          </cell>
          <cell r="S1880">
            <v>39</v>
          </cell>
          <cell r="T1880">
            <v>35</v>
          </cell>
          <cell r="U1880">
            <v>173</v>
          </cell>
          <cell r="V1880"/>
          <cell r="W1880" t="str">
            <v>김광록</v>
          </cell>
          <cell r="X1880" t="str">
            <v>(인)</v>
          </cell>
          <cell r="Y1880" t="str">
            <v>박순홍</v>
          </cell>
          <cell r="Z1880" t="str">
            <v>(인)</v>
          </cell>
          <cell r="AA1880" t="str">
            <v>박상갑</v>
          </cell>
          <cell r="AB1880" t="str">
            <v>(인)</v>
          </cell>
          <cell r="AC1880" t="str">
            <v>이홍걸</v>
          </cell>
          <cell r="AD1880" t="str">
            <v>(인)</v>
          </cell>
          <cell r="AE1880">
            <v>185.9</v>
          </cell>
          <cell r="AF1880" t="str">
            <v>동절기</v>
          </cell>
          <cell r="AG1880">
            <v>1</v>
          </cell>
          <cell r="AH1880">
            <v>1</v>
          </cell>
          <cell r="AI1880">
            <v>2436</v>
          </cell>
          <cell r="AJ1880">
            <v>2318</v>
          </cell>
          <cell r="AK1880">
            <v>188000</v>
          </cell>
          <cell r="AL1880">
            <v>3213</v>
          </cell>
          <cell r="AM1880">
            <v>3306</v>
          </cell>
          <cell r="AN1880">
            <v>3178</v>
          </cell>
          <cell r="AO1880">
            <v>3236</v>
          </cell>
          <cell r="AP1880">
            <v>3281</v>
          </cell>
          <cell r="AQ1880">
            <v>3194</v>
          </cell>
          <cell r="AR1880">
            <v>3302</v>
          </cell>
          <cell r="AS1880">
            <v>3112</v>
          </cell>
          <cell r="AT1880">
            <v>249400</v>
          </cell>
        </row>
        <row r="1881">
          <cell r="G1881">
            <v>2502250402</v>
          </cell>
          <cell r="H1881" t="str">
            <v>주차장</v>
          </cell>
          <cell r="I1881">
            <v>250225</v>
          </cell>
          <cell r="J1881" t="str">
            <v>112동 주변주차장 12구간 지하2층</v>
          </cell>
          <cell r="K1881">
            <v>228</v>
          </cell>
          <cell r="L1881">
            <v>228</v>
          </cell>
          <cell r="M1881">
            <v>2715</v>
          </cell>
          <cell r="N1881" t="str">
            <v>영진</v>
          </cell>
          <cell r="O1881" t="str">
            <v>펌프카(1대)</v>
          </cell>
          <cell r="P1881">
            <v>840</v>
          </cell>
          <cell r="Q1881">
            <v>1412</v>
          </cell>
          <cell r="R1881">
            <v>155</v>
          </cell>
          <cell r="S1881">
            <v>36</v>
          </cell>
          <cell r="T1881">
            <v>28</v>
          </cell>
          <cell r="U1881">
            <v>169</v>
          </cell>
          <cell r="V1881"/>
          <cell r="W1881" t="str">
            <v>김광록</v>
          </cell>
          <cell r="X1881" t="str">
            <v>(인)</v>
          </cell>
          <cell r="Y1881" t="str">
            <v>박순홍</v>
          </cell>
          <cell r="Z1881" t="str">
            <v>(인)</v>
          </cell>
          <cell r="AA1881" t="str">
            <v>박상갑</v>
          </cell>
          <cell r="AB1881" t="str">
            <v>(인)</v>
          </cell>
          <cell r="AC1881" t="str">
            <v>이홍걸</v>
          </cell>
          <cell r="AD1881" t="str">
            <v>(인)</v>
          </cell>
          <cell r="AE1881">
            <v>180.5</v>
          </cell>
          <cell r="AF1881" t="str">
            <v>동절기</v>
          </cell>
          <cell r="AG1881">
            <v>2</v>
          </cell>
          <cell r="AH1881">
            <v>0</v>
          </cell>
        </row>
        <row r="1882">
          <cell r="G1882">
            <v>2502260101</v>
          </cell>
          <cell r="H1882" t="str">
            <v>109동</v>
          </cell>
          <cell r="I1882">
            <v>250226</v>
          </cell>
          <cell r="J1882" t="str">
            <v>109동 19층 바닥</v>
          </cell>
          <cell r="K1882">
            <v>285</v>
          </cell>
          <cell r="L1882">
            <v>285</v>
          </cell>
          <cell r="M1882">
            <v>3018</v>
          </cell>
          <cell r="N1882" t="str">
            <v>대공</v>
          </cell>
          <cell r="O1882" t="str">
            <v>펌프카(1대)</v>
          </cell>
          <cell r="P1882">
            <v>1205</v>
          </cell>
          <cell r="Q1882">
            <v>1625</v>
          </cell>
          <cell r="R1882">
            <v>170</v>
          </cell>
          <cell r="S1882">
            <v>52</v>
          </cell>
          <cell r="T1882">
            <v>27</v>
          </cell>
          <cell r="U1882">
            <v>185</v>
          </cell>
          <cell r="V1882"/>
          <cell r="W1882" t="str">
            <v>박순홍</v>
          </cell>
          <cell r="X1882" t="str">
            <v>(인)</v>
          </cell>
          <cell r="Y1882" t="str">
            <v>김광록</v>
          </cell>
          <cell r="Z1882" t="str">
            <v>(인)</v>
          </cell>
          <cell r="AA1882" t="str">
            <v>박상갑</v>
          </cell>
          <cell r="AB1882" t="str">
            <v>(인)</v>
          </cell>
          <cell r="AC1882" t="str">
            <v>이홍걸</v>
          </cell>
          <cell r="AD1882" t="str">
            <v>(인)</v>
          </cell>
          <cell r="AE1882">
            <v>177.5</v>
          </cell>
          <cell r="AF1882" t="str">
            <v>동절기</v>
          </cell>
          <cell r="AG1882">
            <v>1</v>
          </cell>
          <cell r="AH1882">
            <v>1</v>
          </cell>
          <cell r="AI1882">
            <v>2566</v>
          </cell>
          <cell r="AJ1882">
            <v>2607</v>
          </cell>
          <cell r="AK1882">
            <v>210400</v>
          </cell>
          <cell r="AL1882">
            <v>3736</v>
          </cell>
          <cell r="AM1882">
            <v>3629</v>
          </cell>
          <cell r="AN1882">
            <v>3860</v>
          </cell>
          <cell r="AO1882">
            <v>3629</v>
          </cell>
          <cell r="AP1882">
            <v>3811</v>
          </cell>
          <cell r="AQ1882">
            <v>3728</v>
          </cell>
          <cell r="AR1882">
            <v>3600</v>
          </cell>
          <cell r="AS1882">
            <v>3760</v>
          </cell>
          <cell r="AT1882">
            <v>294600</v>
          </cell>
        </row>
        <row r="1883">
          <cell r="G1883">
            <v>2502260102</v>
          </cell>
          <cell r="H1883" t="str">
            <v>109동</v>
          </cell>
          <cell r="I1883">
            <v>250226</v>
          </cell>
          <cell r="J1883" t="str">
            <v>109동 19층 바닥</v>
          </cell>
          <cell r="K1883">
            <v>285</v>
          </cell>
          <cell r="L1883">
            <v>285</v>
          </cell>
          <cell r="M1883">
            <v>3018</v>
          </cell>
          <cell r="N1883" t="str">
            <v>대공</v>
          </cell>
          <cell r="O1883" t="str">
            <v>펌프카(1대)</v>
          </cell>
          <cell r="P1883">
            <v>1205</v>
          </cell>
          <cell r="Q1883">
            <v>1625</v>
          </cell>
          <cell r="R1883">
            <v>190</v>
          </cell>
          <cell r="S1883">
            <v>50</v>
          </cell>
          <cell r="T1883">
            <v>20</v>
          </cell>
          <cell r="U1883">
            <v>180</v>
          </cell>
          <cell r="V1883"/>
          <cell r="W1883" t="str">
            <v>박순홍</v>
          </cell>
          <cell r="X1883" t="str">
            <v>(인)</v>
          </cell>
          <cell r="Y1883" t="str">
            <v>김광록</v>
          </cell>
          <cell r="Z1883" t="str">
            <v>(인)</v>
          </cell>
          <cell r="AA1883" t="str">
            <v>박상갑</v>
          </cell>
          <cell r="AB1883" t="str">
            <v>(인)</v>
          </cell>
          <cell r="AC1883" t="str">
            <v>이홍걸</v>
          </cell>
          <cell r="AD1883" t="str">
            <v>(인)</v>
          </cell>
          <cell r="AE1883">
            <v>186.9</v>
          </cell>
          <cell r="AF1883" t="str">
            <v>동절기</v>
          </cell>
          <cell r="AG1883">
            <v>2</v>
          </cell>
          <cell r="AH1883">
            <v>0</v>
          </cell>
        </row>
        <row r="1884">
          <cell r="G1884">
            <v>2502260103</v>
          </cell>
          <cell r="H1884" t="str">
            <v>109동</v>
          </cell>
          <cell r="I1884">
            <v>250226</v>
          </cell>
          <cell r="J1884" t="str">
            <v>109동 19층 바닥</v>
          </cell>
          <cell r="K1884">
            <v>285</v>
          </cell>
          <cell r="L1884">
            <v>285</v>
          </cell>
          <cell r="M1884">
            <v>3018</v>
          </cell>
          <cell r="N1884" t="str">
            <v>대공</v>
          </cell>
          <cell r="O1884" t="str">
            <v>펌프카(1대)</v>
          </cell>
          <cell r="P1884">
            <v>1205</v>
          </cell>
          <cell r="Q1884">
            <v>1625</v>
          </cell>
          <cell r="R1884">
            <v>170</v>
          </cell>
          <cell r="S1884">
            <v>56</v>
          </cell>
          <cell r="T1884">
            <v>29</v>
          </cell>
          <cell r="U1884">
            <v>203</v>
          </cell>
          <cell r="V1884"/>
          <cell r="W1884" t="str">
            <v>박순홍</v>
          </cell>
          <cell r="X1884" t="str">
            <v>(인)</v>
          </cell>
          <cell r="Y1884" t="str">
            <v>김광록</v>
          </cell>
          <cell r="Z1884" t="str">
            <v>(인)</v>
          </cell>
          <cell r="AA1884" t="str">
            <v>박상갑</v>
          </cell>
          <cell r="AB1884" t="str">
            <v>(인)</v>
          </cell>
          <cell r="AC1884" t="str">
            <v>이홍걸</v>
          </cell>
          <cell r="AD1884" t="str">
            <v>(인)</v>
          </cell>
          <cell r="AE1884">
            <v>190.1</v>
          </cell>
          <cell r="AF1884" t="str">
            <v>동절기</v>
          </cell>
          <cell r="AG1884">
            <v>3</v>
          </cell>
          <cell r="AH1884">
            <v>0</v>
          </cell>
        </row>
        <row r="1885">
          <cell r="G1885">
            <v>2502260201</v>
          </cell>
          <cell r="H1885" t="str">
            <v>111동</v>
          </cell>
          <cell r="I1885">
            <v>250226</v>
          </cell>
          <cell r="J1885" t="str">
            <v>111동 17층 바닥, 111동 PH1 바닥 및 옥상파라펫</v>
          </cell>
          <cell r="K1885">
            <v>162</v>
          </cell>
          <cell r="L1885">
            <v>192</v>
          </cell>
          <cell r="M1885">
            <v>3018</v>
          </cell>
          <cell r="N1885" t="str">
            <v>대공</v>
          </cell>
          <cell r="O1885" t="str">
            <v>펌프카(1대)</v>
          </cell>
          <cell r="P1885">
            <v>835</v>
          </cell>
          <cell r="Q1885">
            <v>1118</v>
          </cell>
          <cell r="R1885">
            <v>195</v>
          </cell>
          <cell r="S1885">
            <v>43</v>
          </cell>
          <cell r="T1885">
            <v>76</v>
          </cell>
          <cell r="U1885">
            <v>164</v>
          </cell>
          <cell r="V1885"/>
          <cell r="W1885" t="str">
            <v>김광록</v>
          </cell>
          <cell r="X1885" t="str">
            <v>(인)</v>
          </cell>
          <cell r="Y1885" t="str">
            <v>김광록</v>
          </cell>
          <cell r="Z1885" t="str">
            <v>(인)</v>
          </cell>
          <cell r="AA1885" t="str">
            <v>박상갑</v>
          </cell>
          <cell r="AB1885" t="str">
            <v>(인)</v>
          </cell>
          <cell r="AC1885" t="str">
            <v>이홍걸</v>
          </cell>
          <cell r="AD1885" t="str">
            <v>(인)</v>
          </cell>
          <cell r="AE1885">
            <v>173.1</v>
          </cell>
          <cell r="AF1885" t="str">
            <v>동절기</v>
          </cell>
          <cell r="AG1885">
            <v>1</v>
          </cell>
          <cell r="AH1885">
            <v>1</v>
          </cell>
          <cell r="AI1885">
            <v>2666</v>
          </cell>
          <cell r="AJ1885">
            <v>2780</v>
          </cell>
          <cell r="AK1885">
            <v>212200</v>
          </cell>
          <cell r="AL1885">
            <v>3488</v>
          </cell>
          <cell r="AM1885">
            <v>3524</v>
          </cell>
          <cell r="AN1885">
            <v>3634</v>
          </cell>
          <cell r="AO1885">
            <v>3481</v>
          </cell>
          <cell r="AP1885">
            <v>3629</v>
          </cell>
          <cell r="AQ1885">
            <v>3584</v>
          </cell>
          <cell r="AR1885">
            <v>3542</v>
          </cell>
          <cell r="AS1885">
            <v>3628</v>
          </cell>
          <cell r="AT1885">
            <v>273200</v>
          </cell>
        </row>
        <row r="1886">
          <cell r="G1886">
            <v>2502260202</v>
          </cell>
          <cell r="H1886" t="str">
            <v>111동</v>
          </cell>
          <cell r="I1886">
            <v>250226</v>
          </cell>
          <cell r="J1886" t="str">
            <v>111동 17층 바닥, 111동 PH1 바닥 및 옥상파라펫</v>
          </cell>
          <cell r="K1886">
            <v>162</v>
          </cell>
          <cell r="L1886">
            <v>192</v>
          </cell>
          <cell r="M1886">
            <v>3018</v>
          </cell>
          <cell r="N1886" t="str">
            <v>대공</v>
          </cell>
          <cell r="O1886" t="str">
            <v>펌프카(1대)</v>
          </cell>
          <cell r="P1886">
            <v>835</v>
          </cell>
          <cell r="Q1886">
            <v>1118</v>
          </cell>
          <cell r="R1886">
            <v>175</v>
          </cell>
          <cell r="S1886">
            <v>35</v>
          </cell>
          <cell r="T1886">
            <v>95</v>
          </cell>
          <cell r="U1886">
            <v>173</v>
          </cell>
          <cell r="V1886"/>
          <cell r="W1886" t="str">
            <v>김광록</v>
          </cell>
          <cell r="X1886" t="str">
            <v>(인)</v>
          </cell>
          <cell r="Y1886" t="str">
            <v>김광록</v>
          </cell>
          <cell r="Z1886" t="str">
            <v>(인)</v>
          </cell>
          <cell r="AA1886" t="str">
            <v>박상갑</v>
          </cell>
          <cell r="AB1886" t="str">
            <v>(인)</v>
          </cell>
          <cell r="AC1886" t="str">
            <v>이홍걸</v>
          </cell>
          <cell r="AD1886" t="str">
            <v>(인)</v>
          </cell>
          <cell r="AE1886">
            <v>180</v>
          </cell>
          <cell r="AF1886" t="str">
            <v>동절기</v>
          </cell>
          <cell r="AG1886">
            <v>2</v>
          </cell>
          <cell r="AH1886">
            <v>0</v>
          </cell>
        </row>
        <row r="1887">
          <cell r="G1887">
            <v>2502260301</v>
          </cell>
          <cell r="H1887" t="str">
            <v>116동</v>
          </cell>
          <cell r="I1887">
            <v>250226</v>
          </cell>
          <cell r="J1887" t="str">
            <v>116동 11층 바닥</v>
          </cell>
          <cell r="K1887">
            <v>282</v>
          </cell>
          <cell r="L1887">
            <v>282</v>
          </cell>
          <cell r="M1887">
            <v>3018</v>
          </cell>
          <cell r="N1887" t="str">
            <v>영진</v>
          </cell>
          <cell r="O1887" t="str">
            <v>펌프카(1대)</v>
          </cell>
          <cell r="P1887">
            <v>852</v>
          </cell>
          <cell r="Q1887">
            <v>1310</v>
          </cell>
          <cell r="R1887">
            <v>190</v>
          </cell>
          <cell r="S1887">
            <v>42</v>
          </cell>
          <cell r="T1887">
            <v>35</v>
          </cell>
          <cell r="U1887">
            <v>191</v>
          </cell>
          <cell r="V1887"/>
          <cell r="W1887" t="str">
            <v>김광록</v>
          </cell>
          <cell r="X1887" t="str">
            <v>(인)</v>
          </cell>
          <cell r="Y1887" t="str">
            <v>김광록</v>
          </cell>
          <cell r="Z1887" t="str">
            <v>(인)</v>
          </cell>
          <cell r="AA1887" t="str">
            <v>박상갑</v>
          </cell>
          <cell r="AB1887" t="str">
            <v>(인)</v>
          </cell>
          <cell r="AC1887" t="str">
            <v>이홍걸</v>
          </cell>
          <cell r="AD1887" t="str">
            <v>(인)</v>
          </cell>
          <cell r="AE1887">
            <v>172.6</v>
          </cell>
          <cell r="AF1887" t="str">
            <v>동절기</v>
          </cell>
          <cell r="AG1887">
            <v>1</v>
          </cell>
          <cell r="AH1887">
            <v>1</v>
          </cell>
          <cell r="AI1887">
            <v>2648</v>
          </cell>
          <cell r="AJ1887">
            <v>2573</v>
          </cell>
          <cell r="AK1887">
            <v>201600</v>
          </cell>
          <cell r="AL1887">
            <v>3702</v>
          </cell>
          <cell r="AM1887">
            <v>3688</v>
          </cell>
          <cell r="AN1887">
            <v>3742</v>
          </cell>
          <cell r="AO1887">
            <v>3901</v>
          </cell>
          <cell r="AP1887">
            <v>3738</v>
          </cell>
          <cell r="AQ1887">
            <v>3661</v>
          </cell>
          <cell r="AR1887">
            <v>3628</v>
          </cell>
          <cell r="AS1887">
            <v>3864</v>
          </cell>
          <cell r="AT1887">
            <v>297800</v>
          </cell>
        </row>
        <row r="1888">
          <cell r="G1888">
            <v>2502260302</v>
          </cell>
          <cell r="H1888" t="str">
            <v>116동</v>
          </cell>
          <cell r="I1888">
            <v>250226</v>
          </cell>
          <cell r="J1888" t="str">
            <v>116동 11층 바닥</v>
          </cell>
          <cell r="K1888">
            <v>282</v>
          </cell>
          <cell r="L1888">
            <v>282</v>
          </cell>
          <cell r="M1888">
            <v>3018</v>
          </cell>
          <cell r="N1888" t="str">
            <v>영진</v>
          </cell>
          <cell r="O1888" t="str">
            <v>펌프카(1대)</v>
          </cell>
          <cell r="P1888">
            <v>852</v>
          </cell>
          <cell r="Q1888">
            <v>1310</v>
          </cell>
          <cell r="R1888">
            <v>200</v>
          </cell>
          <cell r="S1888">
            <v>45</v>
          </cell>
          <cell r="T1888">
            <v>38</v>
          </cell>
          <cell r="U1888">
            <v>178</v>
          </cell>
          <cell r="V1888"/>
          <cell r="W1888" t="str">
            <v>김광록</v>
          </cell>
          <cell r="X1888" t="str">
            <v>(인)</v>
          </cell>
          <cell r="Y1888" t="str">
            <v>김광록</v>
          </cell>
          <cell r="Z1888" t="str">
            <v>(인)</v>
          </cell>
          <cell r="AA1888" t="str">
            <v>박상갑</v>
          </cell>
          <cell r="AB1888" t="str">
            <v>(인)</v>
          </cell>
          <cell r="AC1888" t="str">
            <v>이홍걸</v>
          </cell>
          <cell r="AD1888" t="str">
            <v>(인)</v>
          </cell>
          <cell r="AE1888">
            <v>171.5</v>
          </cell>
          <cell r="AF1888" t="str">
            <v>동절기</v>
          </cell>
          <cell r="AG1888">
            <v>2</v>
          </cell>
          <cell r="AH1888">
            <v>0</v>
          </cell>
        </row>
        <row r="1889">
          <cell r="G1889">
            <v>2502260303</v>
          </cell>
          <cell r="H1889" t="str">
            <v>116동</v>
          </cell>
          <cell r="I1889">
            <v>250226</v>
          </cell>
          <cell r="J1889" t="str">
            <v>116동 11층 바닥</v>
          </cell>
          <cell r="K1889">
            <v>282</v>
          </cell>
          <cell r="L1889">
            <v>282</v>
          </cell>
          <cell r="M1889">
            <v>3018</v>
          </cell>
          <cell r="N1889" t="str">
            <v>영진</v>
          </cell>
          <cell r="O1889" t="str">
            <v>펌프카(1대)</v>
          </cell>
          <cell r="P1889">
            <v>852</v>
          </cell>
          <cell r="Q1889">
            <v>1310</v>
          </cell>
          <cell r="R1889">
            <v>200</v>
          </cell>
          <cell r="S1889">
            <v>50</v>
          </cell>
          <cell r="T1889">
            <v>34</v>
          </cell>
          <cell r="U1889">
            <v>166</v>
          </cell>
          <cell r="V1889"/>
          <cell r="W1889" t="str">
            <v>김광록</v>
          </cell>
          <cell r="X1889" t="str">
            <v>(인)</v>
          </cell>
          <cell r="Y1889" t="str">
            <v>김광록</v>
          </cell>
          <cell r="Z1889" t="str">
            <v>(인)</v>
          </cell>
          <cell r="AA1889" t="str">
            <v>박상갑</v>
          </cell>
          <cell r="AB1889" t="str">
            <v>(인)</v>
          </cell>
          <cell r="AC1889" t="str">
            <v>이홍걸</v>
          </cell>
          <cell r="AD1889" t="str">
            <v>(인)</v>
          </cell>
          <cell r="AE1889">
            <v>179.8</v>
          </cell>
          <cell r="AF1889" t="str">
            <v>동절기</v>
          </cell>
          <cell r="AG1889">
            <v>3</v>
          </cell>
          <cell r="AH1889">
            <v>0</v>
          </cell>
        </row>
        <row r="1890">
          <cell r="G1890">
            <v>2502270101</v>
          </cell>
          <cell r="H1890" t="str">
            <v>119동</v>
          </cell>
          <cell r="I1890">
            <v>250227</v>
          </cell>
          <cell r="J1890" t="str">
            <v>119동 9층 바닥</v>
          </cell>
          <cell r="K1890">
            <v>290</v>
          </cell>
          <cell r="L1890">
            <v>294</v>
          </cell>
          <cell r="M1890">
            <v>3018</v>
          </cell>
          <cell r="N1890" t="str">
            <v>동양</v>
          </cell>
          <cell r="O1890" t="str">
            <v>펌프카(1대)</v>
          </cell>
          <cell r="P1890">
            <v>818</v>
          </cell>
          <cell r="Q1890">
            <v>1336</v>
          </cell>
          <cell r="R1890">
            <v>170</v>
          </cell>
          <cell r="S1890">
            <v>51</v>
          </cell>
          <cell r="T1890">
            <v>17</v>
          </cell>
          <cell r="U1890">
            <v>177</v>
          </cell>
          <cell r="V1890"/>
          <cell r="W1890" t="str">
            <v>김광록</v>
          </cell>
          <cell r="X1890" t="str">
            <v>(인)</v>
          </cell>
          <cell r="Y1890" t="str">
            <v>박순홍</v>
          </cell>
          <cell r="Z1890" t="str">
            <v>(인)</v>
          </cell>
          <cell r="AA1890" t="str">
            <v>박상갑</v>
          </cell>
          <cell r="AB1890" t="str">
            <v>(인)</v>
          </cell>
          <cell r="AC1890" t="str">
            <v>이홍걸</v>
          </cell>
          <cell r="AD1890" t="str">
            <v>(인)</v>
          </cell>
          <cell r="AE1890">
            <v>180</v>
          </cell>
          <cell r="AF1890" t="str">
            <v>동절기</v>
          </cell>
          <cell r="AG1890">
            <v>1</v>
          </cell>
          <cell r="AH1890">
            <v>1</v>
          </cell>
          <cell r="AI1890">
            <v>2589</v>
          </cell>
          <cell r="AJ1890">
            <v>2580</v>
          </cell>
          <cell r="AK1890">
            <v>202000</v>
          </cell>
          <cell r="AL1890">
            <v>3701</v>
          </cell>
          <cell r="AM1890">
            <v>3706</v>
          </cell>
          <cell r="AN1890">
            <v>3689</v>
          </cell>
          <cell r="AO1890">
            <v>3688</v>
          </cell>
          <cell r="AP1890">
            <v>3702</v>
          </cell>
          <cell r="AQ1890">
            <v>3689</v>
          </cell>
          <cell r="AR1890">
            <v>3701</v>
          </cell>
          <cell r="AS1890">
            <v>3689</v>
          </cell>
          <cell r="AT1890">
            <v>292600</v>
          </cell>
        </row>
        <row r="1891">
          <cell r="G1891">
            <v>2502270102</v>
          </cell>
          <cell r="H1891" t="str">
            <v>119동</v>
          </cell>
          <cell r="I1891">
            <v>250227</v>
          </cell>
          <cell r="J1891" t="str">
            <v>119동 9층 바닥</v>
          </cell>
          <cell r="K1891">
            <v>290</v>
          </cell>
          <cell r="L1891">
            <v>294</v>
          </cell>
          <cell r="M1891">
            <v>3018</v>
          </cell>
          <cell r="N1891" t="str">
            <v>동양</v>
          </cell>
          <cell r="O1891" t="str">
            <v>펌프카(1대)</v>
          </cell>
          <cell r="P1891">
            <v>818</v>
          </cell>
          <cell r="Q1891">
            <v>1336</v>
          </cell>
          <cell r="R1891">
            <v>170</v>
          </cell>
          <cell r="S1891">
            <v>50</v>
          </cell>
          <cell r="T1891">
            <v>43</v>
          </cell>
          <cell r="U1891">
            <v>153</v>
          </cell>
          <cell r="V1891"/>
          <cell r="W1891" t="str">
            <v>김광록</v>
          </cell>
          <cell r="X1891" t="str">
            <v>(인)</v>
          </cell>
          <cell r="Y1891" t="str">
            <v>박순홍</v>
          </cell>
          <cell r="Z1891" t="str">
            <v>(인)</v>
          </cell>
          <cell r="AA1891" t="str">
            <v>박상갑</v>
          </cell>
          <cell r="AB1891" t="str">
            <v>(인)</v>
          </cell>
          <cell r="AC1891" t="str">
            <v>이홍걸</v>
          </cell>
          <cell r="AD1891" t="str">
            <v>(인)</v>
          </cell>
          <cell r="AE1891">
            <v>183.9</v>
          </cell>
          <cell r="AF1891" t="str">
            <v>동절기</v>
          </cell>
          <cell r="AG1891">
            <v>2</v>
          </cell>
          <cell r="AH1891">
            <v>0</v>
          </cell>
        </row>
        <row r="1892">
          <cell r="G1892">
            <v>2502270103</v>
          </cell>
          <cell r="H1892" t="str">
            <v>119동</v>
          </cell>
          <cell r="I1892">
            <v>250227</v>
          </cell>
          <cell r="J1892" t="str">
            <v>119동 9층 바닥</v>
          </cell>
          <cell r="K1892">
            <v>290</v>
          </cell>
          <cell r="L1892">
            <v>294</v>
          </cell>
          <cell r="M1892">
            <v>3018</v>
          </cell>
          <cell r="N1892" t="str">
            <v>동양</v>
          </cell>
          <cell r="O1892" t="str">
            <v>펌프카(1대)</v>
          </cell>
          <cell r="P1892">
            <v>818</v>
          </cell>
          <cell r="Q1892">
            <v>1336</v>
          </cell>
          <cell r="R1892">
            <v>200</v>
          </cell>
          <cell r="S1892">
            <v>46</v>
          </cell>
          <cell r="T1892">
            <v>27</v>
          </cell>
          <cell r="U1892">
            <v>183</v>
          </cell>
          <cell r="V1892"/>
          <cell r="W1892" t="str">
            <v>김광록</v>
          </cell>
          <cell r="X1892" t="str">
            <v>(인)</v>
          </cell>
          <cell r="Y1892" t="str">
            <v>박순홍</v>
          </cell>
          <cell r="Z1892" t="str">
            <v>(인)</v>
          </cell>
          <cell r="AA1892" t="str">
            <v>박상갑</v>
          </cell>
          <cell r="AB1892" t="str">
            <v>(인)</v>
          </cell>
          <cell r="AC1892" t="str">
            <v>이홍걸</v>
          </cell>
          <cell r="AD1892" t="str">
            <v>(인)</v>
          </cell>
          <cell r="AE1892">
            <v>189.1</v>
          </cell>
          <cell r="AF1892" t="str">
            <v>동절기</v>
          </cell>
          <cell r="AG1892">
            <v>3</v>
          </cell>
          <cell r="AH1892">
            <v>0</v>
          </cell>
        </row>
        <row r="1893">
          <cell r="G1893">
            <v>2502270201</v>
          </cell>
          <cell r="H1893" t="str">
            <v>주차장</v>
          </cell>
          <cell r="I1893">
            <v>250227</v>
          </cell>
          <cell r="J1893" t="str">
            <v>113동 주변주차장 R구간 지하2층</v>
          </cell>
          <cell r="K1893">
            <v>260</v>
          </cell>
          <cell r="L1893">
            <v>261</v>
          </cell>
          <cell r="M1893">
            <v>2715</v>
          </cell>
          <cell r="N1893" t="str">
            <v>용호</v>
          </cell>
          <cell r="O1893" t="str">
            <v>펌프카(1대)</v>
          </cell>
          <cell r="P1893">
            <v>837</v>
          </cell>
          <cell r="Q1893">
            <v>1457</v>
          </cell>
          <cell r="R1893">
            <v>170</v>
          </cell>
          <cell r="S1893">
            <v>38</v>
          </cell>
          <cell r="T1893">
            <v>75</v>
          </cell>
          <cell r="U1893">
            <v>182</v>
          </cell>
          <cell r="V1893"/>
          <cell r="W1893" t="str">
            <v>김광록</v>
          </cell>
          <cell r="X1893" t="str">
            <v>(인)</v>
          </cell>
          <cell r="Y1893" t="str">
            <v>박순홍</v>
          </cell>
          <cell r="Z1893" t="str">
            <v>(인)</v>
          </cell>
          <cell r="AA1893" t="str">
            <v>박상갑</v>
          </cell>
          <cell r="AB1893" t="str">
            <v>(인)</v>
          </cell>
          <cell r="AC1893" t="str">
            <v>이홍걸</v>
          </cell>
          <cell r="AD1893" t="str">
            <v>(인)</v>
          </cell>
          <cell r="AE1893">
            <v>187</v>
          </cell>
          <cell r="AF1893" t="str">
            <v>동절기</v>
          </cell>
          <cell r="AG1893">
            <v>1</v>
          </cell>
          <cell r="AH1893">
            <v>1</v>
          </cell>
          <cell r="AI1893">
            <v>2340</v>
          </cell>
          <cell r="AJ1893">
            <v>2378</v>
          </cell>
          <cell r="AK1893">
            <v>192600</v>
          </cell>
          <cell r="AL1893">
            <v>3701</v>
          </cell>
          <cell r="AM1893">
            <v>3636</v>
          </cell>
          <cell r="AN1893">
            <v>3689</v>
          </cell>
          <cell r="AO1893">
            <v>3690</v>
          </cell>
          <cell r="AP1893">
            <v>3704</v>
          </cell>
          <cell r="AQ1893">
            <v>3781</v>
          </cell>
          <cell r="AR1893">
            <v>3685</v>
          </cell>
          <cell r="AS1893">
            <v>3706</v>
          </cell>
          <cell r="AT1893">
            <v>285400</v>
          </cell>
        </row>
        <row r="1894">
          <cell r="G1894">
            <v>2502270202</v>
          </cell>
          <cell r="H1894" t="str">
            <v>주차장</v>
          </cell>
          <cell r="I1894">
            <v>250227</v>
          </cell>
          <cell r="J1894" t="str">
            <v>113동 주변주차장 R구간 지하2층</v>
          </cell>
          <cell r="K1894">
            <v>260</v>
          </cell>
          <cell r="L1894">
            <v>261</v>
          </cell>
          <cell r="M1894">
            <v>2715</v>
          </cell>
          <cell r="N1894" t="str">
            <v>용호</v>
          </cell>
          <cell r="O1894" t="str">
            <v>펌프카(1대)</v>
          </cell>
          <cell r="P1894">
            <v>837</v>
          </cell>
          <cell r="Q1894">
            <v>1457</v>
          </cell>
          <cell r="R1894">
            <v>175</v>
          </cell>
          <cell r="S1894">
            <v>43</v>
          </cell>
          <cell r="T1894">
            <v>72</v>
          </cell>
          <cell r="U1894">
            <v>189</v>
          </cell>
          <cell r="V1894"/>
          <cell r="W1894" t="str">
            <v>김광록</v>
          </cell>
          <cell r="X1894" t="str">
            <v>(인)</v>
          </cell>
          <cell r="Y1894" t="str">
            <v>박순홍</v>
          </cell>
          <cell r="Z1894" t="str">
            <v>(인)</v>
          </cell>
          <cell r="AA1894" t="str">
            <v>박상갑</v>
          </cell>
          <cell r="AB1894" t="str">
            <v>(인)</v>
          </cell>
          <cell r="AC1894" t="str">
            <v>이홍걸</v>
          </cell>
          <cell r="AD1894" t="str">
            <v>(인)</v>
          </cell>
          <cell r="AE1894">
            <v>180.5</v>
          </cell>
          <cell r="AF1894" t="str">
            <v>동절기</v>
          </cell>
          <cell r="AG1894">
            <v>2</v>
          </cell>
          <cell r="AH1894">
            <v>0</v>
          </cell>
        </row>
        <row r="1895">
          <cell r="G1895">
            <v>2502270203</v>
          </cell>
          <cell r="H1895" t="str">
            <v>주차장</v>
          </cell>
          <cell r="I1895">
            <v>250227</v>
          </cell>
          <cell r="J1895" t="str">
            <v>113동 주변주차장 R구간 지하2층</v>
          </cell>
          <cell r="K1895">
            <v>260</v>
          </cell>
          <cell r="L1895">
            <v>261</v>
          </cell>
          <cell r="M1895">
            <v>2715</v>
          </cell>
          <cell r="N1895" t="str">
            <v>용호</v>
          </cell>
          <cell r="O1895" t="str">
            <v>펌프카(1대)</v>
          </cell>
          <cell r="P1895">
            <v>837</v>
          </cell>
          <cell r="Q1895">
            <v>1457</v>
          </cell>
          <cell r="R1895">
            <v>165</v>
          </cell>
          <cell r="S1895">
            <v>40</v>
          </cell>
          <cell r="T1895">
            <v>81</v>
          </cell>
          <cell r="U1895">
            <v>173</v>
          </cell>
          <cell r="V1895"/>
          <cell r="W1895" t="str">
            <v>김광록</v>
          </cell>
          <cell r="X1895" t="str">
            <v>(인)</v>
          </cell>
          <cell r="Y1895" t="str">
            <v>박순홍</v>
          </cell>
          <cell r="Z1895" t="str">
            <v>(인)</v>
          </cell>
          <cell r="AA1895" t="str">
            <v>박상갑</v>
          </cell>
          <cell r="AB1895" t="str">
            <v>(인)</v>
          </cell>
          <cell r="AC1895" t="str">
            <v>이홍걸</v>
          </cell>
          <cell r="AD1895" t="str">
            <v>(인)</v>
          </cell>
          <cell r="AE1895">
            <v>188</v>
          </cell>
          <cell r="AF1895" t="str">
            <v>동절기</v>
          </cell>
          <cell r="AG1895">
            <v>3</v>
          </cell>
          <cell r="AH1895">
            <v>0</v>
          </cell>
        </row>
        <row r="1896">
          <cell r="G1896">
            <v>2502270301</v>
          </cell>
          <cell r="H1896" t="str">
            <v>112동</v>
          </cell>
          <cell r="I1896">
            <v>250227</v>
          </cell>
          <cell r="J1896" t="str">
            <v>112동 9층 바닥</v>
          </cell>
          <cell r="K1896">
            <v>210</v>
          </cell>
          <cell r="L1896">
            <v>210</v>
          </cell>
          <cell r="M1896">
            <v>3018</v>
          </cell>
          <cell r="N1896" t="str">
            <v>한진</v>
          </cell>
          <cell r="O1896" t="str">
            <v>펌프카(1대)</v>
          </cell>
          <cell r="P1896">
            <v>1400</v>
          </cell>
          <cell r="Q1896">
            <v>1642</v>
          </cell>
          <cell r="R1896">
            <v>200</v>
          </cell>
          <cell r="S1896">
            <v>40</v>
          </cell>
          <cell r="T1896">
            <v>13</v>
          </cell>
          <cell r="U1896">
            <v>205</v>
          </cell>
          <cell r="V1896"/>
          <cell r="W1896" t="str">
            <v>박순홍</v>
          </cell>
          <cell r="X1896" t="str">
            <v>(인)</v>
          </cell>
          <cell r="Y1896" t="str">
            <v>박순홍</v>
          </cell>
          <cell r="Z1896" t="str">
            <v>(인)</v>
          </cell>
          <cell r="AA1896" t="str">
            <v>박상갑</v>
          </cell>
          <cell r="AB1896" t="str">
            <v>(인)</v>
          </cell>
          <cell r="AC1896" t="str">
            <v>이홍걸</v>
          </cell>
          <cell r="AD1896" t="str">
            <v>(인)</v>
          </cell>
          <cell r="AE1896">
            <v>181.3</v>
          </cell>
          <cell r="AF1896" t="str">
            <v>동절기</v>
          </cell>
          <cell r="AG1896">
            <v>1</v>
          </cell>
          <cell r="AH1896">
            <v>1</v>
          </cell>
          <cell r="AI1896">
            <v>2439</v>
          </cell>
          <cell r="AJ1896">
            <v>2573</v>
          </cell>
          <cell r="AK1896">
            <v>200700</v>
          </cell>
          <cell r="AL1896">
            <v>3608</v>
          </cell>
          <cell r="AM1896">
            <v>3721</v>
          </cell>
          <cell r="AN1896">
            <v>3760</v>
          </cell>
          <cell r="AO1896">
            <v>3721</v>
          </cell>
          <cell r="AP1896">
            <v>3688</v>
          </cell>
          <cell r="AQ1896">
            <v>3716</v>
          </cell>
          <cell r="AR1896">
            <v>3720</v>
          </cell>
          <cell r="AS1896">
            <v>3689</v>
          </cell>
          <cell r="AT1896">
            <v>295400</v>
          </cell>
        </row>
        <row r="1897">
          <cell r="G1897">
            <v>2502270302</v>
          </cell>
          <cell r="H1897" t="str">
            <v>112동</v>
          </cell>
          <cell r="I1897">
            <v>250227</v>
          </cell>
          <cell r="J1897" t="str">
            <v>112동 9층 바닥</v>
          </cell>
          <cell r="K1897">
            <v>210</v>
          </cell>
          <cell r="L1897">
            <v>210</v>
          </cell>
          <cell r="M1897">
            <v>3018</v>
          </cell>
          <cell r="N1897" t="str">
            <v>한진</v>
          </cell>
          <cell r="O1897" t="str">
            <v>펌프카(1대)</v>
          </cell>
          <cell r="P1897">
            <v>1400</v>
          </cell>
          <cell r="Q1897">
            <v>1642</v>
          </cell>
          <cell r="R1897">
            <v>195</v>
          </cell>
          <cell r="S1897">
            <v>42</v>
          </cell>
          <cell r="T1897">
            <v>14</v>
          </cell>
          <cell r="U1897">
            <v>210</v>
          </cell>
          <cell r="V1897"/>
          <cell r="W1897" t="str">
            <v>박순홍</v>
          </cell>
          <cell r="X1897" t="str">
            <v>(인)</v>
          </cell>
          <cell r="Y1897" t="str">
            <v>박순홍</v>
          </cell>
          <cell r="Z1897" t="str">
            <v>(인)</v>
          </cell>
          <cell r="AA1897" t="str">
            <v>박상갑</v>
          </cell>
          <cell r="AB1897" t="str">
            <v>(인)</v>
          </cell>
          <cell r="AC1897" t="str">
            <v>이홍걸</v>
          </cell>
          <cell r="AD1897" t="str">
            <v>(인)</v>
          </cell>
          <cell r="AE1897">
            <v>189.6</v>
          </cell>
          <cell r="AF1897" t="str">
            <v>동절기</v>
          </cell>
          <cell r="AG1897">
            <v>2</v>
          </cell>
          <cell r="AH1897">
            <v>0</v>
          </cell>
        </row>
        <row r="1898">
          <cell r="G1898">
            <v>2502280101</v>
          </cell>
          <cell r="H1898" t="str">
            <v>120동</v>
          </cell>
          <cell r="I1898">
            <v>250228</v>
          </cell>
          <cell r="J1898" t="str">
            <v>120동 8층 바닥</v>
          </cell>
          <cell r="K1898">
            <v>290</v>
          </cell>
          <cell r="L1898">
            <v>290</v>
          </cell>
          <cell r="M1898">
            <v>3018</v>
          </cell>
          <cell r="N1898" t="str">
            <v>대원</v>
          </cell>
          <cell r="O1898" t="str">
            <v>펌프카(1대)</v>
          </cell>
          <cell r="P1898">
            <v>800</v>
          </cell>
          <cell r="Q1898">
            <v>1238</v>
          </cell>
          <cell r="R1898">
            <v>185</v>
          </cell>
          <cell r="S1898">
            <v>48</v>
          </cell>
          <cell r="T1898">
            <v>23</v>
          </cell>
          <cell r="U1898">
            <v>174</v>
          </cell>
          <cell r="V1898"/>
          <cell r="W1898" t="str">
            <v>박순홍</v>
          </cell>
          <cell r="X1898" t="str">
            <v>(인)</v>
          </cell>
          <cell r="Y1898" t="str">
            <v>박순홍</v>
          </cell>
          <cell r="Z1898" t="str">
            <v>(인)</v>
          </cell>
          <cell r="AA1898" t="str">
            <v>박상갑</v>
          </cell>
          <cell r="AB1898" t="str">
            <v>(인)</v>
          </cell>
          <cell r="AC1898" t="str">
            <v>이홍걸</v>
          </cell>
          <cell r="AD1898" t="str">
            <v>(인)</v>
          </cell>
          <cell r="AE1898">
            <v>180</v>
          </cell>
          <cell r="AF1898" t="str">
            <v>동절기</v>
          </cell>
          <cell r="AG1898">
            <v>1</v>
          </cell>
          <cell r="AH1898">
            <v>1</v>
          </cell>
          <cell r="AI1898">
            <v>2773</v>
          </cell>
          <cell r="AJ1898">
            <v>2724</v>
          </cell>
          <cell r="AK1898">
            <v>221600</v>
          </cell>
          <cell r="AL1898">
            <v>3716</v>
          </cell>
          <cell r="AM1898">
            <v>3687</v>
          </cell>
          <cell r="AN1898">
            <v>3690</v>
          </cell>
          <cell r="AO1898">
            <v>3672</v>
          </cell>
          <cell r="AP1898">
            <v>3801</v>
          </cell>
          <cell r="AQ1898">
            <v>3694</v>
          </cell>
          <cell r="AR1898">
            <v>3704</v>
          </cell>
          <cell r="AS1898">
            <v>3684</v>
          </cell>
          <cell r="AT1898">
            <v>290400</v>
          </cell>
        </row>
        <row r="1899">
          <cell r="G1899">
            <v>2502280102</v>
          </cell>
          <cell r="H1899" t="str">
            <v>120동</v>
          </cell>
          <cell r="I1899">
            <v>250228</v>
          </cell>
          <cell r="J1899" t="str">
            <v>120동 8층 바닥</v>
          </cell>
          <cell r="K1899">
            <v>290</v>
          </cell>
          <cell r="L1899">
            <v>290</v>
          </cell>
          <cell r="M1899">
            <v>3018</v>
          </cell>
          <cell r="N1899" t="str">
            <v>대원</v>
          </cell>
          <cell r="O1899" t="str">
            <v>펌프카(1대)</v>
          </cell>
          <cell r="P1899">
            <v>800</v>
          </cell>
          <cell r="Q1899">
            <v>1238</v>
          </cell>
          <cell r="R1899">
            <v>195</v>
          </cell>
          <cell r="S1899">
            <v>46</v>
          </cell>
          <cell r="T1899">
            <v>27</v>
          </cell>
          <cell r="U1899">
            <v>179</v>
          </cell>
          <cell r="V1899"/>
          <cell r="W1899" t="str">
            <v>박순홍</v>
          </cell>
          <cell r="X1899" t="str">
            <v>(인)</v>
          </cell>
          <cell r="Y1899" t="str">
            <v>박순홍</v>
          </cell>
          <cell r="Z1899" t="str">
            <v>(인)</v>
          </cell>
          <cell r="AA1899" t="str">
            <v>박상갑</v>
          </cell>
          <cell r="AB1899" t="str">
            <v>(인)</v>
          </cell>
          <cell r="AC1899" t="str">
            <v>이홍걸</v>
          </cell>
          <cell r="AD1899" t="str">
            <v>(인)</v>
          </cell>
          <cell r="AE1899">
            <v>190.4</v>
          </cell>
          <cell r="AF1899" t="str">
            <v>동절기</v>
          </cell>
          <cell r="AG1899">
            <v>2</v>
          </cell>
          <cell r="AH1899">
            <v>0</v>
          </cell>
        </row>
        <row r="1900">
          <cell r="G1900">
            <v>2502280103</v>
          </cell>
          <cell r="H1900" t="str">
            <v>120동</v>
          </cell>
          <cell r="I1900">
            <v>250228</v>
          </cell>
          <cell r="J1900" t="str">
            <v>120동 8층 바닥</v>
          </cell>
          <cell r="K1900">
            <v>290</v>
          </cell>
          <cell r="L1900">
            <v>290</v>
          </cell>
          <cell r="M1900">
            <v>3018</v>
          </cell>
          <cell r="N1900" t="str">
            <v>대원</v>
          </cell>
          <cell r="O1900" t="str">
            <v>펌프카(1대)</v>
          </cell>
          <cell r="P1900">
            <v>800</v>
          </cell>
          <cell r="Q1900">
            <v>1238</v>
          </cell>
          <cell r="R1900">
            <v>195</v>
          </cell>
          <cell r="S1900">
            <v>51</v>
          </cell>
          <cell r="T1900">
            <v>15</v>
          </cell>
          <cell r="U1900">
            <v>173</v>
          </cell>
          <cell r="V1900"/>
          <cell r="W1900" t="str">
            <v>박순홍</v>
          </cell>
          <cell r="X1900" t="str">
            <v>(인)</v>
          </cell>
          <cell r="Y1900" t="str">
            <v>박순홍</v>
          </cell>
          <cell r="Z1900" t="str">
            <v>(인)</v>
          </cell>
          <cell r="AA1900" t="str">
            <v>박상갑</v>
          </cell>
          <cell r="AB1900" t="str">
            <v>(인)</v>
          </cell>
          <cell r="AC1900" t="str">
            <v>이홍걸</v>
          </cell>
          <cell r="AD1900" t="str">
            <v>(인)</v>
          </cell>
          <cell r="AE1900">
            <v>183.9</v>
          </cell>
          <cell r="AF1900" t="str">
            <v>동절기</v>
          </cell>
          <cell r="AG1900">
            <v>3</v>
          </cell>
          <cell r="AH1900">
            <v>0</v>
          </cell>
        </row>
        <row r="1901">
          <cell r="G1901">
            <v>2502280201</v>
          </cell>
          <cell r="H1901" t="str">
            <v>주차장</v>
          </cell>
          <cell r="I1901">
            <v>250228</v>
          </cell>
          <cell r="J1901" t="str">
            <v>114동 주변주차장 O구간 지붕층</v>
          </cell>
          <cell r="K1901">
            <v>360</v>
          </cell>
          <cell r="L1901">
            <v>358</v>
          </cell>
          <cell r="M1901">
            <v>2715</v>
          </cell>
          <cell r="N1901" t="str">
            <v>용호</v>
          </cell>
          <cell r="O1901" t="str">
            <v>펌프카(1대)</v>
          </cell>
          <cell r="P1901">
            <v>839</v>
          </cell>
          <cell r="Q1901">
            <v>1506</v>
          </cell>
          <cell r="R1901">
            <v>170</v>
          </cell>
          <cell r="S1901">
            <v>47</v>
          </cell>
          <cell r="T1901">
            <v>28</v>
          </cell>
          <cell r="U1901">
            <v>187</v>
          </cell>
          <cell r="V1901"/>
          <cell r="W1901" t="str">
            <v>김광록</v>
          </cell>
          <cell r="X1901" t="str">
            <v>(인)</v>
          </cell>
          <cell r="Y1901" t="str">
            <v>박순홍</v>
          </cell>
          <cell r="Z1901" t="str">
            <v>(인)</v>
          </cell>
          <cell r="AA1901" t="str">
            <v>박상갑</v>
          </cell>
          <cell r="AB1901" t="str">
            <v>(인)</v>
          </cell>
          <cell r="AC1901" t="str">
            <v>이홍걸</v>
          </cell>
          <cell r="AD1901" t="str">
            <v>(인)</v>
          </cell>
          <cell r="AE1901">
            <v>178.6</v>
          </cell>
          <cell r="AF1901" t="str">
            <v>동절기</v>
          </cell>
          <cell r="AG1901">
            <v>1</v>
          </cell>
          <cell r="AH1901">
            <v>1</v>
          </cell>
          <cell r="AI1901">
            <v>2335</v>
          </cell>
          <cell r="AJ1901">
            <v>2274</v>
          </cell>
          <cell r="AK1901">
            <v>179800</v>
          </cell>
          <cell r="AL1901">
            <v>3172</v>
          </cell>
          <cell r="AM1901">
            <v>3214</v>
          </cell>
          <cell r="AN1901">
            <v>3186</v>
          </cell>
          <cell r="AO1901">
            <v>3174</v>
          </cell>
          <cell r="AP1901">
            <v>3201</v>
          </cell>
          <cell r="AQ1901">
            <v>3217</v>
          </cell>
          <cell r="AR1901">
            <v>3304</v>
          </cell>
          <cell r="AS1901">
            <v>3311</v>
          </cell>
          <cell r="AT1901">
            <v>251800</v>
          </cell>
        </row>
        <row r="1902">
          <cell r="G1902">
            <v>2502280202</v>
          </cell>
          <cell r="H1902" t="str">
            <v>주차장</v>
          </cell>
          <cell r="I1902">
            <v>250228</v>
          </cell>
          <cell r="J1902" t="str">
            <v>114동 주변주차장 O구간 지붕층</v>
          </cell>
          <cell r="K1902">
            <v>360</v>
          </cell>
          <cell r="L1902">
            <v>358</v>
          </cell>
          <cell r="M1902">
            <v>2715</v>
          </cell>
          <cell r="N1902" t="str">
            <v>용호</v>
          </cell>
          <cell r="O1902" t="str">
            <v>펌프카(1대)</v>
          </cell>
          <cell r="P1902">
            <v>839</v>
          </cell>
          <cell r="Q1902">
            <v>1506</v>
          </cell>
          <cell r="R1902">
            <v>165</v>
          </cell>
          <cell r="S1902">
            <v>51</v>
          </cell>
          <cell r="T1902">
            <v>22</v>
          </cell>
          <cell r="U1902">
            <v>181</v>
          </cell>
          <cell r="V1902"/>
          <cell r="W1902" t="str">
            <v>김광록</v>
          </cell>
          <cell r="X1902" t="str">
            <v>(인)</v>
          </cell>
          <cell r="Y1902" t="str">
            <v>박순홍</v>
          </cell>
          <cell r="Z1902" t="str">
            <v>(인)</v>
          </cell>
          <cell r="AA1902" t="str">
            <v>박상갑</v>
          </cell>
          <cell r="AB1902" t="str">
            <v>(인)</v>
          </cell>
          <cell r="AC1902" t="str">
            <v>이홍걸</v>
          </cell>
          <cell r="AD1902" t="str">
            <v>(인)</v>
          </cell>
          <cell r="AE1902">
            <v>179.1</v>
          </cell>
          <cell r="AF1902" t="str">
            <v>동절기</v>
          </cell>
          <cell r="AG1902">
            <v>2</v>
          </cell>
          <cell r="AH1902">
            <v>0</v>
          </cell>
        </row>
        <row r="1903">
          <cell r="G1903">
            <v>2502280203</v>
          </cell>
          <cell r="H1903" t="str">
            <v>주차장</v>
          </cell>
          <cell r="I1903">
            <v>250228</v>
          </cell>
          <cell r="J1903" t="str">
            <v>114동 주변주차장 O구간 지붕층</v>
          </cell>
          <cell r="K1903">
            <v>360</v>
          </cell>
          <cell r="L1903">
            <v>358</v>
          </cell>
          <cell r="M1903">
            <v>2715</v>
          </cell>
          <cell r="N1903" t="str">
            <v>용호</v>
          </cell>
          <cell r="O1903" t="str">
            <v>펌프카(1대)</v>
          </cell>
          <cell r="P1903">
            <v>839</v>
          </cell>
          <cell r="Q1903">
            <v>1506</v>
          </cell>
          <cell r="R1903">
            <v>170</v>
          </cell>
          <cell r="S1903">
            <v>53</v>
          </cell>
          <cell r="T1903">
            <v>43</v>
          </cell>
          <cell r="U1903">
            <v>186</v>
          </cell>
          <cell r="V1903"/>
          <cell r="W1903" t="str">
            <v>김광록</v>
          </cell>
          <cell r="X1903" t="str">
            <v>(인)</v>
          </cell>
          <cell r="Y1903" t="str">
            <v>박순홍</v>
          </cell>
          <cell r="Z1903" t="str">
            <v>(인)</v>
          </cell>
          <cell r="AA1903" t="str">
            <v>박상갑</v>
          </cell>
          <cell r="AB1903" t="str">
            <v>(인)</v>
          </cell>
          <cell r="AC1903" t="str">
            <v>이홍걸</v>
          </cell>
          <cell r="AD1903" t="str">
            <v>(인)</v>
          </cell>
          <cell r="AE1903">
            <v>183.9</v>
          </cell>
          <cell r="AF1903" t="str">
            <v>동절기</v>
          </cell>
          <cell r="AG1903">
            <v>3</v>
          </cell>
          <cell r="AH1903">
            <v>0</v>
          </cell>
        </row>
        <row r="1904">
          <cell r="G1904">
            <v>2503060101</v>
          </cell>
          <cell r="H1904" t="str">
            <v>108동</v>
          </cell>
          <cell r="I1904">
            <v>250306</v>
          </cell>
          <cell r="J1904" t="str">
            <v>108동 14층 바닥</v>
          </cell>
          <cell r="K1904">
            <v>286</v>
          </cell>
          <cell r="L1904">
            <v>286</v>
          </cell>
          <cell r="M1904">
            <v>3018</v>
          </cell>
          <cell r="N1904" t="str">
            <v>용호</v>
          </cell>
          <cell r="O1904" t="str">
            <v>펌프카(1대)</v>
          </cell>
          <cell r="P1904">
            <v>755</v>
          </cell>
          <cell r="Q1904">
            <v>1230</v>
          </cell>
          <cell r="R1904">
            <v>190</v>
          </cell>
          <cell r="S1904">
            <v>49</v>
          </cell>
          <cell r="T1904">
            <v>39</v>
          </cell>
          <cell r="U1904">
            <v>174</v>
          </cell>
          <cell r="V1904"/>
          <cell r="W1904" t="str">
            <v>김광록</v>
          </cell>
          <cell r="X1904" t="str">
            <v>(인)</v>
          </cell>
          <cell r="Y1904" t="str">
            <v>박순홍</v>
          </cell>
          <cell r="Z1904" t="str">
            <v>(인)</v>
          </cell>
          <cell r="AA1904" t="str">
            <v>이홍걸</v>
          </cell>
          <cell r="AB1904" t="str">
            <v>(인)</v>
          </cell>
          <cell r="AC1904" t="str">
            <v>박상갑</v>
          </cell>
          <cell r="AD1904" t="str">
            <v>(인)</v>
          </cell>
          <cell r="AE1904">
            <v>179.5</v>
          </cell>
          <cell r="AF1904" t="str">
            <v>동절기</v>
          </cell>
          <cell r="AG1904">
            <v>1</v>
          </cell>
          <cell r="AH1904">
            <v>1</v>
          </cell>
          <cell r="AI1904">
            <v>2672</v>
          </cell>
          <cell r="AJ1904">
            <v>2701</v>
          </cell>
          <cell r="AK1904">
            <v>204800</v>
          </cell>
          <cell r="AL1904">
            <v>3967</v>
          </cell>
          <cell r="AM1904">
            <v>4041</v>
          </cell>
          <cell r="AN1904">
            <v>3972</v>
          </cell>
          <cell r="AO1904">
            <v>3886</v>
          </cell>
          <cell r="AP1904">
            <v>3926</v>
          </cell>
          <cell r="AQ1904">
            <v>4074</v>
          </cell>
          <cell r="AR1904">
            <v>3926</v>
          </cell>
          <cell r="AS1904">
            <v>3873</v>
          </cell>
          <cell r="AT1904">
            <v>306000</v>
          </cell>
        </row>
        <row r="1905">
          <cell r="G1905">
            <v>2503060102</v>
          </cell>
          <cell r="H1905" t="str">
            <v>108동</v>
          </cell>
          <cell r="I1905">
            <v>250306</v>
          </cell>
          <cell r="J1905" t="str">
            <v>108동 14층 바닥</v>
          </cell>
          <cell r="K1905">
            <v>286</v>
          </cell>
          <cell r="L1905">
            <v>286</v>
          </cell>
          <cell r="M1905">
            <v>3018</v>
          </cell>
          <cell r="N1905" t="str">
            <v>용호</v>
          </cell>
          <cell r="O1905" t="str">
            <v>펌프카(1대)</v>
          </cell>
          <cell r="P1905">
            <v>755</v>
          </cell>
          <cell r="Q1905">
            <v>1230</v>
          </cell>
          <cell r="R1905">
            <v>190</v>
          </cell>
          <cell r="S1905">
            <v>50</v>
          </cell>
          <cell r="T1905">
            <v>45</v>
          </cell>
          <cell r="U1905">
            <v>152</v>
          </cell>
          <cell r="V1905"/>
          <cell r="W1905" t="str">
            <v>김광록</v>
          </cell>
          <cell r="X1905" t="str">
            <v>(인)</v>
          </cell>
          <cell r="Y1905" t="str">
            <v>박순홍</v>
          </cell>
          <cell r="Z1905" t="str">
            <v>(인)</v>
          </cell>
          <cell r="AA1905" t="str">
            <v>이홍걸</v>
          </cell>
          <cell r="AB1905" t="str">
            <v>(인)</v>
          </cell>
          <cell r="AC1905" t="str">
            <v>박상갑</v>
          </cell>
          <cell r="AD1905" t="str">
            <v>(인)</v>
          </cell>
          <cell r="AE1905">
            <v>179.2</v>
          </cell>
          <cell r="AF1905" t="str">
            <v>동절기</v>
          </cell>
          <cell r="AG1905">
            <v>2</v>
          </cell>
          <cell r="AH1905">
            <v>0</v>
          </cell>
        </row>
        <row r="1906">
          <cell r="G1906">
            <v>2503060103</v>
          </cell>
          <cell r="H1906" t="str">
            <v>108동</v>
          </cell>
          <cell r="I1906">
            <v>250306</v>
          </cell>
          <cell r="J1906" t="str">
            <v>108동 14층 바닥</v>
          </cell>
          <cell r="K1906">
            <v>286</v>
          </cell>
          <cell r="L1906">
            <v>286</v>
          </cell>
          <cell r="M1906">
            <v>3018</v>
          </cell>
          <cell r="N1906" t="str">
            <v>용호</v>
          </cell>
          <cell r="O1906" t="str">
            <v>펌프카(1대)</v>
          </cell>
          <cell r="P1906">
            <v>755</v>
          </cell>
          <cell r="Q1906">
            <v>1230</v>
          </cell>
          <cell r="R1906">
            <v>200</v>
          </cell>
          <cell r="S1906">
            <v>43</v>
          </cell>
          <cell r="T1906">
            <v>20</v>
          </cell>
          <cell r="U1906">
            <v>170</v>
          </cell>
          <cell r="V1906"/>
          <cell r="W1906" t="str">
            <v>김광록</v>
          </cell>
          <cell r="X1906" t="str">
            <v>(인)</v>
          </cell>
          <cell r="Y1906" t="str">
            <v>박순홍</v>
          </cell>
          <cell r="Z1906" t="str">
            <v>(인)</v>
          </cell>
          <cell r="AA1906" t="str">
            <v>이홍걸</v>
          </cell>
          <cell r="AB1906" t="str">
            <v>(인)</v>
          </cell>
          <cell r="AC1906" t="str">
            <v>박상갑</v>
          </cell>
          <cell r="AD1906" t="str">
            <v>(인)</v>
          </cell>
          <cell r="AE1906">
            <v>179.1</v>
          </cell>
          <cell r="AF1906" t="str">
            <v>동절기</v>
          </cell>
          <cell r="AG1906">
            <v>3</v>
          </cell>
          <cell r="AH1906">
            <v>0</v>
          </cell>
        </row>
        <row r="1907">
          <cell r="G1907">
            <v>2503060201</v>
          </cell>
          <cell r="H1907" t="str">
            <v>118동</v>
          </cell>
          <cell r="I1907">
            <v>250306</v>
          </cell>
          <cell r="J1907" t="str">
            <v>118동 9층 바닥</v>
          </cell>
          <cell r="K1907">
            <v>282</v>
          </cell>
          <cell r="L1907">
            <v>282</v>
          </cell>
          <cell r="M1907">
            <v>3018</v>
          </cell>
          <cell r="N1907" t="str">
            <v>영진</v>
          </cell>
          <cell r="O1907" t="str">
            <v>펌프카(1대)</v>
          </cell>
          <cell r="P1907">
            <v>1315</v>
          </cell>
          <cell r="Q1907">
            <v>1737</v>
          </cell>
          <cell r="R1907">
            <v>180</v>
          </cell>
          <cell r="S1907">
            <v>51</v>
          </cell>
          <cell r="T1907">
            <v>75</v>
          </cell>
          <cell r="U1907">
            <v>166</v>
          </cell>
          <cell r="V1907"/>
          <cell r="W1907" t="str">
            <v>김광록</v>
          </cell>
          <cell r="X1907" t="str">
            <v>(인)</v>
          </cell>
          <cell r="Y1907" t="str">
            <v>박순홍</v>
          </cell>
          <cell r="Z1907" t="str">
            <v>(인)</v>
          </cell>
          <cell r="AA1907" t="str">
            <v>이홍걸</v>
          </cell>
          <cell r="AB1907" t="str">
            <v>(인)</v>
          </cell>
          <cell r="AC1907" t="str">
            <v>박상갑</v>
          </cell>
          <cell r="AD1907" t="str">
            <v>(인)</v>
          </cell>
          <cell r="AE1907">
            <v>184.2</v>
          </cell>
          <cell r="AF1907" t="str">
            <v>동절기</v>
          </cell>
          <cell r="AG1907">
            <v>1</v>
          </cell>
          <cell r="AH1907">
            <v>1</v>
          </cell>
          <cell r="AI1907">
            <v>2720</v>
          </cell>
          <cell r="AJ1907">
            <v>2688</v>
          </cell>
          <cell r="AK1907">
            <v>213400</v>
          </cell>
          <cell r="AL1907">
            <v>3967</v>
          </cell>
          <cell r="AM1907">
            <v>4041</v>
          </cell>
          <cell r="AN1907">
            <v>3876</v>
          </cell>
          <cell r="AO1907">
            <v>4037</v>
          </cell>
          <cell r="AP1907">
            <v>4016</v>
          </cell>
          <cell r="AQ1907">
            <v>3884</v>
          </cell>
          <cell r="AR1907">
            <v>3967</v>
          </cell>
          <cell r="AS1907">
            <v>3790</v>
          </cell>
          <cell r="AT1907">
            <v>313800</v>
          </cell>
        </row>
        <row r="1908">
          <cell r="G1908">
            <v>2503060202</v>
          </cell>
          <cell r="H1908" t="str">
            <v>118동</v>
          </cell>
          <cell r="I1908">
            <v>250306</v>
          </cell>
          <cell r="J1908" t="str">
            <v>118동 9층 바닥</v>
          </cell>
          <cell r="K1908">
            <v>282</v>
          </cell>
          <cell r="L1908">
            <v>282</v>
          </cell>
          <cell r="M1908">
            <v>3018</v>
          </cell>
          <cell r="N1908" t="str">
            <v>영진</v>
          </cell>
          <cell r="O1908" t="str">
            <v>펌프카(1대)</v>
          </cell>
          <cell r="P1908">
            <v>1315</v>
          </cell>
          <cell r="Q1908">
            <v>1737</v>
          </cell>
          <cell r="R1908">
            <v>185</v>
          </cell>
          <cell r="S1908">
            <v>40</v>
          </cell>
          <cell r="T1908">
            <v>88</v>
          </cell>
          <cell r="U1908">
            <v>174</v>
          </cell>
          <cell r="V1908"/>
          <cell r="W1908" t="str">
            <v>김광록</v>
          </cell>
          <cell r="X1908" t="str">
            <v>(인)</v>
          </cell>
          <cell r="Y1908" t="str">
            <v>박순홍</v>
          </cell>
          <cell r="Z1908" t="str">
            <v>(인)</v>
          </cell>
          <cell r="AA1908" t="str">
            <v>이홍걸</v>
          </cell>
          <cell r="AB1908" t="str">
            <v>(인)</v>
          </cell>
          <cell r="AC1908" t="str">
            <v>박상갑</v>
          </cell>
          <cell r="AD1908" t="str">
            <v>(인)</v>
          </cell>
          <cell r="AE1908">
            <v>183.5</v>
          </cell>
          <cell r="AF1908" t="str">
            <v>동절기</v>
          </cell>
          <cell r="AG1908">
            <v>2</v>
          </cell>
          <cell r="AH1908">
            <v>0</v>
          </cell>
        </row>
        <row r="1909">
          <cell r="G1909">
            <v>2503060203</v>
          </cell>
          <cell r="H1909" t="str">
            <v>118동</v>
          </cell>
          <cell r="I1909">
            <v>250306</v>
          </cell>
          <cell r="J1909" t="str">
            <v>118동 9층 바닥</v>
          </cell>
          <cell r="K1909">
            <v>282</v>
          </cell>
          <cell r="L1909">
            <v>282</v>
          </cell>
          <cell r="M1909">
            <v>3018</v>
          </cell>
          <cell r="N1909" t="str">
            <v>영진</v>
          </cell>
          <cell r="O1909" t="str">
            <v>펌프카(1대)</v>
          </cell>
          <cell r="P1909">
            <v>1315</v>
          </cell>
          <cell r="Q1909">
            <v>1737</v>
          </cell>
          <cell r="R1909">
            <v>190</v>
          </cell>
          <cell r="S1909">
            <v>44</v>
          </cell>
          <cell r="T1909">
            <v>90</v>
          </cell>
          <cell r="U1909">
            <v>168</v>
          </cell>
          <cell r="V1909"/>
          <cell r="W1909" t="str">
            <v>김광록</v>
          </cell>
          <cell r="X1909" t="str">
            <v>(인)</v>
          </cell>
          <cell r="Y1909" t="str">
            <v>박순홍</v>
          </cell>
          <cell r="Z1909" t="str">
            <v>(인)</v>
          </cell>
          <cell r="AA1909" t="str">
            <v>이홍걸</v>
          </cell>
          <cell r="AB1909" t="str">
            <v>(인)</v>
          </cell>
          <cell r="AC1909" t="str">
            <v>박상갑</v>
          </cell>
          <cell r="AD1909" t="str">
            <v>(인)</v>
          </cell>
          <cell r="AE1909">
            <v>184</v>
          </cell>
          <cell r="AF1909" t="str">
            <v>동절기</v>
          </cell>
          <cell r="AG1909">
            <v>3</v>
          </cell>
          <cell r="AH1909">
            <v>0</v>
          </cell>
        </row>
        <row r="1910">
          <cell r="G1910">
            <v>2503060301</v>
          </cell>
          <cell r="H1910" t="str">
            <v>115동</v>
          </cell>
          <cell r="I1910">
            <v>250306</v>
          </cell>
          <cell r="J1910" t="str">
            <v>115동 14층 바닥</v>
          </cell>
          <cell r="K1910">
            <v>292</v>
          </cell>
          <cell r="L1910">
            <v>292</v>
          </cell>
          <cell r="M1910">
            <v>3018</v>
          </cell>
          <cell r="N1910" t="str">
            <v>대공</v>
          </cell>
          <cell r="O1910" t="str">
            <v>펌프카(1대)</v>
          </cell>
          <cell r="P1910">
            <v>820</v>
          </cell>
          <cell r="Q1910">
            <v>1220</v>
          </cell>
          <cell r="R1910">
            <v>200</v>
          </cell>
          <cell r="S1910">
            <v>52</v>
          </cell>
          <cell r="T1910">
            <v>24</v>
          </cell>
          <cell r="U1910">
            <v>184</v>
          </cell>
          <cell r="V1910"/>
          <cell r="W1910" t="str">
            <v>박순홍</v>
          </cell>
          <cell r="X1910" t="str">
            <v>(인)</v>
          </cell>
          <cell r="Y1910" t="str">
            <v>박순홍</v>
          </cell>
          <cell r="Z1910" t="str">
            <v>(인)</v>
          </cell>
          <cell r="AA1910" t="str">
            <v>이홍걸</v>
          </cell>
          <cell r="AB1910" t="str">
            <v>(인)</v>
          </cell>
          <cell r="AC1910" t="str">
            <v>박상갑</v>
          </cell>
          <cell r="AD1910" t="str">
            <v>(인)</v>
          </cell>
          <cell r="AE1910">
            <v>185.7</v>
          </cell>
          <cell r="AF1910" t="str">
            <v>동절기</v>
          </cell>
          <cell r="AG1910">
            <v>1</v>
          </cell>
          <cell r="AH1910">
            <v>1</v>
          </cell>
          <cell r="AI1910">
            <v>2771</v>
          </cell>
          <cell r="AJ1910">
            <v>2730</v>
          </cell>
          <cell r="AK1910">
            <v>213200</v>
          </cell>
          <cell r="AL1910">
            <v>3962</v>
          </cell>
          <cell r="AM1910">
            <v>3947</v>
          </cell>
          <cell r="AN1910">
            <v>3962</v>
          </cell>
          <cell r="AO1910">
            <v>4087</v>
          </cell>
          <cell r="AP1910">
            <v>4072</v>
          </cell>
          <cell r="AQ1910">
            <v>4130</v>
          </cell>
          <cell r="AR1910">
            <v>4129</v>
          </cell>
          <cell r="AS1910">
            <v>4074</v>
          </cell>
          <cell r="AT1910">
            <v>304200</v>
          </cell>
        </row>
        <row r="1911">
          <cell r="G1911">
            <v>2503060302</v>
          </cell>
          <cell r="H1911" t="str">
            <v>115동</v>
          </cell>
          <cell r="I1911">
            <v>250306</v>
          </cell>
          <cell r="J1911" t="str">
            <v>115동 14층 바닥</v>
          </cell>
          <cell r="K1911">
            <v>292</v>
          </cell>
          <cell r="L1911">
            <v>292</v>
          </cell>
          <cell r="M1911">
            <v>3018</v>
          </cell>
          <cell r="N1911" t="str">
            <v>대공</v>
          </cell>
          <cell r="O1911" t="str">
            <v>펌프카(1대)</v>
          </cell>
          <cell r="P1911">
            <v>820</v>
          </cell>
          <cell r="Q1911">
            <v>1220</v>
          </cell>
          <cell r="R1911">
            <v>190</v>
          </cell>
          <cell r="S1911">
            <v>50</v>
          </cell>
          <cell r="T1911">
            <v>54</v>
          </cell>
          <cell r="U1911">
            <v>157</v>
          </cell>
          <cell r="V1911"/>
          <cell r="W1911" t="str">
            <v>박순홍</v>
          </cell>
          <cell r="X1911" t="str">
            <v>(인)</v>
          </cell>
          <cell r="Y1911" t="str">
            <v>박순홍</v>
          </cell>
          <cell r="Z1911" t="str">
            <v>(인)</v>
          </cell>
          <cell r="AA1911" t="str">
            <v>이홍걸</v>
          </cell>
          <cell r="AB1911" t="str">
            <v>(인)</v>
          </cell>
          <cell r="AC1911" t="str">
            <v>박상갑</v>
          </cell>
          <cell r="AD1911" t="str">
            <v>(인)</v>
          </cell>
          <cell r="AE1911">
            <v>187</v>
          </cell>
          <cell r="AF1911" t="str">
            <v>동절기</v>
          </cell>
          <cell r="AG1911">
            <v>2</v>
          </cell>
          <cell r="AH1911">
            <v>0</v>
          </cell>
        </row>
        <row r="1912">
          <cell r="G1912">
            <v>2503060303</v>
          </cell>
          <cell r="H1912" t="str">
            <v>115동</v>
          </cell>
          <cell r="I1912">
            <v>250306</v>
          </cell>
          <cell r="J1912" t="str">
            <v>115동 14층 바닥</v>
          </cell>
          <cell r="K1912">
            <v>292</v>
          </cell>
          <cell r="L1912">
            <v>292</v>
          </cell>
          <cell r="M1912">
            <v>3018</v>
          </cell>
          <cell r="N1912" t="str">
            <v>대공</v>
          </cell>
          <cell r="O1912" t="str">
            <v>펌프카(1대)</v>
          </cell>
          <cell r="P1912">
            <v>820</v>
          </cell>
          <cell r="Q1912">
            <v>1220</v>
          </cell>
          <cell r="R1912">
            <v>180</v>
          </cell>
          <cell r="S1912">
            <v>42</v>
          </cell>
          <cell r="T1912">
            <v>21</v>
          </cell>
          <cell r="U1912">
            <v>187</v>
          </cell>
          <cell r="V1912"/>
          <cell r="W1912" t="str">
            <v>박순홍</v>
          </cell>
          <cell r="X1912" t="str">
            <v>(인)</v>
          </cell>
          <cell r="Y1912" t="str">
            <v>박순홍</v>
          </cell>
          <cell r="Z1912" t="str">
            <v>(인)</v>
          </cell>
          <cell r="AA1912" t="str">
            <v>이홍걸</v>
          </cell>
          <cell r="AB1912" t="str">
            <v>(인)</v>
          </cell>
          <cell r="AC1912" t="str">
            <v>박상갑</v>
          </cell>
          <cell r="AD1912" t="str">
            <v>(인)</v>
          </cell>
          <cell r="AE1912">
            <v>183.4</v>
          </cell>
          <cell r="AF1912" t="str">
            <v>동절기</v>
          </cell>
          <cell r="AG1912">
            <v>3</v>
          </cell>
          <cell r="AH1912">
            <v>0</v>
          </cell>
        </row>
        <row r="1913">
          <cell r="G1913">
            <v>2503070101</v>
          </cell>
          <cell r="H1913" t="str">
            <v>110동</v>
          </cell>
          <cell r="I1913">
            <v>250307</v>
          </cell>
          <cell r="J1913" t="str">
            <v>110동 19층 바닥</v>
          </cell>
          <cell r="K1913">
            <v>285</v>
          </cell>
          <cell r="L1913">
            <v>285</v>
          </cell>
          <cell r="M1913">
            <v>3018</v>
          </cell>
          <cell r="N1913" t="str">
            <v>영진</v>
          </cell>
          <cell r="O1913" t="str">
            <v>펌프카(1대)</v>
          </cell>
          <cell r="P1913">
            <v>820</v>
          </cell>
          <cell r="Q1913">
            <v>1211</v>
          </cell>
          <cell r="R1913">
            <v>185</v>
          </cell>
          <cell r="S1913">
            <v>40</v>
          </cell>
          <cell r="T1913">
            <v>28</v>
          </cell>
          <cell r="U1913">
            <v>173</v>
          </cell>
          <cell r="V1913"/>
          <cell r="W1913" t="str">
            <v>박순홍</v>
          </cell>
          <cell r="X1913" t="str">
            <v>(인)</v>
          </cell>
          <cell r="Y1913" t="str">
            <v>박순홍</v>
          </cell>
          <cell r="Z1913" t="str">
            <v>(인)</v>
          </cell>
          <cell r="AA1913" t="str">
            <v>이홍걸</v>
          </cell>
          <cell r="AB1913" t="str">
            <v>(인)</v>
          </cell>
          <cell r="AC1913" t="str">
            <v>박상갑</v>
          </cell>
          <cell r="AD1913" t="str">
            <v>(인)</v>
          </cell>
          <cell r="AE1913">
            <v>179.1</v>
          </cell>
          <cell r="AF1913" t="str">
            <v>동절기</v>
          </cell>
          <cell r="AG1913">
            <v>1</v>
          </cell>
          <cell r="AH1913">
            <v>1</v>
          </cell>
          <cell r="AI1913">
            <v>2610</v>
          </cell>
          <cell r="AJ1913">
            <v>2588</v>
          </cell>
          <cell r="AK1913">
            <v>196400</v>
          </cell>
          <cell r="AL1913">
            <v>4015</v>
          </cell>
          <cell r="AM1913">
            <v>3987</v>
          </cell>
          <cell r="AN1913">
            <v>4036</v>
          </cell>
          <cell r="AO1913">
            <v>4016</v>
          </cell>
          <cell r="AP1913">
            <v>4032</v>
          </cell>
          <cell r="AQ1913">
            <v>3929</v>
          </cell>
          <cell r="AR1913">
            <v>3866</v>
          </cell>
          <cell r="AS1913">
            <v>3872</v>
          </cell>
          <cell r="AT1913">
            <v>311000</v>
          </cell>
        </row>
        <row r="1914">
          <cell r="G1914">
            <v>2503070102</v>
          </cell>
          <cell r="H1914" t="str">
            <v>110동</v>
          </cell>
          <cell r="I1914">
            <v>250307</v>
          </cell>
          <cell r="J1914" t="str">
            <v>110동 19층 바닥</v>
          </cell>
          <cell r="K1914">
            <v>285</v>
          </cell>
          <cell r="L1914">
            <v>285</v>
          </cell>
          <cell r="M1914">
            <v>3018</v>
          </cell>
          <cell r="N1914" t="str">
            <v>영진</v>
          </cell>
          <cell r="O1914" t="str">
            <v>펌프카(1대)</v>
          </cell>
          <cell r="P1914">
            <v>820</v>
          </cell>
          <cell r="Q1914">
            <v>1211</v>
          </cell>
          <cell r="R1914">
            <v>180</v>
          </cell>
          <cell r="S1914">
            <v>35</v>
          </cell>
          <cell r="T1914">
            <v>19</v>
          </cell>
          <cell r="U1914">
            <v>227</v>
          </cell>
          <cell r="V1914"/>
          <cell r="W1914" t="str">
            <v>박순홍</v>
          </cell>
          <cell r="X1914" t="str">
            <v>(인)</v>
          </cell>
          <cell r="Y1914" t="str">
            <v>박순홍</v>
          </cell>
          <cell r="Z1914" t="str">
            <v>(인)</v>
          </cell>
          <cell r="AA1914" t="str">
            <v>이홍걸</v>
          </cell>
          <cell r="AB1914" t="str">
            <v>(인)</v>
          </cell>
          <cell r="AC1914" t="str">
            <v>박상갑</v>
          </cell>
          <cell r="AD1914" t="str">
            <v>(인)</v>
          </cell>
          <cell r="AE1914">
            <v>179.5</v>
          </cell>
          <cell r="AF1914" t="str">
            <v>동절기</v>
          </cell>
          <cell r="AG1914">
            <v>2</v>
          </cell>
          <cell r="AH1914">
            <v>0</v>
          </cell>
        </row>
        <row r="1915">
          <cell r="G1915">
            <v>2503070103</v>
          </cell>
          <cell r="H1915" t="str">
            <v>110동</v>
          </cell>
          <cell r="I1915">
            <v>250307</v>
          </cell>
          <cell r="J1915" t="str">
            <v>110동 19층 바닥</v>
          </cell>
          <cell r="K1915">
            <v>285</v>
          </cell>
          <cell r="L1915">
            <v>285</v>
          </cell>
          <cell r="M1915">
            <v>3018</v>
          </cell>
          <cell r="N1915" t="str">
            <v>영진</v>
          </cell>
          <cell r="O1915" t="str">
            <v>펌프카(1대)</v>
          </cell>
          <cell r="P1915">
            <v>820</v>
          </cell>
          <cell r="Q1915">
            <v>1211</v>
          </cell>
          <cell r="R1915">
            <v>190</v>
          </cell>
          <cell r="S1915">
            <v>50</v>
          </cell>
          <cell r="T1915">
            <v>79</v>
          </cell>
          <cell r="U1915">
            <v>235</v>
          </cell>
          <cell r="V1915"/>
          <cell r="W1915" t="str">
            <v>박순홍</v>
          </cell>
          <cell r="X1915" t="str">
            <v>(인)</v>
          </cell>
          <cell r="Y1915" t="str">
            <v>박순홍</v>
          </cell>
          <cell r="Z1915" t="str">
            <v>(인)</v>
          </cell>
          <cell r="AA1915" t="str">
            <v>이홍걸</v>
          </cell>
          <cell r="AB1915" t="str">
            <v>(인)</v>
          </cell>
          <cell r="AC1915" t="str">
            <v>박상갑</v>
          </cell>
          <cell r="AD1915" t="str">
            <v>(인)</v>
          </cell>
          <cell r="AE1915">
            <v>179.2</v>
          </cell>
          <cell r="AF1915" t="str">
            <v>동절기</v>
          </cell>
          <cell r="AG1915">
            <v>3</v>
          </cell>
          <cell r="AH1915">
            <v>0</v>
          </cell>
        </row>
        <row r="1916">
          <cell r="G1916">
            <v>2503070201</v>
          </cell>
          <cell r="H1916" t="str">
            <v>114동</v>
          </cell>
          <cell r="I1916">
            <v>250307</v>
          </cell>
          <cell r="J1916" t="str">
            <v>114동 15층 바닥</v>
          </cell>
          <cell r="K1916">
            <v>282</v>
          </cell>
          <cell r="L1916">
            <v>282</v>
          </cell>
          <cell r="M1916">
            <v>3018</v>
          </cell>
          <cell r="N1916" t="str">
            <v>용호</v>
          </cell>
          <cell r="O1916" t="str">
            <v>펌프카(1대)</v>
          </cell>
          <cell r="P1916">
            <v>825</v>
          </cell>
          <cell r="Q1916">
            <v>1246</v>
          </cell>
          <cell r="R1916">
            <v>200</v>
          </cell>
          <cell r="S1916">
            <v>35</v>
          </cell>
          <cell r="T1916">
            <v>7</v>
          </cell>
          <cell r="U1916">
            <v>158</v>
          </cell>
          <cell r="V1916"/>
          <cell r="W1916" t="str">
            <v>박순홍</v>
          </cell>
          <cell r="X1916" t="str">
            <v>(인)</v>
          </cell>
          <cell r="Y1916" t="str">
            <v>박순홍</v>
          </cell>
          <cell r="Z1916" t="str">
            <v>(인)</v>
          </cell>
          <cell r="AA1916" t="str">
            <v>이홍걸</v>
          </cell>
          <cell r="AB1916" t="str">
            <v>(인)</v>
          </cell>
          <cell r="AC1916" t="str">
            <v>박상갑</v>
          </cell>
          <cell r="AD1916" t="str">
            <v>(인)</v>
          </cell>
          <cell r="AE1916">
            <v>184</v>
          </cell>
          <cell r="AF1916" t="str">
            <v>동절기</v>
          </cell>
          <cell r="AG1916">
            <v>1</v>
          </cell>
          <cell r="AH1916">
            <v>1</v>
          </cell>
          <cell r="AI1916">
            <v>2688</v>
          </cell>
          <cell r="AJ1916">
            <v>2601</v>
          </cell>
          <cell r="AK1916">
            <v>207800</v>
          </cell>
          <cell r="AL1916">
            <v>3969</v>
          </cell>
          <cell r="AM1916">
            <v>4018</v>
          </cell>
          <cell r="AN1916">
            <v>4014</v>
          </cell>
          <cell r="AO1916">
            <v>3867</v>
          </cell>
          <cell r="AP1916">
            <v>3829</v>
          </cell>
          <cell r="AQ1916">
            <v>3923</v>
          </cell>
          <cell r="AR1916">
            <v>3876</v>
          </cell>
          <cell r="AS1916">
            <v>3902</v>
          </cell>
          <cell r="AT1916">
            <v>313200</v>
          </cell>
        </row>
        <row r="1917">
          <cell r="G1917">
            <v>2503070202</v>
          </cell>
          <cell r="H1917" t="str">
            <v>114동</v>
          </cell>
          <cell r="I1917">
            <v>250307</v>
          </cell>
          <cell r="J1917" t="str">
            <v>114동 15층 바닥</v>
          </cell>
          <cell r="K1917">
            <v>282</v>
          </cell>
          <cell r="L1917">
            <v>282</v>
          </cell>
          <cell r="M1917">
            <v>3018</v>
          </cell>
          <cell r="N1917" t="str">
            <v>용호</v>
          </cell>
          <cell r="O1917" t="str">
            <v>펌프카(1대)</v>
          </cell>
          <cell r="P1917">
            <v>825</v>
          </cell>
          <cell r="Q1917">
            <v>1246</v>
          </cell>
          <cell r="R1917">
            <v>200</v>
          </cell>
          <cell r="S1917">
            <v>40</v>
          </cell>
          <cell r="T1917">
            <v>27</v>
          </cell>
          <cell r="U1917">
            <v>169</v>
          </cell>
          <cell r="V1917"/>
          <cell r="W1917" t="str">
            <v>박순홍</v>
          </cell>
          <cell r="X1917" t="str">
            <v>(인)</v>
          </cell>
          <cell r="Y1917" t="str">
            <v>박순홍</v>
          </cell>
          <cell r="Z1917" t="str">
            <v>(인)</v>
          </cell>
          <cell r="AA1917" t="str">
            <v>이홍걸</v>
          </cell>
          <cell r="AB1917" t="str">
            <v>(인)</v>
          </cell>
          <cell r="AC1917" t="str">
            <v>박상갑</v>
          </cell>
          <cell r="AD1917" t="str">
            <v>(인)</v>
          </cell>
          <cell r="AE1917">
            <v>184.2</v>
          </cell>
          <cell r="AF1917" t="str">
            <v>동절기</v>
          </cell>
          <cell r="AG1917">
            <v>2</v>
          </cell>
          <cell r="AH1917">
            <v>0</v>
          </cell>
        </row>
        <row r="1918">
          <cell r="G1918">
            <v>2503070203</v>
          </cell>
          <cell r="H1918" t="str">
            <v>114동</v>
          </cell>
          <cell r="I1918">
            <v>250307</v>
          </cell>
          <cell r="J1918" t="str">
            <v>114동 15층 바닥</v>
          </cell>
          <cell r="K1918">
            <v>282</v>
          </cell>
          <cell r="L1918">
            <v>282</v>
          </cell>
          <cell r="M1918">
            <v>3018</v>
          </cell>
          <cell r="N1918" t="str">
            <v>용호</v>
          </cell>
          <cell r="O1918" t="str">
            <v>펌프카(1대)</v>
          </cell>
          <cell r="P1918">
            <v>825</v>
          </cell>
          <cell r="Q1918">
            <v>1246</v>
          </cell>
          <cell r="R1918">
            <v>195</v>
          </cell>
          <cell r="S1918">
            <v>45</v>
          </cell>
          <cell r="T1918">
            <v>15</v>
          </cell>
          <cell r="U1918">
            <v>178</v>
          </cell>
          <cell r="V1918"/>
          <cell r="W1918" t="str">
            <v>박순홍</v>
          </cell>
          <cell r="X1918" t="str">
            <v>(인)</v>
          </cell>
          <cell r="Y1918" t="str">
            <v>박순홍</v>
          </cell>
          <cell r="Z1918" t="str">
            <v>(인)</v>
          </cell>
          <cell r="AA1918" t="str">
            <v>이홍걸</v>
          </cell>
          <cell r="AB1918" t="str">
            <v>(인)</v>
          </cell>
          <cell r="AC1918" t="str">
            <v>박상갑</v>
          </cell>
          <cell r="AD1918" t="str">
            <v>(인)</v>
          </cell>
          <cell r="AE1918">
            <v>183.5</v>
          </cell>
          <cell r="AF1918" t="str">
            <v>동절기</v>
          </cell>
          <cell r="AG1918">
            <v>3</v>
          </cell>
          <cell r="AH1918">
            <v>0</v>
          </cell>
        </row>
        <row r="1919">
          <cell r="G1919">
            <v>2503070301</v>
          </cell>
          <cell r="H1919" t="str">
            <v>111동</v>
          </cell>
          <cell r="I1919">
            <v>250307</v>
          </cell>
          <cell r="J1919" t="str">
            <v>111동 18층 바닥</v>
          </cell>
          <cell r="K1919">
            <v>153</v>
          </cell>
          <cell r="L1919">
            <v>153</v>
          </cell>
          <cell r="M1919">
            <v>3018</v>
          </cell>
          <cell r="N1919" t="str">
            <v>영진</v>
          </cell>
          <cell r="O1919" t="str">
            <v>펌프카(1대)</v>
          </cell>
          <cell r="P1919">
            <v>1244</v>
          </cell>
          <cell r="Q1919">
            <v>1610</v>
          </cell>
          <cell r="R1919">
            <v>190</v>
          </cell>
          <cell r="S1919">
            <v>40</v>
          </cell>
          <cell r="T1919">
            <v>30</v>
          </cell>
          <cell r="U1919">
            <v>174</v>
          </cell>
          <cell r="V1919"/>
          <cell r="W1919" t="str">
            <v>박순홍</v>
          </cell>
          <cell r="X1919" t="str">
            <v>(인)</v>
          </cell>
          <cell r="Y1919" t="str">
            <v>박순홍</v>
          </cell>
          <cell r="Z1919" t="str">
            <v>(인)</v>
          </cell>
          <cell r="AA1919" t="str">
            <v>이홍걸</v>
          </cell>
          <cell r="AB1919" t="str">
            <v>(인)</v>
          </cell>
          <cell r="AC1919" t="str">
            <v>박상갑</v>
          </cell>
          <cell r="AD1919" t="str">
            <v>(인)</v>
          </cell>
          <cell r="AE1919">
            <v>183.2</v>
          </cell>
          <cell r="AF1919" t="str">
            <v>동절기</v>
          </cell>
          <cell r="AG1919">
            <v>1</v>
          </cell>
          <cell r="AH1919">
            <v>1</v>
          </cell>
          <cell r="AI1919">
            <v>2588</v>
          </cell>
          <cell r="AJ1919">
            <v>2620</v>
          </cell>
          <cell r="AK1919">
            <v>207400</v>
          </cell>
          <cell r="AL1919">
            <v>4053</v>
          </cell>
          <cell r="AM1919">
            <v>3972</v>
          </cell>
          <cell r="AN1919">
            <v>4126</v>
          </cell>
          <cell r="AO1919">
            <v>4138</v>
          </cell>
          <cell r="AP1919">
            <v>4120</v>
          </cell>
          <cell r="AQ1919">
            <v>4212</v>
          </cell>
          <cell r="AR1919">
            <v>4036</v>
          </cell>
          <cell r="AS1919">
            <v>3879</v>
          </cell>
          <cell r="AT1919">
            <v>319200</v>
          </cell>
        </row>
        <row r="1920">
          <cell r="G1920">
            <v>2503070302</v>
          </cell>
          <cell r="H1920" t="str">
            <v>111동</v>
          </cell>
          <cell r="I1920">
            <v>250307</v>
          </cell>
          <cell r="J1920" t="str">
            <v>111동 18층 바닥</v>
          </cell>
          <cell r="K1920">
            <v>153</v>
          </cell>
          <cell r="L1920">
            <v>153</v>
          </cell>
          <cell r="M1920">
            <v>3018</v>
          </cell>
          <cell r="N1920" t="str">
            <v>영진</v>
          </cell>
          <cell r="O1920" t="str">
            <v>펌프카(1대)</v>
          </cell>
          <cell r="P1920">
            <v>1244</v>
          </cell>
          <cell r="Q1920">
            <v>1610</v>
          </cell>
          <cell r="R1920">
            <v>180</v>
          </cell>
          <cell r="S1920">
            <v>35</v>
          </cell>
          <cell r="T1920">
            <v>36</v>
          </cell>
          <cell r="U1920">
            <v>168</v>
          </cell>
          <cell r="V1920"/>
          <cell r="W1920" t="str">
            <v>박순홍</v>
          </cell>
          <cell r="X1920" t="str">
            <v>(인)</v>
          </cell>
          <cell r="Y1920" t="str">
            <v>박순홍</v>
          </cell>
          <cell r="Z1920" t="str">
            <v>(인)</v>
          </cell>
          <cell r="AA1920" t="str">
            <v>이홍걸</v>
          </cell>
          <cell r="AB1920" t="str">
            <v>(인)</v>
          </cell>
          <cell r="AC1920" t="str">
            <v>박상갑</v>
          </cell>
          <cell r="AD1920" t="str">
            <v>(인)</v>
          </cell>
          <cell r="AE1920">
            <v>181.4</v>
          </cell>
          <cell r="AF1920" t="str">
            <v>동절기</v>
          </cell>
          <cell r="AG1920">
            <v>2</v>
          </cell>
          <cell r="AH1920">
            <v>0</v>
          </cell>
        </row>
        <row r="1921">
          <cell r="G1921">
            <v>2503070401</v>
          </cell>
          <cell r="H1921" t="str">
            <v>주차장</v>
          </cell>
          <cell r="I1921">
            <v>250307</v>
          </cell>
          <cell r="J1921" t="str">
            <v>118동 주변주차장 지하1층 바닥</v>
          </cell>
          <cell r="K1921">
            <v>480</v>
          </cell>
          <cell r="L1921">
            <v>480</v>
          </cell>
          <cell r="M1921">
            <v>2715</v>
          </cell>
          <cell r="N1921" t="str">
            <v>대공</v>
          </cell>
          <cell r="O1921" t="str">
            <v>펌프카(1대)</v>
          </cell>
          <cell r="P1921">
            <v>824</v>
          </cell>
          <cell r="Q1921">
            <v>1648</v>
          </cell>
          <cell r="R1921">
            <v>175</v>
          </cell>
          <cell r="S1921">
            <v>49</v>
          </cell>
          <cell r="T1921">
            <v>78</v>
          </cell>
          <cell r="U1921">
            <v>202</v>
          </cell>
          <cell r="V1921"/>
          <cell r="W1921" t="str">
            <v>박순홍</v>
          </cell>
          <cell r="X1921" t="str">
            <v>(인)</v>
          </cell>
          <cell r="Y1921" t="str">
            <v>박순홍</v>
          </cell>
          <cell r="Z1921" t="str">
            <v>(인)</v>
          </cell>
          <cell r="AA1921" t="str">
            <v>이홍걸</v>
          </cell>
          <cell r="AB1921" t="str">
            <v>(인)</v>
          </cell>
          <cell r="AC1921" t="str">
            <v>박상갑</v>
          </cell>
          <cell r="AD1921" t="str">
            <v>(인)</v>
          </cell>
          <cell r="AE1921">
            <v>180.2</v>
          </cell>
          <cell r="AF1921" t="str">
            <v>동절기</v>
          </cell>
          <cell r="AG1921">
            <v>1</v>
          </cell>
          <cell r="AH1921">
            <v>1</v>
          </cell>
          <cell r="AI1921">
            <v>2301</v>
          </cell>
          <cell r="AJ1921">
            <v>2368</v>
          </cell>
          <cell r="AK1921">
            <v>179600</v>
          </cell>
          <cell r="AL1921">
            <v>3312</v>
          </cell>
          <cell r="AM1921">
            <v>3422</v>
          </cell>
          <cell r="AN1921">
            <v>3404</v>
          </cell>
          <cell r="AO1921">
            <v>3401</v>
          </cell>
          <cell r="AP1921">
            <v>3392</v>
          </cell>
          <cell r="AQ1921">
            <v>3416</v>
          </cell>
          <cell r="AR1921">
            <v>3387</v>
          </cell>
          <cell r="AS1921">
            <v>3392</v>
          </cell>
          <cell r="AT1921">
            <v>264400</v>
          </cell>
        </row>
        <row r="1922">
          <cell r="G1922">
            <v>2503070402</v>
          </cell>
          <cell r="H1922" t="str">
            <v>주차장</v>
          </cell>
          <cell r="I1922">
            <v>250307</v>
          </cell>
          <cell r="J1922" t="str">
            <v>118동 주변주차장 지하1층 바닥</v>
          </cell>
          <cell r="K1922">
            <v>480</v>
          </cell>
          <cell r="L1922">
            <v>480</v>
          </cell>
          <cell r="M1922">
            <v>2715</v>
          </cell>
          <cell r="N1922" t="str">
            <v>대공</v>
          </cell>
          <cell r="O1922" t="str">
            <v>펌프카(1대)</v>
          </cell>
          <cell r="P1922">
            <v>824</v>
          </cell>
          <cell r="Q1922">
            <v>1648</v>
          </cell>
          <cell r="R1922">
            <v>165</v>
          </cell>
          <cell r="S1922">
            <v>44</v>
          </cell>
          <cell r="T1922">
            <v>26</v>
          </cell>
          <cell r="U1922">
            <v>181</v>
          </cell>
          <cell r="V1922"/>
          <cell r="W1922" t="str">
            <v>박순홍</v>
          </cell>
          <cell r="X1922" t="str">
            <v>(인)</v>
          </cell>
          <cell r="Y1922" t="str">
            <v>박순홍</v>
          </cell>
          <cell r="Z1922" t="str">
            <v>(인)</v>
          </cell>
          <cell r="AA1922" t="str">
            <v>이홍걸</v>
          </cell>
          <cell r="AB1922" t="str">
            <v>(인)</v>
          </cell>
          <cell r="AC1922" t="str">
            <v>박상갑</v>
          </cell>
          <cell r="AD1922" t="str">
            <v>(인)</v>
          </cell>
          <cell r="AE1922">
            <v>177.6</v>
          </cell>
          <cell r="AF1922" t="str">
            <v>동절기</v>
          </cell>
          <cell r="AG1922">
            <v>2</v>
          </cell>
          <cell r="AH1922">
            <v>0</v>
          </cell>
        </row>
        <row r="1923">
          <cell r="G1923">
            <v>2503070403</v>
          </cell>
          <cell r="H1923" t="str">
            <v>주차장</v>
          </cell>
          <cell r="I1923">
            <v>250307</v>
          </cell>
          <cell r="J1923" t="str">
            <v>118동 주변주차장 지하1층 바닥</v>
          </cell>
          <cell r="K1923">
            <v>480</v>
          </cell>
          <cell r="L1923">
            <v>480</v>
          </cell>
          <cell r="M1923">
            <v>2715</v>
          </cell>
          <cell r="N1923" t="str">
            <v>대공</v>
          </cell>
          <cell r="O1923" t="str">
            <v>펌프카(1대)</v>
          </cell>
          <cell r="P1923">
            <v>824</v>
          </cell>
          <cell r="Q1923">
            <v>1648</v>
          </cell>
          <cell r="R1923">
            <v>145</v>
          </cell>
          <cell r="S1923">
            <v>42</v>
          </cell>
          <cell r="T1923">
            <v>19</v>
          </cell>
          <cell r="U1923">
            <v>171</v>
          </cell>
          <cell r="V1923"/>
          <cell r="W1923" t="str">
            <v>박순홍</v>
          </cell>
          <cell r="X1923" t="str">
            <v>(인)</v>
          </cell>
          <cell r="Y1923" t="str">
            <v>박순홍</v>
          </cell>
          <cell r="Z1923" t="str">
            <v>(인)</v>
          </cell>
          <cell r="AA1923" t="str">
            <v>이홍걸</v>
          </cell>
          <cell r="AB1923" t="str">
            <v>(인)</v>
          </cell>
          <cell r="AC1923" t="str">
            <v>박상갑</v>
          </cell>
          <cell r="AD1923" t="str">
            <v>(인)</v>
          </cell>
          <cell r="AE1923">
            <v>179.3</v>
          </cell>
          <cell r="AF1923" t="str">
            <v>동절기</v>
          </cell>
          <cell r="AG1923">
            <v>3</v>
          </cell>
          <cell r="AH1923">
            <v>0</v>
          </cell>
        </row>
        <row r="1924">
          <cell r="G1924">
            <v>2503070404</v>
          </cell>
          <cell r="H1924" t="str">
            <v>주차장</v>
          </cell>
          <cell r="I1924">
            <v>250307</v>
          </cell>
          <cell r="J1924" t="str">
            <v>118동 주변주차장 지하1층 바닥</v>
          </cell>
          <cell r="K1924">
            <v>480</v>
          </cell>
          <cell r="L1924">
            <v>480</v>
          </cell>
          <cell r="M1924">
            <v>2715</v>
          </cell>
          <cell r="N1924" t="str">
            <v>대공</v>
          </cell>
          <cell r="O1924" t="str">
            <v>펌프카(1대)</v>
          </cell>
          <cell r="P1924">
            <v>824</v>
          </cell>
          <cell r="Q1924">
            <v>1648</v>
          </cell>
          <cell r="R1924">
            <v>160</v>
          </cell>
          <cell r="S1924">
            <v>38</v>
          </cell>
          <cell r="T1924">
            <v>41</v>
          </cell>
          <cell r="U1924">
            <v>178</v>
          </cell>
          <cell r="V1924"/>
          <cell r="W1924" t="str">
            <v>박순홍</v>
          </cell>
          <cell r="X1924" t="str">
            <v>(인)</v>
          </cell>
          <cell r="Y1924" t="str">
            <v>박순홍</v>
          </cell>
          <cell r="Z1924" t="str">
            <v>(인)</v>
          </cell>
          <cell r="AA1924" t="str">
            <v>이홍걸</v>
          </cell>
          <cell r="AB1924" t="str">
            <v>(인)</v>
          </cell>
          <cell r="AC1924" t="str">
            <v>박상갑</v>
          </cell>
          <cell r="AD1924" t="str">
            <v>(인)</v>
          </cell>
          <cell r="AE1924">
            <v>174.4</v>
          </cell>
          <cell r="AF1924" t="str">
            <v>동절기</v>
          </cell>
          <cell r="AG1924">
            <v>4</v>
          </cell>
          <cell r="AH1924">
            <v>1</v>
          </cell>
          <cell r="AL1924">
            <v>3425</v>
          </cell>
          <cell r="AM1924">
            <v>3437</v>
          </cell>
          <cell r="AN1924">
            <v>3427</v>
          </cell>
          <cell r="AO1924">
            <v>3507</v>
          </cell>
          <cell r="AP1924">
            <v>3429</v>
          </cell>
          <cell r="AQ1924">
            <v>3516</v>
          </cell>
          <cell r="AR1924">
            <v>3410</v>
          </cell>
          <cell r="AS1924">
            <v>3477</v>
          </cell>
          <cell r="AT1924">
            <v>275600</v>
          </cell>
        </row>
        <row r="1925">
          <cell r="G1925">
            <v>2503100101</v>
          </cell>
          <cell r="H1925" t="str">
            <v>117동</v>
          </cell>
          <cell r="I1925">
            <v>250310</v>
          </cell>
          <cell r="J1925" t="str">
            <v>117동 11층 바닥</v>
          </cell>
          <cell r="K1925">
            <v>348</v>
          </cell>
          <cell r="L1925">
            <v>348</v>
          </cell>
          <cell r="M1925">
            <v>3018</v>
          </cell>
          <cell r="N1925" t="str">
            <v>대원</v>
          </cell>
          <cell r="O1925" t="str">
            <v>펌프카(1대)</v>
          </cell>
          <cell r="P1925">
            <v>811</v>
          </cell>
          <cell r="Q1925">
            <v>1341</v>
          </cell>
          <cell r="R1925">
            <v>180</v>
          </cell>
          <cell r="S1925">
            <v>50</v>
          </cell>
          <cell r="T1925">
            <v>27</v>
          </cell>
          <cell r="U1925">
            <v>150</v>
          </cell>
          <cell r="V1925"/>
          <cell r="W1925" t="str">
            <v>박순홍</v>
          </cell>
          <cell r="X1925" t="str">
            <v>(인)</v>
          </cell>
          <cell r="Y1925" t="str">
            <v>박순홍</v>
          </cell>
          <cell r="Z1925" t="str">
            <v>(인)</v>
          </cell>
          <cell r="AA1925" t="str">
            <v>박상갑</v>
          </cell>
          <cell r="AB1925" t="str">
            <v>(인)</v>
          </cell>
          <cell r="AC1925" t="str">
            <v>이홍걸</v>
          </cell>
          <cell r="AD1925" t="str">
            <v>(인)</v>
          </cell>
          <cell r="AE1925">
            <v>188.4</v>
          </cell>
          <cell r="AF1925" t="str">
            <v>동절기</v>
          </cell>
          <cell r="AG1925">
            <v>1</v>
          </cell>
          <cell r="AH1925">
            <v>1</v>
          </cell>
          <cell r="AI1925">
            <v>2762</v>
          </cell>
          <cell r="AJ1925">
            <v>2817</v>
          </cell>
          <cell r="AK1925">
            <v>217400</v>
          </cell>
          <cell r="AL1925">
            <v>3867</v>
          </cell>
          <cell r="AM1925">
            <v>3929</v>
          </cell>
          <cell r="AN1925">
            <v>3936</v>
          </cell>
          <cell r="AO1925">
            <v>4031</v>
          </cell>
          <cell r="AP1925">
            <v>4027</v>
          </cell>
          <cell r="AQ1925">
            <v>3936</v>
          </cell>
          <cell r="AR1925">
            <v>4011</v>
          </cell>
          <cell r="AS1925">
            <v>3938</v>
          </cell>
          <cell r="AT1925">
            <v>313000</v>
          </cell>
        </row>
        <row r="1926">
          <cell r="G1926">
            <v>2503100102</v>
          </cell>
          <cell r="H1926" t="str">
            <v>117동</v>
          </cell>
          <cell r="I1926">
            <v>250310</v>
          </cell>
          <cell r="J1926" t="str">
            <v>117동 11층 바닥</v>
          </cell>
          <cell r="K1926">
            <v>348</v>
          </cell>
          <cell r="L1926">
            <v>348</v>
          </cell>
          <cell r="M1926">
            <v>3018</v>
          </cell>
          <cell r="N1926" t="str">
            <v>대원</v>
          </cell>
          <cell r="O1926" t="str">
            <v>펌프카(1대)</v>
          </cell>
          <cell r="P1926">
            <v>811</v>
          </cell>
          <cell r="Q1926">
            <v>1341</v>
          </cell>
          <cell r="R1926">
            <v>190</v>
          </cell>
          <cell r="S1926">
            <v>52</v>
          </cell>
          <cell r="T1926">
            <v>24</v>
          </cell>
          <cell r="U1926">
            <v>160</v>
          </cell>
          <cell r="V1926"/>
          <cell r="W1926" t="str">
            <v>박순홍</v>
          </cell>
          <cell r="X1926" t="str">
            <v>(인)</v>
          </cell>
          <cell r="Y1926" t="str">
            <v>박순홍</v>
          </cell>
          <cell r="Z1926" t="str">
            <v>(인)</v>
          </cell>
          <cell r="AA1926" t="str">
            <v>박상갑</v>
          </cell>
          <cell r="AB1926" t="str">
            <v>(인)</v>
          </cell>
          <cell r="AC1926" t="str">
            <v>이홍걸</v>
          </cell>
          <cell r="AD1926" t="str">
            <v>(인)</v>
          </cell>
          <cell r="AE1926">
            <v>186.2</v>
          </cell>
          <cell r="AF1926" t="str">
            <v>동절기</v>
          </cell>
          <cell r="AG1926">
            <v>2</v>
          </cell>
          <cell r="AH1926">
            <v>0</v>
          </cell>
        </row>
        <row r="1927">
          <cell r="G1927">
            <v>2503100103</v>
          </cell>
          <cell r="H1927" t="str">
            <v>117동</v>
          </cell>
          <cell r="I1927">
            <v>250310</v>
          </cell>
          <cell r="J1927" t="str">
            <v>117동 11층 바닥</v>
          </cell>
          <cell r="K1927">
            <v>348</v>
          </cell>
          <cell r="L1927">
            <v>348</v>
          </cell>
          <cell r="M1927">
            <v>3018</v>
          </cell>
          <cell r="N1927" t="str">
            <v>대원</v>
          </cell>
          <cell r="O1927" t="str">
            <v>펌프카(1대)</v>
          </cell>
          <cell r="P1927">
            <v>811</v>
          </cell>
          <cell r="Q1927">
            <v>1341</v>
          </cell>
          <cell r="R1927">
            <v>180</v>
          </cell>
          <cell r="S1927">
            <v>40</v>
          </cell>
          <cell r="T1927">
            <v>37</v>
          </cell>
          <cell r="U1927">
            <v>146</v>
          </cell>
          <cell r="V1927"/>
          <cell r="W1927" t="str">
            <v>박순홍</v>
          </cell>
          <cell r="X1927" t="str">
            <v>(인)</v>
          </cell>
          <cell r="Y1927" t="str">
            <v>박순홍</v>
          </cell>
          <cell r="Z1927" t="str">
            <v>(인)</v>
          </cell>
          <cell r="AA1927" t="str">
            <v>박상갑</v>
          </cell>
          <cell r="AB1927" t="str">
            <v>(인)</v>
          </cell>
          <cell r="AC1927" t="str">
            <v>이홍걸</v>
          </cell>
          <cell r="AD1927" t="str">
            <v>(인)</v>
          </cell>
          <cell r="AE1927">
            <v>189.2</v>
          </cell>
          <cell r="AF1927" t="str">
            <v>동절기</v>
          </cell>
          <cell r="AG1927">
            <v>3</v>
          </cell>
          <cell r="AH1927">
            <v>0</v>
          </cell>
        </row>
        <row r="1928">
          <cell r="G1928">
            <v>2503100201</v>
          </cell>
          <cell r="H1928" t="str">
            <v>119동</v>
          </cell>
          <cell r="I1928">
            <v>250310</v>
          </cell>
          <cell r="J1928" t="str">
            <v>119동 10층 바닥</v>
          </cell>
          <cell r="K1928">
            <v>276</v>
          </cell>
          <cell r="L1928">
            <v>276</v>
          </cell>
          <cell r="M1928">
            <v>3018</v>
          </cell>
          <cell r="N1928" t="str">
            <v>영진</v>
          </cell>
          <cell r="O1928" t="str">
            <v>펌프카(1대)</v>
          </cell>
          <cell r="P1928">
            <v>1310</v>
          </cell>
          <cell r="Q1928">
            <v>1630</v>
          </cell>
          <cell r="R1928">
            <v>185</v>
          </cell>
          <cell r="S1928">
            <v>40</v>
          </cell>
          <cell r="T1928">
            <v>51</v>
          </cell>
          <cell r="U1928">
            <v>207</v>
          </cell>
          <cell r="V1928"/>
          <cell r="W1928" t="str">
            <v>박순홍</v>
          </cell>
          <cell r="X1928" t="str">
            <v>(인)</v>
          </cell>
          <cell r="Y1928" t="str">
            <v>박순홍</v>
          </cell>
          <cell r="Z1928" t="str">
            <v>(인)</v>
          </cell>
          <cell r="AA1928" t="str">
            <v>박상갑</v>
          </cell>
          <cell r="AB1928" t="str">
            <v>(인)</v>
          </cell>
          <cell r="AC1928" t="str">
            <v>이홍걸</v>
          </cell>
          <cell r="AD1928" t="str">
            <v>(인)</v>
          </cell>
          <cell r="AE1928">
            <v>184.6</v>
          </cell>
          <cell r="AF1928" t="str">
            <v>동절기</v>
          </cell>
          <cell r="AG1928">
            <v>1</v>
          </cell>
          <cell r="AH1928">
            <v>1</v>
          </cell>
          <cell r="AI1928">
            <v>2722</v>
          </cell>
          <cell r="AJ1928">
            <v>2788</v>
          </cell>
          <cell r="AK1928">
            <v>222400</v>
          </cell>
          <cell r="AL1928">
            <v>3813</v>
          </cell>
          <cell r="AM1928">
            <v>3729</v>
          </cell>
          <cell r="AN1928">
            <v>3930</v>
          </cell>
          <cell r="AO1928">
            <v>3837</v>
          </cell>
          <cell r="AP1928">
            <v>3904</v>
          </cell>
          <cell r="AQ1928">
            <v>3721</v>
          </cell>
          <cell r="AR1928">
            <v>3839</v>
          </cell>
          <cell r="AS1928">
            <v>3864</v>
          </cell>
          <cell r="AT1928">
            <v>296600</v>
          </cell>
        </row>
        <row r="1929">
          <cell r="G1929">
            <v>2503100202</v>
          </cell>
          <cell r="H1929" t="str">
            <v>119동</v>
          </cell>
          <cell r="I1929">
            <v>250310</v>
          </cell>
          <cell r="J1929" t="str">
            <v>119동 10층 바닥</v>
          </cell>
          <cell r="K1929">
            <v>276</v>
          </cell>
          <cell r="L1929">
            <v>276</v>
          </cell>
          <cell r="M1929">
            <v>3018</v>
          </cell>
          <cell r="N1929" t="str">
            <v>영진</v>
          </cell>
          <cell r="O1929" t="str">
            <v>펌프카(1대)</v>
          </cell>
          <cell r="P1929">
            <v>1310</v>
          </cell>
          <cell r="Q1929">
            <v>1630</v>
          </cell>
          <cell r="R1929">
            <v>195</v>
          </cell>
          <cell r="S1929">
            <v>46</v>
          </cell>
          <cell r="T1929">
            <v>59</v>
          </cell>
          <cell r="U1929">
            <v>204</v>
          </cell>
          <cell r="V1929"/>
          <cell r="W1929" t="str">
            <v>박순홍</v>
          </cell>
          <cell r="X1929" t="str">
            <v>(인)</v>
          </cell>
          <cell r="Y1929" t="str">
            <v>박순홍</v>
          </cell>
          <cell r="Z1929" t="str">
            <v>(인)</v>
          </cell>
          <cell r="AA1929" t="str">
            <v>박상갑</v>
          </cell>
          <cell r="AB1929" t="str">
            <v>(인)</v>
          </cell>
          <cell r="AC1929" t="str">
            <v>이홍걸</v>
          </cell>
          <cell r="AD1929" t="str">
            <v>(인)</v>
          </cell>
          <cell r="AE1929">
            <v>183.6</v>
          </cell>
          <cell r="AF1929" t="str">
            <v>동절기</v>
          </cell>
          <cell r="AG1929">
            <v>2</v>
          </cell>
          <cell r="AH1929">
            <v>0</v>
          </cell>
        </row>
        <row r="1930">
          <cell r="G1930">
            <v>2503100203</v>
          </cell>
          <cell r="H1930" t="str">
            <v>119동</v>
          </cell>
          <cell r="I1930">
            <v>250310</v>
          </cell>
          <cell r="J1930" t="str">
            <v>119동 10층 바닥</v>
          </cell>
          <cell r="K1930">
            <v>276</v>
          </cell>
          <cell r="L1930">
            <v>276</v>
          </cell>
          <cell r="M1930">
            <v>3018</v>
          </cell>
          <cell r="N1930" t="str">
            <v>영진</v>
          </cell>
          <cell r="O1930" t="str">
            <v>펌프카(1대)</v>
          </cell>
          <cell r="P1930">
            <v>1310</v>
          </cell>
          <cell r="Q1930">
            <v>1630</v>
          </cell>
          <cell r="R1930">
            <v>170</v>
          </cell>
          <cell r="S1930">
            <v>33</v>
          </cell>
          <cell r="T1930">
            <v>89</v>
          </cell>
          <cell r="U1930">
            <v>199</v>
          </cell>
          <cell r="V1930"/>
          <cell r="W1930" t="str">
            <v>박순홍</v>
          </cell>
          <cell r="X1930" t="str">
            <v>(인)</v>
          </cell>
          <cell r="Y1930" t="str">
            <v>박순홍</v>
          </cell>
          <cell r="Z1930" t="str">
            <v>(인)</v>
          </cell>
          <cell r="AA1930" t="str">
            <v>박상갑</v>
          </cell>
          <cell r="AB1930" t="str">
            <v>(인)</v>
          </cell>
          <cell r="AC1930" t="str">
            <v>이홍걸</v>
          </cell>
          <cell r="AD1930" t="str">
            <v>(인)</v>
          </cell>
          <cell r="AE1930">
            <v>181.4</v>
          </cell>
          <cell r="AF1930" t="str">
            <v>동절기</v>
          </cell>
          <cell r="AG1930">
            <v>3</v>
          </cell>
          <cell r="AH1930">
            <v>0</v>
          </cell>
        </row>
        <row r="1931">
          <cell r="G1931">
            <v>2503100301</v>
          </cell>
          <cell r="H1931" t="str">
            <v>116동</v>
          </cell>
          <cell r="I1931">
            <v>250310</v>
          </cell>
          <cell r="J1931" t="str">
            <v>116동 12층 바닥</v>
          </cell>
          <cell r="K1931">
            <v>288</v>
          </cell>
          <cell r="L1931">
            <v>288</v>
          </cell>
          <cell r="M1931">
            <v>3018</v>
          </cell>
          <cell r="N1931" t="str">
            <v>영진</v>
          </cell>
          <cell r="O1931" t="str">
            <v>펌프카(1대)</v>
          </cell>
          <cell r="P1931">
            <v>803</v>
          </cell>
          <cell r="Q1931">
            <v>1155</v>
          </cell>
          <cell r="R1931">
            <v>175</v>
          </cell>
          <cell r="S1931">
            <v>41</v>
          </cell>
          <cell r="T1931">
            <v>18</v>
          </cell>
          <cell r="U1931">
            <v>151</v>
          </cell>
          <cell r="V1931"/>
          <cell r="W1931" t="str">
            <v>박순홍</v>
          </cell>
          <cell r="X1931" t="str">
            <v>(인)</v>
          </cell>
          <cell r="Y1931" t="str">
            <v>박순홍</v>
          </cell>
          <cell r="Z1931" t="str">
            <v>(인)</v>
          </cell>
          <cell r="AA1931" t="str">
            <v>박상갑</v>
          </cell>
          <cell r="AB1931" t="str">
            <v>(인)</v>
          </cell>
          <cell r="AC1931" t="str">
            <v>이홍걸</v>
          </cell>
          <cell r="AD1931" t="str">
            <v>(인)</v>
          </cell>
          <cell r="AE1931">
            <v>178.9</v>
          </cell>
          <cell r="AF1931" t="str">
            <v>동절기</v>
          </cell>
          <cell r="AG1931">
            <v>1</v>
          </cell>
          <cell r="AH1931">
            <v>1</v>
          </cell>
          <cell r="AI1931">
            <v>2678</v>
          </cell>
          <cell r="AJ1931">
            <v>2752</v>
          </cell>
          <cell r="AK1931">
            <v>217600</v>
          </cell>
          <cell r="AL1931">
            <v>4036</v>
          </cell>
          <cell r="AM1931">
            <v>3929</v>
          </cell>
          <cell r="AN1931">
            <v>3964</v>
          </cell>
          <cell r="AO1931">
            <v>3987</v>
          </cell>
          <cell r="AP1931">
            <v>4072</v>
          </cell>
          <cell r="AQ1931">
            <v>4064</v>
          </cell>
          <cell r="AR1931">
            <v>4104</v>
          </cell>
          <cell r="AS1931">
            <v>3869</v>
          </cell>
          <cell r="AT1931">
            <v>307800</v>
          </cell>
        </row>
        <row r="1932">
          <cell r="G1932">
            <v>2503100302</v>
          </cell>
          <cell r="H1932" t="str">
            <v>116동</v>
          </cell>
          <cell r="I1932">
            <v>250310</v>
          </cell>
          <cell r="J1932" t="str">
            <v>116동 12층 바닥</v>
          </cell>
          <cell r="K1932">
            <v>288</v>
          </cell>
          <cell r="L1932">
            <v>288</v>
          </cell>
          <cell r="M1932">
            <v>3018</v>
          </cell>
          <cell r="N1932" t="str">
            <v>영진</v>
          </cell>
          <cell r="O1932" t="str">
            <v>펌프카(1대)</v>
          </cell>
          <cell r="P1932">
            <v>803</v>
          </cell>
          <cell r="Q1932">
            <v>1155</v>
          </cell>
          <cell r="R1932">
            <v>185</v>
          </cell>
          <cell r="S1932">
            <v>48</v>
          </cell>
          <cell r="T1932">
            <v>33</v>
          </cell>
          <cell r="U1932">
            <v>150</v>
          </cell>
          <cell r="V1932"/>
          <cell r="W1932" t="str">
            <v>박순홍</v>
          </cell>
          <cell r="X1932" t="str">
            <v>(인)</v>
          </cell>
          <cell r="Y1932" t="str">
            <v>박순홍</v>
          </cell>
          <cell r="Z1932" t="str">
            <v>(인)</v>
          </cell>
          <cell r="AA1932" t="str">
            <v>박상갑</v>
          </cell>
          <cell r="AB1932" t="str">
            <v>(인)</v>
          </cell>
          <cell r="AC1932" t="str">
            <v>이홍걸</v>
          </cell>
          <cell r="AD1932" t="str">
            <v>(인)</v>
          </cell>
          <cell r="AE1932">
            <v>182.9</v>
          </cell>
          <cell r="AF1932" t="str">
            <v>동절기</v>
          </cell>
          <cell r="AG1932">
            <v>2</v>
          </cell>
          <cell r="AH1932">
            <v>0</v>
          </cell>
        </row>
        <row r="1933">
          <cell r="G1933">
            <v>2503100303</v>
          </cell>
          <cell r="H1933" t="str">
            <v>116동</v>
          </cell>
          <cell r="I1933">
            <v>250310</v>
          </cell>
          <cell r="J1933" t="str">
            <v>116동 12층 바닥</v>
          </cell>
          <cell r="K1933">
            <v>288</v>
          </cell>
          <cell r="L1933">
            <v>288</v>
          </cell>
          <cell r="M1933">
            <v>3018</v>
          </cell>
          <cell r="N1933" t="str">
            <v>영진</v>
          </cell>
          <cell r="O1933" t="str">
            <v>펌프카(1대)</v>
          </cell>
          <cell r="P1933">
            <v>803</v>
          </cell>
          <cell r="Q1933">
            <v>1155</v>
          </cell>
          <cell r="R1933">
            <v>180</v>
          </cell>
          <cell r="S1933">
            <v>42</v>
          </cell>
          <cell r="T1933">
            <v>19</v>
          </cell>
          <cell r="U1933">
            <v>154</v>
          </cell>
          <cell r="V1933"/>
          <cell r="W1933" t="str">
            <v>박순홍</v>
          </cell>
          <cell r="X1933" t="str">
            <v>(인)</v>
          </cell>
          <cell r="Y1933" t="str">
            <v>박순홍</v>
          </cell>
          <cell r="Z1933" t="str">
            <v>(인)</v>
          </cell>
          <cell r="AA1933" t="str">
            <v>박상갑</v>
          </cell>
          <cell r="AB1933" t="str">
            <v>(인)</v>
          </cell>
          <cell r="AC1933" t="str">
            <v>이홍걸</v>
          </cell>
          <cell r="AD1933" t="str">
            <v>(인)</v>
          </cell>
          <cell r="AE1933">
            <v>182.5</v>
          </cell>
          <cell r="AF1933" t="str">
            <v>동절기</v>
          </cell>
          <cell r="AG1933">
            <v>3</v>
          </cell>
          <cell r="AH1933">
            <v>0</v>
          </cell>
        </row>
        <row r="1934">
          <cell r="G1934">
            <v>2503100401</v>
          </cell>
          <cell r="H1934" t="str">
            <v>109동</v>
          </cell>
          <cell r="I1934">
            <v>250310</v>
          </cell>
          <cell r="J1934" t="str">
            <v>109동 20층 바닥</v>
          </cell>
          <cell r="K1934">
            <v>276</v>
          </cell>
          <cell r="L1934">
            <v>276</v>
          </cell>
          <cell r="M1934">
            <v>3018</v>
          </cell>
          <cell r="N1934" t="str">
            <v>한진</v>
          </cell>
          <cell r="O1934" t="str">
            <v>펌프카(1대)</v>
          </cell>
          <cell r="P1934">
            <v>1153</v>
          </cell>
          <cell r="Q1934">
            <v>1704</v>
          </cell>
          <cell r="R1934">
            <v>200</v>
          </cell>
          <cell r="S1934">
            <v>47</v>
          </cell>
          <cell r="T1934">
            <v>23</v>
          </cell>
          <cell r="U1934">
            <v>205</v>
          </cell>
          <cell r="V1934"/>
          <cell r="W1934" t="str">
            <v>박순홍</v>
          </cell>
          <cell r="X1934" t="str">
            <v>(인)</v>
          </cell>
          <cell r="Y1934" t="str">
            <v>박순홍</v>
          </cell>
          <cell r="Z1934" t="str">
            <v>(인)</v>
          </cell>
          <cell r="AA1934" t="str">
            <v>박상갑</v>
          </cell>
          <cell r="AB1934" t="str">
            <v>(인)</v>
          </cell>
          <cell r="AC1934" t="str">
            <v>이홍걸</v>
          </cell>
          <cell r="AD1934" t="str">
            <v>(인)</v>
          </cell>
          <cell r="AE1934">
            <v>190.7</v>
          </cell>
          <cell r="AF1934" t="str">
            <v>동절기</v>
          </cell>
          <cell r="AG1934">
            <v>1</v>
          </cell>
          <cell r="AH1934">
            <v>1</v>
          </cell>
          <cell r="AI1934">
            <v>2650</v>
          </cell>
          <cell r="AJ1934">
            <v>2741</v>
          </cell>
          <cell r="AK1934">
            <v>216600</v>
          </cell>
          <cell r="AL1934">
            <v>4012</v>
          </cell>
          <cell r="AM1934">
            <v>3964</v>
          </cell>
          <cell r="AN1934">
            <v>4036</v>
          </cell>
          <cell r="AO1934">
            <v>4072</v>
          </cell>
          <cell r="AP1934">
            <v>4038</v>
          </cell>
          <cell r="AQ1934">
            <v>4094</v>
          </cell>
          <cell r="AR1934">
            <v>4123</v>
          </cell>
          <cell r="AS1934">
            <v>4167</v>
          </cell>
          <cell r="AT1934">
            <v>310800</v>
          </cell>
        </row>
        <row r="1935">
          <cell r="G1935">
            <v>2503100402</v>
          </cell>
          <cell r="H1935" t="str">
            <v>109동</v>
          </cell>
          <cell r="I1935">
            <v>250310</v>
          </cell>
          <cell r="J1935" t="str">
            <v>109동 20층 바닥</v>
          </cell>
          <cell r="K1935">
            <v>276</v>
          </cell>
          <cell r="L1935">
            <v>276</v>
          </cell>
          <cell r="M1935">
            <v>3018</v>
          </cell>
          <cell r="N1935" t="str">
            <v>한진</v>
          </cell>
          <cell r="O1935" t="str">
            <v>펌프카(1대)</v>
          </cell>
          <cell r="P1935">
            <v>1153</v>
          </cell>
          <cell r="Q1935">
            <v>1704</v>
          </cell>
          <cell r="R1935">
            <v>195</v>
          </cell>
          <cell r="S1935">
            <v>39</v>
          </cell>
          <cell r="T1935">
            <v>21</v>
          </cell>
          <cell r="U1935">
            <v>193</v>
          </cell>
          <cell r="V1935"/>
          <cell r="W1935" t="str">
            <v>박순홍</v>
          </cell>
          <cell r="X1935" t="str">
            <v>(인)</v>
          </cell>
          <cell r="Y1935" t="str">
            <v>박순홍</v>
          </cell>
          <cell r="Z1935" t="str">
            <v>(인)</v>
          </cell>
          <cell r="AA1935" t="str">
            <v>박상갑</v>
          </cell>
          <cell r="AB1935" t="str">
            <v>(인)</v>
          </cell>
          <cell r="AC1935" t="str">
            <v>이홍걸</v>
          </cell>
          <cell r="AD1935" t="str">
            <v>(인)</v>
          </cell>
          <cell r="AE1935">
            <v>188.9</v>
          </cell>
          <cell r="AF1935" t="str">
            <v>동절기</v>
          </cell>
          <cell r="AG1935">
            <v>2</v>
          </cell>
          <cell r="AH1935">
            <v>0</v>
          </cell>
        </row>
        <row r="1936">
          <cell r="G1936">
            <v>2503100403</v>
          </cell>
          <cell r="H1936" t="str">
            <v>109동</v>
          </cell>
          <cell r="I1936">
            <v>250310</v>
          </cell>
          <cell r="J1936" t="str">
            <v>109동 20층 바닥</v>
          </cell>
          <cell r="K1936">
            <v>276</v>
          </cell>
          <cell r="L1936">
            <v>276</v>
          </cell>
          <cell r="M1936">
            <v>3018</v>
          </cell>
          <cell r="N1936" t="str">
            <v>한진</v>
          </cell>
          <cell r="O1936" t="str">
            <v>펌프카(1대)</v>
          </cell>
          <cell r="P1936">
            <v>1153</v>
          </cell>
          <cell r="Q1936">
            <v>1704</v>
          </cell>
          <cell r="R1936">
            <v>190</v>
          </cell>
          <cell r="S1936">
            <v>36</v>
          </cell>
          <cell r="T1936">
            <v>88</v>
          </cell>
          <cell r="U1936">
            <v>179</v>
          </cell>
          <cell r="V1936"/>
          <cell r="W1936" t="str">
            <v>박순홍</v>
          </cell>
          <cell r="X1936" t="str">
            <v>(인)</v>
          </cell>
          <cell r="Y1936" t="str">
            <v>박순홍</v>
          </cell>
          <cell r="Z1936" t="str">
            <v>(인)</v>
          </cell>
          <cell r="AA1936" t="str">
            <v>박상갑</v>
          </cell>
          <cell r="AB1936" t="str">
            <v>(인)</v>
          </cell>
          <cell r="AC1936" t="str">
            <v>이홍걸</v>
          </cell>
          <cell r="AD1936" t="str">
            <v>(인)</v>
          </cell>
          <cell r="AE1936">
            <v>190.6</v>
          </cell>
          <cell r="AF1936" t="str">
            <v>동절기</v>
          </cell>
          <cell r="AG1936">
            <v>3</v>
          </cell>
          <cell r="AH1936">
            <v>0</v>
          </cell>
        </row>
        <row r="1937">
          <cell r="G1937">
            <v>2503110101</v>
          </cell>
          <cell r="H1937" t="str">
            <v>120동</v>
          </cell>
          <cell r="I1937">
            <v>250311</v>
          </cell>
          <cell r="J1937" t="str">
            <v>120동 9층 바닥 및 113동 난간 및 PH1 1차</v>
          </cell>
          <cell r="K1937">
            <v>340</v>
          </cell>
          <cell r="L1937">
            <v>335</v>
          </cell>
          <cell r="M1937">
            <v>3018</v>
          </cell>
          <cell r="N1937" t="str">
            <v>대공</v>
          </cell>
          <cell r="O1937" t="str">
            <v>펌프카(1대)</v>
          </cell>
          <cell r="P1937">
            <v>802</v>
          </cell>
          <cell r="Q1937">
            <v>1352</v>
          </cell>
          <cell r="R1937">
            <v>180</v>
          </cell>
          <cell r="S1937">
            <v>52</v>
          </cell>
          <cell r="T1937">
            <v>44</v>
          </cell>
          <cell r="U1937">
            <v>174</v>
          </cell>
          <cell r="V1937"/>
          <cell r="W1937" t="str">
            <v>김광록</v>
          </cell>
          <cell r="X1937" t="str">
            <v>(인)</v>
          </cell>
          <cell r="Y1937" t="str">
            <v>박순홍</v>
          </cell>
          <cell r="Z1937" t="str">
            <v>(인)</v>
          </cell>
          <cell r="AA1937" t="str">
            <v>박상갑</v>
          </cell>
          <cell r="AB1937" t="str">
            <v>(인)</v>
          </cell>
          <cell r="AC1937" t="str">
            <v>이홍걸</v>
          </cell>
          <cell r="AD1937" t="str">
            <v>(인)</v>
          </cell>
          <cell r="AE1937">
            <v>183.4</v>
          </cell>
          <cell r="AF1937" t="str">
            <v>동절기</v>
          </cell>
          <cell r="AG1937">
            <v>1</v>
          </cell>
          <cell r="AH1937">
            <v>1</v>
          </cell>
          <cell r="AI1937">
            <v>2765</v>
          </cell>
          <cell r="AJ1937">
            <v>2648</v>
          </cell>
          <cell r="AK1937">
            <v>217800</v>
          </cell>
          <cell r="AL1937">
            <v>4092</v>
          </cell>
          <cell r="AM1937">
            <v>3972</v>
          </cell>
          <cell r="AN1937">
            <v>3872</v>
          </cell>
          <cell r="AO1937">
            <v>3904</v>
          </cell>
          <cell r="AP1937">
            <v>4012</v>
          </cell>
          <cell r="AQ1937">
            <v>4073</v>
          </cell>
          <cell r="AR1937">
            <v>4094</v>
          </cell>
          <cell r="AS1937">
            <v>3876</v>
          </cell>
          <cell r="AT1937">
            <v>310000</v>
          </cell>
        </row>
        <row r="1938">
          <cell r="G1938">
            <v>2503110102</v>
          </cell>
          <cell r="H1938" t="str">
            <v>120동</v>
          </cell>
          <cell r="I1938">
            <v>250311</v>
          </cell>
          <cell r="J1938" t="str">
            <v>120동 9층 바닥 및 113동 난간 및 PH1 1차</v>
          </cell>
          <cell r="K1938">
            <v>340</v>
          </cell>
          <cell r="L1938">
            <v>335</v>
          </cell>
          <cell r="M1938">
            <v>3018</v>
          </cell>
          <cell r="N1938" t="str">
            <v>대공</v>
          </cell>
          <cell r="O1938" t="str">
            <v>펌프카(1대)</v>
          </cell>
          <cell r="P1938">
            <v>802</v>
          </cell>
          <cell r="Q1938">
            <v>1352</v>
          </cell>
          <cell r="R1938">
            <v>200</v>
          </cell>
          <cell r="S1938">
            <v>46</v>
          </cell>
          <cell r="T1938">
            <v>41</v>
          </cell>
          <cell r="U1938">
            <v>194</v>
          </cell>
          <cell r="V1938"/>
          <cell r="W1938" t="str">
            <v>김광록</v>
          </cell>
          <cell r="X1938" t="str">
            <v>(인)</v>
          </cell>
          <cell r="Y1938" t="str">
            <v>박순홍</v>
          </cell>
          <cell r="Z1938" t="str">
            <v>(인)</v>
          </cell>
          <cell r="AA1938" t="str">
            <v>박상갑</v>
          </cell>
          <cell r="AB1938" t="str">
            <v>(인)</v>
          </cell>
          <cell r="AC1938" t="str">
            <v>이홍걸</v>
          </cell>
          <cell r="AD1938" t="str">
            <v>(인)</v>
          </cell>
          <cell r="AE1938">
            <v>179.4</v>
          </cell>
          <cell r="AF1938" t="str">
            <v>동절기</v>
          </cell>
          <cell r="AG1938">
            <v>2</v>
          </cell>
          <cell r="AH1938">
            <v>0</v>
          </cell>
        </row>
        <row r="1939">
          <cell r="G1939">
            <v>2503110103</v>
          </cell>
          <cell r="H1939" t="str">
            <v>120동</v>
          </cell>
          <cell r="I1939">
            <v>250311</v>
          </cell>
          <cell r="J1939" t="str">
            <v>120동 9층 바닥 및 113동 난간 및 PH1 1차</v>
          </cell>
          <cell r="K1939">
            <v>340</v>
          </cell>
          <cell r="L1939">
            <v>335</v>
          </cell>
          <cell r="M1939">
            <v>3018</v>
          </cell>
          <cell r="N1939" t="str">
            <v>대공</v>
          </cell>
          <cell r="O1939" t="str">
            <v>펌프카(1대)</v>
          </cell>
          <cell r="P1939">
            <v>802</v>
          </cell>
          <cell r="Q1939">
            <v>1352</v>
          </cell>
          <cell r="R1939">
            <v>195</v>
          </cell>
          <cell r="S1939">
            <v>46</v>
          </cell>
          <cell r="T1939">
            <v>43</v>
          </cell>
          <cell r="U1939">
            <v>183</v>
          </cell>
          <cell r="V1939"/>
          <cell r="W1939" t="str">
            <v>김광록</v>
          </cell>
          <cell r="X1939" t="str">
            <v>(인)</v>
          </cell>
          <cell r="Y1939" t="str">
            <v>박순홍</v>
          </cell>
          <cell r="Z1939" t="str">
            <v>(인)</v>
          </cell>
          <cell r="AA1939" t="str">
            <v>박상갑</v>
          </cell>
          <cell r="AB1939" t="str">
            <v>(인)</v>
          </cell>
          <cell r="AC1939" t="str">
            <v>이홍걸</v>
          </cell>
          <cell r="AD1939" t="str">
            <v>(인)</v>
          </cell>
          <cell r="AE1939">
            <v>183.1</v>
          </cell>
          <cell r="AF1939" t="str">
            <v>동절기</v>
          </cell>
          <cell r="AG1939">
            <v>3</v>
          </cell>
          <cell r="AH1939">
            <v>0</v>
          </cell>
        </row>
        <row r="1940">
          <cell r="G1940">
            <v>2503110201</v>
          </cell>
          <cell r="H1940" t="str">
            <v>112동</v>
          </cell>
          <cell r="I1940">
            <v>250311</v>
          </cell>
          <cell r="J1940" t="str">
            <v>112동 10층 바닥</v>
          </cell>
          <cell r="K1940">
            <v>216</v>
          </cell>
          <cell r="L1940">
            <v>216</v>
          </cell>
          <cell r="M1940">
            <v>3018</v>
          </cell>
          <cell r="N1940" t="str">
            <v>용호</v>
          </cell>
          <cell r="O1940" t="str">
            <v>펌프카(1대)</v>
          </cell>
          <cell r="P1940">
            <v>748</v>
          </cell>
          <cell r="Q1940">
            <v>1021</v>
          </cell>
          <cell r="R1940">
            <v>180</v>
          </cell>
          <cell r="S1940">
            <v>40</v>
          </cell>
          <cell r="T1940">
            <v>10</v>
          </cell>
          <cell r="U1940">
            <v>147</v>
          </cell>
          <cell r="V1940"/>
          <cell r="W1940" t="str">
            <v>박순홍</v>
          </cell>
          <cell r="X1940" t="str">
            <v>(인)</v>
          </cell>
          <cell r="Y1940" t="str">
            <v>박순홍</v>
          </cell>
          <cell r="Z1940" t="str">
            <v>(인)</v>
          </cell>
          <cell r="AA1940" t="str">
            <v>박상갑</v>
          </cell>
          <cell r="AB1940" t="str">
            <v>(인)</v>
          </cell>
          <cell r="AC1940" t="str">
            <v>이홍걸</v>
          </cell>
          <cell r="AD1940" t="str">
            <v>(인)</v>
          </cell>
          <cell r="AE1940">
            <v>188.6</v>
          </cell>
          <cell r="AF1940" t="str">
            <v>동절기</v>
          </cell>
          <cell r="AG1940">
            <v>1</v>
          </cell>
          <cell r="AH1940">
            <v>1</v>
          </cell>
          <cell r="AI1940">
            <v>2785</v>
          </cell>
          <cell r="AJ1940">
            <v>2777</v>
          </cell>
          <cell r="AK1940">
            <v>223200</v>
          </cell>
          <cell r="AL1940">
            <v>3972</v>
          </cell>
          <cell r="AM1940">
            <v>3872</v>
          </cell>
          <cell r="AN1940">
            <v>3960</v>
          </cell>
          <cell r="AO1940">
            <v>3871</v>
          </cell>
          <cell r="AP1940">
            <v>3970</v>
          </cell>
          <cell r="AQ1940">
            <v>3876</v>
          </cell>
          <cell r="AR1940">
            <v>3794</v>
          </cell>
          <cell r="AS1940">
            <v>3787</v>
          </cell>
          <cell r="AT1940">
            <v>304400</v>
          </cell>
        </row>
        <row r="1941">
          <cell r="G1941">
            <v>2503110202</v>
          </cell>
          <cell r="H1941" t="str">
            <v>112동</v>
          </cell>
          <cell r="I1941">
            <v>250311</v>
          </cell>
          <cell r="J1941" t="str">
            <v>112동 10층 바닥</v>
          </cell>
          <cell r="K1941">
            <v>216</v>
          </cell>
          <cell r="L1941">
            <v>216</v>
          </cell>
          <cell r="M1941">
            <v>3018</v>
          </cell>
          <cell r="N1941" t="str">
            <v>용호</v>
          </cell>
          <cell r="O1941" t="str">
            <v>펌프카(1대)</v>
          </cell>
          <cell r="P1941">
            <v>748</v>
          </cell>
          <cell r="Q1941">
            <v>1021</v>
          </cell>
          <cell r="R1941">
            <v>190</v>
          </cell>
          <cell r="S1941">
            <v>44</v>
          </cell>
          <cell r="T1941">
            <v>16</v>
          </cell>
          <cell r="U1941">
            <v>141</v>
          </cell>
          <cell r="V1941"/>
          <cell r="W1941" t="str">
            <v>박순홍</v>
          </cell>
          <cell r="X1941" t="str">
            <v>(인)</v>
          </cell>
          <cell r="Y1941" t="str">
            <v>박순홍</v>
          </cell>
          <cell r="Z1941" t="str">
            <v>(인)</v>
          </cell>
          <cell r="AA1941" t="str">
            <v>박상갑</v>
          </cell>
          <cell r="AB1941" t="str">
            <v>(인)</v>
          </cell>
          <cell r="AC1941" t="str">
            <v>이홍걸</v>
          </cell>
          <cell r="AD1941" t="str">
            <v>(인)</v>
          </cell>
          <cell r="AE1941">
            <v>179.3</v>
          </cell>
          <cell r="AF1941" t="str">
            <v>동절기</v>
          </cell>
          <cell r="AG1941">
            <v>2</v>
          </cell>
          <cell r="AH1941">
            <v>0</v>
          </cell>
        </row>
        <row r="1942">
          <cell r="G1942">
            <v>2503110301</v>
          </cell>
          <cell r="H1942" t="str">
            <v>주차장</v>
          </cell>
          <cell r="I1942">
            <v>250311</v>
          </cell>
          <cell r="J1942" t="str">
            <v>113동 주변주차장 R구간 지붕층</v>
          </cell>
          <cell r="K1942">
            <v>425</v>
          </cell>
          <cell r="L1942">
            <v>425</v>
          </cell>
          <cell r="M1942">
            <v>2715</v>
          </cell>
          <cell r="N1942" t="str">
            <v>용호</v>
          </cell>
          <cell r="O1942" t="str">
            <v>펌프카(1대)</v>
          </cell>
          <cell r="P1942">
            <v>1112</v>
          </cell>
          <cell r="Q1942">
            <v>1642</v>
          </cell>
          <cell r="R1942">
            <v>150</v>
          </cell>
          <cell r="S1942">
            <v>50</v>
          </cell>
          <cell r="T1942">
            <v>30</v>
          </cell>
          <cell r="U1942">
            <v>172</v>
          </cell>
          <cell r="V1942"/>
          <cell r="W1942" t="str">
            <v>박순홍</v>
          </cell>
          <cell r="X1942" t="str">
            <v>(인)</v>
          </cell>
          <cell r="Y1942" t="str">
            <v>박순홍</v>
          </cell>
          <cell r="Z1942" t="str">
            <v>(인)</v>
          </cell>
          <cell r="AA1942" t="str">
            <v>박상갑</v>
          </cell>
          <cell r="AB1942" t="str">
            <v>(인)</v>
          </cell>
          <cell r="AC1942" t="str">
            <v>이홍걸</v>
          </cell>
          <cell r="AD1942" t="str">
            <v>(인)</v>
          </cell>
          <cell r="AE1942">
            <v>185.9</v>
          </cell>
          <cell r="AF1942" t="str">
            <v>동절기</v>
          </cell>
          <cell r="AG1942">
            <v>1</v>
          </cell>
          <cell r="AH1942">
            <v>1</v>
          </cell>
          <cell r="AI1942">
            <v>2429</v>
          </cell>
          <cell r="AJ1942">
            <v>2517</v>
          </cell>
          <cell r="AK1942">
            <v>195000</v>
          </cell>
          <cell r="AL1942">
            <v>3511</v>
          </cell>
          <cell r="AM1942">
            <v>3486</v>
          </cell>
          <cell r="AN1942">
            <v>3507</v>
          </cell>
          <cell r="AO1942">
            <v>3519</v>
          </cell>
          <cell r="AP1942">
            <v>3630</v>
          </cell>
          <cell r="AQ1942">
            <v>3587</v>
          </cell>
          <cell r="AR1942">
            <v>3589</v>
          </cell>
          <cell r="AS1942">
            <v>3612</v>
          </cell>
          <cell r="AT1942">
            <v>271200</v>
          </cell>
        </row>
        <row r="1943">
          <cell r="G1943">
            <v>2503110302</v>
          </cell>
          <cell r="H1943" t="str">
            <v>주차장</v>
          </cell>
          <cell r="I1943">
            <v>250311</v>
          </cell>
          <cell r="J1943" t="str">
            <v>113동 주변주차장 R구간 지붕층</v>
          </cell>
          <cell r="K1943">
            <v>425</v>
          </cell>
          <cell r="L1943">
            <v>425</v>
          </cell>
          <cell r="M1943">
            <v>2715</v>
          </cell>
          <cell r="N1943" t="str">
            <v>용호</v>
          </cell>
          <cell r="O1943" t="str">
            <v>펌프카(1대)</v>
          </cell>
          <cell r="P1943">
            <v>1112</v>
          </cell>
          <cell r="Q1943">
            <v>1642</v>
          </cell>
          <cell r="R1943">
            <v>155</v>
          </cell>
          <cell r="S1943">
            <v>50</v>
          </cell>
          <cell r="T1943">
            <v>23</v>
          </cell>
          <cell r="U1943">
            <v>178</v>
          </cell>
          <cell r="V1943"/>
          <cell r="W1943" t="str">
            <v>박순홍</v>
          </cell>
          <cell r="X1943" t="str">
            <v>(인)</v>
          </cell>
          <cell r="Y1943" t="str">
            <v>박순홍</v>
          </cell>
          <cell r="Z1943" t="str">
            <v>(인)</v>
          </cell>
          <cell r="AA1943" t="str">
            <v>박상갑</v>
          </cell>
          <cell r="AB1943" t="str">
            <v>(인)</v>
          </cell>
          <cell r="AC1943" t="str">
            <v>이홍걸</v>
          </cell>
          <cell r="AD1943" t="str">
            <v>(인)</v>
          </cell>
          <cell r="AE1943">
            <v>173.6</v>
          </cell>
          <cell r="AF1943" t="str">
            <v>동절기</v>
          </cell>
          <cell r="AG1943">
            <v>2</v>
          </cell>
          <cell r="AH1943">
            <v>0</v>
          </cell>
        </row>
        <row r="1944">
          <cell r="G1944">
            <v>2503110303</v>
          </cell>
          <cell r="H1944" t="str">
            <v>주차장</v>
          </cell>
          <cell r="I1944">
            <v>250311</v>
          </cell>
          <cell r="J1944" t="str">
            <v>113동 주변주차장 R구간 지붕층</v>
          </cell>
          <cell r="K1944">
            <v>425</v>
          </cell>
          <cell r="L1944">
            <v>425</v>
          </cell>
          <cell r="M1944">
            <v>2715</v>
          </cell>
          <cell r="N1944" t="str">
            <v>용호</v>
          </cell>
          <cell r="O1944" t="str">
            <v>펌프카(1대)</v>
          </cell>
          <cell r="P1944">
            <v>1112</v>
          </cell>
          <cell r="Q1944">
            <v>1642</v>
          </cell>
          <cell r="R1944">
            <v>160</v>
          </cell>
          <cell r="S1944">
            <v>45</v>
          </cell>
          <cell r="T1944">
            <v>19</v>
          </cell>
          <cell r="U1944">
            <v>195</v>
          </cell>
          <cell r="V1944"/>
          <cell r="W1944" t="str">
            <v>박순홍</v>
          </cell>
          <cell r="X1944" t="str">
            <v>(인)</v>
          </cell>
          <cell r="Y1944" t="str">
            <v>박순홍</v>
          </cell>
          <cell r="Z1944" t="str">
            <v>(인)</v>
          </cell>
          <cell r="AA1944" t="str">
            <v>박상갑</v>
          </cell>
          <cell r="AB1944" t="str">
            <v>(인)</v>
          </cell>
          <cell r="AC1944" t="str">
            <v>이홍걸</v>
          </cell>
          <cell r="AD1944" t="str">
            <v>(인)</v>
          </cell>
          <cell r="AE1944">
            <v>176.8</v>
          </cell>
          <cell r="AF1944" t="str">
            <v>동절기</v>
          </cell>
          <cell r="AG1944">
            <v>3</v>
          </cell>
          <cell r="AH1944">
            <v>0</v>
          </cell>
        </row>
        <row r="1945">
          <cell r="G1945">
            <v>2503110304</v>
          </cell>
          <cell r="H1945" t="str">
            <v>주차장</v>
          </cell>
          <cell r="I1945">
            <v>250311</v>
          </cell>
          <cell r="J1945" t="str">
            <v>113동 주변주차장 R구간 지붕층</v>
          </cell>
          <cell r="K1945">
            <v>425</v>
          </cell>
          <cell r="L1945">
            <v>425</v>
          </cell>
          <cell r="M1945">
            <v>2715</v>
          </cell>
          <cell r="N1945" t="str">
            <v>용호</v>
          </cell>
          <cell r="O1945" t="str">
            <v>펌프카(1대)</v>
          </cell>
          <cell r="P1945">
            <v>1112</v>
          </cell>
          <cell r="Q1945">
            <v>1642</v>
          </cell>
          <cell r="R1945">
            <v>165</v>
          </cell>
          <cell r="S1945">
            <v>48</v>
          </cell>
          <cell r="T1945">
            <v>16</v>
          </cell>
          <cell r="U1945">
            <v>202</v>
          </cell>
          <cell r="V1945"/>
          <cell r="W1945" t="str">
            <v>박순홍</v>
          </cell>
          <cell r="X1945" t="str">
            <v>(인)</v>
          </cell>
          <cell r="Y1945" t="str">
            <v>박순홍</v>
          </cell>
          <cell r="Z1945" t="str">
            <v>(인)</v>
          </cell>
          <cell r="AA1945" t="str">
            <v>박상갑</v>
          </cell>
          <cell r="AB1945" t="str">
            <v>(인)</v>
          </cell>
          <cell r="AC1945" t="str">
            <v>이홍걸</v>
          </cell>
          <cell r="AD1945" t="str">
            <v>(인)</v>
          </cell>
          <cell r="AE1945">
            <v>182.4</v>
          </cell>
          <cell r="AF1945" t="str">
            <v>동절기</v>
          </cell>
          <cell r="AG1945">
            <v>4</v>
          </cell>
          <cell r="AH1945">
            <v>1</v>
          </cell>
          <cell r="AL1945">
            <v>3410</v>
          </cell>
          <cell r="AM1945">
            <v>3386</v>
          </cell>
          <cell r="AN1945">
            <v>3406</v>
          </cell>
          <cell r="AO1945">
            <v>3571</v>
          </cell>
          <cell r="AP1945">
            <v>3404</v>
          </cell>
          <cell r="AQ1945">
            <v>3419</v>
          </cell>
          <cell r="AR1945">
            <v>3387</v>
          </cell>
          <cell r="AS1945">
            <v>3381</v>
          </cell>
          <cell r="AT1945">
            <v>263600</v>
          </cell>
        </row>
        <row r="1946">
          <cell r="G1946">
            <v>2503120101</v>
          </cell>
          <cell r="H1946" t="str">
            <v>118동</v>
          </cell>
          <cell r="I1946">
            <v>250312</v>
          </cell>
          <cell r="J1946" t="str">
            <v>118동 10층 바닥 외</v>
          </cell>
          <cell r="K1946">
            <v>376</v>
          </cell>
          <cell r="L1946">
            <v>376</v>
          </cell>
          <cell r="M1946">
            <v>3018</v>
          </cell>
          <cell r="N1946" t="str">
            <v>대원</v>
          </cell>
          <cell r="O1946" t="str">
            <v>펌프카(1대)</v>
          </cell>
          <cell r="P1946">
            <v>901</v>
          </cell>
          <cell r="Q1946">
            <v>1612</v>
          </cell>
          <cell r="R1946">
            <v>170</v>
          </cell>
          <cell r="S1946">
            <v>52</v>
          </cell>
          <cell r="T1946">
            <v>67</v>
          </cell>
          <cell r="U1946">
            <v>186</v>
          </cell>
          <cell r="V1946"/>
          <cell r="W1946" t="str">
            <v>박순홍</v>
          </cell>
          <cell r="X1946" t="str">
            <v>(인)</v>
          </cell>
          <cell r="Y1946" t="str">
            <v>박순홍</v>
          </cell>
          <cell r="Z1946" t="str">
            <v>(인)</v>
          </cell>
          <cell r="AA1946" t="str">
            <v>박상갑</v>
          </cell>
          <cell r="AB1946" t="str">
            <v>(인)</v>
          </cell>
          <cell r="AC1946" t="str">
            <v>이홍걸</v>
          </cell>
          <cell r="AD1946" t="str">
            <v>(인)</v>
          </cell>
          <cell r="AE1946">
            <v>181.9</v>
          </cell>
          <cell r="AF1946" t="str">
            <v>동절기</v>
          </cell>
          <cell r="AG1946">
            <v>1</v>
          </cell>
          <cell r="AH1946">
            <v>1</v>
          </cell>
          <cell r="AI1946">
            <v>2876</v>
          </cell>
          <cell r="AJ1946">
            <v>2756</v>
          </cell>
          <cell r="AK1946">
            <v>215800</v>
          </cell>
          <cell r="AL1946">
            <v>3872</v>
          </cell>
          <cell r="AM1946">
            <v>3876</v>
          </cell>
          <cell r="AN1946">
            <v>3920</v>
          </cell>
          <cell r="AO1946">
            <v>3867</v>
          </cell>
          <cell r="AP1946">
            <v>3872</v>
          </cell>
          <cell r="AQ1946">
            <v>3794</v>
          </cell>
          <cell r="AR1946">
            <v>3887</v>
          </cell>
          <cell r="AS1946">
            <v>3896</v>
          </cell>
          <cell r="AT1946">
            <v>313400</v>
          </cell>
        </row>
        <row r="1947">
          <cell r="G1947">
            <v>2503120102</v>
          </cell>
          <cell r="H1947" t="str">
            <v>118동</v>
          </cell>
          <cell r="I1947">
            <v>250312</v>
          </cell>
          <cell r="J1947" t="str">
            <v>118동 10층 바닥 외</v>
          </cell>
          <cell r="K1947">
            <v>376</v>
          </cell>
          <cell r="L1947">
            <v>376</v>
          </cell>
          <cell r="M1947">
            <v>3018</v>
          </cell>
          <cell r="N1947" t="str">
            <v>대원</v>
          </cell>
          <cell r="O1947" t="str">
            <v>펌프카(1대)</v>
          </cell>
          <cell r="P1947">
            <v>901</v>
          </cell>
          <cell r="Q1947">
            <v>1612</v>
          </cell>
          <cell r="R1947">
            <v>190</v>
          </cell>
          <cell r="S1947">
            <v>50</v>
          </cell>
          <cell r="T1947">
            <v>50</v>
          </cell>
          <cell r="U1947">
            <v>170</v>
          </cell>
          <cell r="V1947"/>
          <cell r="W1947" t="str">
            <v>박순홍</v>
          </cell>
          <cell r="X1947" t="str">
            <v>(인)</v>
          </cell>
          <cell r="Y1947" t="str">
            <v>박순홍</v>
          </cell>
          <cell r="Z1947" t="str">
            <v>(인)</v>
          </cell>
          <cell r="AA1947" t="str">
            <v>박상갑</v>
          </cell>
          <cell r="AB1947" t="str">
            <v>(인)</v>
          </cell>
          <cell r="AC1947" t="str">
            <v>이홍걸</v>
          </cell>
          <cell r="AD1947" t="str">
            <v>(인)</v>
          </cell>
          <cell r="AE1947">
            <v>184.9</v>
          </cell>
          <cell r="AF1947" t="str">
            <v>동절기</v>
          </cell>
          <cell r="AG1947">
            <v>2</v>
          </cell>
          <cell r="AH1947">
            <v>0</v>
          </cell>
        </row>
        <row r="1948">
          <cell r="G1948">
            <v>2503120103</v>
          </cell>
          <cell r="H1948" t="str">
            <v>118동</v>
          </cell>
          <cell r="I1948">
            <v>250312</v>
          </cell>
          <cell r="J1948" t="str">
            <v>118동 10층 바닥 외</v>
          </cell>
          <cell r="K1948">
            <v>376</v>
          </cell>
          <cell r="L1948">
            <v>376</v>
          </cell>
          <cell r="M1948">
            <v>3018</v>
          </cell>
          <cell r="N1948" t="str">
            <v>대원</v>
          </cell>
          <cell r="O1948" t="str">
            <v>펌프카(1대)</v>
          </cell>
          <cell r="P1948">
            <v>901</v>
          </cell>
          <cell r="Q1948">
            <v>1612</v>
          </cell>
          <cell r="R1948">
            <v>190</v>
          </cell>
          <cell r="S1948">
            <v>49</v>
          </cell>
          <cell r="T1948">
            <v>21</v>
          </cell>
          <cell r="U1948">
            <v>179</v>
          </cell>
          <cell r="V1948"/>
          <cell r="W1948" t="str">
            <v>박순홍</v>
          </cell>
          <cell r="X1948" t="str">
            <v>(인)</v>
          </cell>
          <cell r="Y1948" t="str">
            <v>박순홍</v>
          </cell>
          <cell r="Z1948" t="str">
            <v>(인)</v>
          </cell>
          <cell r="AA1948" t="str">
            <v>박상갑</v>
          </cell>
          <cell r="AB1948" t="str">
            <v>(인)</v>
          </cell>
          <cell r="AC1948" t="str">
            <v>이홍걸</v>
          </cell>
          <cell r="AD1948" t="str">
            <v>(인)</v>
          </cell>
          <cell r="AE1948">
            <v>181.8</v>
          </cell>
          <cell r="AF1948" t="str">
            <v>동절기</v>
          </cell>
          <cell r="AG1948">
            <v>3</v>
          </cell>
          <cell r="AH1948">
            <v>0</v>
          </cell>
        </row>
        <row r="1949">
          <cell r="G1949">
            <v>2503120104</v>
          </cell>
          <cell r="H1949" t="str">
            <v>118동</v>
          </cell>
          <cell r="I1949">
            <v>250312</v>
          </cell>
          <cell r="J1949" t="str">
            <v>118동 10층 바닥 외</v>
          </cell>
          <cell r="K1949">
            <v>376</v>
          </cell>
          <cell r="L1949">
            <v>376</v>
          </cell>
          <cell r="M1949">
            <v>3018</v>
          </cell>
          <cell r="N1949" t="str">
            <v>대원</v>
          </cell>
          <cell r="O1949" t="str">
            <v>펌프카(1대)</v>
          </cell>
          <cell r="P1949">
            <v>901</v>
          </cell>
          <cell r="Q1949">
            <v>1612</v>
          </cell>
          <cell r="R1949">
            <v>185</v>
          </cell>
          <cell r="S1949">
            <v>43</v>
          </cell>
          <cell r="T1949">
            <v>30</v>
          </cell>
          <cell r="U1949">
            <v>174</v>
          </cell>
          <cell r="V1949"/>
          <cell r="W1949" t="str">
            <v>박순홍</v>
          </cell>
          <cell r="X1949" t="str">
            <v>(인)</v>
          </cell>
          <cell r="Y1949" t="str">
            <v>박순홍</v>
          </cell>
          <cell r="Z1949" t="str">
            <v>(인)</v>
          </cell>
          <cell r="AA1949" t="str">
            <v>박상갑</v>
          </cell>
          <cell r="AB1949" t="str">
            <v>(인)</v>
          </cell>
          <cell r="AC1949" t="str">
            <v>이홍걸</v>
          </cell>
          <cell r="AD1949" t="str">
            <v>(인)</v>
          </cell>
          <cell r="AE1949">
            <v>185.2</v>
          </cell>
          <cell r="AF1949" t="str">
            <v>동절기</v>
          </cell>
          <cell r="AG1949">
            <v>4</v>
          </cell>
          <cell r="AH1949">
            <v>1</v>
          </cell>
          <cell r="AL1949">
            <v>4072</v>
          </cell>
          <cell r="AM1949">
            <v>4136</v>
          </cell>
          <cell r="AN1949">
            <v>4087</v>
          </cell>
          <cell r="AO1949">
            <v>4162</v>
          </cell>
          <cell r="AP1949">
            <v>4086</v>
          </cell>
          <cell r="AQ1949">
            <v>4135</v>
          </cell>
          <cell r="AR1949">
            <v>4029</v>
          </cell>
          <cell r="AS1949">
            <v>3964</v>
          </cell>
          <cell r="AT1949">
            <v>323000</v>
          </cell>
        </row>
        <row r="1950">
          <cell r="G1950">
            <v>2503130101</v>
          </cell>
          <cell r="H1950" t="str">
            <v>115동</v>
          </cell>
          <cell r="I1950">
            <v>250313</v>
          </cell>
          <cell r="J1950" t="str">
            <v>115동 15층 바닥</v>
          </cell>
          <cell r="K1950">
            <v>282</v>
          </cell>
          <cell r="L1950">
            <v>282</v>
          </cell>
          <cell r="M1950">
            <v>3018</v>
          </cell>
          <cell r="N1950" t="str">
            <v>용호</v>
          </cell>
          <cell r="O1950" t="str">
            <v>펌프카(1대)</v>
          </cell>
          <cell r="P1950">
            <v>820</v>
          </cell>
          <cell r="Q1950">
            <v>1234</v>
          </cell>
          <cell r="R1950">
            <v>195</v>
          </cell>
          <cell r="S1950">
            <v>43</v>
          </cell>
          <cell r="T1950">
            <v>127</v>
          </cell>
          <cell r="U1950">
            <v>181</v>
          </cell>
          <cell r="V1950"/>
          <cell r="W1950" t="str">
            <v>김광록</v>
          </cell>
          <cell r="X1950" t="str">
            <v>(인)</v>
          </cell>
          <cell r="Y1950" t="str">
            <v>김광록</v>
          </cell>
          <cell r="Z1950" t="str">
            <v>(인)</v>
          </cell>
          <cell r="AA1950" t="str">
            <v>박상갑</v>
          </cell>
          <cell r="AB1950" t="str">
            <v>(인)</v>
          </cell>
          <cell r="AC1950" t="str">
            <v>이홍걸</v>
          </cell>
          <cell r="AD1950" t="str">
            <v>(인)</v>
          </cell>
          <cell r="AE1950">
            <v>185.9</v>
          </cell>
          <cell r="AF1950" t="str">
            <v>동절기</v>
          </cell>
          <cell r="AG1950">
            <v>1</v>
          </cell>
          <cell r="AH1950">
            <v>1</v>
          </cell>
          <cell r="AI1950">
            <v>2523</v>
          </cell>
          <cell r="AJ1950">
            <v>2606</v>
          </cell>
          <cell r="AK1950">
            <v>203800</v>
          </cell>
          <cell r="AL1950">
            <v>3874</v>
          </cell>
          <cell r="AM1950">
            <v>3944</v>
          </cell>
          <cell r="AN1950">
            <v>4061</v>
          </cell>
          <cell r="AO1950">
            <v>3728</v>
          </cell>
          <cell r="AP1950">
            <v>3942</v>
          </cell>
          <cell r="AQ1950">
            <v>3864</v>
          </cell>
          <cell r="AR1950">
            <v>3936</v>
          </cell>
          <cell r="AS1950">
            <v>3927</v>
          </cell>
          <cell r="AT1950">
            <v>314800</v>
          </cell>
        </row>
        <row r="1951">
          <cell r="G1951">
            <v>2503130102</v>
          </cell>
          <cell r="H1951" t="str">
            <v>115동</v>
          </cell>
          <cell r="I1951">
            <v>250313</v>
          </cell>
          <cell r="J1951" t="str">
            <v>115동 15층 바닥</v>
          </cell>
          <cell r="K1951">
            <v>282</v>
          </cell>
          <cell r="L1951">
            <v>282</v>
          </cell>
          <cell r="M1951">
            <v>3018</v>
          </cell>
          <cell r="N1951" t="str">
            <v>용호</v>
          </cell>
          <cell r="O1951" t="str">
            <v>펌프카(1대)</v>
          </cell>
          <cell r="P1951">
            <v>820</v>
          </cell>
          <cell r="Q1951">
            <v>1234</v>
          </cell>
          <cell r="R1951">
            <v>195</v>
          </cell>
          <cell r="S1951">
            <v>46</v>
          </cell>
          <cell r="T1951">
            <v>37</v>
          </cell>
          <cell r="U1951">
            <v>176</v>
          </cell>
          <cell r="V1951"/>
          <cell r="W1951" t="str">
            <v>김광록</v>
          </cell>
          <cell r="X1951" t="str">
            <v>(인)</v>
          </cell>
          <cell r="Y1951" t="str">
            <v>김광록</v>
          </cell>
          <cell r="Z1951" t="str">
            <v>(인)</v>
          </cell>
          <cell r="AA1951" t="str">
            <v>박상갑</v>
          </cell>
          <cell r="AB1951" t="str">
            <v>(인)</v>
          </cell>
          <cell r="AC1951" t="str">
            <v>이홍걸</v>
          </cell>
          <cell r="AD1951" t="str">
            <v>(인)</v>
          </cell>
          <cell r="AE1951">
            <v>186.2</v>
          </cell>
          <cell r="AF1951" t="str">
            <v>동절기</v>
          </cell>
          <cell r="AG1951">
            <v>2</v>
          </cell>
          <cell r="AH1951">
            <v>0</v>
          </cell>
        </row>
        <row r="1952">
          <cell r="G1952">
            <v>2503130103</v>
          </cell>
          <cell r="H1952" t="str">
            <v>115동</v>
          </cell>
          <cell r="I1952">
            <v>250313</v>
          </cell>
          <cell r="J1952" t="str">
            <v>115동 15층 바닥</v>
          </cell>
          <cell r="K1952">
            <v>282</v>
          </cell>
          <cell r="L1952">
            <v>282</v>
          </cell>
          <cell r="M1952">
            <v>3018</v>
          </cell>
          <cell r="N1952" t="str">
            <v>용호</v>
          </cell>
          <cell r="O1952" t="str">
            <v>펌프카(1대)</v>
          </cell>
          <cell r="P1952">
            <v>820</v>
          </cell>
          <cell r="Q1952">
            <v>1234</v>
          </cell>
          <cell r="R1952">
            <v>180</v>
          </cell>
          <cell r="S1952">
            <v>48</v>
          </cell>
          <cell r="T1952">
            <v>115</v>
          </cell>
          <cell r="U1952">
            <v>17.7</v>
          </cell>
          <cell r="V1952"/>
          <cell r="W1952" t="str">
            <v>김광록</v>
          </cell>
          <cell r="X1952" t="str">
            <v>(인)</v>
          </cell>
          <cell r="Y1952" t="str">
            <v>김광록</v>
          </cell>
          <cell r="Z1952" t="str">
            <v>(인)</v>
          </cell>
          <cell r="AA1952" t="str">
            <v>박상갑</v>
          </cell>
          <cell r="AB1952" t="str">
            <v>(인)</v>
          </cell>
          <cell r="AC1952" t="str">
            <v>이홍걸</v>
          </cell>
          <cell r="AD1952" t="str">
            <v>(인)</v>
          </cell>
          <cell r="AE1952">
            <v>183.2</v>
          </cell>
          <cell r="AF1952" t="str">
            <v>동절기</v>
          </cell>
          <cell r="AG1952">
            <v>3</v>
          </cell>
          <cell r="AH1952">
            <v>0</v>
          </cell>
        </row>
        <row r="1953">
          <cell r="G1953">
            <v>2503130201</v>
          </cell>
          <cell r="H1953" t="str">
            <v>108동</v>
          </cell>
          <cell r="I1953">
            <v>250313</v>
          </cell>
          <cell r="J1953" t="str">
            <v>108동 15층 바닥</v>
          </cell>
          <cell r="K1953">
            <v>279</v>
          </cell>
          <cell r="L1953">
            <v>279</v>
          </cell>
          <cell r="M1953">
            <v>3018</v>
          </cell>
          <cell r="N1953" t="str">
            <v>용호</v>
          </cell>
          <cell r="O1953" t="str">
            <v>펌프카(1대)</v>
          </cell>
          <cell r="P1953">
            <v>1009</v>
          </cell>
          <cell r="Q1953">
            <v>1445</v>
          </cell>
          <cell r="R1953">
            <v>195</v>
          </cell>
          <cell r="S1953">
            <v>44</v>
          </cell>
          <cell r="T1953">
            <v>18</v>
          </cell>
          <cell r="U1953">
            <v>171</v>
          </cell>
          <cell r="V1953"/>
          <cell r="W1953" t="str">
            <v>박순홍</v>
          </cell>
          <cell r="X1953" t="str">
            <v>(인)</v>
          </cell>
          <cell r="Y1953" t="str">
            <v>김광록</v>
          </cell>
          <cell r="Z1953" t="str">
            <v>(인)</v>
          </cell>
          <cell r="AA1953" t="str">
            <v>이홍걸</v>
          </cell>
          <cell r="AB1953" t="str">
            <v>(인)</v>
          </cell>
          <cell r="AC1953" t="str">
            <v>이홍걸</v>
          </cell>
          <cell r="AD1953" t="str">
            <v>(인)</v>
          </cell>
          <cell r="AE1953">
            <v>189.4</v>
          </cell>
          <cell r="AF1953" t="str">
            <v>동절기</v>
          </cell>
          <cell r="AG1953">
            <v>1</v>
          </cell>
          <cell r="AH1953">
            <v>1</v>
          </cell>
          <cell r="AI1953">
            <v>2640</v>
          </cell>
          <cell r="AJ1953">
            <v>2687</v>
          </cell>
          <cell r="AK1953">
            <v>212200</v>
          </cell>
          <cell r="AL1953">
            <v>3696</v>
          </cell>
          <cell r="AM1953">
            <v>3742</v>
          </cell>
          <cell r="AN1953">
            <v>3763</v>
          </cell>
          <cell r="AO1953">
            <v>3877</v>
          </cell>
          <cell r="AP1953">
            <v>3629</v>
          </cell>
          <cell r="AQ1953">
            <v>3782</v>
          </cell>
          <cell r="AR1953">
            <v>3816</v>
          </cell>
          <cell r="AS1953">
            <v>3826</v>
          </cell>
          <cell r="AT1953">
            <v>291200</v>
          </cell>
        </row>
        <row r="1954">
          <cell r="G1954">
            <v>2503130202</v>
          </cell>
          <cell r="H1954" t="str">
            <v>108동</v>
          </cell>
          <cell r="I1954">
            <v>250313</v>
          </cell>
          <cell r="J1954" t="str">
            <v>108동 15층 바닥</v>
          </cell>
          <cell r="K1954">
            <v>279</v>
          </cell>
          <cell r="L1954">
            <v>279</v>
          </cell>
          <cell r="M1954">
            <v>3018</v>
          </cell>
          <cell r="N1954" t="str">
            <v>용호</v>
          </cell>
          <cell r="O1954" t="str">
            <v>펌프카(1대)</v>
          </cell>
          <cell r="P1954">
            <v>1009</v>
          </cell>
          <cell r="Q1954">
            <v>1445</v>
          </cell>
          <cell r="R1954">
            <v>180</v>
          </cell>
          <cell r="S1954">
            <v>40</v>
          </cell>
          <cell r="T1954">
            <v>72</v>
          </cell>
          <cell r="U1954">
            <v>177</v>
          </cell>
          <cell r="V1954"/>
          <cell r="W1954" t="str">
            <v>박순홍</v>
          </cell>
          <cell r="X1954" t="str">
            <v>(인)</v>
          </cell>
          <cell r="Y1954" t="str">
            <v>김광록</v>
          </cell>
          <cell r="Z1954" t="str">
            <v>(인)</v>
          </cell>
          <cell r="AA1954" t="str">
            <v>이홍걸</v>
          </cell>
          <cell r="AB1954" t="str">
            <v>(인)</v>
          </cell>
          <cell r="AC1954" t="str">
            <v>이홍걸</v>
          </cell>
          <cell r="AD1954" t="str">
            <v>(인)</v>
          </cell>
          <cell r="AE1954">
            <v>187.6</v>
          </cell>
          <cell r="AF1954" t="str">
            <v>동절기</v>
          </cell>
          <cell r="AG1954">
            <v>2</v>
          </cell>
          <cell r="AH1954">
            <v>0</v>
          </cell>
        </row>
        <row r="1955">
          <cell r="G1955">
            <v>2503130203</v>
          </cell>
          <cell r="H1955" t="str">
            <v>108동</v>
          </cell>
          <cell r="I1955">
            <v>250313</v>
          </cell>
          <cell r="J1955" t="str">
            <v>108동 15층 바닥</v>
          </cell>
          <cell r="K1955">
            <v>279</v>
          </cell>
          <cell r="L1955">
            <v>279</v>
          </cell>
          <cell r="M1955">
            <v>3018</v>
          </cell>
          <cell r="N1955" t="str">
            <v>용호</v>
          </cell>
          <cell r="O1955" t="str">
            <v>펌프카(1대)</v>
          </cell>
          <cell r="P1955">
            <v>1009</v>
          </cell>
          <cell r="Q1955">
            <v>1445</v>
          </cell>
          <cell r="R1955">
            <v>200</v>
          </cell>
          <cell r="S1955">
            <v>49</v>
          </cell>
          <cell r="T1955">
            <v>33</v>
          </cell>
          <cell r="U1955">
            <v>185</v>
          </cell>
          <cell r="V1955"/>
          <cell r="W1955" t="str">
            <v>박순홍</v>
          </cell>
          <cell r="X1955" t="str">
            <v>(인)</v>
          </cell>
          <cell r="Y1955" t="str">
            <v>김광록</v>
          </cell>
          <cell r="Z1955" t="str">
            <v>(인)</v>
          </cell>
          <cell r="AA1955" t="str">
            <v>이홍걸</v>
          </cell>
          <cell r="AB1955" t="str">
            <v>(인)</v>
          </cell>
          <cell r="AC1955" t="str">
            <v>이홍걸</v>
          </cell>
          <cell r="AD1955" t="str">
            <v>(인)</v>
          </cell>
          <cell r="AE1955">
            <v>183</v>
          </cell>
          <cell r="AF1955" t="str">
            <v>동절기</v>
          </cell>
          <cell r="AG1955">
            <v>3</v>
          </cell>
          <cell r="AH1955">
            <v>0</v>
          </cell>
        </row>
        <row r="1956">
          <cell r="G1956">
            <v>2503140101</v>
          </cell>
          <cell r="H1956" t="str">
            <v>110동</v>
          </cell>
          <cell r="I1956">
            <v>250314</v>
          </cell>
          <cell r="J1956" t="str">
            <v>110동 20층 바닥 및 113동 옥탑</v>
          </cell>
          <cell r="K1956">
            <v>306</v>
          </cell>
          <cell r="L1956">
            <v>306</v>
          </cell>
          <cell r="M1956">
            <v>3018</v>
          </cell>
          <cell r="N1956" t="str">
            <v>용호</v>
          </cell>
          <cell r="O1956" t="str">
            <v>펌프카(1대)</v>
          </cell>
          <cell r="P1956">
            <v>754</v>
          </cell>
          <cell r="Q1956">
            <v>1655</v>
          </cell>
          <cell r="R1956">
            <v>195</v>
          </cell>
          <cell r="S1956">
            <v>39</v>
          </cell>
          <cell r="T1956">
            <v>13</v>
          </cell>
          <cell r="U1956">
            <v>185</v>
          </cell>
          <cell r="V1956"/>
          <cell r="W1956" t="str">
            <v>박순홍</v>
          </cell>
          <cell r="X1956" t="str">
            <v>(인)</v>
          </cell>
          <cell r="Y1956" t="str">
            <v>박순홍</v>
          </cell>
          <cell r="Z1956" t="str">
            <v>(인)</v>
          </cell>
          <cell r="AA1956" t="str">
            <v>박상갑</v>
          </cell>
          <cell r="AB1956" t="str">
            <v>(인)</v>
          </cell>
          <cell r="AC1956" t="str">
            <v>이홍걸</v>
          </cell>
          <cell r="AD1956" t="str">
            <v>(인)</v>
          </cell>
          <cell r="AE1956">
            <v>181.9</v>
          </cell>
          <cell r="AF1956" t="str">
            <v>동절기</v>
          </cell>
          <cell r="AG1956">
            <v>1</v>
          </cell>
          <cell r="AH1956">
            <v>1</v>
          </cell>
          <cell r="AI1956">
            <v>2818</v>
          </cell>
          <cell r="AJ1956">
            <v>2777</v>
          </cell>
          <cell r="AK1956">
            <v>216600</v>
          </cell>
          <cell r="AL1956">
            <v>4130</v>
          </cell>
          <cell r="AM1956">
            <v>4076</v>
          </cell>
          <cell r="AN1956">
            <v>4016</v>
          </cell>
          <cell r="AO1956">
            <v>3942</v>
          </cell>
          <cell r="AP1956">
            <v>3976</v>
          </cell>
          <cell r="AQ1956">
            <v>4086</v>
          </cell>
          <cell r="AR1956">
            <v>4134</v>
          </cell>
          <cell r="AS1956">
            <v>4102</v>
          </cell>
          <cell r="AT1956">
            <v>323000</v>
          </cell>
        </row>
        <row r="1957">
          <cell r="G1957">
            <v>2503140102</v>
          </cell>
          <cell r="H1957" t="str">
            <v>110동</v>
          </cell>
          <cell r="I1957">
            <v>250314</v>
          </cell>
          <cell r="J1957" t="str">
            <v>110동 20층 바닥 및 113동 옥탑</v>
          </cell>
          <cell r="K1957">
            <v>306</v>
          </cell>
          <cell r="L1957">
            <v>306</v>
          </cell>
          <cell r="M1957">
            <v>3018</v>
          </cell>
          <cell r="N1957" t="str">
            <v>용호</v>
          </cell>
          <cell r="O1957" t="str">
            <v>펌프카(1대)</v>
          </cell>
          <cell r="P1957">
            <v>754</v>
          </cell>
          <cell r="Q1957">
            <v>1655</v>
          </cell>
          <cell r="R1957">
            <v>200</v>
          </cell>
          <cell r="S1957">
            <v>49</v>
          </cell>
          <cell r="T1957">
            <v>48</v>
          </cell>
          <cell r="U1957">
            <v>152</v>
          </cell>
          <cell r="V1957"/>
          <cell r="W1957" t="str">
            <v>박순홍</v>
          </cell>
          <cell r="X1957" t="str">
            <v>(인)</v>
          </cell>
          <cell r="Y1957" t="str">
            <v>박순홍</v>
          </cell>
          <cell r="Z1957" t="str">
            <v>(인)</v>
          </cell>
          <cell r="AA1957" t="str">
            <v>박상갑</v>
          </cell>
          <cell r="AB1957" t="str">
            <v>(인)</v>
          </cell>
          <cell r="AC1957" t="str">
            <v>이홍걸</v>
          </cell>
          <cell r="AD1957" t="str">
            <v>(인)</v>
          </cell>
          <cell r="AE1957">
            <v>182.9</v>
          </cell>
          <cell r="AF1957" t="str">
            <v>동절기</v>
          </cell>
          <cell r="AG1957">
            <v>2</v>
          </cell>
          <cell r="AH1957">
            <v>0</v>
          </cell>
        </row>
        <row r="1958">
          <cell r="G1958">
            <v>2503140103</v>
          </cell>
          <cell r="H1958" t="str">
            <v>110동</v>
          </cell>
          <cell r="I1958">
            <v>250314</v>
          </cell>
          <cell r="J1958" t="str">
            <v>110동 20층 바닥 및 113동 옥탑</v>
          </cell>
          <cell r="K1958">
            <v>306</v>
          </cell>
          <cell r="L1958">
            <v>306</v>
          </cell>
          <cell r="M1958">
            <v>3018</v>
          </cell>
          <cell r="N1958" t="str">
            <v>용호</v>
          </cell>
          <cell r="O1958" t="str">
            <v>펌프카(1대)</v>
          </cell>
          <cell r="P1958">
            <v>754</v>
          </cell>
          <cell r="Q1958">
            <v>1655</v>
          </cell>
          <cell r="R1958">
            <v>200</v>
          </cell>
          <cell r="S1958">
            <v>48</v>
          </cell>
          <cell r="T1958">
            <v>72</v>
          </cell>
          <cell r="U1958">
            <v>167</v>
          </cell>
          <cell r="V1958"/>
          <cell r="W1958" t="str">
            <v>박순홍</v>
          </cell>
          <cell r="X1958" t="str">
            <v>(인)</v>
          </cell>
          <cell r="Y1958" t="str">
            <v>박순홍</v>
          </cell>
          <cell r="Z1958" t="str">
            <v>(인)</v>
          </cell>
          <cell r="AA1958" t="str">
            <v>박상갑</v>
          </cell>
          <cell r="AB1958" t="str">
            <v>(인)</v>
          </cell>
          <cell r="AC1958" t="str">
            <v>이홍걸</v>
          </cell>
          <cell r="AD1958" t="str">
            <v>(인)</v>
          </cell>
          <cell r="AE1958">
            <v>185.5</v>
          </cell>
          <cell r="AF1958" t="str">
            <v>동절기</v>
          </cell>
          <cell r="AG1958">
            <v>3</v>
          </cell>
          <cell r="AH1958">
            <v>0</v>
          </cell>
        </row>
        <row r="1959">
          <cell r="G1959">
            <v>2503140201</v>
          </cell>
          <cell r="H1959" t="str">
            <v>주차장</v>
          </cell>
          <cell r="I1959">
            <v>250314</v>
          </cell>
          <cell r="J1959" t="str">
            <v>113동 주변주차장</v>
          </cell>
          <cell r="K1959">
            <v>244</v>
          </cell>
          <cell r="L1959">
            <v>244</v>
          </cell>
          <cell r="M1959">
            <v>2715</v>
          </cell>
          <cell r="N1959" t="str">
            <v>영진</v>
          </cell>
          <cell r="O1959" t="str">
            <v>펌프카(1대)</v>
          </cell>
          <cell r="P1959">
            <v>800</v>
          </cell>
          <cell r="Q1959">
            <v>1155</v>
          </cell>
          <cell r="R1959">
            <v>170</v>
          </cell>
          <cell r="S1959">
            <v>51</v>
          </cell>
          <cell r="T1959">
            <v>70</v>
          </cell>
          <cell r="U1959">
            <v>146</v>
          </cell>
          <cell r="V1959"/>
          <cell r="W1959" t="str">
            <v>박순홍</v>
          </cell>
          <cell r="X1959" t="str">
            <v>(인)</v>
          </cell>
          <cell r="Y1959" t="str">
            <v>박순홍</v>
          </cell>
          <cell r="Z1959" t="str">
            <v>(인)</v>
          </cell>
          <cell r="AA1959" t="str">
            <v>박상갑</v>
          </cell>
          <cell r="AB1959" t="str">
            <v>(인)</v>
          </cell>
          <cell r="AC1959" t="str">
            <v>이홍걸</v>
          </cell>
          <cell r="AD1959" t="str">
            <v>(인)</v>
          </cell>
          <cell r="AE1959">
            <v>181.9</v>
          </cell>
          <cell r="AF1959" t="str">
            <v>동절기</v>
          </cell>
          <cell r="AG1959">
            <v>1</v>
          </cell>
          <cell r="AH1959">
            <v>1</v>
          </cell>
          <cell r="AI1959">
            <v>2513</v>
          </cell>
          <cell r="AJ1959">
            <v>2411</v>
          </cell>
          <cell r="AK1959">
            <v>188400</v>
          </cell>
          <cell r="AL1959">
            <v>3607</v>
          </cell>
          <cell r="AM1959">
            <v>3542</v>
          </cell>
          <cell r="AN1959">
            <v>3576</v>
          </cell>
          <cell r="AO1959">
            <v>3586</v>
          </cell>
          <cell r="AP1959">
            <v>3601</v>
          </cell>
          <cell r="AQ1959">
            <v>3612</v>
          </cell>
          <cell r="AR1959">
            <v>3594</v>
          </cell>
          <cell r="AS1959">
            <v>3587</v>
          </cell>
          <cell r="AT1959">
            <v>279800</v>
          </cell>
        </row>
        <row r="1960">
          <cell r="G1960">
            <v>2503140202</v>
          </cell>
          <cell r="H1960" t="str">
            <v>주차장</v>
          </cell>
          <cell r="I1960">
            <v>250314</v>
          </cell>
          <cell r="J1960" t="str">
            <v>113동 주변주차장</v>
          </cell>
          <cell r="K1960">
            <v>244</v>
          </cell>
          <cell r="L1960">
            <v>244</v>
          </cell>
          <cell r="M1960">
            <v>2715</v>
          </cell>
          <cell r="N1960" t="str">
            <v>영진</v>
          </cell>
          <cell r="O1960" t="str">
            <v>펌프카(1대)</v>
          </cell>
          <cell r="P1960">
            <v>800</v>
          </cell>
          <cell r="Q1960">
            <v>1155</v>
          </cell>
          <cell r="R1960">
            <v>165</v>
          </cell>
          <cell r="S1960">
            <v>50</v>
          </cell>
          <cell r="T1960">
            <v>40</v>
          </cell>
          <cell r="U1960">
            <v>153</v>
          </cell>
          <cell r="V1960"/>
          <cell r="W1960" t="str">
            <v>박순홍</v>
          </cell>
          <cell r="X1960" t="str">
            <v>(인)</v>
          </cell>
          <cell r="Y1960" t="str">
            <v>박순홍</v>
          </cell>
          <cell r="Z1960" t="str">
            <v>(인)</v>
          </cell>
          <cell r="AA1960" t="str">
            <v>박상갑</v>
          </cell>
          <cell r="AB1960" t="str">
            <v>(인)</v>
          </cell>
          <cell r="AC1960" t="str">
            <v>이홍걸</v>
          </cell>
          <cell r="AD1960" t="str">
            <v>(인)</v>
          </cell>
          <cell r="AE1960">
            <v>181.4</v>
          </cell>
          <cell r="AF1960" t="str">
            <v>동절기</v>
          </cell>
          <cell r="AG1960">
            <v>2</v>
          </cell>
          <cell r="AH1960">
            <v>0</v>
          </cell>
        </row>
        <row r="1961">
          <cell r="G1961">
            <v>2503140203</v>
          </cell>
          <cell r="H1961" t="str">
            <v>주차장</v>
          </cell>
          <cell r="I1961">
            <v>250314</v>
          </cell>
          <cell r="J1961" t="str">
            <v>113동 주변주차장</v>
          </cell>
          <cell r="K1961">
            <v>244</v>
          </cell>
          <cell r="L1961">
            <v>244</v>
          </cell>
          <cell r="M1961">
            <v>2715</v>
          </cell>
          <cell r="N1961" t="str">
            <v>영진</v>
          </cell>
          <cell r="O1961" t="str">
            <v>펌프카(1대)</v>
          </cell>
          <cell r="P1961">
            <v>800</v>
          </cell>
          <cell r="Q1961">
            <v>1155</v>
          </cell>
          <cell r="R1961">
            <v>150</v>
          </cell>
          <cell r="S1961">
            <v>47</v>
          </cell>
          <cell r="T1961">
            <v>17</v>
          </cell>
          <cell r="U1961">
            <v>147</v>
          </cell>
          <cell r="V1961"/>
          <cell r="W1961" t="str">
            <v>박순홍</v>
          </cell>
          <cell r="X1961" t="str">
            <v>(인)</v>
          </cell>
          <cell r="Y1961" t="str">
            <v>박순홍</v>
          </cell>
          <cell r="Z1961" t="str">
            <v>(인)</v>
          </cell>
          <cell r="AA1961" t="str">
            <v>박상갑</v>
          </cell>
          <cell r="AB1961" t="str">
            <v>(인)</v>
          </cell>
          <cell r="AC1961" t="str">
            <v>이홍걸</v>
          </cell>
          <cell r="AD1961" t="str">
            <v>(인)</v>
          </cell>
          <cell r="AE1961">
            <v>183.7</v>
          </cell>
          <cell r="AF1961" t="str">
            <v>동절기</v>
          </cell>
          <cell r="AG1961">
            <v>3</v>
          </cell>
          <cell r="AH1961">
            <v>0</v>
          </cell>
        </row>
        <row r="1962">
          <cell r="G1962">
            <v>2503170101</v>
          </cell>
          <cell r="H1962" t="str">
            <v>117동</v>
          </cell>
          <cell r="I1962">
            <v>250317</v>
          </cell>
          <cell r="J1962" t="str">
            <v>117동 12층 바닥</v>
          </cell>
          <cell r="K1962">
            <v>346</v>
          </cell>
          <cell r="L1962">
            <v>346</v>
          </cell>
          <cell r="M1962">
            <v>3018</v>
          </cell>
          <cell r="N1962" t="str">
            <v>신우</v>
          </cell>
          <cell r="O1962" t="str">
            <v>펌프카(1대)</v>
          </cell>
          <cell r="P1962">
            <v>830</v>
          </cell>
          <cell r="Q1962">
            <v>1652</v>
          </cell>
          <cell r="R1962">
            <v>170</v>
          </cell>
          <cell r="S1962">
            <v>38</v>
          </cell>
          <cell r="T1962">
            <v>55</v>
          </cell>
          <cell r="U1962">
            <v>142</v>
          </cell>
          <cell r="V1962"/>
          <cell r="W1962" t="str">
            <v>김광록</v>
          </cell>
          <cell r="X1962" t="str">
            <v>(인)</v>
          </cell>
          <cell r="Y1962" t="str">
            <v>김광록</v>
          </cell>
          <cell r="Z1962" t="str">
            <v>(인)</v>
          </cell>
          <cell r="AA1962" t="str">
            <v>이홍걸</v>
          </cell>
          <cell r="AB1962" t="str">
            <v>(인)</v>
          </cell>
          <cell r="AC1962" t="str">
            <v>박상갑</v>
          </cell>
          <cell r="AD1962" t="str">
            <v>(인)</v>
          </cell>
          <cell r="AE1962">
            <v>185.9</v>
          </cell>
          <cell r="AF1962" t="str">
            <v>동절기</v>
          </cell>
          <cell r="AG1962">
            <v>1</v>
          </cell>
          <cell r="AH1962">
            <v>1</v>
          </cell>
          <cell r="AI1962">
            <v>2869</v>
          </cell>
          <cell r="AJ1962">
            <v>2848</v>
          </cell>
          <cell r="AK1962">
            <v>229600</v>
          </cell>
          <cell r="AL1962">
            <v>3822</v>
          </cell>
          <cell r="AM1962">
            <v>3789</v>
          </cell>
          <cell r="AN1962">
            <v>3829</v>
          </cell>
          <cell r="AO1962">
            <v>2852</v>
          </cell>
          <cell r="AP1962">
            <v>3688</v>
          </cell>
          <cell r="AQ1962">
            <v>3766</v>
          </cell>
          <cell r="AR1962">
            <v>3763</v>
          </cell>
          <cell r="AS1962">
            <v>3742</v>
          </cell>
          <cell r="AT1962">
            <v>294000</v>
          </cell>
        </row>
        <row r="1963">
          <cell r="G1963">
            <v>2503170102</v>
          </cell>
          <cell r="H1963" t="str">
            <v>117동</v>
          </cell>
          <cell r="I1963">
            <v>250317</v>
          </cell>
          <cell r="J1963" t="str">
            <v>117동 12층 바닥</v>
          </cell>
          <cell r="K1963">
            <v>346</v>
          </cell>
          <cell r="L1963">
            <v>346</v>
          </cell>
          <cell r="M1963">
            <v>3018</v>
          </cell>
          <cell r="N1963" t="str">
            <v>신우</v>
          </cell>
          <cell r="O1963" t="str">
            <v>펌프카(1대)</v>
          </cell>
          <cell r="P1963">
            <v>830</v>
          </cell>
          <cell r="Q1963">
            <v>1652</v>
          </cell>
          <cell r="R1963">
            <v>180</v>
          </cell>
          <cell r="S1963">
            <v>41</v>
          </cell>
          <cell r="T1963">
            <v>71</v>
          </cell>
          <cell r="U1963">
            <v>145</v>
          </cell>
          <cell r="V1963"/>
          <cell r="W1963" t="str">
            <v>김광록</v>
          </cell>
          <cell r="X1963" t="str">
            <v>(인)</v>
          </cell>
          <cell r="Y1963" t="str">
            <v>김광록</v>
          </cell>
          <cell r="Z1963" t="str">
            <v>(인)</v>
          </cell>
          <cell r="AA1963" t="str">
            <v>이홍걸</v>
          </cell>
          <cell r="AB1963" t="str">
            <v>(인)</v>
          </cell>
          <cell r="AC1963" t="str">
            <v>박상갑</v>
          </cell>
          <cell r="AD1963" t="str">
            <v>(인)</v>
          </cell>
          <cell r="AE1963">
            <v>186.6</v>
          </cell>
          <cell r="AF1963" t="str">
            <v>동절기</v>
          </cell>
          <cell r="AG1963">
            <v>2</v>
          </cell>
          <cell r="AH1963">
            <v>0</v>
          </cell>
        </row>
        <row r="1964">
          <cell r="G1964">
            <v>2503170103</v>
          </cell>
          <cell r="H1964" t="str">
            <v>117동</v>
          </cell>
          <cell r="I1964">
            <v>250317</v>
          </cell>
          <cell r="J1964" t="str">
            <v>117동 12층 바닥</v>
          </cell>
          <cell r="K1964">
            <v>346</v>
          </cell>
          <cell r="L1964">
            <v>346</v>
          </cell>
          <cell r="M1964">
            <v>3018</v>
          </cell>
          <cell r="N1964" t="str">
            <v>신우</v>
          </cell>
          <cell r="O1964" t="str">
            <v>펌프카(1대)</v>
          </cell>
          <cell r="P1964">
            <v>830</v>
          </cell>
          <cell r="Q1964">
            <v>1652</v>
          </cell>
          <cell r="R1964">
            <v>180</v>
          </cell>
          <cell r="S1964">
            <v>45</v>
          </cell>
          <cell r="T1964">
            <v>63</v>
          </cell>
          <cell r="U1964">
            <v>151</v>
          </cell>
          <cell r="V1964"/>
          <cell r="W1964" t="str">
            <v>김광록</v>
          </cell>
          <cell r="X1964" t="str">
            <v>(인)</v>
          </cell>
          <cell r="Y1964" t="str">
            <v>김광록</v>
          </cell>
          <cell r="Z1964" t="str">
            <v>(인)</v>
          </cell>
          <cell r="AA1964" t="str">
            <v>이홍걸</v>
          </cell>
          <cell r="AB1964" t="str">
            <v>(인)</v>
          </cell>
          <cell r="AC1964" t="str">
            <v>박상갑</v>
          </cell>
          <cell r="AD1964" t="str">
            <v>(인)</v>
          </cell>
          <cell r="AE1964">
            <v>181.3</v>
          </cell>
          <cell r="AF1964" t="str">
            <v>동절기</v>
          </cell>
          <cell r="AG1964">
            <v>3</v>
          </cell>
          <cell r="AH1964">
            <v>0</v>
          </cell>
        </row>
        <row r="1965">
          <cell r="G1965">
            <v>2503180101</v>
          </cell>
          <cell r="H1965" t="str">
            <v>119동</v>
          </cell>
          <cell r="I1965">
            <v>250318</v>
          </cell>
          <cell r="J1965" t="str">
            <v>119동 11층 바닥</v>
          </cell>
          <cell r="K1965">
            <v>285</v>
          </cell>
          <cell r="L1965">
            <v>285</v>
          </cell>
          <cell r="M1965">
            <v>3018</v>
          </cell>
          <cell r="N1965" t="str">
            <v>영진</v>
          </cell>
          <cell r="O1965" t="str">
            <v>펌프카(1대)</v>
          </cell>
          <cell r="P1965">
            <v>755</v>
          </cell>
          <cell r="Q1965">
            <v>1124</v>
          </cell>
          <cell r="R1965">
            <v>195</v>
          </cell>
          <cell r="S1965">
            <v>52</v>
          </cell>
          <cell r="T1965">
            <v>65</v>
          </cell>
          <cell r="U1965">
            <v>151</v>
          </cell>
          <cell r="V1965"/>
          <cell r="W1965" t="str">
            <v>김광록</v>
          </cell>
          <cell r="X1965" t="str">
            <v>(인)</v>
          </cell>
          <cell r="Y1965" t="str">
            <v>김광록</v>
          </cell>
          <cell r="Z1965" t="str">
            <v>(인)</v>
          </cell>
          <cell r="AA1965" t="str">
            <v>이홍걸</v>
          </cell>
          <cell r="AB1965" t="str">
            <v>(인)</v>
          </cell>
          <cell r="AC1965" t="str">
            <v>박상갑</v>
          </cell>
          <cell r="AD1965" t="str">
            <v>(인)</v>
          </cell>
          <cell r="AE1965">
            <v>181.1</v>
          </cell>
          <cell r="AF1965" t="str">
            <v>동절기</v>
          </cell>
          <cell r="AG1965">
            <v>1</v>
          </cell>
          <cell r="AH1965">
            <v>1</v>
          </cell>
          <cell r="AI1965">
            <v>2672</v>
          </cell>
          <cell r="AJ1965">
            <v>2680</v>
          </cell>
          <cell r="AK1965">
            <v>212800</v>
          </cell>
          <cell r="AL1965">
            <v>3810</v>
          </cell>
          <cell r="AM1965">
            <v>3812</v>
          </cell>
          <cell r="AN1965">
            <v>3834</v>
          </cell>
          <cell r="AO1965">
            <v>3704</v>
          </cell>
          <cell r="AP1965">
            <v>3762</v>
          </cell>
          <cell r="AQ1965">
            <v>3784</v>
          </cell>
          <cell r="AR1965">
            <v>3780</v>
          </cell>
          <cell r="AS1965">
            <v>3649</v>
          </cell>
          <cell r="AT1965">
            <v>297000</v>
          </cell>
        </row>
        <row r="1966">
          <cell r="G1966">
            <v>2503180102</v>
          </cell>
          <cell r="H1966" t="str">
            <v>119동</v>
          </cell>
          <cell r="I1966">
            <v>250318</v>
          </cell>
          <cell r="J1966" t="str">
            <v>119동 11층 바닥</v>
          </cell>
          <cell r="K1966">
            <v>285</v>
          </cell>
          <cell r="L1966">
            <v>285</v>
          </cell>
          <cell r="M1966">
            <v>3018</v>
          </cell>
          <cell r="N1966" t="str">
            <v>영진</v>
          </cell>
          <cell r="O1966" t="str">
            <v>펌프카(1대)</v>
          </cell>
          <cell r="P1966">
            <v>755</v>
          </cell>
          <cell r="Q1966">
            <v>1124</v>
          </cell>
          <cell r="R1966">
            <v>180</v>
          </cell>
          <cell r="S1966">
            <v>44</v>
          </cell>
          <cell r="T1966">
            <v>44</v>
          </cell>
          <cell r="U1966">
            <v>12</v>
          </cell>
          <cell r="V1966"/>
          <cell r="W1966" t="str">
            <v>김광록</v>
          </cell>
          <cell r="X1966" t="str">
            <v>(인)</v>
          </cell>
          <cell r="Y1966" t="str">
            <v>김광록</v>
          </cell>
          <cell r="Z1966" t="str">
            <v>(인)</v>
          </cell>
          <cell r="AA1966" t="str">
            <v>이홍걸</v>
          </cell>
          <cell r="AB1966" t="str">
            <v>(인)</v>
          </cell>
          <cell r="AC1966" t="str">
            <v>박상갑</v>
          </cell>
          <cell r="AD1966" t="str">
            <v>(인)</v>
          </cell>
          <cell r="AE1966">
            <v>181.7</v>
          </cell>
          <cell r="AF1966" t="str">
            <v>동절기</v>
          </cell>
          <cell r="AG1966">
            <v>2</v>
          </cell>
          <cell r="AH1966">
            <v>0</v>
          </cell>
        </row>
        <row r="1967">
          <cell r="G1967">
            <v>2503180103</v>
          </cell>
          <cell r="H1967" t="str">
            <v>119동</v>
          </cell>
          <cell r="I1967">
            <v>250318</v>
          </cell>
          <cell r="J1967" t="str">
            <v>119동 11층 바닥</v>
          </cell>
          <cell r="K1967">
            <v>285</v>
          </cell>
          <cell r="L1967">
            <v>285</v>
          </cell>
          <cell r="M1967">
            <v>3018</v>
          </cell>
          <cell r="N1967" t="str">
            <v>영진</v>
          </cell>
          <cell r="O1967" t="str">
            <v>펌프카(1대)</v>
          </cell>
          <cell r="P1967">
            <v>755</v>
          </cell>
          <cell r="Q1967">
            <v>1124</v>
          </cell>
          <cell r="R1967">
            <v>185</v>
          </cell>
          <cell r="S1967">
            <v>50</v>
          </cell>
          <cell r="T1967">
            <v>94</v>
          </cell>
          <cell r="U1967">
            <v>144</v>
          </cell>
          <cell r="V1967"/>
          <cell r="W1967" t="str">
            <v>김광록</v>
          </cell>
          <cell r="X1967" t="str">
            <v>(인)</v>
          </cell>
          <cell r="Y1967" t="str">
            <v>김광록</v>
          </cell>
          <cell r="Z1967" t="str">
            <v>(인)</v>
          </cell>
          <cell r="AA1967" t="str">
            <v>이홍걸</v>
          </cell>
          <cell r="AB1967" t="str">
            <v>(인)</v>
          </cell>
          <cell r="AC1967" t="str">
            <v>박상갑</v>
          </cell>
          <cell r="AD1967" t="str">
            <v>(인)</v>
          </cell>
          <cell r="AE1967">
            <v>184.7</v>
          </cell>
          <cell r="AF1967" t="str">
            <v>동절기</v>
          </cell>
          <cell r="AG1967">
            <v>3</v>
          </cell>
          <cell r="AH1967">
            <v>0</v>
          </cell>
        </row>
        <row r="1968">
          <cell r="G1968">
            <v>2503190101</v>
          </cell>
          <cell r="H1968" t="str">
            <v>112동</v>
          </cell>
          <cell r="I1968">
            <v>250319</v>
          </cell>
          <cell r="J1968" t="str">
            <v>112동 11층 바닥</v>
          </cell>
          <cell r="K1968">
            <v>222</v>
          </cell>
          <cell r="L1968">
            <v>222</v>
          </cell>
          <cell r="M1968">
            <v>3018</v>
          </cell>
          <cell r="N1968" t="str">
            <v>대원</v>
          </cell>
          <cell r="O1968" t="str">
            <v>펌프카(1대)</v>
          </cell>
          <cell r="P1968">
            <v>802</v>
          </cell>
          <cell r="Q1968">
            <v>1057</v>
          </cell>
          <cell r="R1968">
            <v>195</v>
          </cell>
          <cell r="S1968">
            <v>48</v>
          </cell>
          <cell r="T1968">
            <v>85</v>
          </cell>
          <cell r="U1968">
            <v>152</v>
          </cell>
          <cell r="V1968"/>
          <cell r="W1968" t="str">
            <v>김광록</v>
          </cell>
          <cell r="X1968" t="str">
            <v>(인)</v>
          </cell>
          <cell r="Y1968" t="str">
            <v>김광록</v>
          </cell>
          <cell r="Z1968" t="str">
            <v>(인)</v>
          </cell>
          <cell r="AA1968" t="str">
            <v>이홍걸</v>
          </cell>
          <cell r="AB1968" t="str">
            <v>(인)</v>
          </cell>
          <cell r="AC1968" t="str">
            <v>박상갑</v>
          </cell>
          <cell r="AD1968" t="str">
            <v>(인)</v>
          </cell>
          <cell r="AE1968">
            <v>187</v>
          </cell>
          <cell r="AF1968" t="str">
            <v>동절기</v>
          </cell>
          <cell r="AG1968">
            <v>1</v>
          </cell>
          <cell r="AH1968">
            <v>1</v>
          </cell>
          <cell r="AI1968">
            <v>2800</v>
          </cell>
          <cell r="AJ1968">
            <v>2760</v>
          </cell>
          <cell r="AK1968">
            <v>220800</v>
          </cell>
          <cell r="AL1968">
            <v>3821</v>
          </cell>
          <cell r="AM1968">
            <v>3760</v>
          </cell>
          <cell r="AN1968">
            <v>3677</v>
          </cell>
          <cell r="AO1968">
            <v>3689</v>
          </cell>
          <cell r="AP1968">
            <v>3802</v>
          </cell>
          <cell r="AQ1968">
            <v>3796</v>
          </cell>
          <cell r="AR1968">
            <v>3725</v>
          </cell>
          <cell r="AS1968">
            <v>3646</v>
          </cell>
          <cell r="AT1968">
            <v>292600</v>
          </cell>
        </row>
        <row r="1969">
          <cell r="G1969">
            <v>2503190102</v>
          </cell>
          <cell r="H1969" t="str">
            <v>112동</v>
          </cell>
          <cell r="I1969">
            <v>250319</v>
          </cell>
          <cell r="J1969" t="str">
            <v>112동 11층 바닥</v>
          </cell>
          <cell r="K1969">
            <v>222</v>
          </cell>
          <cell r="L1969">
            <v>222</v>
          </cell>
          <cell r="M1969">
            <v>3018</v>
          </cell>
          <cell r="N1969" t="str">
            <v>대원</v>
          </cell>
          <cell r="O1969" t="str">
            <v>펌프카(1대)</v>
          </cell>
          <cell r="P1969">
            <v>802</v>
          </cell>
          <cell r="Q1969">
            <v>1057</v>
          </cell>
          <cell r="R1969">
            <v>200</v>
          </cell>
          <cell r="S1969">
            <v>48</v>
          </cell>
          <cell r="T1969">
            <v>117</v>
          </cell>
          <cell r="U1969">
            <v>157</v>
          </cell>
          <cell r="V1969"/>
          <cell r="W1969" t="str">
            <v>김광록</v>
          </cell>
          <cell r="X1969" t="str">
            <v>(인)</v>
          </cell>
          <cell r="Y1969" t="str">
            <v>김광록</v>
          </cell>
          <cell r="Z1969" t="str">
            <v>(인)</v>
          </cell>
          <cell r="AA1969" t="str">
            <v>이홍걸</v>
          </cell>
          <cell r="AB1969" t="str">
            <v>(인)</v>
          </cell>
          <cell r="AC1969" t="str">
            <v>박상갑</v>
          </cell>
          <cell r="AD1969" t="str">
            <v>(인)</v>
          </cell>
          <cell r="AE1969">
            <v>179.8</v>
          </cell>
          <cell r="AF1969" t="str">
            <v>동절기</v>
          </cell>
          <cell r="AG1969">
            <v>2</v>
          </cell>
          <cell r="AH1969">
            <v>0</v>
          </cell>
        </row>
        <row r="1970">
          <cell r="G1970">
            <v>2503190201</v>
          </cell>
          <cell r="H1970" t="str">
            <v>118동</v>
          </cell>
          <cell r="I1970">
            <v>250319</v>
          </cell>
          <cell r="J1970" t="str">
            <v>118동 11층 바닥</v>
          </cell>
          <cell r="K1970">
            <v>288</v>
          </cell>
          <cell r="L1970">
            <v>288</v>
          </cell>
          <cell r="M1970">
            <v>3018</v>
          </cell>
          <cell r="N1970" t="str">
            <v>용호</v>
          </cell>
          <cell r="O1970" t="str">
            <v>펌프카(1대)</v>
          </cell>
          <cell r="P1970">
            <v>828</v>
          </cell>
          <cell r="Q1970">
            <v>1410</v>
          </cell>
          <cell r="R1970">
            <v>195</v>
          </cell>
          <cell r="S1970">
            <v>50</v>
          </cell>
          <cell r="T1970">
            <v>50</v>
          </cell>
          <cell r="U1970">
            <v>165</v>
          </cell>
          <cell r="V1970"/>
          <cell r="W1970" t="str">
            <v>김광록</v>
          </cell>
          <cell r="X1970" t="str">
            <v>(인)</v>
          </cell>
          <cell r="Y1970" t="str">
            <v>김광록</v>
          </cell>
          <cell r="Z1970" t="str">
            <v>(인)</v>
          </cell>
          <cell r="AA1970" t="str">
            <v>이홍걸</v>
          </cell>
          <cell r="AB1970" t="str">
            <v>(인)</v>
          </cell>
          <cell r="AC1970" t="str">
            <v>박상갑</v>
          </cell>
          <cell r="AD1970" t="str">
            <v>(인)</v>
          </cell>
          <cell r="AE1970">
            <v>180.5</v>
          </cell>
          <cell r="AF1970" t="str">
            <v>동절기</v>
          </cell>
          <cell r="AG1970">
            <v>1</v>
          </cell>
          <cell r="AH1970">
            <v>1</v>
          </cell>
          <cell r="AI1970">
            <v>2821</v>
          </cell>
          <cell r="AJ1970">
            <v>2832</v>
          </cell>
          <cell r="AK1970">
            <v>229200</v>
          </cell>
          <cell r="AL1970">
            <v>3690</v>
          </cell>
          <cell r="AM1970">
            <v>3811</v>
          </cell>
          <cell r="AN1970">
            <v>3829</v>
          </cell>
          <cell r="AO1970">
            <v>3682</v>
          </cell>
          <cell r="AP1970">
            <v>3866</v>
          </cell>
          <cell r="AQ1970">
            <v>3672</v>
          </cell>
          <cell r="AR1970">
            <v>3740</v>
          </cell>
          <cell r="AS1970">
            <v>3796</v>
          </cell>
          <cell r="AT1970">
            <v>294200</v>
          </cell>
        </row>
        <row r="1971">
          <cell r="G1971">
            <v>2503190202</v>
          </cell>
          <cell r="H1971" t="str">
            <v>118동</v>
          </cell>
          <cell r="I1971">
            <v>250319</v>
          </cell>
          <cell r="J1971" t="str">
            <v>118동 11층 바닥</v>
          </cell>
          <cell r="K1971">
            <v>288</v>
          </cell>
          <cell r="L1971">
            <v>288</v>
          </cell>
          <cell r="M1971">
            <v>3018</v>
          </cell>
          <cell r="N1971" t="str">
            <v>용호</v>
          </cell>
          <cell r="O1971" t="str">
            <v>펌프카(1대)</v>
          </cell>
          <cell r="P1971">
            <v>828</v>
          </cell>
          <cell r="Q1971">
            <v>1410</v>
          </cell>
          <cell r="R1971">
            <v>180</v>
          </cell>
          <cell r="S1971">
            <v>44</v>
          </cell>
          <cell r="T1971">
            <v>4</v>
          </cell>
          <cell r="U1971">
            <v>157</v>
          </cell>
          <cell r="V1971"/>
          <cell r="W1971" t="str">
            <v>김광록</v>
          </cell>
          <cell r="X1971" t="str">
            <v>(인)</v>
          </cell>
          <cell r="Y1971" t="str">
            <v>김광록</v>
          </cell>
          <cell r="Z1971" t="str">
            <v>(인)</v>
          </cell>
          <cell r="AA1971" t="str">
            <v>이홍걸</v>
          </cell>
          <cell r="AB1971" t="str">
            <v>(인)</v>
          </cell>
          <cell r="AC1971" t="str">
            <v>박상갑</v>
          </cell>
          <cell r="AD1971" t="str">
            <v>(인)</v>
          </cell>
          <cell r="AE1971">
            <v>186.6</v>
          </cell>
          <cell r="AF1971" t="str">
            <v>동절기</v>
          </cell>
          <cell r="AG1971">
            <v>2</v>
          </cell>
          <cell r="AH1971">
            <v>0</v>
          </cell>
        </row>
        <row r="1972">
          <cell r="G1972">
            <v>2503190203</v>
          </cell>
          <cell r="H1972" t="str">
            <v>118동</v>
          </cell>
          <cell r="I1972">
            <v>250319</v>
          </cell>
          <cell r="J1972" t="str">
            <v>118동 11층 바닥</v>
          </cell>
          <cell r="K1972">
            <v>288</v>
          </cell>
          <cell r="L1972">
            <v>288</v>
          </cell>
          <cell r="M1972">
            <v>3018</v>
          </cell>
          <cell r="N1972" t="str">
            <v>용호</v>
          </cell>
          <cell r="O1972" t="str">
            <v>펌프카(1대)</v>
          </cell>
          <cell r="P1972">
            <v>828</v>
          </cell>
          <cell r="Q1972">
            <v>1410</v>
          </cell>
          <cell r="R1972">
            <v>190</v>
          </cell>
          <cell r="S1972">
            <v>48</v>
          </cell>
          <cell r="T1972">
            <v>32</v>
          </cell>
          <cell r="U1972">
            <v>163</v>
          </cell>
          <cell r="V1972"/>
          <cell r="W1972" t="str">
            <v>김광록</v>
          </cell>
          <cell r="X1972" t="str">
            <v>(인)</v>
          </cell>
          <cell r="Y1972" t="str">
            <v>김광록</v>
          </cell>
          <cell r="Z1972" t="str">
            <v>(인)</v>
          </cell>
          <cell r="AA1972" t="str">
            <v>이홍걸</v>
          </cell>
          <cell r="AB1972" t="str">
            <v>(인)</v>
          </cell>
          <cell r="AC1972" t="str">
            <v>박상갑</v>
          </cell>
          <cell r="AD1972" t="str">
            <v>(인)</v>
          </cell>
          <cell r="AE1972">
            <v>181.3</v>
          </cell>
          <cell r="AF1972" t="str">
            <v>동절기</v>
          </cell>
          <cell r="AG1972">
            <v>3</v>
          </cell>
          <cell r="AH1972">
            <v>0</v>
          </cell>
        </row>
        <row r="1973">
          <cell r="G1973">
            <v>2503190301</v>
          </cell>
          <cell r="H1973" t="str">
            <v>주차장</v>
          </cell>
          <cell r="I1973">
            <v>250319</v>
          </cell>
          <cell r="J1973" t="str">
            <v>112동 주변주차장 P구간</v>
          </cell>
          <cell r="K1973">
            <v>456</v>
          </cell>
          <cell r="L1973">
            <v>456</v>
          </cell>
          <cell r="M1973">
            <v>2715</v>
          </cell>
          <cell r="N1973" t="str">
            <v>대원</v>
          </cell>
          <cell r="O1973" t="str">
            <v>펌프카(1대)</v>
          </cell>
          <cell r="P1973">
            <v>1150</v>
          </cell>
          <cell r="Q1973">
            <v>1746</v>
          </cell>
          <cell r="R1973">
            <v>180</v>
          </cell>
          <cell r="S1973">
            <v>40</v>
          </cell>
          <cell r="T1973">
            <v>20</v>
          </cell>
          <cell r="U1973">
            <v>161</v>
          </cell>
          <cell r="V1973"/>
          <cell r="W1973" t="str">
            <v>김광록</v>
          </cell>
          <cell r="X1973" t="str">
            <v>(인)</v>
          </cell>
          <cell r="Y1973" t="str">
            <v>김광록</v>
          </cell>
          <cell r="Z1973" t="str">
            <v>(인)</v>
          </cell>
          <cell r="AA1973" t="str">
            <v>이홍걸</v>
          </cell>
          <cell r="AB1973" t="str">
            <v>(인)</v>
          </cell>
          <cell r="AC1973" t="str">
            <v>박상갑</v>
          </cell>
          <cell r="AD1973" t="str">
            <v>(인)</v>
          </cell>
          <cell r="AE1973">
            <v>181.9</v>
          </cell>
          <cell r="AF1973" t="str">
            <v>동절기</v>
          </cell>
          <cell r="AG1973">
            <v>1</v>
          </cell>
          <cell r="AH1973">
            <v>1</v>
          </cell>
          <cell r="AI1973">
            <v>2500</v>
          </cell>
          <cell r="AJ1973">
            <v>2510</v>
          </cell>
          <cell r="AK1973">
            <v>190400</v>
          </cell>
          <cell r="AL1973">
            <v>3342</v>
          </cell>
          <cell r="AM1973">
            <v>3379</v>
          </cell>
          <cell r="AN1973">
            <v>3368</v>
          </cell>
          <cell r="AO1973">
            <v>3473</v>
          </cell>
          <cell r="AP1973">
            <v>3318</v>
          </cell>
          <cell r="AQ1973">
            <v>3360</v>
          </cell>
          <cell r="AR1973">
            <v>3460</v>
          </cell>
          <cell r="AS1973">
            <v>3325</v>
          </cell>
          <cell r="AT1973">
            <v>271200</v>
          </cell>
        </row>
        <row r="1974">
          <cell r="G1974">
            <v>2503190302</v>
          </cell>
          <cell r="H1974" t="str">
            <v>주차장</v>
          </cell>
          <cell r="I1974">
            <v>250319</v>
          </cell>
          <cell r="J1974" t="str">
            <v>112동 주변주차장 P구간</v>
          </cell>
          <cell r="K1974">
            <v>456</v>
          </cell>
          <cell r="L1974">
            <v>456</v>
          </cell>
          <cell r="M1974">
            <v>2715</v>
          </cell>
          <cell r="N1974" t="str">
            <v>대원</v>
          </cell>
          <cell r="O1974" t="str">
            <v>펌프카(1대)</v>
          </cell>
          <cell r="P1974">
            <v>1150</v>
          </cell>
          <cell r="Q1974">
            <v>1746</v>
          </cell>
          <cell r="R1974">
            <v>185</v>
          </cell>
          <cell r="S1974">
            <v>43</v>
          </cell>
          <cell r="T1974">
            <v>43</v>
          </cell>
          <cell r="U1974">
            <v>167</v>
          </cell>
          <cell r="V1974"/>
          <cell r="W1974" t="str">
            <v>김광록</v>
          </cell>
          <cell r="X1974" t="str">
            <v>(인)</v>
          </cell>
          <cell r="Y1974" t="str">
            <v>김광록</v>
          </cell>
          <cell r="Z1974" t="str">
            <v>(인)</v>
          </cell>
          <cell r="AA1974" t="str">
            <v>이홍걸</v>
          </cell>
          <cell r="AB1974" t="str">
            <v>(인)</v>
          </cell>
          <cell r="AC1974" t="str">
            <v>박상갑</v>
          </cell>
          <cell r="AD1974" t="str">
            <v>(인)</v>
          </cell>
          <cell r="AE1974">
            <v>181.8</v>
          </cell>
          <cell r="AF1974" t="str">
            <v>동절기</v>
          </cell>
          <cell r="AG1974">
            <v>2</v>
          </cell>
          <cell r="AH1974">
            <v>0</v>
          </cell>
        </row>
        <row r="1975">
          <cell r="G1975">
            <v>2503190303</v>
          </cell>
          <cell r="H1975" t="str">
            <v>주차장</v>
          </cell>
          <cell r="I1975">
            <v>250319</v>
          </cell>
          <cell r="J1975" t="str">
            <v>112동 주변주차장 P구간</v>
          </cell>
          <cell r="K1975">
            <v>456</v>
          </cell>
          <cell r="L1975">
            <v>456</v>
          </cell>
          <cell r="M1975">
            <v>2715</v>
          </cell>
          <cell r="N1975" t="str">
            <v>대원</v>
          </cell>
          <cell r="O1975" t="str">
            <v>펌프카(1대)</v>
          </cell>
          <cell r="P1975">
            <v>1150</v>
          </cell>
          <cell r="Q1975">
            <v>1746</v>
          </cell>
          <cell r="R1975">
            <v>190</v>
          </cell>
          <cell r="S1975">
            <v>49</v>
          </cell>
          <cell r="T1975">
            <v>51</v>
          </cell>
          <cell r="U1975">
            <v>164</v>
          </cell>
          <cell r="V1975"/>
          <cell r="W1975" t="str">
            <v>김광록</v>
          </cell>
          <cell r="X1975" t="str">
            <v>(인)</v>
          </cell>
          <cell r="Y1975" t="str">
            <v>김광록</v>
          </cell>
          <cell r="Z1975" t="str">
            <v>(인)</v>
          </cell>
          <cell r="AA1975" t="str">
            <v>이홍걸</v>
          </cell>
          <cell r="AB1975" t="str">
            <v>(인)</v>
          </cell>
          <cell r="AC1975" t="str">
            <v>박상갑</v>
          </cell>
          <cell r="AD1975" t="str">
            <v>(인)</v>
          </cell>
          <cell r="AE1975">
            <v>182.9</v>
          </cell>
          <cell r="AF1975" t="str">
            <v>동절기</v>
          </cell>
          <cell r="AG1975">
            <v>3</v>
          </cell>
          <cell r="AH1975">
            <v>0</v>
          </cell>
        </row>
        <row r="1976">
          <cell r="G1976">
            <v>2503190304</v>
          </cell>
          <cell r="H1976" t="str">
            <v>주차장</v>
          </cell>
          <cell r="I1976">
            <v>250319</v>
          </cell>
          <cell r="J1976" t="str">
            <v>112동 주변주차장 P구간</v>
          </cell>
          <cell r="K1976">
            <v>456</v>
          </cell>
          <cell r="L1976">
            <v>456</v>
          </cell>
          <cell r="M1976">
            <v>2715</v>
          </cell>
          <cell r="N1976" t="str">
            <v>대원</v>
          </cell>
          <cell r="O1976" t="str">
            <v>펌프카(1대)</v>
          </cell>
          <cell r="P1976">
            <v>1150</v>
          </cell>
          <cell r="Q1976">
            <v>1746</v>
          </cell>
          <cell r="R1976">
            <v>200</v>
          </cell>
          <cell r="S1976">
            <v>50</v>
          </cell>
          <cell r="T1976">
            <v>52</v>
          </cell>
          <cell r="U1976">
            <v>168</v>
          </cell>
          <cell r="V1976"/>
          <cell r="W1976" t="str">
            <v>김광록</v>
          </cell>
          <cell r="X1976" t="str">
            <v>(인)</v>
          </cell>
          <cell r="Y1976" t="str">
            <v>김광록</v>
          </cell>
          <cell r="Z1976" t="str">
            <v>(인)</v>
          </cell>
          <cell r="AA1976" t="str">
            <v>이홍걸</v>
          </cell>
          <cell r="AB1976" t="str">
            <v>(인)</v>
          </cell>
          <cell r="AC1976" t="str">
            <v>박상갑</v>
          </cell>
          <cell r="AD1976" t="str">
            <v>(인)</v>
          </cell>
          <cell r="AE1976">
            <v>183.7</v>
          </cell>
          <cell r="AF1976" t="str">
            <v>동절기</v>
          </cell>
          <cell r="AG1976">
            <v>4</v>
          </cell>
          <cell r="AH1976">
            <v>1</v>
          </cell>
          <cell r="AL1976">
            <v>3381</v>
          </cell>
          <cell r="AM1976">
            <v>3453</v>
          </cell>
          <cell r="AN1976">
            <v>3445</v>
          </cell>
          <cell r="AO1976">
            <v>3473</v>
          </cell>
          <cell r="AP1976">
            <v>3447</v>
          </cell>
          <cell r="AQ1976">
            <v>3368</v>
          </cell>
          <cell r="AR1976">
            <v>3432</v>
          </cell>
          <cell r="AS1976">
            <v>3391</v>
          </cell>
          <cell r="AT1976">
            <v>266800</v>
          </cell>
        </row>
        <row r="1977">
          <cell r="G1977">
            <v>2503190401</v>
          </cell>
          <cell r="H1977" t="str">
            <v>주차장</v>
          </cell>
          <cell r="I1977">
            <v>250319</v>
          </cell>
          <cell r="J1977" t="str">
            <v>112동 주변주차장 P구간</v>
          </cell>
          <cell r="K1977">
            <v>90</v>
          </cell>
          <cell r="L1977">
            <v>90</v>
          </cell>
          <cell r="M1977">
            <v>2715</v>
          </cell>
          <cell r="N1977" t="str">
            <v>영진</v>
          </cell>
          <cell r="O1977" t="str">
            <v>펌프카(1대)</v>
          </cell>
          <cell r="P1977">
            <v>1607</v>
          </cell>
          <cell r="Q1977">
            <v>1727</v>
          </cell>
          <cell r="R1977">
            <v>165</v>
          </cell>
          <cell r="S1977">
            <v>53</v>
          </cell>
          <cell r="T1977">
            <v>29</v>
          </cell>
          <cell r="U1977">
            <v>169</v>
          </cell>
          <cell r="V1977"/>
          <cell r="W1977" t="str">
            <v>김광록</v>
          </cell>
          <cell r="X1977" t="str">
            <v>(인)</v>
          </cell>
          <cell r="Y1977" t="str">
            <v>김광록</v>
          </cell>
          <cell r="Z1977" t="str">
            <v>(인)</v>
          </cell>
          <cell r="AA1977" t="str">
            <v>이홍걸</v>
          </cell>
          <cell r="AB1977" t="str">
            <v>(인)</v>
          </cell>
          <cell r="AC1977" t="str">
            <v>박상갑</v>
          </cell>
          <cell r="AD1977" t="str">
            <v>(인)</v>
          </cell>
          <cell r="AE1977">
            <v>179.7</v>
          </cell>
          <cell r="AF1977" t="str">
            <v>동절기</v>
          </cell>
          <cell r="AG1977">
            <v>1</v>
          </cell>
          <cell r="AH1977">
            <v>1</v>
          </cell>
          <cell r="AI1977">
            <v>2437</v>
          </cell>
          <cell r="AJ1977">
            <v>2468</v>
          </cell>
          <cell r="AK1977">
            <v>184400</v>
          </cell>
          <cell r="AL1977">
            <v>3394</v>
          </cell>
          <cell r="AM1977">
            <v>3468</v>
          </cell>
          <cell r="AN1977">
            <v>3459</v>
          </cell>
          <cell r="AO1977">
            <v>3373</v>
          </cell>
          <cell r="AP1977">
            <v>3462</v>
          </cell>
          <cell r="AQ1977">
            <v>3428</v>
          </cell>
          <cell r="AR1977">
            <v>3338</v>
          </cell>
          <cell r="AS1977">
            <v>3330</v>
          </cell>
          <cell r="AT1977">
            <v>275000</v>
          </cell>
        </row>
        <row r="1978">
          <cell r="G1978">
            <v>2503200101</v>
          </cell>
          <cell r="H1978" t="str">
            <v>116동</v>
          </cell>
          <cell r="I1978">
            <v>250320</v>
          </cell>
          <cell r="J1978" t="str">
            <v>116동 13층 바닥</v>
          </cell>
          <cell r="K1978">
            <v>282</v>
          </cell>
          <cell r="L1978">
            <v>282</v>
          </cell>
          <cell r="M1978">
            <v>3018</v>
          </cell>
          <cell r="N1978" t="str">
            <v>영진</v>
          </cell>
          <cell r="O1978" t="str">
            <v>펌프카(1대)</v>
          </cell>
          <cell r="P1978">
            <v>800</v>
          </cell>
          <cell r="Q1978">
            <v>1140</v>
          </cell>
          <cell r="R1978">
            <v>185</v>
          </cell>
          <cell r="S1978">
            <v>44</v>
          </cell>
          <cell r="T1978">
            <v>19</v>
          </cell>
          <cell r="U1978">
            <v>140</v>
          </cell>
          <cell r="V1978"/>
          <cell r="W1978" t="str">
            <v>박순홍</v>
          </cell>
          <cell r="X1978" t="str">
            <v>(인)</v>
          </cell>
          <cell r="Y1978" t="str">
            <v>박순홍</v>
          </cell>
          <cell r="Z1978" t="str">
            <v>(인)</v>
          </cell>
          <cell r="AA1978" t="str">
            <v>이홍걸</v>
          </cell>
          <cell r="AB1978" t="str">
            <v>(인)</v>
          </cell>
          <cell r="AC1978" t="str">
            <v>박상갑</v>
          </cell>
          <cell r="AD1978" t="str">
            <v>(인)</v>
          </cell>
          <cell r="AE1978">
            <v>179.3</v>
          </cell>
          <cell r="AF1978" t="str">
            <v>동절기</v>
          </cell>
          <cell r="AG1978">
            <v>1</v>
          </cell>
          <cell r="AH1978">
            <v>1</v>
          </cell>
          <cell r="AI1978">
            <v>2688</v>
          </cell>
          <cell r="AJ1978">
            <v>2701</v>
          </cell>
          <cell r="AK1978">
            <v>212400</v>
          </cell>
          <cell r="AL1978">
            <v>4051</v>
          </cell>
          <cell r="AM1978">
            <v>4150</v>
          </cell>
          <cell r="AN1978">
            <v>4098</v>
          </cell>
          <cell r="AO1978">
            <v>4129</v>
          </cell>
          <cell r="AP1978">
            <v>4036</v>
          </cell>
          <cell r="AQ1978">
            <v>3987</v>
          </cell>
          <cell r="AR1978">
            <v>3876</v>
          </cell>
          <cell r="AS1978">
            <v>3907</v>
          </cell>
          <cell r="AT1978">
            <v>313000</v>
          </cell>
        </row>
        <row r="1979">
          <cell r="G1979">
            <v>2503200102</v>
          </cell>
          <cell r="H1979" t="str">
            <v>116동</v>
          </cell>
          <cell r="I1979">
            <v>250320</v>
          </cell>
          <cell r="J1979" t="str">
            <v>116동 13층 바닥</v>
          </cell>
          <cell r="K1979">
            <v>282</v>
          </cell>
          <cell r="L1979">
            <v>282</v>
          </cell>
          <cell r="M1979">
            <v>3018</v>
          </cell>
          <cell r="N1979" t="str">
            <v>영진</v>
          </cell>
          <cell r="O1979" t="str">
            <v>펌프카(1대)</v>
          </cell>
          <cell r="P1979">
            <v>800</v>
          </cell>
          <cell r="Q1979">
            <v>1140</v>
          </cell>
          <cell r="R1979">
            <v>190</v>
          </cell>
          <cell r="S1979">
            <v>52</v>
          </cell>
          <cell r="T1979">
            <v>11</v>
          </cell>
          <cell r="U1979">
            <v>163</v>
          </cell>
          <cell r="V1979"/>
          <cell r="W1979" t="str">
            <v>박순홍</v>
          </cell>
          <cell r="X1979" t="str">
            <v>(인)</v>
          </cell>
          <cell r="Y1979" t="str">
            <v>박순홍</v>
          </cell>
          <cell r="Z1979" t="str">
            <v>(인)</v>
          </cell>
          <cell r="AA1979" t="str">
            <v>이홍걸</v>
          </cell>
          <cell r="AB1979" t="str">
            <v>(인)</v>
          </cell>
          <cell r="AC1979" t="str">
            <v>박상갑</v>
          </cell>
          <cell r="AD1979" t="str">
            <v>(인)</v>
          </cell>
          <cell r="AE1979">
            <v>180.4</v>
          </cell>
          <cell r="AF1979" t="str">
            <v>동절기</v>
          </cell>
          <cell r="AG1979">
            <v>2</v>
          </cell>
          <cell r="AH1979">
            <v>0</v>
          </cell>
        </row>
        <row r="1980">
          <cell r="G1980">
            <v>2503200103</v>
          </cell>
          <cell r="H1980" t="str">
            <v>116동</v>
          </cell>
          <cell r="I1980">
            <v>250320</v>
          </cell>
          <cell r="J1980" t="str">
            <v>116동 13층 바닥</v>
          </cell>
          <cell r="K1980">
            <v>282</v>
          </cell>
          <cell r="L1980">
            <v>282</v>
          </cell>
          <cell r="M1980">
            <v>3018</v>
          </cell>
          <cell r="N1980" t="str">
            <v>영진</v>
          </cell>
          <cell r="O1980" t="str">
            <v>펌프카(1대)</v>
          </cell>
          <cell r="P1980">
            <v>800</v>
          </cell>
          <cell r="Q1980">
            <v>1140</v>
          </cell>
          <cell r="R1980">
            <v>180</v>
          </cell>
          <cell r="S1980">
            <v>48</v>
          </cell>
          <cell r="T1980">
            <v>29</v>
          </cell>
          <cell r="U1980">
            <v>152</v>
          </cell>
          <cell r="V1980"/>
          <cell r="W1980" t="str">
            <v>박순홍</v>
          </cell>
          <cell r="X1980" t="str">
            <v>(인)</v>
          </cell>
          <cell r="Y1980" t="str">
            <v>박순홍</v>
          </cell>
          <cell r="Z1980" t="str">
            <v>(인)</v>
          </cell>
          <cell r="AA1980" t="str">
            <v>이홍걸</v>
          </cell>
          <cell r="AB1980" t="str">
            <v>(인)</v>
          </cell>
          <cell r="AC1980" t="str">
            <v>박상갑</v>
          </cell>
          <cell r="AD1980" t="str">
            <v>(인)</v>
          </cell>
          <cell r="AE1980">
            <v>181.6</v>
          </cell>
          <cell r="AF1980" t="str">
            <v>동절기</v>
          </cell>
          <cell r="AG1980">
            <v>3</v>
          </cell>
          <cell r="AH1980">
            <v>0</v>
          </cell>
        </row>
        <row r="1981">
          <cell r="G1981">
            <v>2503200201</v>
          </cell>
          <cell r="H1981" t="str">
            <v>120동</v>
          </cell>
          <cell r="I1981">
            <v>250320</v>
          </cell>
          <cell r="J1981" t="str">
            <v>120동 10층 바닥</v>
          </cell>
          <cell r="K1981">
            <v>294</v>
          </cell>
          <cell r="L1981">
            <v>294</v>
          </cell>
          <cell r="M1981">
            <v>3018</v>
          </cell>
          <cell r="N1981" t="str">
            <v>용호</v>
          </cell>
          <cell r="O1981" t="str">
            <v>펌프카(1대)</v>
          </cell>
          <cell r="P1981">
            <v>1317</v>
          </cell>
          <cell r="Q1981">
            <v>1705</v>
          </cell>
          <cell r="R1981">
            <v>185</v>
          </cell>
          <cell r="S1981">
            <v>46</v>
          </cell>
          <cell r="T1981">
            <v>40</v>
          </cell>
          <cell r="U1981">
            <v>209</v>
          </cell>
          <cell r="V1981"/>
          <cell r="W1981" t="str">
            <v>박순홍</v>
          </cell>
          <cell r="X1981" t="str">
            <v>(인)</v>
          </cell>
          <cell r="Y1981" t="str">
            <v>박순홍</v>
          </cell>
          <cell r="Z1981" t="str">
            <v>(인)</v>
          </cell>
          <cell r="AA1981" t="str">
            <v>이홍걸</v>
          </cell>
          <cell r="AB1981" t="str">
            <v>(인)</v>
          </cell>
          <cell r="AC1981" t="str">
            <v>박상갑</v>
          </cell>
          <cell r="AD1981" t="str">
            <v>(인)</v>
          </cell>
          <cell r="AE1981">
            <v>181.7</v>
          </cell>
          <cell r="AF1981" t="str">
            <v>동절기</v>
          </cell>
          <cell r="AG1981">
            <v>1</v>
          </cell>
          <cell r="AH1981">
            <v>1</v>
          </cell>
          <cell r="AI1981">
            <v>2630</v>
          </cell>
          <cell r="AJ1981">
            <v>2672</v>
          </cell>
          <cell r="AK1981">
            <v>203600</v>
          </cell>
          <cell r="AL1981">
            <v>4018</v>
          </cell>
          <cell r="AM1981">
            <v>4008</v>
          </cell>
          <cell r="AN1981">
            <v>4112</v>
          </cell>
          <cell r="AO1981">
            <v>4107</v>
          </cell>
          <cell r="AP1981">
            <v>4104</v>
          </cell>
          <cell r="AQ1981">
            <v>4096</v>
          </cell>
          <cell r="AR1981">
            <v>4098</v>
          </cell>
          <cell r="AS1981">
            <v>3987</v>
          </cell>
          <cell r="AT1981">
            <v>319000</v>
          </cell>
        </row>
        <row r="1982">
          <cell r="G1982">
            <v>2503200202</v>
          </cell>
          <cell r="H1982" t="str">
            <v>120동</v>
          </cell>
          <cell r="I1982">
            <v>250320</v>
          </cell>
          <cell r="J1982" t="str">
            <v>120동 10층 바닥</v>
          </cell>
          <cell r="K1982">
            <v>294</v>
          </cell>
          <cell r="L1982">
            <v>294</v>
          </cell>
          <cell r="M1982">
            <v>3018</v>
          </cell>
          <cell r="N1982" t="str">
            <v>용호</v>
          </cell>
          <cell r="O1982" t="str">
            <v>펌프카(1대)</v>
          </cell>
          <cell r="P1982">
            <v>1317</v>
          </cell>
          <cell r="Q1982">
            <v>1705</v>
          </cell>
          <cell r="R1982">
            <v>180</v>
          </cell>
          <cell r="S1982">
            <v>39</v>
          </cell>
          <cell r="T1982">
            <v>42</v>
          </cell>
          <cell r="U1982">
            <v>207</v>
          </cell>
          <cell r="V1982"/>
          <cell r="W1982" t="str">
            <v>박순홍</v>
          </cell>
          <cell r="X1982" t="str">
            <v>(인)</v>
          </cell>
          <cell r="Y1982" t="str">
            <v>박순홍</v>
          </cell>
          <cell r="Z1982" t="str">
            <v>(인)</v>
          </cell>
          <cell r="AA1982" t="str">
            <v>이홍걸</v>
          </cell>
          <cell r="AB1982" t="str">
            <v>(인)</v>
          </cell>
          <cell r="AC1982" t="str">
            <v>박상갑</v>
          </cell>
          <cell r="AD1982" t="str">
            <v>(인)</v>
          </cell>
          <cell r="AE1982">
            <v>183.1</v>
          </cell>
          <cell r="AF1982" t="str">
            <v>동절기</v>
          </cell>
          <cell r="AG1982">
            <v>2</v>
          </cell>
          <cell r="AH1982">
            <v>0</v>
          </cell>
        </row>
        <row r="1983">
          <cell r="G1983">
            <v>2503200203</v>
          </cell>
          <cell r="H1983" t="str">
            <v>120동</v>
          </cell>
          <cell r="I1983">
            <v>250320</v>
          </cell>
          <cell r="J1983" t="str">
            <v>120동 10층 바닥</v>
          </cell>
          <cell r="K1983">
            <v>294</v>
          </cell>
          <cell r="L1983">
            <v>294</v>
          </cell>
          <cell r="M1983">
            <v>3018</v>
          </cell>
          <cell r="N1983" t="str">
            <v>용호</v>
          </cell>
          <cell r="O1983" t="str">
            <v>펌프카(1대)</v>
          </cell>
          <cell r="P1983">
            <v>1317</v>
          </cell>
          <cell r="Q1983">
            <v>1705</v>
          </cell>
          <cell r="R1983">
            <v>190</v>
          </cell>
          <cell r="S1983">
            <v>49</v>
          </cell>
          <cell r="T1983">
            <v>77</v>
          </cell>
          <cell r="U1983">
            <v>192</v>
          </cell>
          <cell r="V1983"/>
          <cell r="W1983" t="str">
            <v>박순홍</v>
          </cell>
          <cell r="X1983" t="str">
            <v>(인)</v>
          </cell>
          <cell r="Y1983" t="str">
            <v>박순홍</v>
          </cell>
          <cell r="Z1983" t="str">
            <v>(인)</v>
          </cell>
          <cell r="AA1983" t="str">
            <v>이홍걸</v>
          </cell>
          <cell r="AB1983" t="str">
            <v>(인)</v>
          </cell>
          <cell r="AC1983" t="str">
            <v>박상갑</v>
          </cell>
          <cell r="AD1983" t="str">
            <v>(인)</v>
          </cell>
          <cell r="AE1983">
            <v>178.3</v>
          </cell>
          <cell r="AF1983" t="str">
            <v>동절기</v>
          </cell>
          <cell r="AG1983">
            <v>3</v>
          </cell>
          <cell r="AH1983">
            <v>0</v>
          </cell>
        </row>
        <row r="1984">
          <cell r="G1984">
            <v>2503200301</v>
          </cell>
          <cell r="H1984" t="str">
            <v>114동</v>
          </cell>
          <cell r="I1984">
            <v>250320</v>
          </cell>
          <cell r="J1984" t="str">
            <v>114동 16층 바닥</v>
          </cell>
          <cell r="K1984">
            <v>312</v>
          </cell>
          <cell r="L1984">
            <v>312</v>
          </cell>
          <cell r="M1984">
            <v>3018</v>
          </cell>
          <cell r="N1984" t="str">
            <v>용호</v>
          </cell>
          <cell r="O1984" t="str">
            <v>펌프카(1대)</v>
          </cell>
          <cell r="P1984">
            <v>823</v>
          </cell>
          <cell r="Q1984">
            <v>1419</v>
          </cell>
          <cell r="R1984">
            <v>190</v>
          </cell>
          <cell r="S1984">
            <v>35</v>
          </cell>
          <cell r="T1984">
            <v>71</v>
          </cell>
          <cell r="U1984">
            <v>136</v>
          </cell>
          <cell r="V1984"/>
          <cell r="W1984" t="str">
            <v>박순홍</v>
          </cell>
          <cell r="X1984" t="str">
            <v>(인)</v>
          </cell>
          <cell r="Y1984" t="str">
            <v>박순홍</v>
          </cell>
          <cell r="Z1984" t="str">
            <v>(인)</v>
          </cell>
          <cell r="AA1984" t="str">
            <v>이홍걸</v>
          </cell>
          <cell r="AB1984" t="str">
            <v>(인)</v>
          </cell>
          <cell r="AC1984" t="str">
            <v>박상갑</v>
          </cell>
          <cell r="AD1984" t="str">
            <v>(인)</v>
          </cell>
          <cell r="AE1984">
            <v>185.9</v>
          </cell>
          <cell r="AF1984" t="str">
            <v>동절기</v>
          </cell>
          <cell r="AG1984">
            <v>1</v>
          </cell>
          <cell r="AH1984">
            <v>1</v>
          </cell>
          <cell r="AI1984">
            <v>2701</v>
          </cell>
          <cell r="AJ1984">
            <v>2688</v>
          </cell>
          <cell r="AK1984">
            <v>216600</v>
          </cell>
          <cell r="AL1984">
            <v>4020</v>
          </cell>
          <cell r="AM1984">
            <v>4178</v>
          </cell>
          <cell r="AN1984">
            <v>4171</v>
          </cell>
          <cell r="AO1984">
            <v>4130</v>
          </cell>
          <cell r="AP1984">
            <v>4133</v>
          </cell>
          <cell r="AQ1984">
            <v>4262</v>
          </cell>
          <cell r="AR1984">
            <v>4204</v>
          </cell>
          <cell r="AS1984">
            <v>4130</v>
          </cell>
          <cell r="AT1984">
            <v>316000</v>
          </cell>
        </row>
        <row r="1985">
          <cell r="G1985">
            <v>2503200302</v>
          </cell>
          <cell r="H1985" t="str">
            <v>114동</v>
          </cell>
          <cell r="I1985">
            <v>250320</v>
          </cell>
          <cell r="J1985" t="str">
            <v>114동 16층 바닥</v>
          </cell>
          <cell r="K1985">
            <v>312</v>
          </cell>
          <cell r="L1985">
            <v>312</v>
          </cell>
          <cell r="M1985">
            <v>3018</v>
          </cell>
          <cell r="N1985" t="str">
            <v>용호</v>
          </cell>
          <cell r="O1985" t="str">
            <v>펌프카(1대)</v>
          </cell>
          <cell r="P1985">
            <v>823</v>
          </cell>
          <cell r="Q1985">
            <v>1419</v>
          </cell>
          <cell r="R1985">
            <v>200</v>
          </cell>
          <cell r="S1985">
            <v>40</v>
          </cell>
          <cell r="T1985">
            <v>52</v>
          </cell>
          <cell r="U1985">
            <v>145</v>
          </cell>
          <cell r="V1985"/>
          <cell r="W1985" t="str">
            <v>박순홍</v>
          </cell>
          <cell r="X1985" t="str">
            <v>(인)</v>
          </cell>
          <cell r="Y1985" t="str">
            <v>박순홍</v>
          </cell>
          <cell r="Z1985" t="str">
            <v>(인)</v>
          </cell>
          <cell r="AA1985" t="str">
            <v>이홍걸</v>
          </cell>
          <cell r="AB1985" t="str">
            <v>(인)</v>
          </cell>
          <cell r="AC1985" t="str">
            <v>박상갑</v>
          </cell>
          <cell r="AD1985" t="str">
            <v>(인)</v>
          </cell>
          <cell r="AE1985">
            <v>183.5</v>
          </cell>
          <cell r="AF1985" t="str">
            <v>동절기</v>
          </cell>
          <cell r="AG1985">
            <v>2</v>
          </cell>
          <cell r="AH1985">
            <v>0</v>
          </cell>
        </row>
        <row r="1986">
          <cell r="G1986">
            <v>2503200303</v>
          </cell>
          <cell r="H1986" t="str">
            <v>114동</v>
          </cell>
          <cell r="I1986">
            <v>250320</v>
          </cell>
          <cell r="J1986" t="str">
            <v>114동 16층 바닥</v>
          </cell>
          <cell r="K1986">
            <v>312</v>
          </cell>
          <cell r="L1986">
            <v>312</v>
          </cell>
          <cell r="M1986">
            <v>3018</v>
          </cell>
          <cell r="N1986" t="str">
            <v>용호</v>
          </cell>
          <cell r="O1986" t="str">
            <v>펌프카(1대)</v>
          </cell>
          <cell r="P1986">
            <v>823</v>
          </cell>
          <cell r="Q1986">
            <v>1419</v>
          </cell>
          <cell r="R1986">
            <v>200</v>
          </cell>
          <cell r="S1986">
            <v>50</v>
          </cell>
          <cell r="T1986">
            <v>63</v>
          </cell>
          <cell r="U1986">
            <v>153</v>
          </cell>
          <cell r="V1986"/>
          <cell r="W1986" t="str">
            <v>박순홍</v>
          </cell>
          <cell r="X1986" t="str">
            <v>(인)</v>
          </cell>
          <cell r="Y1986" t="str">
            <v>박순홍</v>
          </cell>
          <cell r="Z1986" t="str">
            <v>(인)</v>
          </cell>
          <cell r="AA1986" t="str">
            <v>이홍걸</v>
          </cell>
          <cell r="AB1986" t="str">
            <v>(인)</v>
          </cell>
          <cell r="AC1986" t="str">
            <v>박상갑</v>
          </cell>
          <cell r="AD1986" t="str">
            <v>(인)</v>
          </cell>
          <cell r="AE1986">
            <v>189</v>
          </cell>
          <cell r="AF1986" t="str">
            <v>동절기</v>
          </cell>
          <cell r="AG1986">
            <v>3</v>
          </cell>
          <cell r="AH1986">
            <v>0</v>
          </cell>
        </row>
        <row r="1987">
          <cell r="G1987">
            <v>2503210101</v>
          </cell>
          <cell r="H1987" t="str">
            <v>108동</v>
          </cell>
          <cell r="I1987">
            <v>250321</v>
          </cell>
          <cell r="J1987" t="str">
            <v>108동 16층 바닥</v>
          </cell>
          <cell r="K1987">
            <v>288</v>
          </cell>
          <cell r="L1987">
            <v>288</v>
          </cell>
          <cell r="M1987">
            <v>3018</v>
          </cell>
          <cell r="N1987" t="str">
            <v>영진</v>
          </cell>
          <cell r="O1987" t="str">
            <v>펌프카(1대)</v>
          </cell>
          <cell r="P1987">
            <v>833</v>
          </cell>
          <cell r="Q1987">
            <v>1313</v>
          </cell>
          <cell r="R1987">
            <v>180</v>
          </cell>
          <cell r="S1987">
            <v>51</v>
          </cell>
          <cell r="T1987">
            <v>25</v>
          </cell>
          <cell r="U1987">
            <v>149</v>
          </cell>
          <cell r="V1987"/>
          <cell r="W1987" t="str">
            <v>김광록</v>
          </cell>
          <cell r="X1987" t="str">
            <v>(인)</v>
          </cell>
          <cell r="Y1987" t="str">
            <v>박순홍</v>
          </cell>
          <cell r="Z1987" t="str">
            <v>(인)</v>
          </cell>
          <cell r="AA1987" t="str">
            <v>이홍걸</v>
          </cell>
          <cell r="AB1987" t="str">
            <v>(인)</v>
          </cell>
          <cell r="AC1987" t="str">
            <v>박상갑</v>
          </cell>
          <cell r="AD1987" t="str">
            <v>(인)</v>
          </cell>
          <cell r="AE1987">
            <v>179.1</v>
          </cell>
          <cell r="AF1987" t="str">
            <v>동절기</v>
          </cell>
          <cell r="AG1987">
            <v>1</v>
          </cell>
          <cell r="AH1987">
            <v>1</v>
          </cell>
          <cell r="AI1987">
            <v>2688</v>
          </cell>
          <cell r="AJ1987">
            <v>2594</v>
          </cell>
          <cell r="AK1987">
            <v>204800</v>
          </cell>
          <cell r="AL1987">
            <v>4059</v>
          </cell>
          <cell r="AM1987">
            <v>4112</v>
          </cell>
          <cell r="AN1987">
            <v>4106</v>
          </cell>
          <cell r="AO1987">
            <v>4114</v>
          </cell>
          <cell r="AP1987">
            <v>3989</v>
          </cell>
          <cell r="AQ1987">
            <v>4106</v>
          </cell>
          <cell r="AR1987">
            <v>3976</v>
          </cell>
          <cell r="AS1987">
            <v>3960</v>
          </cell>
          <cell r="AT1987">
            <v>329200</v>
          </cell>
        </row>
        <row r="1988">
          <cell r="G1988">
            <v>2503210102</v>
          </cell>
          <cell r="H1988" t="str">
            <v>108동</v>
          </cell>
          <cell r="I1988">
            <v>250321</v>
          </cell>
          <cell r="J1988" t="str">
            <v>108동 16층 바닥</v>
          </cell>
          <cell r="K1988">
            <v>288</v>
          </cell>
          <cell r="L1988">
            <v>288</v>
          </cell>
          <cell r="M1988">
            <v>3018</v>
          </cell>
          <cell r="N1988" t="str">
            <v>영진</v>
          </cell>
          <cell r="O1988" t="str">
            <v>펌프카(1대)</v>
          </cell>
          <cell r="P1988">
            <v>833</v>
          </cell>
          <cell r="Q1988">
            <v>1313</v>
          </cell>
          <cell r="R1988">
            <v>190</v>
          </cell>
          <cell r="S1988">
            <v>45</v>
          </cell>
          <cell r="T1988">
            <v>75</v>
          </cell>
          <cell r="U1988">
            <v>148</v>
          </cell>
          <cell r="V1988"/>
          <cell r="W1988" t="str">
            <v>김광록</v>
          </cell>
          <cell r="X1988" t="str">
            <v>(인)</v>
          </cell>
          <cell r="Y1988" t="str">
            <v>박순홍</v>
          </cell>
          <cell r="Z1988" t="str">
            <v>(인)</v>
          </cell>
          <cell r="AA1988" t="str">
            <v>이홍걸</v>
          </cell>
          <cell r="AB1988" t="str">
            <v>(인)</v>
          </cell>
          <cell r="AC1988" t="str">
            <v>박상갑</v>
          </cell>
          <cell r="AD1988" t="str">
            <v>(인)</v>
          </cell>
          <cell r="AE1988">
            <v>179.2</v>
          </cell>
          <cell r="AF1988" t="str">
            <v>동절기</v>
          </cell>
          <cell r="AG1988">
            <v>2</v>
          </cell>
          <cell r="AH1988">
            <v>0</v>
          </cell>
        </row>
        <row r="1989">
          <cell r="G1989">
            <v>2503210103</v>
          </cell>
          <cell r="H1989" t="str">
            <v>108동</v>
          </cell>
          <cell r="I1989">
            <v>250321</v>
          </cell>
          <cell r="J1989" t="str">
            <v>108동 16층 바닥</v>
          </cell>
          <cell r="K1989">
            <v>288</v>
          </cell>
          <cell r="L1989">
            <v>288</v>
          </cell>
          <cell r="M1989">
            <v>3018</v>
          </cell>
          <cell r="N1989" t="str">
            <v>영진</v>
          </cell>
          <cell r="O1989" t="str">
            <v>펌프카(1대)</v>
          </cell>
          <cell r="P1989">
            <v>833</v>
          </cell>
          <cell r="Q1989">
            <v>1313</v>
          </cell>
          <cell r="R1989">
            <v>200</v>
          </cell>
          <cell r="S1989">
            <v>48</v>
          </cell>
          <cell r="T1989">
            <v>37</v>
          </cell>
          <cell r="U1989">
            <v>138</v>
          </cell>
          <cell r="V1989"/>
          <cell r="W1989" t="str">
            <v>김광록</v>
          </cell>
          <cell r="X1989" t="str">
            <v>(인)</v>
          </cell>
          <cell r="Y1989" t="str">
            <v>박순홍</v>
          </cell>
          <cell r="Z1989" t="str">
            <v>(인)</v>
          </cell>
          <cell r="AA1989" t="str">
            <v>이홍걸</v>
          </cell>
          <cell r="AB1989" t="str">
            <v>(인)</v>
          </cell>
          <cell r="AC1989" t="str">
            <v>박상갑</v>
          </cell>
          <cell r="AD1989" t="str">
            <v>(인)</v>
          </cell>
          <cell r="AE1989">
            <v>179.5</v>
          </cell>
          <cell r="AF1989" t="str">
            <v>동절기</v>
          </cell>
          <cell r="AG1989">
            <v>3</v>
          </cell>
          <cell r="AH1989">
            <v>0</v>
          </cell>
        </row>
        <row r="1990">
          <cell r="G1990">
            <v>2503210201</v>
          </cell>
          <cell r="H1990" t="str">
            <v>115동</v>
          </cell>
          <cell r="I1990">
            <v>250321</v>
          </cell>
          <cell r="J1990" t="str">
            <v>115동 16층 바닥</v>
          </cell>
          <cell r="K1990">
            <v>282</v>
          </cell>
          <cell r="L1990">
            <v>282</v>
          </cell>
          <cell r="M1990">
            <v>3018</v>
          </cell>
          <cell r="N1990" t="str">
            <v>동양</v>
          </cell>
          <cell r="O1990" t="str">
            <v>펌프카(1대)</v>
          </cell>
          <cell r="P1990">
            <v>800</v>
          </cell>
          <cell r="Q1990">
            <v>1250</v>
          </cell>
          <cell r="R1990">
            <v>200</v>
          </cell>
          <cell r="S1990">
            <v>43</v>
          </cell>
          <cell r="T1990">
            <v>30</v>
          </cell>
          <cell r="U1990">
            <v>166</v>
          </cell>
          <cell r="V1990"/>
          <cell r="W1990" t="str">
            <v>김광록</v>
          </cell>
          <cell r="X1990" t="str">
            <v>(인)</v>
          </cell>
          <cell r="Y1990" t="str">
            <v>박순홍</v>
          </cell>
          <cell r="Z1990" t="str">
            <v>(인)</v>
          </cell>
          <cell r="AA1990" t="str">
            <v>이홍걸</v>
          </cell>
          <cell r="AB1990" t="str">
            <v>(인)</v>
          </cell>
          <cell r="AC1990" t="str">
            <v>박상갑</v>
          </cell>
          <cell r="AD1990" t="str">
            <v>(인)</v>
          </cell>
          <cell r="AE1990">
            <v>178.6</v>
          </cell>
          <cell r="AF1990" t="str">
            <v>동절기</v>
          </cell>
          <cell r="AG1990">
            <v>1</v>
          </cell>
          <cell r="AH1990">
            <v>1</v>
          </cell>
          <cell r="AI1990">
            <v>2701</v>
          </cell>
          <cell r="AJ1990">
            <v>2688</v>
          </cell>
          <cell r="AK1990">
            <v>210800</v>
          </cell>
          <cell r="AL1990">
            <v>3896</v>
          </cell>
          <cell r="AM1990">
            <v>4209</v>
          </cell>
          <cell r="AN1990">
            <v>4012</v>
          </cell>
          <cell r="AO1990">
            <v>3987</v>
          </cell>
          <cell r="AP1990">
            <v>4102</v>
          </cell>
          <cell r="AQ1990">
            <v>4034</v>
          </cell>
          <cell r="AR1990">
            <v>3964</v>
          </cell>
          <cell r="AS1990">
            <v>3927</v>
          </cell>
          <cell r="AT1990">
            <v>309400</v>
          </cell>
        </row>
        <row r="1991">
          <cell r="G1991">
            <v>2503210202</v>
          </cell>
          <cell r="H1991" t="str">
            <v>115동</v>
          </cell>
          <cell r="I1991">
            <v>250321</v>
          </cell>
          <cell r="J1991" t="str">
            <v>115동 16층 바닥</v>
          </cell>
          <cell r="K1991">
            <v>282</v>
          </cell>
          <cell r="L1991">
            <v>282</v>
          </cell>
          <cell r="M1991">
            <v>3018</v>
          </cell>
          <cell r="N1991" t="str">
            <v>동양</v>
          </cell>
          <cell r="O1991" t="str">
            <v>펌프카(1대)</v>
          </cell>
          <cell r="P1991">
            <v>800</v>
          </cell>
          <cell r="Q1991">
            <v>1250</v>
          </cell>
          <cell r="R1991">
            <v>200</v>
          </cell>
          <cell r="S1991">
            <v>49</v>
          </cell>
          <cell r="T1991">
            <v>34</v>
          </cell>
          <cell r="U1991">
            <v>170</v>
          </cell>
          <cell r="V1991"/>
          <cell r="W1991" t="str">
            <v>김광록</v>
          </cell>
          <cell r="X1991" t="str">
            <v>(인)</v>
          </cell>
          <cell r="Y1991" t="str">
            <v>박순홍</v>
          </cell>
          <cell r="Z1991" t="str">
            <v>(인)</v>
          </cell>
          <cell r="AA1991" t="str">
            <v>이홍걸</v>
          </cell>
          <cell r="AB1991" t="str">
            <v>(인)</v>
          </cell>
          <cell r="AC1991" t="str">
            <v>박상갑</v>
          </cell>
          <cell r="AD1991" t="str">
            <v>(인)</v>
          </cell>
          <cell r="AE1991">
            <v>184.4</v>
          </cell>
          <cell r="AF1991" t="str">
            <v>동절기</v>
          </cell>
          <cell r="AG1991">
            <v>2</v>
          </cell>
          <cell r="AH1991">
            <v>0</v>
          </cell>
        </row>
        <row r="1992">
          <cell r="G1992">
            <v>2503210203</v>
          </cell>
          <cell r="H1992" t="str">
            <v>115동</v>
          </cell>
          <cell r="I1992">
            <v>250321</v>
          </cell>
          <cell r="J1992" t="str">
            <v>115동 16층 바닥</v>
          </cell>
          <cell r="K1992">
            <v>282</v>
          </cell>
          <cell r="L1992">
            <v>282</v>
          </cell>
          <cell r="M1992">
            <v>3018</v>
          </cell>
          <cell r="N1992" t="str">
            <v>동양</v>
          </cell>
          <cell r="O1992" t="str">
            <v>펌프카(1대)</v>
          </cell>
          <cell r="P1992">
            <v>800</v>
          </cell>
          <cell r="Q1992">
            <v>1250</v>
          </cell>
          <cell r="R1992">
            <v>190</v>
          </cell>
          <cell r="S1992">
            <v>48</v>
          </cell>
          <cell r="T1992">
            <v>34</v>
          </cell>
          <cell r="U1992">
            <v>177</v>
          </cell>
          <cell r="V1992"/>
          <cell r="W1992" t="str">
            <v>김광록</v>
          </cell>
          <cell r="X1992" t="str">
            <v>(인)</v>
          </cell>
          <cell r="Y1992" t="str">
            <v>박순홍</v>
          </cell>
          <cell r="Z1992" t="str">
            <v>(인)</v>
          </cell>
          <cell r="AA1992" t="str">
            <v>이홍걸</v>
          </cell>
          <cell r="AB1992" t="str">
            <v>(인)</v>
          </cell>
          <cell r="AC1992" t="str">
            <v>박상갑</v>
          </cell>
          <cell r="AD1992" t="str">
            <v>(인)</v>
          </cell>
          <cell r="AE1992">
            <v>183.7</v>
          </cell>
          <cell r="AF1992" t="str">
            <v>동절기</v>
          </cell>
          <cell r="AG1992">
            <v>3</v>
          </cell>
          <cell r="AH1992">
            <v>0</v>
          </cell>
        </row>
        <row r="1993">
          <cell r="G1993">
            <v>2503210301</v>
          </cell>
          <cell r="H1993" t="str">
            <v>111동</v>
          </cell>
          <cell r="I1993">
            <v>250321</v>
          </cell>
          <cell r="J1993" t="str">
            <v>111동 최상층</v>
          </cell>
          <cell r="K1993">
            <v>174</v>
          </cell>
          <cell r="L1993">
            <v>174</v>
          </cell>
          <cell r="M1993">
            <v>3018</v>
          </cell>
          <cell r="N1993" t="str">
            <v>영진</v>
          </cell>
          <cell r="O1993" t="str">
            <v>펌프카(1대)</v>
          </cell>
          <cell r="P1993">
            <v>1430</v>
          </cell>
          <cell r="Q1993">
            <v>1700</v>
          </cell>
          <cell r="R1993">
            <v>180</v>
          </cell>
          <cell r="S1993">
            <v>49</v>
          </cell>
          <cell r="T1993">
            <v>69</v>
          </cell>
          <cell r="U1993">
            <v>152</v>
          </cell>
          <cell r="V1993"/>
          <cell r="W1993" t="str">
            <v>김광록</v>
          </cell>
          <cell r="X1993" t="str">
            <v>(인)</v>
          </cell>
          <cell r="Y1993" t="str">
            <v>박순홍</v>
          </cell>
          <cell r="Z1993" t="str">
            <v>(인)</v>
          </cell>
          <cell r="AA1993" t="str">
            <v>이홍걸</v>
          </cell>
          <cell r="AB1993" t="str">
            <v>(인)</v>
          </cell>
          <cell r="AC1993" t="str">
            <v>박상갑</v>
          </cell>
          <cell r="AD1993" t="str">
            <v>(인)</v>
          </cell>
          <cell r="AE1993">
            <v>183.7</v>
          </cell>
          <cell r="AF1993" t="str">
            <v>동절기</v>
          </cell>
          <cell r="AG1993">
            <v>1</v>
          </cell>
          <cell r="AH1993">
            <v>1</v>
          </cell>
          <cell r="AI1993">
            <v>2707</v>
          </cell>
          <cell r="AJ1993">
            <v>2672</v>
          </cell>
          <cell r="AK1993">
            <v>208800</v>
          </cell>
          <cell r="AL1993">
            <v>4079</v>
          </cell>
          <cell r="AM1993">
            <v>4084</v>
          </cell>
          <cell r="AN1993">
            <v>3972</v>
          </cell>
          <cell r="AO1993">
            <v>4064</v>
          </cell>
          <cell r="AP1993">
            <v>4073</v>
          </cell>
          <cell r="AQ1993">
            <v>3977</v>
          </cell>
          <cell r="AR1993">
            <v>4019</v>
          </cell>
          <cell r="AS1993">
            <v>4172</v>
          </cell>
          <cell r="AT1993">
            <v>325600</v>
          </cell>
        </row>
        <row r="1994">
          <cell r="G1994">
            <v>2503210302</v>
          </cell>
          <cell r="H1994" t="str">
            <v>111동</v>
          </cell>
          <cell r="I1994">
            <v>250321</v>
          </cell>
          <cell r="J1994" t="str">
            <v>111동 최상층</v>
          </cell>
          <cell r="K1994">
            <v>174</v>
          </cell>
          <cell r="L1994">
            <v>174</v>
          </cell>
          <cell r="M1994">
            <v>3018</v>
          </cell>
          <cell r="N1994" t="str">
            <v>영진</v>
          </cell>
          <cell r="O1994" t="str">
            <v>펌프카(1대)</v>
          </cell>
          <cell r="P1994">
            <v>1430</v>
          </cell>
          <cell r="Q1994">
            <v>1700</v>
          </cell>
          <cell r="R1994">
            <v>170</v>
          </cell>
          <cell r="S1994">
            <v>43</v>
          </cell>
          <cell r="T1994">
            <v>33</v>
          </cell>
          <cell r="U1994">
            <v>176</v>
          </cell>
          <cell r="V1994"/>
          <cell r="W1994" t="str">
            <v>김광록</v>
          </cell>
          <cell r="X1994" t="str">
            <v>(인)</v>
          </cell>
          <cell r="Y1994" t="str">
            <v>박순홍</v>
          </cell>
          <cell r="Z1994" t="str">
            <v>(인)</v>
          </cell>
          <cell r="AA1994" t="str">
            <v>이홍걸</v>
          </cell>
          <cell r="AB1994" t="str">
            <v>(인)</v>
          </cell>
          <cell r="AC1994" t="str">
            <v>박상갑</v>
          </cell>
          <cell r="AD1994" t="str">
            <v>(인)</v>
          </cell>
          <cell r="AE1994">
            <v>182.9</v>
          </cell>
          <cell r="AF1994" t="str">
            <v>동절기</v>
          </cell>
          <cell r="AG1994">
            <v>2</v>
          </cell>
          <cell r="AH1994">
            <v>0</v>
          </cell>
        </row>
        <row r="1995">
          <cell r="G1995">
            <v>2503240101</v>
          </cell>
          <cell r="H1995" t="str">
            <v>117동</v>
          </cell>
          <cell r="I1995">
            <v>250324</v>
          </cell>
          <cell r="J1995" t="str">
            <v>117동 13층 바닥</v>
          </cell>
          <cell r="K1995">
            <v>342</v>
          </cell>
          <cell r="L1995">
            <v>342</v>
          </cell>
          <cell r="M1995">
            <v>3018</v>
          </cell>
          <cell r="N1995" t="str">
            <v>영진</v>
          </cell>
          <cell r="O1995" t="str">
            <v>펌프카(1대)</v>
          </cell>
          <cell r="P1995">
            <v>830</v>
          </cell>
          <cell r="Q1995">
            <v>1306</v>
          </cell>
          <cell r="R1995">
            <v>180</v>
          </cell>
          <cell r="S1995">
            <v>40</v>
          </cell>
          <cell r="T1995">
            <v>84</v>
          </cell>
          <cell r="U1995">
            <v>180</v>
          </cell>
          <cell r="V1995"/>
          <cell r="W1995" t="str">
            <v>김광록</v>
          </cell>
          <cell r="X1995" t="str">
            <v>(인)</v>
          </cell>
          <cell r="Y1995" t="str">
            <v>박순홍</v>
          </cell>
          <cell r="Z1995" t="str">
            <v>(인)</v>
          </cell>
          <cell r="AA1995" t="str">
            <v>박상갑</v>
          </cell>
          <cell r="AB1995" t="str">
            <v>(인)</v>
          </cell>
          <cell r="AC1995" t="str">
            <v>이홍걸</v>
          </cell>
          <cell r="AD1995" t="str">
            <v>(인)</v>
          </cell>
          <cell r="AE1995">
            <v>183.2</v>
          </cell>
          <cell r="AF1995" t="str">
            <v>동절기</v>
          </cell>
          <cell r="AG1995">
            <v>1</v>
          </cell>
          <cell r="AH1995">
            <v>1</v>
          </cell>
          <cell r="AI1995">
            <v>2678</v>
          </cell>
          <cell r="AJ1995">
            <v>2704</v>
          </cell>
          <cell r="AK1995">
            <v>213600</v>
          </cell>
          <cell r="AL1995">
            <v>4092</v>
          </cell>
          <cell r="AM1995">
            <v>3967</v>
          </cell>
          <cell r="AN1995">
            <v>3924</v>
          </cell>
          <cell r="AO1995">
            <v>4104</v>
          </cell>
          <cell r="AP1995">
            <v>4216</v>
          </cell>
          <cell r="AQ1995">
            <v>3962</v>
          </cell>
          <cell r="AR1995">
            <v>4074</v>
          </cell>
          <cell r="AS1995">
            <v>4016</v>
          </cell>
          <cell r="AT1995">
            <v>325000</v>
          </cell>
        </row>
        <row r="1996">
          <cell r="G1996">
            <v>2503240102</v>
          </cell>
          <cell r="H1996" t="str">
            <v>117동</v>
          </cell>
          <cell r="I1996">
            <v>250324</v>
          </cell>
          <cell r="J1996" t="str">
            <v>117동 13층 바닥</v>
          </cell>
          <cell r="K1996">
            <v>342</v>
          </cell>
          <cell r="L1996">
            <v>342</v>
          </cell>
          <cell r="M1996">
            <v>3018</v>
          </cell>
          <cell r="N1996" t="str">
            <v>영진</v>
          </cell>
          <cell r="O1996" t="str">
            <v>펌프카(1대)</v>
          </cell>
          <cell r="P1996">
            <v>830</v>
          </cell>
          <cell r="Q1996">
            <v>1306</v>
          </cell>
          <cell r="R1996">
            <v>190</v>
          </cell>
          <cell r="S1996">
            <v>45</v>
          </cell>
          <cell r="T1996">
            <v>35</v>
          </cell>
          <cell r="U1996">
            <v>153</v>
          </cell>
          <cell r="V1996"/>
          <cell r="W1996" t="str">
            <v>김광록</v>
          </cell>
          <cell r="X1996" t="str">
            <v>(인)</v>
          </cell>
          <cell r="Y1996" t="str">
            <v>박순홍</v>
          </cell>
          <cell r="Z1996" t="str">
            <v>(인)</v>
          </cell>
          <cell r="AA1996" t="str">
            <v>박상갑</v>
          </cell>
          <cell r="AB1996" t="str">
            <v>(인)</v>
          </cell>
          <cell r="AC1996" t="str">
            <v>이홍걸</v>
          </cell>
          <cell r="AD1996" t="str">
            <v>(인)</v>
          </cell>
          <cell r="AE1996">
            <v>183.7</v>
          </cell>
          <cell r="AF1996" t="str">
            <v>동절기</v>
          </cell>
          <cell r="AG1996">
            <v>2</v>
          </cell>
          <cell r="AH1996">
            <v>0</v>
          </cell>
        </row>
        <row r="1997">
          <cell r="G1997">
            <v>2503240103</v>
          </cell>
          <cell r="H1997" t="str">
            <v>117동</v>
          </cell>
          <cell r="I1997">
            <v>250324</v>
          </cell>
          <cell r="J1997" t="str">
            <v>117동 13층 바닥</v>
          </cell>
          <cell r="K1997">
            <v>342</v>
          </cell>
          <cell r="L1997">
            <v>342</v>
          </cell>
          <cell r="M1997">
            <v>3018</v>
          </cell>
          <cell r="N1997" t="str">
            <v>영진</v>
          </cell>
          <cell r="O1997" t="str">
            <v>펌프카(1대)</v>
          </cell>
          <cell r="P1997">
            <v>830</v>
          </cell>
          <cell r="Q1997">
            <v>1306</v>
          </cell>
          <cell r="R1997">
            <v>195</v>
          </cell>
          <cell r="S1997">
            <v>50</v>
          </cell>
          <cell r="T1997">
            <v>56</v>
          </cell>
          <cell r="U1997">
            <v>178</v>
          </cell>
          <cell r="V1997"/>
          <cell r="W1997" t="str">
            <v>김광록</v>
          </cell>
          <cell r="X1997" t="str">
            <v>(인)</v>
          </cell>
          <cell r="Y1997" t="str">
            <v>박순홍</v>
          </cell>
          <cell r="Z1997" t="str">
            <v>(인)</v>
          </cell>
          <cell r="AA1997" t="str">
            <v>박상갑</v>
          </cell>
          <cell r="AB1997" t="str">
            <v>(인)</v>
          </cell>
          <cell r="AC1997" t="str">
            <v>이홍걸</v>
          </cell>
          <cell r="AD1997" t="str">
            <v>(인)</v>
          </cell>
          <cell r="AE1997">
            <v>185.9</v>
          </cell>
          <cell r="AF1997" t="str">
            <v>동절기</v>
          </cell>
          <cell r="AG1997">
            <v>3</v>
          </cell>
          <cell r="AH1997">
            <v>0</v>
          </cell>
        </row>
        <row r="1998">
          <cell r="G1998">
            <v>2503240201</v>
          </cell>
          <cell r="H1998" t="str">
            <v>119동</v>
          </cell>
          <cell r="I1998">
            <v>250324</v>
          </cell>
          <cell r="J1998" t="str">
            <v>119동 12층 바닥</v>
          </cell>
          <cell r="K1998">
            <v>288</v>
          </cell>
          <cell r="L1998">
            <v>288</v>
          </cell>
          <cell r="M1998">
            <v>3018</v>
          </cell>
          <cell r="N1998" t="str">
            <v>대원</v>
          </cell>
          <cell r="O1998" t="str">
            <v>펌프카(1대)</v>
          </cell>
          <cell r="P1998">
            <v>839</v>
          </cell>
          <cell r="Q1998">
            <v>1301</v>
          </cell>
          <cell r="R1998">
            <v>180</v>
          </cell>
          <cell r="S1998">
            <v>49</v>
          </cell>
          <cell r="T1998">
            <v>85</v>
          </cell>
          <cell r="U1998">
            <v>155</v>
          </cell>
          <cell r="V1998"/>
          <cell r="W1998" t="str">
            <v>김광록</v>
          </cell>
          <cell r="X1998" t="str">
            <v>(인)</v>
          </cell>
          <cell r="Y1998" t="str">
            <v>박순홍</v>
          </cell>
          <cell r="Z1998" t="str">
            <v>(인)</v>
          </cell>
          <cell r="AA1998" t="str">
            <v>박상갑</v>
          </cell>
          <cell r="AB1998" t="str">
            <v>(인)</v>
          </cell>
          <cell r="AC1998" t="str">
            <v>이홍걸</v>
          </cell>
          <cell r="AD1998" t="str">
            <v>(인)</v>
          </cell>
          <cell r="AE1998">
            <v>185.9</v>
          </cell>
          <cell r="AF1998" t="str">
            <v>동절기</v>
          </cell>
          <cell r="AG1998">
            <v>1</v>
          </cell>
          <cell r="AH1998">
            <v>1</v>
          </cell>
          <cell r="AI1998">
            <v>2617</v>
          </cell>
          <cell r="AJ1998">
            <v>2704</v>
          </cell>
          <cell r="AK1998">
            <v>206400</v>
          </cell>
          <cell r="AL1998">
            <v>3872</v>
          </cell>
          <cell r="AM1998">
            <v>3904</v>
          </cell>
          <cell r="AN1998">
            <v>3864</v>
          </cell>
          <cell r="AO1998">
            <v>4013</v>
          </cell>
          <cell r="AP1998">
            <v>4064</v>
          </cell>
          <cell r="AQ1998">
            <v>4072</v>
          </cell>
          <cell r="AR1998">
            <v>3926</v>
          </cell>
          <cell r="AS1998">
            <v>3873</v>
          </cell>
          <cell r="AT1998">
            <v>299000</v>
          </cell>
        </row>
        <row r="1999">
          <cell r="G1999">
            <v>2503240202</v>
          </cell>
          <cell r="H1999" t="str">
            <v>119동</v>
          </cell>
          <cell r="I1999">
            <v>250324</v>
          </cell>
          <cell r="J1999" t="str">
            <v>119동 12층 바닥</v>
          </cell>
          <cell r="K1999">
            <v>288</v>
          </cell>
          <cell r="L1999">
            <v>288</v>
          </cell>
          <cell r="M1999">
            <v>3018</v>
          </cell>
          <cell r="N1999" t="str">
            <v>대원</v>
          </cell>
          <cell r="O1999" t="str">
            <v>펌프카(1대)</v>
          </cell>
          <cell r="P1999">
            <v>839</v>
          </cell>
          <cell r="Q1999">
            <v>1301</v>
          </cell>
          <cell r="R1999">
            <v>190</v>
          </cell>
          <cell r="S1999">
            <v>42</v>
          </cell>
          <cell r="T1999">
            <v>46</v>
          </cell>
          <cell r="U1999">
            <v>160</v>
          </cell>
          <cell r="V1999"/>
          <cell r="W1999" t="str">
            <v>김광록</v>
          </cell>
          <cell r="X1999" t="str">
            <v>(인)</v>
          </cell>
          <cell r="Y1999" t="str">
            <v>박순홍</v>
          </cell>
          <cell r="Z1999" t="str">
            <v>(인)</v>
          </cell>
          <cell r="AA1999" t="str">
            <v>박상갑</v>
          </cell>
          <cell r="AB1999" t="str">
            <v>(인)</v>
          </cell>
          <cell r="AC1999" t="str">
            <v>이홍걸</v>
          </cell>
          <cell r="AD1999" t="str">
            <v>(인)</v>
          </cell>
          <cell r="AE1999">
            <v>181.3</v>
          </cell>
          <cell r="AF1999" t="str">
            <v>동절기</v>
          </cell>
          <cell r="AG1999">
            <v>2</v>
          </cell>
          <cell r="AH1999">
            <v>0</v>
          </cell>
        </row>
        <row r="2000">
          <cell r="G2000">
            <v>2503240203</v>
          </cell>
          <cell r="H2000" t="str">
            <v>119동</v>
          </cell>
          <cell r="I2000">
            <v>250324</v>
          </cell>
          <cell r="J2000" t="str">
            <v>119동 12층 바닥</v>
          </cell>
          <cell r="K2000">
            <v>288</v>
          </cell>
          <cell r="L2000">
            <v>288</v>
          </cell>
          <cell r="M2000">
            <v>3018</v>
          </cell>
          <cell r="N2000" t="str">
            <v>대원</v>
          </cell>
          <cell r="O2000" t="str">
            <v>펌프카(1대)</v>
          </cell>
          <cell r="P2000">
            <v>839</v>
          </cell>
          <cell r="Q2000">
            <v>1301</v>
          </cell>
          <cell r="R2000">
            <v>195</v>
          </cell>
          <cell r="S2000">
            <v>45</v>
          </cell>
          <cell r="T2000">
            <v>52</v>
          </cell>
          <cell r="U2000">
            <v>179</v>
          </cell>
          <cell r="V2000"/>
          <cell r="W2000" t="str">
            <v>김광록</v>
          </cell>
          <cell r="X2000" t="str">
            <v>(인)</v>
          </cell>
          <cell r="Y2000" t="str">
            <v>박순홍</v>
          </cell>
          <cell r="Z2000" t="str">
            <v>(인)</v>
          </cell>
          <cell r="AA2000" t="str">
            <v>박상갑</v>
          </cell>
          <cell r="AB2000" t="str">
            <v>(인)</v>
          </cell>
          <cell r="AC2000" t="str">
            <v>이홍걸</v>
          </cell>
          <cell r="AD2000" t="str">
            <v>(인)</v>
          </cell>
          <cell r="AE2000">
            <v>182.3</v>
          </cell>
          <cell r="AF2000" t="str">
            <v>동절기</v>
          </cell>
          <cell r="AG2000">
            <v>3</v>
          </cell>
          <cell r="AH2000">
            <v>0</v>
          </cell>
        </row>
        <row r="2001">
          <cell r="G2001">
            <v>2503250101</v>
          </cell>
          <cell r="H2001" t="str">
            <v>109동</v>
          </cell>
          <cell r="I2001">
            <v>250325</v>
          </cell>
          <cell r="J2001" t="str">
            <v>109동 최상층 바닥</v>
          </cell>
          <cell r="K2001">
            <v>342</v>
          </cell>
          <cell r="L2001">
            <v>342</v>
          </cell>
          <cell r="M2001">
            <v>3018</v>
          </cell>
          <cell r="N2001" t="str">
            <v>대공</v>
          </cell>
          <cell r="O2001" t="str">
            <v>펌프카(1대)</v>
          </cell>
          <cell r="P2001">
            <v>814</v>
          </cell>
          <cell r="Q2001">
            <v>1407</v>
          </cell>
          <cell r="R2001">
            <v>180</v>
          </cell>
          <cell r="S2001">
            <v>50</v>
          </cell>
          <cell r="T2001">
            <v>50</v>
          </cell>
          <cell r="U2001">
            <v>183</v>
          </cell>
          <cell r="V2001"/>
          <cell r="W2001" t="str">
            <v>박순홍</v>
          </cell>
          <cell r="X2001" t="str">
            <v>(인)</v>
          </cell>
          <cell r="Y2001" t="str">
            <v>박순홍</v>
          </cell>
          <cell r="Z2001" t="str">
            <v>(인)</v>
          </cell>
          <cell r="AA2001" t="str">
            <v>박상갑</v>
          </cell>
          <cell r="AB2001" t="str">
            <v>(인)</v>
          </cell>
          <cell r="AC2001" t="str">
            <v>이홍걸</v>
          </cell>
          <cell r="AD2001" t="str">
            <v>(인)</v>
          </cell>
          <cell r="AE2001">
            <v>182.6</v>
          </cell>
          <cell r="AF2001" t="str">
            <v>동절기</v>
          </cell>
          <cell r="AG2001">
            <v>1</v>
          </cell>
          <cell r="AH2001">
            <v>1</v>
          </cell>
          <cell r="AI2001">
            <v>2577</v>
          </cell>
          <cell r="AJ2001">
            <v>2630</v>
          </cell>
          <cell r="AK2001">
            <v>208200</v>
          </cell>
          <cell r="AL2001">
            <v>3972</v>
          </cell>
          <cell r="AM2001">
            <v>4012</v>
          </cell>
          <cell r="AN2001">
            <v>3970</v>
          </cell>
          <cell r="AO2001">
            <v>3962</v>
          </cell>
          <cell r="AP2001">
            <v>3872</v>
          </cell>
          <cell r="AQ2001">
            <v>3937</v>
          </cell>
          <cell r="AR2001">
            <v>3927</v>
          </cell>
          <cell r="AS2001">
            <v>3811</v>
          </cell>
          <cell r="AT2001">
            <v>311200</v>
          </cell>
        </row>
        <row r="2002">
          <cell r="G2002">
            <v>2503250102</v>
          </cell>
          <cell r="H2002" t="str">
            <v>109동</v>
          </cell>
          <cell r="I2002">
            <v>250325</v>
          </cell>
          <cell r="J2002" t="str">
            <v>109동 최상층 바닥</v>
          </cell>
          <cell r="K2002">
            <v>342</v>
          </cell>
          <cell r="L2002">
            <v>342</v>
          </cell>
          <cell r="M2002">
            <v>3018</v>
          </cell>
          <cell r="N2002" t="str">
            <v>대공</v>
          </cell>
          <cell r="O2002" t="str">
            <v>펌프카(1대)</v>
          </cell>
          <cell r="P2002">
            <v>814</v>
          </cell>
          <cell r="Q2002">
            <v>1407</v>
          </cell>
          <cell r="R2002">
            <v>190</v>
          </cell>
          <cell r="S2002">
            <v>45</v>
          </cell>
          <cell r="T2002">
            <v>59</v>
          </cell>
          <cell r="U2002">
            <v>176</v>
          </cell>
          <cell r="V2002"/>
          <cell r="W2002" t="str">
            <v>박순홍</v>
          </cell>
          <cell r="X2002" t="str">
            <v>(인)</v>
          </cell>
          <cell r="Y2002" t="str">
            <v>박순홍</v>
          </cell>
          <cell r="Z2002" t="str">
            <v>(인)</v>
          </cell>
          <cell r="AA2002" t="str">
            <v>박상갑</v>
          </cell>
          <cell r="AB2002" t="str">
            <v>(인)</v>
          </cell>
          <cell r="AC2002" t="str">
            <v>이홍걸</v>
          </cell>
          <cell r="AD2002" t="str">
            <v>(인)</v>
          </cell>
          <cell r="AE2002">
            <v>181.1</v>
          </cell>
          <cell r="AF2002" t="str">
            <v>동절기</v>
          </cell>
          <cell r="AG2002">
            <v>2</v>
          </cell>
          <cell r="AH2002">
            <v>0</v>
          </cell>
        </row>
        <row r="2003">
          <cell r="G2003">
            <v>2503250103</v>
          </cell>
          <cell r="H2003" t="str">
            <v>109동</v>
          </cell>
          <cell r="I2003">
            <v>250325</v>
          </cell>
          <cell r="J2003" t="str">
            <v>109동 최상층 바닥</v>
          </cell>
          <cell r="K2003">
            <v>342</v>
          </cell>
          <cell r="L2003">
            <v>342</v>
          </cell>
          <cell r="M2003">
            <v>3018</v>
          </cell>
          <cell r="N2003" t="str">
            <v>대공</v>
          </cell>
          <cell r="O2003" t="str">
            <v>펌프카(1대)</v>
          </cell>
          <cell r="P2003">
            <v>814</v>
          </cell>
          <cell r="Q2003">
            <v>1407</v>
          </cell>
          <cell r="R2003">
            <v>205</v>
          </cell>
          <cell r="S2003">
            <v>42</v>
          </cell>
          <cell r="T2003">
            <v>33</v>
          </cell>
          <cell r="U2003">
            <v>178</v>
          </cell>
          <cell r="V2003"/>
          <cell r="W2003" t="str">
            <v>박순홍</v>
          </cell>
          <cell r="X2003" t="str">
            <v>(인)</v>
          </cell>
          <cell r="Y2003" t="str">
            <v>박순홍</v>
          </cell>
          <cell r="Z2003" t="str">
            <v>(인)</v>
          </cell>
          <cell r="AA2003" t="str">
            <v>박상갑</v>
          </cell>
          <cell r="AB2003" t="str">
            <v>(인)</v>
          </cell>
          <cell r="AC2003" t="str">
            <v>이홍걸</v>
          </cell>
          <cell r="AD2003" t="str">
            <v>(인)</v>
          </cell>
          <cell r="AE2003">
            <v>186.3</v>
          </cell>
          <cell r="AF2003" t="str">
            <v>동절기</v>
          </cell>
          <cell r="AG2003">
            <v>3</v>
          </cell>
          <cell r="AH2003">
            <v>0</v>
          </cell>
        </row>
        <row r="2004">
          <cell r="G2004">
            <v>2503250201</v>
          </cell>
          <cell r="H2004" t="str">
            <v>118동</v>
          </cell>
          <cell r="I2004">
            <v>250325</v>
          </cell>
          <cell r="J2004" t="str">
            <v>118동 12층 바닥</v>
          </cell>
          <cell r="K2004">
            <v>288</v>
          </cell>
          <cell r="L2004">
            <v>288</v>
          </cell>
          <cell r="M2004">
            <v>3018</v>
          </cell>
          <cell r="N2004" t="str">
            <v>용호</v>
          </cell>
          <cell r="O2004" t="str">
            <v>펌프카(1대)</v>
          </cell>
          <cell r="P2004">
            <v>832</v>
          </cell>
          <cell r="Q2004">
            <v>1321</v>
          </cell>
          <cell r="R2004">
            <v>195</v>
          </cell>
          <cell r="S2004">
            <v>48</v>
          </cell>
          <cell r="T2004">
            <v>37</v>
          </cell>
          <cell r="U2004">
            <v>215</v>
          </cell>
          <cell r="V2004"/>
          <cell r="W2004" t="str">
            <v>김광록</v>
          </cell>
          <cell r="X2004" t="str">
            <v>(인)</v>
          </cell>
          <cell r="Y2004" t="str">
            <v>박순홍</v>
          </cell>
          <cell r="Z2004" t="str">
            <v>(인)</v>
          </cell>
          <cell r="AA2004" t="str">
            <v>박상갑</v>
          </cell>
          <cell r="AB2004" t="str">
            <v>(인)</v>
          </cell>
          <cell r="AC2004" t="str">
            <v>이홍걸</v>
          </cell>
          <cell r="AD2004" t="str">
            <v>(인)</v>
          </cell>
          <cell r="AE2004">
            <v>189.1</v>
          </cell>
          <cell r="AF2004" t="str">
            <v>동절기</v>
          </cell>
          <cell r="AG2004">
            <v>1</v>
          </cell>
          <cell r="AH2004">
            <v>1</v>
          </cell>
          <cell r="AI2004">
            <v>2734</v>
          </cell>
          <cell r="AJ2004">
            <v>2803</v>
          </cell>
          <cell r="AK2004">
            <v>214400</v>
          </cell>
          <cell r="AL2004">
            <v>4076</v>
          </cell>
          <cell r="AM2004">
            <v>4126</v>
          </cell>
          <cell r="AN2004">
            <v>4039</v>
          </cell>
          <cell r="AO2004">
            <v>4164</v>
          </cell>
          <cell r="AP2004">
            <v>4112</v>
          </cell>
          <cell r="AQ2004">
            <v>4086</v>
          </cell>
          <cell r="AR2004">
            <v>4074</v>
          </cell>
          <cell r="AS2004">
            <v>4086</v>
          </cell>
          <cell r="AT2004">
            <v>323000</v>
          </cell>
        </row>
        <row r="2005">
          <cell r="G2005">
            <v>2503250202</v>
          </cell>
          <cell r="H2005" t="str">
            <v>118동</v>
          </cell>
          <cell r="I2005">
            <v>250325</v>
          </cell>
          <cell r="J2005" t="str">
            <v>118동 12층 바닥</v>
          </cell>
          <cell r="K2005">
            <v>288</v>
          </cell>
          <cell r="L2005">
            <v>288</v>
          </cell>
          <cell r="M2005">
            <v>3018</v>
          </cell>
          <cell r="N2005" t="str">
            <v>용호</v>
          </cell>
          <cell r="O2005" t="str">
            <v>펌프카(1대)</v>
          </cell>
          <cell r="P2005">
            <v>832</v>
          </cell>
          <cell r="Q2005">
            <v>1321</v>
          </cell>
          <cell r="R2005">
            <v>185</v>
          </cell>
          <cell r="S2005">
            <v>45</v>
          </cell>
          <cell r="T2005">
            <v>11</v>
          </cell>
          <cell r="U2005">
            <v>197</v>
          </cell>
          <cell r="V2005"/>
          <cell r="W2005" t="str">
            <v>김광록</v>
          </cell>
          <cell r="X2005" t="str">
            <v>(인)</v>
          </cell>
          <cell r="Y2005" t="str">
            <v>박순홍</v>
          </cell>
          <cell r="Z2005" t="str">
            <v>(인)</v>
          </cell>
          <cell r="AA2005" t="str">
            <v>박상갑</v>
          </cell>
          <cell r="AB2005" t="str">
            <v>(인)</v>
          </cell>
          <cell r="AC2005" t="str">
            <v>이홍걸</v>
          </cell>
          <cell r="AD2005" t="str">
            <v>(인)</v>
          </cell>
          <cell r="AE2005">
            <v>188.9</v>
          </cell>
          <cell r="AF2005" t="str">
            <v>동절기</v>
          </cell>
          <cell r="AG2005">
            <v>2</v>
          </cell>
          <cell r="AH2005">
            <v>0</v>
          </cell>
        </row>
        <row r="2006">
          <cell r="G2006">
            <v>2503250203</v>
          </cell>
          <cell r="H2006" t="str">
            <v>118동</v>
          </cell>
          <cell r="I2006">
            <v>250325</v>
          </cell>
          <cell r="J2006" t="str">
            <v>118동 12층 바닥</v>
          </cell>
          <cell r="K2006">
            <v>288</v>
          </cell>
          <cell r="L2006">
            <v>288</v>
          </cell>
          <cell r="M2006">
            <v>3018</v>
          </cell>
          <cell r="N2006" t="str">
            <v>용호</v>
          </cell>
          <cell r="O2006" t="str">
            <v>펌프카(1대)</v>
          </cell>
          <cell r="P2006">
            <v>832</v>
          </cell>
          <cell r="Q2006">
            <v>1321</v>
          </cell>
          <cell r="R2006">
            <v>175</v>
          </cell>
          <cell r="S2006">
            <v>42</v>
          </cell>
          <cell r="T2006">
            <v>24</v>
          </cell>
          <cell r="U2006">
            <v>190</v>
          </cell>
          <cell r="V2006"/>
          <cell r="W2006" t="str">
            <v>김광록</v>
          </cell>
          <cell r="X2006" t="str">
            <v>(인)</v>
          </cell>
          <cell r="Y2006" t="str">
            <v>박순홍</v>
          </cell>
          <cell r="Z2006" t="str">
            <v>(인)</v>
          </cell>
          <cell r="AA2006" t="str">
            <v>박상갑</v>
          </cell>
          <cell r="AB2006" t="str">
            <v>(인)</v>
          </cell>
          <cell r="AC2006" t="str">
            <v>이홍걸</v>
          </cell>
          <cell r="AD2006" t="str">
            <v>(인)</v>
          </cell>
          <cell r="AE2006">
            <v>188</v>
          </cell>
          <cell r="AF2006" t="str">
            <v>동절기</v>
          </cell>
          <cell r="AG2006">
            <v>3</v>
          </cell>
          <cell r="AH2006">
            <v>0</v>
          </cell>
        </row>
        <row r="2007">
          <cell r="G2007">
            <v>2503250301</v>
          </cell>
          <cell r="H2007" t="str">
            <v>주차장</v>
          </cell>
          <cell r="I2007">
            <v>250325</v>
          </cell>
          <cell r="J2007" t="str">
            <v>104동~105동 사이 주변 주차장</v>
          </cell>
          <cell r="K2007">
            <v>708</v>
          </cell>
          <cell r="L2007">
            <v>708</v>
          </cell>
          <cell r="M2007">
            <v>2715</v>
          </cell>
          <cell r="N2007" t="str">
            <v>영진</v>
          </cell>
          <cell r="O2007" t="str">
            <v>펌프카(1대)</v>
          </cell>
          <cell r="P2007">
            <v>826</v>
          </cell>
          <cell r="Q2007">
            <v>1555</v>
          </cell>
          <cell r="R2007">
            <v>155</v>
          </cell>
          <cell r="S2007">
            <v>46</v>
          </cell>
          <cell r="T2007">
            <v>56</v>
          </cell>
          <cell r="U2007">
            <v>161</v>
          </cell>
          <cell r="V2007"/>
          <cell r="W2007" t="str">
            <v>김광록</v>
          </cell>
          <cell r="X2007" t="str">
            <v>(인)</v>
          </cell>
          <cell r="Y2007" t="str">
            <v>박순홍</v>
          </cell>
          <cell r="Z2007" t="str">
            <v>(인)</v>
          </cell>
          <cell r="AA2007" t="str">
            <v>박상갑</v>
          </cell>
          <cell r="AB2007" t="str">
            <v>(인)</v>
          </cell>
          <cell r="AC2007" t="str">
            <v>이홍걸</v>
          </cell>
          <cell r="AD2007" t="str">
            <v>(인)</v>
          </cell>
          <cell r="AE2007">
            <v>181.3</v>
          </cell>
          <cell r="AF2007" t="str">
            <v>동절기</v>
          </cell>
          <cell r="AG2007">
            <v>1</v>
          </cell>
          <cell r="AH2007">
            <v>1</v>
          </cell>
          <cell r="AI2007">
            <v>2347</v>
          </cell>
          <cell r="AJ2007">
            <v>2402</v>
          </cell>
          <cell r="AK2007">
            <v>187800</v>
          </cell>
          <cell r="AL2007">
            <v>3519</v>
          </cell>
          <cell r="AM2007">
            <v>3489</v>
          </cell>
          <cell r="AN2007">
            <v>3567</v>
          </cell>
          <cell r="AO2007">
            <v>3588</v>
          </cell>
          <cell r="AP2007">
            <v>3429</v>
          </cell>
          <cell r="AQ2007">
            <v>3539</v>
          </cell>
          <cell r="AR2007">
            <v>3588</v>
          </cell>
          <cell r="AS2007">
            <v>3567</v>
          </cell>
          <cell r="AT2007">
            <v>273000</v>
          </cell>
        </row>
        <row r="2008">
          <cell r="G2008">
            <v>2503250302</v>
          </cell>
          <cell r="H2008" t="str">
            <v>주차장</v>
          </cell>
          <cell r="I2008">
            <v>250325</v>
          </cell>
          <cell r="J2008" t="str">
            <v>104동~105동 사이 주변 주차장</v>
          </cell>
          <cell r="K2008">
            <v>708</v>
          </cell>
          <cell r="L2008">
            <v>708</v>
          </cell>
          <cell r="M2008">
            <v>2715</v>
          </cell>
          <cell r="N2008" t="str">
            <v>영진</v>
          </cell>
          <cell r="O2008" t="str">
            <v>펌프카(1대)</v>
          </cell>
          <cell r="P2008">
            <v>826</v>
          </cell>
          <cell r="Q2008">
            <v>1555</v>
          </cell>
          <cell r="R2008">
            <v>150</v>
          </cell>
          <cell r="S2008">
            <v>50</v>
          </cell>
          <cell r="T2008">
            <v>55</v>
          </cell>
          <cell r="U2008">
            <v>175</v>
          </cell>
          <cell r="V2008"/>
          <cell r="W2008" t="str">
            <v>김광록</v>
          </cell>
          <cell r="X2008" t="str">
            <v>(인)</v>
          </cell>
          <cell r="Y2008" t="str">
            <v>박순홍</v>
          </cell>
          <cell r="Z2008" t="str">
            <v>(인)</v>
          </cell>
          <cell r="AA2008" t="str">
            <v>박상갑</v>
          </cell>
          <cell r="AB2008" t="str">
            <v>(인)</v>
          </cell>
          <cell r="AC2008" t="str">
            <v>이홍걸</v>
          </cell>
          <cell r="AD2008" t="str">
            <v>(인)</v>
          </cell>
          <cell r="AE2008">
            <v>182.3</v>
          </cell>
          <cell r="AF2008" t="str">
            <v>동절기</v>
          </cell>
          <cell r="AG2008">
            <v>2</v>
          </cell>
          <cell r="AH2008">
            <v>0</v>
          </cell>
        </row>
        <row r="2009">
          <cell r="G2009">
            <v>2503250303</v>
          </cell>
          <cell r="H2009" t="str">
            <v>주차장</v>
          </cell>
          <cell r="I2009">
            <v>250325</v>
          </cell>
          <cell r="J2009" t="str">
            <v>104동~105동 사이 주변 주차장</v>
          </cell>
          <cell r="K2009">
            <v>708</v>
          </cell>
          <cell r="L2009">
            <v>708</v>
          </cell>
          <cell r="M2009">
            <v>2715</v>
          </cell>
          <cell r="N2009" t="str">
            <v>영진</v>
          </cell>
          <cell r="O2009" t="str">
            <v>펌프카(1대)</v>
          </cell>
          <cell r="P2009">
            <v>826</v>
          </cell>
          <cell r="Q2009">
            <v>1555</v>
          </cell>
          <cell r="R2009">
            <v>160</v>
          </cell>
          <cell r="S2009">
            <v>56</v>
          </cell>
          <cell r="T2009">
            <v>72</v>
          </cell>
          <cell r="U2009">
            <v>203</v>
          </cell>
          <cell r="V2009"/>
          <cell r="W2009" t="str">
            <v>김광록</v>
          </cell>
          <cell r="X2009" t="str">
            <v>(인)</v>
          </cell>
          <cell r="Y2009" t="str">
            <v>박순홍</v>
          </cell>
          <cell r="Z2009" t="str">
            <v>(인)</v>
          </cell>
          <cell r="AA2009" t="str">
            <v>박상갑</v>
          </cell>
          <cell r="AB2009" t="str">
            <v>(인)</v>
          </cell>
          <cell r="AC2009" t="str">
            <v>이홍걸</v>
          </cell>
          <cell r="AD2009" t="str">
            <v>(인)</v>
          </cell>
          <cell r="AE2009">
            <v>179.8</v>
          </cell>
          <cell r="AF2009" t="str">
            <v>동절기</v>
          </cell>
          <cell r="AG2009">
            <v>3</v>
          </cell>
          <cell r="AH2009">
            <v>0</v>
          </cell>
        </row>
        <row r="2010">
          <cell r="G2010">
            <v>2503250304</v>
          </cell>
          <cell r="H2010" t="str">
            <v>주차장</v>
          </cell>
          <cell r="I2010">
            <v>250325</v>
          </cell>
          <cell r="J2010" t="str">
            <v>104동~105동 사이 주변 주차장</v>
          </cell>
          <cell r="K2010">
            <v>708</v>
          </cell>
          <cell r="L2010">
            <v>708</v>
          </cell>
          <cell r="M2010">
            <v>2715</v>
          </cell>
          <cell r="N2010" t="str">
            <v>영진</v>
          </cell>
          <cell r="O2010" t="str">
            <v>펌프카(1대)</v>
          </cell>
          <cell r="P2010">
            <v>826</v>
          </cell>
          <cell r="Q2010">
            <v>1555</v>
          </cell>
          <cell r="R2010">
            <v>155</v>
          </cell>
          <cell r="S2010">
            <v>53</v>
          </cell>
          <cell r="T2010">
            <v>64</v>
          </cell>
          <cell r="U2010">
            <v>227</v>
          </cell>
          <cell r="V2010"/>
          <cell r="W2010" t="str">
            <v>김광록</v>
          </cell>
          <cell r="X2010" t="str">
            <v>(인)</v>
          </cell>
          <cell r="Y2010" t="str">
            <v>박순홍</v>
          </cell>
          <cell r="Z2010" t="str">
            <v>(인)</v>
          </cell>
          <cell r="AA2010" t="str">
            <v>박상갑</v>
          </cell>
          <cell r="AB2010" t="str">
            <v>(인)</v>
          </cell>
          <cell r="AC2010" t="str">
            <v>이홍걸</v>
          </cell>
          <cell r="AD2010" t="str">
            <v>(인)</v>
          </cell>
          <cell r="AE2010">
            <v>171.9</v>
          </cell>
          <cell r="AF2010" t="str">
            <v>동절기</v>
          </cell>
          <cell r="AG2010">
            <v>4</v>
          </cell>
          <cell r="AH2010">
            <v>1</v>
          </cell>
          <cell r="AL2010">
            <v>3529</v>
          </cell>
          <cell r="AM2010">
            <v>3620</v>
          </cell>
          <cell r="AN2010">
            <v>3618</v>
          </cell>
          <cell r="AO2010">
            <v>3587</v>
          </cell>
          <cell r="AP2010">
            <v>3564</v>
          </cell>
          <cell r="AQ2010">
            <v>3604</v>
          </cell>
          <cell r="AR2010">
            <v>3607</v>
          </cell>
          <cell r="AS2010">
            <v>3581</v>
          </cell>
          <cell r="AT2010">
            <v>286200</v>
          </cell>
        </row>
        <row r="2011">
          <cell r="G2011">
            <v>2503250305</v>
          </cell>
          <cell r="H2011" t="str">
            <v>주차장</v>
          </cell>
          <cell r="I2011">
            <v>250325</v>
          </cell>
          <cell r="J2011" t="str">
            <v>104동~105동 사이 주변 주차장</v>
          </cell>
          <cell r="K2011">
            <v>708</v>
          </cell>
          <cell r="L2011">
            <v>708</v>
          </cell>
          <cell r="M2011">
            <v>2715</v>
          </cell>
          <cell r="N2011" t="str">
            <v>영진</v>
          </cell>
          <cell r="O2011" t="str">
            <v>펌프카(1대)</v>
          </cell>
          <cell r="P2011">
            <v>826</v>
          </cell>
          <cell r="Q2011">
            <v>1555</v>
          </cell>
          <cell r="R2011">
            <v>165</v>
          </cell>
          <cell r="S2011">
            <v>50</v>
          </cell>
          <cell r="T2011">
            <v>39</v>
          </cell>
          <cell r="U2011">
            <v>194</v>
          </cell>
          <cell r="V2011"/>
          <cell r="W2011" t="str">
            <v>김광록</v>
          </cell>
          <cell r="X2011" t="str">
            <v>(인)</v>
          </cell>
          <cell r="Y2011" t="str">
            <v>박순홍</v>
          </cell>
          <cell r="Z2011" t="str">
            <v>(인)</v>
          </cell>
          <cell r="AA2011" t="str">
            <v>박상갑</v>
          </cell>
          <cell r="AB2011" t="str">
            <v>(인)</v>
          </cell>
          <cell r="AC2011" t="str">
            <v>이홍걸</v>
          </cell>
          <cell r="AD2011" t="str">
            <v>(인)</v>
          </cell>
          <cell r="AE2011">
            <v>179.8</v>
          </cell>
          <cell r="AF2011" t="str">
            <v>동절기</v>
          </cell>
          <cell r="AG2011">
            <v>5</v>
          </cell>
          <cell r="AH2011">
            <v>0</v>
          </cell>
        </row>
        <row r="2012">
          <cell r="G2012">
            <v>2503250306</v>
          </cell>
          <cell r="H2012" t="str">
            <v>주차장</v>
          </cell>
          <cell r="I2012">
            <v>250325</v>
          </cell>
          <cell r="J2012" t="str">
            <v>104동~105동 사이 주변 주차장</v>
          </cell>
          <cell r="K2012">
            <v>708</v>
          </cell>
          <cell r="L2012">
            <v>708</v>
          </cell>
          <cell r="M2012">
            <v>2715</v>
          </cell>
          <cell r="N2012" t="str">
            <v>영진</v>
          </cell>
          <cell r="O2012" t="str">
            <v>펌프카(1대)</v>
          </cell>
          <cell r="P2012">
            <v>826</v>
          </cell>
          <cell r="Q2012">
            <v>1555</v>
          </cell>
          <cell r="R2012">
            <v>170</v>
          </cell>
          <cell r="S2012">
            <v>44</v>
          </cell>
          <cell r="T2012">
            <v>42</v>
          </cell>
          <cell r="U2012">
            <v>223</v>
          </cell>
          <cell r="V2012"/>
          <cell r="W2012" t="str">
            <v>김광록</v>
          </cell>
          <cell r="X2012" t="str">
            <v>(인)</v>
          </cell>
          <cell r="Y2012" t="str">
            <v>박순홍</v>
          </cell>
          <cell r="Z2012" t="str">
            <v>(인)</v>
          </cell>
          <cell r="AA2012" t="str">
            <v>박상갑</v>
          </cell>
          <cell r="AB2012" t="str">
            <v>(인)</v>
          </cell>
          <cell r="AC2012" t="str">
            <v>이홍걸</v>
          </cell>
          <cell r="AD2012" t="str">
            <v>(인)</v>
          </cell>
          <cell r="AE2012">
            <v>177.3</v>
          </cell>
          <cell r="AF2012" t="str">
            <v>동절기</v>
          </cell>
          <cell r="AG2012">
            <v>6</v>
          </cell>
          <cell r="AH2012">
            <v>0</v>
          </cell>
        </row>
        <row r="2013">
          <cell r="G2013">
            <v>2503260101</v>
          </cell>
          <cell r="H2013" t="str">
            <v>112동</v>
          </cell>
          <cell r="I2013">
            <v>250326</v>
          </cell>
          <cell r="J2013" t="str">
            <v>112동 12층 바닥 및 113동 PH2</v>
          </cell>
          <cell r="K2013">
            <v>280</v>
          </cell>
          <cell r="L2013">
            <v>276</v>
          </cell>
          <cell r="M2013">
            <v>3018</v>
          </cell>
          <cell r="N2013" t="str">
            <v>대원</v>
          </cell>
          <cell r="O2013" t="str">
            <v>펌프카(1대)</v>
          </cell>
          <cell r="P2013">
            <v>836</v>
          </cell>
          <cell r="Q2013">
            <v>1318</v>
          </cell>
          <cell r="R2013">
            <v>190</v>
          </cell>
          <cell r="S2013">
            <v>49</v>
          </cell>
          <cell r="T2013">
            <v>46</v>
          </cell>
          <cell r="U2013">
            <v>182</v>
          </cell>
          <cell r="V2013"/>
          <cell r="W2013" t="str">
            <v>박순홍</v>
          </cell>
          <cell r="X2013" t="str">
            <v>(인)</v>
          </cell>
          <cell r="Y2013" t="str">
            <v>김광록</v>
          </cell>
          <cell r="Z2013" t="str">
            <v>(인)</v>
          </cell>
          <cell r="AA2013" t="str">
            <v>박상갑</v>
          </cell>
          <cell r="AB2013" t="str">
            <v>(인)</v>
          </cell>
          <cell r="AC2013" t="str">
            <v>이홍걸</v>
          </cell>
          <cell r="AD2013" t="str">
            <v>(인)</v>
          </cell>
          <cell r="AE2013">
            <v>189.1</v>
          </cell>
          <cell r="AF2013" t="str">
            <v>동절기</v>
          </cell>
          <cell r="AG2013">
            <v>1</v>
          </cell>
          <cell r="AH2013">
            <v>1</v>
          </cell>
          <cell r="AI2013">
            <v>2689</v>
          </cell>
          <cell r="AJ2013">
            <v>2780</v>
          </cell>
          <cell r="AK2013">
            <v>225200</v>
          </cell>
          <cell r="AL2013">
            <v>3751</v>
          </cell>
          <cell r="AM2013">
            <v>3749</v>
          </cell>
          <cell r="AN2013">
            <v>3688</v>
          </cell>
          <cell r="AO2013">
            <v>3624</v>
          </cell>
          <cell r="AP2013">
            <v>3736</v>
          </cell>
          <cell r="AQ2013">
            <v>3829</v>
          </cell>
          <cell r="AR2013">
            <v>3819</v>
          </cell>
          <cell r="AS2013">
            <v>3647</v>
          </cell>
          <cell r="AT2013">
            <v>297400</v>
          </cell>
        </row>
        <row r="2014">
          <cell r="G2014">
            <v>2503260102</v>
          </cell>
          <cell r="H2014" t="str">
            <v>112동</v>
          </cell>
          <cell r="I2014">
            <v>250326</v>
          </cell>
          <cell r="J2014" t="str">
            <v>112동 12층 바닥 및 113동 PH2</v>
          </cell>
          <cell r="K2014">
            <v>280</v>
          </cell>
          <cell r="L2014">
            <v>276</v>
          </cell>
          <cell r="M2014">
            <v>3018</v>
          </cell>
          <cell r="N2014" t="str">
            <v>대원</v>
          </cell>
          <cell r="O2014" t="str">
            <v>펌프카(1대)</v>
          </cell>
          <cell r="P2014">
            <v>836</v>
          </cell>
          <cell r="Q2014">
            <v>1318</v>
          </cell>
          <cell r="R2014">
            <v>200</v>
          </cell>
          <cell r="S2014">
            <v>46</v>
          </cell>
          <cell r="T2014">
            <v>47</v>
          </cell>
          <cell r="U2014">
            <v>178</v>
          </cell>
          <cell r="V2014"/>
          <cell r="W2014" t="str">
            <v>박순홍</v>
          </cell>
          <cell r="X2014" t="str">
            <v>(인)</v>
          </cell>
          <cell r="Y2014" t="str">
            <v>김광록</v>
          </cell>
          <cell r="Z2014" t="str">
            <v>(인)</v>
          </cell>
          <cell r="AA2014" t="str">
            <v>박상갑</v>
          </cell>
          <cell r="AB2014" t="str">
            <v>(인)</v>
          </cell>
          <cell r="AC2014" t="str">
            <v>이홍걸</v>
          </cell>
          <cell r="AD2014" t="str">
            <v>(인)</v>
          </cell>
          <cell r="AE2014">
            <v>188.9</v>
          </cell>
          <cell r="AF2014" t="str">
            <v>동절기</v>
          </cell>
          <cell r="AG2014">
            <v>2</v>
          </cell>
          <cell r="AH2014">
            <v>0</v>
          </cell>
        </row>
        <row r="2015">
          <cell r="G2015">
            <v>2503260103</v>
          </cell>
          <cell r="H2015" t="str">
            <v>112동</v>
          </cell>
          <cell r="I2015">
            <v>250326</v>
          </cell>
          <cell r="J2015" t="str">
            <v>112동 12층 바닥 및 113동 PH2</v>
          </cell>
          <cell r="K2015">
            <v>280</v>
          </cell>
          <cell r="L2015">
            <v>276</v>
          </cell>
          <cell r="M2015">
            <v>3018</v>
          </cell>
          <cell r="N2015" t="str">
            <v>대원</v>
          </cell>
          <cell r="O2015" t="str">
            <v>펌프카(1대)</v>
          </cell>
          <cell r="P2015">
            <v>836</v>
          </cell>
          <cell r="Q2015">
            <v>1318</v>
          </cell>
          <cell r="R2015">
            <v>190</v>
          </cell>
          <cell r="S2015">
            <v>39</v>
          </cell>
          <cell r="T2015">
            <v>43</v>
          </cell>
          <cell r="U2015">
            <v>186</v>
          </cell>
          <cell r="V2015"/>
          <cell r="W2015" t="str">
            <v>박순홍</v>
          </cell>
          <cell r="X2015" t="str">
            <v>(인)</v>
          </cell>
          <cell r="Y2015" t="str">
            <v>김광록</v>
          </cell>
          <cell r="Z2015" t="str">
            <v>(인)</v>
          </cell>
          <cell r="AA2015" t="str">
            <v>박상갑</v>
          </cell>
          <cell r="AB2015" t="str">
            <v>(인)</v>
          </cell>
          <cell r="AC2015" t="str">
            <v>이홍걸</v>
          </cell>
          <cell r="AD2015" t="str">
            <v>(인)</v>
          </cell>
          <cell r="AE2015">
            <v>187</v>
          </cell>
          <cell r="AF2015" t="str">
            <v>동절기</v>
          </cell>
          <cell r="AG2015">
            <v>3</v>
          </cell>
          <cell r="AH2015">
            <v>0</v>
          </cell>
        </row>
        <row r="2016">
          <cell r="G2016">
            <v>2503270101</v>
          </cell>
          <cell r="H2016" t="str">
            <v>116동</v>
          </cell>
          <cell r="I2016">
            <v>250327</v>
          </cell>
          <cell r="J2016" t="str">
            <v>116동 14층 바닥</v>
          </cell>
          <cell r="K2016">
            <v>280</v>
          </cell>
          <cell r="L2016">
            <v>280</v>
          </cell>
          <cell r="M2016">
            <v>3018</v>
          </cell>
          <cell r="N2016" t="str">
            <v>영진</v>
          </cell>
          <cell r="O2016" t="str">
            <v>펌프카(1대)</v>
          </cell>
          <cell r="P2016">
            <v>834</v>
          </cell>
          <cell r="Q2016">
            <v>1345</v>
          </cell>
          <cell r="R2016">
            <v>190</v>
          </cell>
          <cell r="S2016">
            <v>46</v>
          </cell>
          <cell r="T2016">
            <v>22</v>
          </cell>
          <cell r="U2016">
            <v>226</v>
          </cell>
          <cell r="V2016"/>
          <cell r="W2016" t="str">
            <v>박순홍</v>
          </cell>
          <cell r="X2016" t="str">
            <v>(인)</v>
          </cell>
          <cell r="Y2016" t="str">
            <v>박순홍</v>
          </cell>
          <cell r="Z2016" t="str">
            <v>(인)</v>
          </cell>
          <cell r="AA2016" t="str">
            <v>박상갑</v>
          </cell>
          <cell r="AB2016" t="str">
            <v>(인)</v>
          </cell>
          <cell r="AC2016" t="str">
            <v>이홍걸</v>
          </cell>
          <cell r="AD2016" t="str">
            <v>(인)</v>
          </cell>
          <cell r="AE2016">
            <v>181.8</v>
          </cell>
          <cell r="AF2016" t="str">
            <v>동절기</v>
          </cell>
          <cell r="AG2016">
            <v>1</v>
          </cell>
          <cell r="AH2016">
            <v>1</v>
          </cell>
          <cell r="AI2016">
            <v>2801</v>
          </cell>
          <cell r="AJ2016">
            <v>2774</v>
          </cell>
          <cell r="AK2016">
            <v>221800</v>
          </cell>
          <cell r="AL2016">
            <v>4072</v>
          </cell>
          <cell r="AM2016">
            <v>4086</v>
          </cell>
          <cell r="AN2016">
            <v>4130</v>
          </cell>
          <cell r="AO2016">
            <v>3927</v>
          </cell>
          <cell r="AP2016">
            <v>3986</v>
          </cell>
          <cell r="AQ2016">
            <v>3937</v>
          </cell>
          <cell r="AR2016">
            <v>4036</v>
          </cell>
          <cell r="AS2016">
            <v>3984</v>
          </cell>
          <cell r="AT2016">
            <v>310800</v>
          </cell>
        </row>
        <row r="2017">
          <cell r="G2017">
            <v>2503270102</v>
          </cell>
          <cell r="H2017" t="str">
            <v>116동</v>
          </cell>
          <cell r="I2017">
            <v>250327</v>
          </cell>
          <cell r="J2017" t="str">
            <v>116동 14층 바닥</v>
          </cell>
          <cell r="K2017">
            <v>280</v>
          </cell>
          <cell r="L2017">
            <v>280</v>
          </cell>
          <cell r="M2017">
            <v>3018</v>
          </cell>
          <cell r="N2017" t="str">
            <v>영진</v>
          </cell>
          <cell r="O2017" t="str">
            <v>펌프카(1대)</v>
          </cell>
          <cell r="P2017">
            <v>834</v>
          </cell>
          <cell r="Q2017">
            <v>1345</v>
          </cell>
          <cell r="R2017">
            <v>185</v>
          </cell>
          <cell r="S2017">
            <v>40</v>
          </cell>
          <cell r="T2017">
            <v>24</v>
          </cell>
          <cell r="U2017">
            <v>215</v>
          </cell>
          <cell r="V2017"/>
          <cell r="W2017" t="str">
            <v>박순홍</v>
          </cell>
          <cell r="X2017" t="str">
            <v>(인)</v>
          </cell>
          <cell r="Y2017" t="str">
            <v>박순홍</v>
          </cell>
          <cell r="Z2017" t="str">
            <v>(인)</v>
          </cell>
          <cell r="AA2017" t="str">
            <v>박상갑</v>
          </cell>
          <cell r="AB2017" t="str">
            <v>(인)</v>
          </cell>
          <cell r="AC2017" t="str">
            <v>이홍걸</v>
          </cell>
          <cell r="AD2017" t="str">
            <v>(인)</v>
          </cell>
          <cell r="AE2017">
            <v>173.6</v>
          </cell>
          <cell r="AF2017" t="str">
            <v>동절기</v>
          </cell>
          <cell r="AG2017">
            <v>2</v>
          </cell>
          <cell r="AH2017">
            <v>0</v>
          </cell>
        </row>
        <row r="2018">
          <cell r="G2018">
            <v>2503270103</v>
          </cell>
          <cell r="H2018" t="str">
            <v>116동</v>
          </cell>
          <cell r="I2018">
            <v>250327</v>
          </cell>
          <cell r="J2018" t="str">
            <v>116동 14층 바닥</v>
          </cell>
          <cell r="K2018">
            <v>280</v>
          </cell>
          <cell r="L2018">
            <v>280</v>
          </cell>
          <cell r="M2018">
            <v>3018</v>
          </cell>
          <cell r="N2018" t="str">
            <v>영진</v>
          </cell>
          <cell r="O2018" t="str">
            <v>펌프카(1대)</v>
          </cell>
          <cell r="P2018">
            <v>834</v>
          </cell>
          <cell r="Q2018">
            <v>1345</v>
          </cell>
          <cell r="R2018">
            <v>170</v>
          </cell>
          <cell r="S2018">
            <v>49</v>
          </cell>
          <cell r="T2018">
            <v>18</v>
          </cell>
          <cell r="U2018">
            <v>222</v>
          </cell>
          <cell r="V2018"/>
          <cell r="W2018" t="str">
            <v>박순홍</v>
          </cell>
          <cell r="X2018" t="str">
            <v>(인)</v>
          </cell>
          <cell r="Y2018" t="str">
            <v>박순홍</v>
          </cell>
          <cell r="Z2018" t="str">
            <v>(인)</v>
          </cell>
          <cell r="AA2018" t="str">
            <v>박상갑</v>
          </cell>
          <cell r="AB2018" t="str">
            <v>(인)</v>
          </cell>
          <cell r="AC2018" t="str">
            <v>이홍걸</v>
          </cell>
          <cell r="AD2018" t="str">
            <v>(인)</v>
          </cell>
          <cell r="AE2018">
            <v>173</v>
          </cell>
          <cell r="AF2018" t="str">
            <v>동절기</v>
          </cell>
          <cell r="AG2018">
            <v>3</v>
          </cell>
          <cell r="AH2018">
            <v>0</v>
          </cell>
        </row>
        <row r="2019">
          <cell r="G2019">
            <v>2503270201</v>
          </cell>
          <cell r="H2019" t="str">
            <v>120동</v>
          </cell>
          <cell r="I2019">
            <v>250327</v>
          </cell>
          <cell r="J2019" t="str">
            <v>120동 11층 바닥</v>
          </cell>
          <cell r="K2019">
            <v>286</v>
          </cell>
          <cell r="L2019">
            <v>286</v>
          </cell>
          <cell r="M2019">
            <v>3018</v>
          </cell>
          <cell r="N2019" t="str">
            <v>대공</v>
          </cell>
          <cell r="O2019" t="str">
            <v>펌프카(1대)</v>
          </cell>
          <cell r="P2019">
            <v>840</v>
          </cell>
          <cell r="Q2019">
            <v>1337</v>
          </cell>
          <cell r="R2019">
            <v>195</v>
          </cell>
          <cell r="S2019">
            <v>42</v>
          </cell>
          <cell r="T2019">
            <v>70</v>
          </cell>
          <cell r="U2019">
            <v>237</v>
          </cell>
          <cell r="V2019"/>
          <cell r="W2019" t="str">
            <v>박순홍</v>
          </cell>
          <cell r="X2019" t="str">
            <v>(인)</v>
          </cell>
          <cell r="Y2019" t="str">
            <v>박순홍</v>
          </cell>
          <cell r="Z2019" t="str">
            <v>(인)</v>
          </cell>
          <cell r="AA2019" t="str">
            <v>박상갑</v>
          </cell>
          <cell r="AB2019" t="str">
            <v>(인)</v>
          </cell>
          <cell r="AC2019" t="str">
            <v>이홍걸</v>
          </cell>
          <cell r="AD2019" t="str">
            <v>(인)</v>
          </cell>
          <cell r="AE2019">
            <v>190.3</v>
          </cell>
          <cell r="AF2019" t="str">
            <v>동절기</v>
          </cell>
          <cell r="AG2019">
            <v>1</v>
          </cell>
          <cell r="AH2019">
            <v>1</v>
          </cell>
          <cell r="AI2019">
            <v>2538</v>
          </cell>
          <cell r="AJ2019">
            <v>2579</v>
          </cell>
          <cell r="AK2019">
            <v>204400</v>
          </cell>
          <cell r="AL2019">
            <v>4172</v>
          </cell>
          <cell r="AM2019">
            <v>4086</v>
          </cell>
          <cell r="AN2019">
            <v>4194</v>
          </cell>
          <cell r="AO2019">
            <v>4087</v>
          </cell>
          <cell r="AP2019">
            <v>3964</v>
          </cell>
          <cell r="AQ2019">
            <v>4200</v>
          </cell>
          <cell r="AR2019">
            <v>4216</v>
          </cell>
          <cell r="AS2019">
            <v>4087</v>
          </cell>
          <cell r="AT2019">
            <v>324400</v>
          </cell>
        </row>
        <row r="2020">
          <cell r="G2020">
            <v>2503270202</v>
          </cell>
          <cell r="H2020" t="str">
            <v>120동</v>
          </cell>
          <cell r="I2020">
            <v>250327</v>
          </cell>
          <cell r="J2020" t="str">
            <v>120동 11층 바닥</v>
          </cell>
          <cell r="K2020">
            <v>286</v>
          </cell>
          <cell r="L2020">
            <v>286</v>
          </cell>
          <cell r="M2020">
            <v>3018</v>
          </cell>
          <cell r="N2020" t="str">
            <v>대공</v>
          </cell>
          <cell r="O2020" t="str">
            <v>펌프카(1대)</v>
          </cell>
          <cell r="P2020">
            <v>840</v>
          </cell>
          <cell r="Q2020">
            <v>1337</v>
          </cell>
          <cell r="R2020">
            <v>180</v>
          </cell>
          <cell r="S2020">
            <v>41</v>
          </cell>
          <cell r="T2020">
            <v>64</v>
          </cell>
          <cell r="U2020">
            <v>229</v>
          </cell>
          <cell r="V2020"/>
          <cell r="W2020" t="str">
            <v>박순홍</v>
          </cell>
          <cell r="X2020" t="str">
            <v>(인)</v>
          </cell>
          <cell r="Y2020" t="str">
            <v>박순홍</v>
          </cell>
          <cell r="Z2020" t="str">
            <v>(인)</v>
          </cell>
          <cell r="AA2020" t="str">
            <v>박상갑</v>
          </cell>
          <cell r="AB2020" t="str">
            <v>(인)</v>
          </cell>
          <cell r="AC2020" t="str">
            <v>이홍걸</v>
          </cell>
          <cell r="AD2020" t="str">
            <v>(인)</v>
          </cell>
          <cell r="AE2020">
            <v>1837</v>
          </cell>
          <cell r="AF2020" t="str">
            <v>동절기</v>
          </cell>
          <cell r="AG2020">
            <v>2</v>
          </cell>
          <cell r="AH2020">
            <v>0</v>
          </cell>
        </row>
        <row r="2021">
          <cell r="G2021">
            <v>2503270203</v>
          </cell>
          <cell r="H2021" t="str">
            <v>120동</v>
          </cell>
          <cell r="I2021">
            <v>250327</v>
          </cell>
          <cell r="J2021" t="str">
            <v>120동 11층 바닥</v>
          </cell>
          <cell r="K2021">
            <v>286</v>
          </cell>
          <cell r="L2021">
            <v>286</v>
          </cell>
          <cell r="M2021">
            <v>3018</v>
          </cell>
          <cell r="N2021" t="str">
            <v>대공</v>
          </cell>
          <cell r="O2021" t="str">
            <v>펌프카(1대)</v>
          </cell>
          <cell r="P2021">
            <v>840</v>
          </cell>
          <cell r="Q2021">
            <v>1337</v>
          </cell>
          <cell r="R2021">
            <v>180</v>
          </cell>
          <cell r="S2021">
            <v>52</v>
          </cell>
          <cell r="T2021">
            <v>25</v>
          </cell>
          <cell r="U2021">
            <v>218</v>
          </cell>
          <cell r="V2021"/>
          <cell r="W2021" t="str">
            <v>박순홍</v>
          </cell>
          <cell r="X2021" t="str">
            <v>(인)</v>
          </cell>
          <cell r="Y2021" t="str">
            <v>박순홍</v>
          </cell>
          <cell r="Z2021" t="str">
            <v>(인)</v>
          </cell>
          <cell r="AA2021" t="str">
            <v>박상갑</v>
          </cell>
          <cell r="AB2021" t="str">
            <v>(인)</v>
          </cell>
          <cell r="AC2021" t="str">
            <v>이홍걸</v>
          </cell>
          <cell r="AD2021" t="str">
            <v>(인)</v>
          </cell>
          <cell r="AE2021">
            <v>183.2</v>
          </cell>
          <cell r="AF2021" t="str">
            <v>동절기</v>
          </cell>
          <cell r="AG2021">
            <v>3</v>
          </cell>
          <cell r="AH2021">
            <v>0</v>
          </cell>
        </row>
        <row r="2022">
          <cell r="G2022">
            <v>2503280101</v>
          </cell>
          <cell r="H2022" t="str">
            <v>115동</v>
          </cell>
          <cell r="I2022">
            <v>250328</v>
          </cell>
          <cell r="J2022" t="str">
            <v>115동 17층 바닥. 주출입구</v>
          </cell>
          <cell r="K2022">
            <v>300</v>
          </cell>
          <cell r="L2022">
            <v>300</v>
          </cell>
          <cell r="M2022">
            <v>3018</v>
          </cell>
          <cell r="N2022" t="str">
            <v>용호</v>
          </cell>
          <cell r="O2022" t="str">
            <v>펌프카(1대)</v>
          </cell>
          <cell r="P2022">
            <v>838</v>
          </cell>
          <cell r="Q2022">
            <v>1329</v>
          </cell>
          <cell r="R2022">
            <v>195</v>
          </cell>
          <cell r="S2022">
            <v>46</v>
          </cell>
          <cell r="T2022">
            <v>80</v>
          </cell>
          <cell r="U2022">
            <v>202</v>
          </cell>
          <cell r="V2022"/>
          <cell r="W2022" t="str">
            <v>김광록</v>
          </cell>
          <cell r="X2022" t="str">
            <v>(인)</v>
          </cell>
          <cell r="Y2022" t="str">
            <v>박순홍</v>
          </cell>
          <cell r="Z2022" t="str">
            <v>(인)</v>
          </cell>
          <cell r="AA2022" t="str">
            <v>박상갑</v>
          </cell>
          <cell r="AB2022" t="str">
            <v>(인)</v>
          </cell>
          <cell r="AC2022" t="str">
            <v>이홍걸</v>
          </cell>
          <cell r="AD2022" t="str">
            <v>(인)</v>
          </cell>
          <cell r="AE2022">
            <v>183.1</v>
          </cell>
          <cell r="AF2022" t="str">
            <v>동절기</v>
          </cell>
          <cell r="AG2022">
            <v>1</v>
          </cell>
          <cell r="AH2022">
            <v>1</v>
          </cell>
          <cell r="AI2022">
            <v>2589</v>
          </cell>
          <cell r="AJ2022">
            <v>2602</v>
          </cell>
          <cell r="AK2022">
            <v>205600</v>
          </cell>
          <cell r="AL2022">
            <v>3769</v>
          </cell>
          <cell r="AM2022">
            <v>4014</v>
          </cell>
          <cell r="AN2022">
            <v>3867</v>
          </cell>
          <cell r="AO2022">
            <v>3889</v>
          </cell>
          <cell r="AP2022">
            <v>4036</v>
          </cell>
          <cell r="AQ2022">
            <v>4016</v>
          </cell>
          <cell r="AR2022">
            <v>4114</v>
          </cell>
          <cell r="AS2022">
            <v>3967</v>
          </cell>
          <cell r="AT2022">
            <v>313000</v>
          </cell>
        </row>
        <row r="2023">
          <cell r="G2023">
            <v>2503280102</v>
          </cell>
          <cell r="H2023" t="str">
            <v>115동</v>
          </cell>
          <cell r="I2023">
            <v>250328</v>
          </cell>
          <cell r="J2023" t="str">
            <v>115동 17층 바닥, 주출입구</v>
          </cell>
          <cell r="K2023">
            <v>300</v>
          </cell>
          <cell r="L2023">
            <v>300</v>
          </cell>
          <cell r="M2023">
            <v>3018</v>
          </cell>
          <cell r="N2023" t="str">
            <v>용호</v>
          </cell>
          <cell r="O2023" t="str">
            <v>펌프카(1대)</v>
          </cell>
          <cell r="P2023">
            <v>838</v>
          </cell>
          <cell r="Q2023">
            <v>1329</v>
          </cell>
          <cell r="R2023">
            <v>180</v>
          </cell>
          <cell r="S2023">
            <v>43</v>
          </cell>
          <cell r="T2023">
            <v>37</v>
          </cell>
          <cell r="U2023">
            <v>198</v>
          </cell>
          <cell r="V2023"/>
          <cell r="W2023" t="str">
            <v>김광록</v>
          </cell>
          <cell r="X2023" t="str">
            <v>(인)</v>
          </cell>
          <cell r="Y2023" t="str">
            <v>박순홍</v>
          </cell>
          <cell r="Z2023" t="str">
            <v>(인)</v>
          </cell>
          <cell r="AA2023" t="str">
            <v>박상갑</v>
          </cell>
          <cell r="AB2023" t="str">
            <v>(인)</v>
          </cell>
          <cell r="AC2023" t="str">
            <v>이홍걸</v>
          </cell>
          <cell r="AD2023" t="str">
            <v>(인)</v>
          </cell>
          <cell r="AE2023">
            <v>177.6</v>
          </cell>
          <cell r="AF2023" t="str">
            <v>동절기</v>
          </cell>
          <cell r="AG2023">
            <v>2</v>
          </cell>
          <cell r="AH2023">
            <v>0</v>
          </cell>
        </row>
        <row r="2024">
          <cell r="G2024">
            <v>2503280103</v>
          </cell>
          <cell r="H2024" t="str">
            <v>115동</v>
          </cell>
          <cell r="I2024">
            <v>250328</v>
          </cell>
          <cell r="J2024" t="str">
            <v>115동 17층 바닥, 주출입구</v>
          </cell>
          <cell r="K2024">
            <v>300</v>
          </cell>
          <cell r="L2024">
            <v>300</v>
          </cell>
          <cell r="M2024">
            <v>3018</v>
          </cell>
          <cell r="N2024" t="str">
            <v>용호</v>
          </cell>
          <cell r="O2024" t="str">
            <v>펌프카(1대)</v>
          </cell>
          <cell r="P2024">
            <v>838</v>
          </cell>
          <cell r="Q2024">
            <v>1329</v>
          </cell>
          <cell r="R2024">
            <v>195</v>
          </cell>
          <cell r="S2024">
            <v>40</v>
          </cell>
          <cell r="T2024">
            <v>19</v>
          </cell>
          <cell r="U2024">
            <v>205</v>
          </cell>
          <cell r="V2024"/>
          <cell r="W2024" t="str">
            <v>김광록</v>
          </cell>
          <cell r="X2024" t="str">
            <v>(인)</v>
          </cell>
          <cell r="Y2024" t="str">
            <v>박순홍</v>
          </cell>
          <cell r="Z2024" t="str">
            <v>(인)</v>
          </cell>
          <cell r="AA2024" t="str">
            <v>박상갑</v>
          </cell>
          <cell r="AB2024" t="str">
            <v>(인)</v>
          </cell>
          <cell r="AC2024" t="str">
            <v>이홍걸</v>
          </cell>
          <cell r="AD2024" t="str">
            <v>(인)</v>
          </cell>
          <cell r="AE2024">
            <v>176.6</v>
          </cell>
          <cell r="AF2024" t="str">
            <v>동절기</v>
          </cell>
          <cell r="AG2024">
            <v>3</v>
          </cell>
          <cell r="AH2024">
            <v>0</v>
          </cell>
        </row>
        <row r="2025">
          <cell r="G2025">
            <v>2503280201</v>
          </cell>
          <cell r="H2025" t="str">
            <v>108동</v>
          </cell>
          <cell r="I2025">
            <v>250328</v>
          </cell>
          <cell r="J2025" t="str">
            <v>108동 17층 바닥</v>
          </cell>
          <cell r="K2025">
            <v>293</v>
          </cell>
          <cell r="L2025">
            <v>293</v>
          </cell>
          <cell r="M2025">
            <v>3018</v>
          </cell>
          <cell r="N2025" t="str">
            <v>대원</v>
          </cell>
          <cell r="O2025" t="str">
            <v>펌프카(1대)</v>
          </cell>
          <cell r="P2025">
            <v>1139</v>
          </cell>
          <cell r="Q2025">
            <v>1645</v>
          </cell>
          <cell r="R2025">
            <v>190</v>
          </cell>
          <cell r="S2025">
            <v>51</v>
          </cell>
          <cell r="T2025">
            <v>21</v>
          </cell>
          <cell r="U2025">
            <v>196</v>
          </cell>
          <cell r="V2025"/>
          <cell r="W2025" t="str">
            <v>김광록</v>
          </cell>
          <cell r="X2025" t="str">
            <v>(인)</v>
          </cell>
          <cell r="Y2025" t="str">
            <v>박순홍</v>
          </cell>
          <cell r="Z2025" t="str">
            <v>(인)</v>
          </cell>
          <cell r="AA2025" t="str">
            <v>박상갑</v>
          </cell>
          <cell r="AB2025" t="str">
            <v>(인)</v>
          </cell>
          <cell r="AC2025" t="str">
            <v>이홍걸</v>
          </cell>
          <cell r="AD2025" t="str">
            <v>(인)</v>
          </cell>
          <cell r="AE2025">
            <v>180.7</v>
          </cell>
          <cell r="AF2025" t="str">
            <v>동절기</v>
          </cell>
          <cell r="AG2025">
            <v>1</v>
          </cell>
          <cell r="AH2025">
            <v>1</v>
          </cell>
          <cell r="AI2025">
            <v>2584</v>
          </cell>
          <cell r="AJ2025">
            <v>2612</v>
          </cell>
          <cell r="AK2025">
            <v>198400</v>
          </cell>
          <cell r="AL2025">
            <v>3867</v>
          </cell>
          <cell r="AM2025">
            <v>3992</v>
          </cell>
          <cell r="AN2025">
            <v>3936</v>
          </cell>
          <cell r="AO2025">
            <v>4037</v>
          </cell>
          <cell r="AP2025">
            <v>3968</v>
          </cell>
          <cell r="AQ2025">
            <v>3972</v>
          </cell>
          <cell r="AR2025">
            <v>3907</v>
          </cell>
          <cell r="AS2025">
            <v>4001</v>
          </cell>
          <cell r="AT2025">
            <v>313800</v>
          </cell>
        </row>
        <row r="2026">
          <cell r="G2026">
            <v>2503280202</v>
          </cell>
          <cell r="H2026" t="str">
            <v>108동</v>
          </cell>
          <cell r="I2026">
            <v>250328</v>
          </cell>
          <cell r="J2026" t="str">
            <v>108동 17층 바닥</v>
          </cell>
          <cell r="K2026">
            <v>293</v>
          </cell>
          <cell r="L2026">
            <v>293</v>
          </cell>
          <cell r="M2026">
            <v>3018</v>
          </cell>
          <cell r="N2026" t="str">
            <v>대원</v>
          </cell>
          <cell r="O2026" t="str">
            <v>펌프카(1대)</v>
          </cell>
          <cell r="P2026">
            <v>1139</v>
          </cell>
          <cell r="Q2026">
            <v>1645</v>
          </cell>
          <cell r="R2026">
            <v>185</v>
          </cell>
          <cell r="S2026">
            <v>48</v>
          </cell>
          <cell r="T2026">
            <v>16</v>
          </cell>
          <cell r="U2026">
            <v>193</v>
          </cell>
          <cell r="V2026"/>
          <cell r="W2026" t="str">
            <v>김광록</v>
          </cell>
          <cell r="X2026" t="str">
            <v>(인)</v>
          </cell>
          <cell r="Y2026" t="str">
            <v>박순홍</v>
          </cell>
          <cell r="Z2026" t="str">
            <v>(인)</v>
          </cell>
          <cell r="AA2026" t="str">
            <v>박상갑</v>
          </cell>
          <cell r="AB2026" t="str">
            <v>(인)</v>
          </cell>
          <cell r="AC2026" t="str">
            <v>이홍걸</v>
          </cell>
          <cell r="AD2026" t="str">
            <v>(인)</v>
          </cell>
          <cell r="AE2026">
            <v>178.7</v>
          </cell>
          <cell r="AF2026" t="str">
            <v>동절기</v>
          </cell>
          <cell r="AG2026">
            <v>2</v>
          </cell>
          <cell r="AH2026">
            <v>0</v>
          </cell>
        </row>
        <row r="2027">
          <cell r="G2027">
            <v>2503280203</v>
          </cell>
          <cell r="H2027" t="str">
            <v>108동</v>
          </cell>
          <cell r="I2027">
            <v>250328</v>
          </cell>
          <cell r="J2027" t="str">
            <v>108동 17층 바닥</v>
          </cell>
          <cell r="K2027">
            <v>293</v>
          </cell>
          <cell r="L2027">
            <v>293</v>
          </cell>
          <cell r="M2027">
            <v>3018</v>
          </cell>
          <cell r="N2027" t="str">
            <v>대원</v>
          </cell>
          <cell r="O2027" t="str">
            <v>펌프카(1대)</v>
          </cell>
          <cell r="P2027">
            <v>1139</v>
          </cell>
          <cell r="Q2027">
            <v>1645</v>
          </cell>
          <cell r="R2027">
            <v>180</v>
          </cell>
          <cell r="S2027">
            <v>45</v>
          </cell>
          <cell r="T2027">
            <v>4</v>
          </cell>
          <cell r="U2027">
            <v>197</v>
          </cell>
          <cell r="V2027"/>
          <cell r="W2027" t="str">
            <v>김광록</v>
          </cell>
          <cell r="X2027" t="str">
            <v>(인)</v>
          </cell>
          <cell r="Y2027" t="str">
            <v>박순홍</v>
          </cell>
          <cell r="Z2027" t="str">
            <v>(인)</v>
          </cell>
          <cell r="AA2027" t="str">
            <v>박상갑</v>
          </cell>
          <cell r="AB2027" t="str">
            <v>(인)</v>
          </cell>
          <cell r="AC2027" t="str">
            <v>이홍걸</v>
          </cell>
          <cell r="AD2027" t="str">
            <v>(인)</v>
          </cell>
          <cell r="AE2027">
            <v>177.2</v>
          </cell>
          <cell r="AF2027" t="str">
            <v>동절기</v>
          </cell>
          <cell r="AG2027">
            <v>3</v>
          </cell>
          <cell r="AH2027">
            <v>0</v>
          </cell>
        </row>
        <row r="2028">
          <cell r="G2028">
            <v>2503280301</v>
          </cell>
          <cell r="H2028" t="str">
            <v>주차장</v>
          </cell>
          <cell r="I2028">
            <v>250328</v>
          </cell>
          <cell r="J2028" t="str">
            <v>108동~109동 사이 주차장</v>
          </cell>
          <cell r="K2028">
            <v>48</v>
          </cell>
          <cell r="L2028">
            <v>48</v>
          </cell>
          <cell r="M2028">
            <v>2715</v>
          </cell>
          <cell r="N2028" t="str">
            <v>대원</v>
          </cell>
          <cell r="O2028" t="str">
            <v>펌프카(1대)</v>
          </cell>
          <cell r="P2028">
            <v>806</v>
          </cell>
          <cell r="Q2028">
            <v>1011</v>
          </cell>
          <cell r="R2028">
            <v>150</v>
          </cell>
          <cell r="S2028">
            <v>52</v>
          </cell>
          <cell r="T2028">
            <v>86</v>
          </cell>
          <cell r="U2028">
            <v>195</v>
          </cell>
          <cell r="V2028"/>
          <cell r="W2028" t="str">
            <v>김광록</v>
          </cell>
          <cell r="X2028" t="str">
            <v>(인)</v>
          </cell>
          <cell r="Y2028" t="str">
            <v>박순홍</v>
          </cell>
          <cell r="Z2028" t="str">
            <v>(인)</v>
          </cell>
          <cell r="AA2028" t="str">
            <v>박상갑</v>
          </cell>
          <cell r="AB2028" t="str">
            <v>(인)</v>
          </cell>
          <cell r="AC2028" t="str">
            <v>이홍걸</v>
          </cell>
          <cell r="AD2028" t="str">
            <v>(인)</v>
          </cell>
          <cell r="AE2028">
            <v>174.2</v>
          </cell>
          <cell r="AF2028" t="str">
            <v>동절기</v>
          </cell>
          <cell r="AG2028">
            <v>1</v>
          </cell>
          <cell r="AH2028">
            <v>1</v>
          </cell>
          <cell r="AI2028">
            <v>2179</v>
          </cell>
          <cell r="AJ2028">
            <v>2210</v>
          </cell>
          <cell r="AK2028">
            <v>173400</v>
          </cell>
          <cell r="AL2028">
            <v>3604</v>
          </cell>
          <cell r="AM2028">
            <v>3586</v>
          </cell>
          <cell r="AN2028">
            <v>3419</v>
          </cell>
          <cell r="AO2028">
            <v>3530</v>
          </cell>
          <cell r="AP2028">
            <v>3516</v>
          </cell>
          <cell r="AQ2028">
            <v>3604</v>
          </cell>
          <cell r="AR2028">
            <v>3584</v>
          </cell>
          <cell r="AS2028">
            <v>3529</v>
          </cell>
          <cell r="AT2028">
            <v>279400</v>
          </cell>
        </row>
        <row r="2029">
          <cell r="G2029">
            <v>2503280401</v>
          </cell>
          <cell r="H2029" t="str">
            <v>누름</v>
          </cell>
          <cell r="I2029">
            <v>250328</v>
          </cell>
          <cell r="J2029" t="str">
            <v>115동 주변주차장</v>
          </cell>
          <cell r="K2029">
            <v>108</v>
          </cell>
          <cell r="L2029">
            <v>108</v>
          </cell>
          <cell r="M2029">
            <v>1815</v>
          </cell>
          <cell r="N2029" t="str">
            <v>용호</v>
          </cell>
          <cell r="O2029" t="str">
            <v>펌프카(1대)</v>
          </cell>
          <cell r="P2029">
            <v>1426</v>
          </cell>
          <cell r="Q2029">
            <v>1628</v>
          </cell>
          <cell r="R2029">
            <v>155</v>
          </cell>
          <cell r="S2029">
            <v>47</v>
          </cell>
          <cell r="T2029">
            <v>24</v>
          </cell>
          <cell r="U2029">
            <v>20.8</v>
          </cell>
          <cell r="V2029"/>
          <cell r="W2029" t="str">
            <v>박순홍</v>
          </cell>
          <cell r="X2029" t="str">
            <v>(인)</v>
          </cell>
          <cell r="Y2029" t="str">
            <v>박순홍</v>
          </cell>
          <cell r="Z2029" t="str">
            <v>(인)</v>
          </cell>
          <cell r="AA2029" t="str">
            <v>박상갑</v>
          </cell>
          <cell r="AB2029" t="str">
            <v>(인)</v>
          </cell>
          <cell r="AC2029" t="str">
            <v>이홍걸</v>
          </cell>
          <cell r="AD2029" t="str">
            <v>(인)</v>
          </cell>
          <cell r="AE2029">
            <v>179.3</v>
          </cell>
          <cell r="AF2029" t="str">
            <v>동절기</v>
          </cell>
          <cell r="AG2029">
            <v>1</v>
          </cell>
          <cell r="AH2029">
            <v>1</v>
          </cell>
          <cell r="AI2029">
            <v>1499</v>
          </cell>
          <cell r="AJ2029">
            <v>1476</v>
          </cell>
          <cell r="AK2029">
            <v>117000</v>
          </cell>
          <cell r="AL2029">
            <v>2570</v>
          </cell>
          <cell r="AM2029">
            <v>2486</v>
          </cell>
          <cell r="AN2029">
            <v>2467</v>
          </cell>
          <cell r="AO2029">
            <v>2507</v>
          </cell>
          <cell r="AP2029">
            <v>2581</v>
          </cell>
          <cell r="AQ2029">
            <v>2479</v>
          </cell>
          <cell r="AR2029">
            <v>2430</v>
          </cell>
          <cell r="AS2029">
            <v>2467</v>
          </cell>
          <cell r="AT2029">
            <v>201600</v>
          </cell>
        </row>
        <row r="2030">
          <cell r="G2030">
            <v>2503310101</v>
          </cell>
          <cell r="H2030" t="str">
            <v>117동</v>
          </cell>
          <cell r="I2030">
            <v>250331</v>
          </cell>
          <cell r="J2030" t="str">
            <v>117동 14층 바닥</v>
          </cell>
          <cell r="K2030">
            <v>336</v>
          </cell>
          <cell r="L2030">
            <v>336</v>
          </cell>
          <cell r="M2030">
            <v>3018</v>
          </cell>
          <cell r="N2030" t="str">
            <v>영진</v>
          </cell>
          <cell r="O2030" t="str">
            <v>펌프카(1대)</v>
          </cell>
          <cell r="P2030">
            <v>836</v>
          </cell>
          <cell r="Q2030">
            <v>1355</v>
          </cell>
          <cell r="R2030">
            <v>185</v>
          </cell>
          <cell r="S2030">
            <v>40</v>
          </cell>
          <cell r="T2030">
            <v>21</v>
          </cell>
          <cell r="U2030">
            <v>148</v>
          </cell>
          <cell r="V2030"/>
          <cell r="W2030" t="str">
            <v>김광록</v>
          </cell>
          <cell r="X2030" t="str">
            <v>(인)</v>
          </cell>
          <cell r="Y2030" t="str">
            <v>박순홍</v>
          </cell>
          <cell r="Z2030" t="str">
            <v>(인)</v>
          </cell>
          <cell r="AA2030" t="str">
            <v>이홍걸</v>
          </cell>
          <cell r="AB2030" t="str">
            <v>(인)</v>
          </cell>
          <cell r="AC2030" t="str">
            <v>박상갑</v>
          </cell>
          <cell r="AD2030" t="str">
            <v>(인)</v>
          </cell>
          <cell r="AE2030">
            <v>182.6</v>
          </cell>
          <cell r="AF2030" t="str">
            <v>동절기</v>
          </cell>
          <cell r="AG2030">
            <v>1</v>
          </cell>
          <cell r="AH2030">
            <v>1</v>
          </cell>
          <cell r="AI2030">
            <v>2872</v>
          </cell>
          <cell r="AJ2030">
            <v>2881</v>
          </cell>
          <cell r="AK2030">
            <v>226600</v>
          </cell>
          <cell r="AL2030">
            <v>3913</v>
          </cell>
          <cell r="AM2030">
            <v>3850</v>
          </cell>
          <cell r="AN2030">
            <v>3876</v>
          </cell>
          <cell r="AO2030">
            <v>3936</v>
          </cell>
          <cell r="AP2030">
            <v>3974</v>
          </cell>
          <cell r="AQ2030">
            <v>4036</v>
          </cell>
          <cell r="AR2030">
            <v>3964</v>
          </cell>
          <cell r="AS2030">
            <v>3876</v>
          </cell>
          <cell r="AT2030">
            <v>306600</v>
          </cell>
        </row>
        <row r="2031">
          <cell r="G2031">
            <v>2503310102</v>
          </cell>
          <cell r="H2031" t="str">
            <v>117동</v>
          </cell>
          <cell r="I2031">
            <v>250331</v>
          </cell>
          <cell r="J2031" t="str">
            <v>117동 14층 바닥</v>
          </cell>
          <cell r="K2031">
            <v>336</v>
          </cell>
          <cell r="L2031">
            <v>336</v>
          </cell>
          <cell r="M2031">
            <v>3018</v>
          </cell>
          <cell r="N2031" t="str">
            <v>영진</v>
          </cell>
          <cell r="O2031" t="str">
            <v>펌프카(1대)</v>
          </cell>
          <cell r="P2031">
            <v>836</v>
          </cell>
          <cell r="Q2031">
            <v>1355</v>
          </cell>
          <cell r="R2031">
            <v>195</v>
          </cell>
          <cell r="S2031">
            <v>50</v>
          </cell>
          <cell r="T2031">
            <v>33</v>
          </cell>
          <cell r="U2031">
            <v>133</v>
          </cell>
          <cell r="V2031"/>
          <cell r="W2031" t="str">
            <v>김광록</v>
          </cell>
          <cell r="X2031" t="str">
            <v>(인)</v>
          </cell>
          <cell r="Y2031" t="str">
            <v>박순홍</v>
          </cell>
          <cell r="Z2031" t="str">
            <v>(인)</v>
          </cell>
          <cell r="AA2031" t="str">
            <v>이홍걸</v>
          </cell>
          <cell r="AB2031" t="str">
            <v>(인)</v>
          </cell>
          <cell r="AC2031" t="str">
            <v>박상갑</v>
          </cell>
          <cell r="AD2031" t="str">
            <v>(인)</v>
          </cell>
          <cell r="AE2031">
            <v>182.7</v>
          </cell>
          <cell r="AF2031" t="str">
            <v>동절기</v>
          </cell>
          <cell r="AG2031">
            <v>2</v>
          </cell>
          <cell r="AH2031">
            <v>0</v>
          </cell>
        </row>
        <row r="2032">
          <cell r="G2032">
            <v>2503310103</v>
          </cell>
          <cell r="H2032" t="str">
            <v>117동</v>
          </cell>
          <cell r="I2032">
            <v>250331</v>
          </cell>
          <cell r="J2032" t="str">
            <v>117동 14층 바닥</v>
          </cell>
          <cell r="K2032">
            <v>336</v>
          </cell>
          <cell r="L2032">
            <v>336</v>
          </cell>
          <cell r="M2032">
            <v>3018</v>
          </cell>
          <cell r="N2032" t="str">
            <v>영진</v>
          </cell>
          <cell r="O2032" t="str">
            <v>펌프카(1대)</v>
          </cell>
          <cell r="P2032">
            <v>836</v>
          </cell>
          <cell r="Q2032">
            <v>1355</v>
          </cell>
          <cell r="R2032">
            <v>195</v>
          </cell>
          <cell r="S2032">
            <v>54</v>
          </cell>
          <cell r="T2032">
            <v>35</v>
          </cell>
          <cell r="U2032">
            <v>145</v>
          </cell>
          <cell r="V2032"/>
          <cell r="W2032" t="str">
            <v>김광록</v>
          </cell>
          <cell r="X2032" t="str">
            <v>(인)</v>
          </cell>
          <cell r="Y2032" t="str">
            <v>박순홍</v>
          </cell>
          <cell r="Z2032" t="str">
            <v>(인)</v>
          </cell>
          <cell r="AA2032" t="str">
            <v>이홍걸</v>
          </cell>
          <cell r="AB2032" t="str">
            <v>(인)</v>
          </cell>
          <cell r="AC2032" t="str">
            <v>박상갑</v>
          </cell>
          <cell r="AD2032" t="str">
            <v>(인)</v>
          </cell>
          <cell r="AE2032">
            <v>180.2</v>
          </cell>
          <cell r="AF2032" t="str">
            <v>동절기</v>
          </cell>
          <cell r="AG2032">
            <v>3</v>
          </cell>
          <cell r="AH2032">
            <v>0</v>
          </cell>
        </row>
        <row r="2033">
          <cell r="G2033">
            <v>2503310201</v>
          </cell>
          <cell r="H2033" t="str">
            <v>118동</v>
          </cell>
          <cell r="I2033">
            <v>250331</v>
          </cell>
          <cell r="J2033" t="str">
            <v>118동 13층 바닥</v>
          </cell>
          <cell r="K2033">
            <v>288</v>
          </cell>
          <cell r="L2033">
            <v>288</v>
          </cell>
          <cell r="M2033">
            <v>3018</v>
          </cell>
          <cell r="N2033" t="str">
            <v>용호</v>
          </cell>
          <cell r="O2033" t="str">
            <v>펌프카(1대)</v>
          </cell>
          <cell r="P2033">
            <v>820</v>
          </cell>
          <cell r="Q2033">
            <v>1216</v>
          </cell>
          <cell r="R2033">
            <v>175</v>
          </cell>
          <cell r="S2033">
            <v>50</v>
          </cell>
          <cell r="T2033">
            <v>37</v>
          </cell>
          <cell r="U2033">
            <v>146</v>
          </cell>
          <cell r="V2033"/>
          <cell r="W2033" t="str">
            <v>김광록</v>
          </cell>
          <cell r="X2033" t="str">
            <v>(인)</v>
          </cell>
          <cell r="Y2033" t="str">
            <v>박순홍</v>
          </cell>
          <cell r="Z2033" t="str">
            <v>(인)</v>
          </cell>
          <cell r="AA2033" t="str">
            <v>이홍걸</v>
          </cell>
          <cell r="AB2033" t="str">
            <v>(인)</v>
          </cell>
          <cell r="AC2033" t="str">
            <v>박상갑</v>
          </cell>
          <cell r="AD2033" t="str">
            <v>(인)</v>
          </cell>
          <cell r="AE2033">
            <v>180.4</v>
          </cell>
          <cell r="AF2033" t="str">
            <v>동절기</v>
          </cell>
          <cell r="AG2033">
            <v>1</v>
          </cell>
          <cell r="AH2033">
            <v>1</v>
          </cell>
          <cell r="AI2033">
            <v>2730</v>
          </cell>
          <cell r="AJ2033">
            <v>2687</v>
          </cell>
          <cell r="AK2033">
            <v>214400</v>
          </cell>
          <cell r="AL2033">
            <v>3959</v>
          </cell>
          <cell r="AM2033">
            <v>4066</v>
          </cell>
          <cell r="AN2033">
            <v>4136</v>
          </cell>
          <cell r="AO2033">
            <v>4172</v>
          </cell>
          <cell r="AP2033">
            <v>3968</v>
          </cell>
          <cell r="AQ2033">
            <v>4072</v>
          </cell>
          <cell r="AR2033">
            <v>4068</v>
          </cell>
          <cell r="AS2033">
            <v>4107</v>
          </cell>
          <cell r="AT2033">
            <v>326400</v>
          </cell>
        </row>
        <row r="2034">
          <cell r="G2034">
            <v>2503310202</v>
          </cell>
          <cell r="H2034" t="str">
            <v>118동</v>
          </cell>
          <cell r="I2034">
            <v>250331</v>
          </cell>
          <cell r="J2034" t="str">
            <v>118동 13층 바닥</v>
          </cell>
          <cell r="K2034">
            <v>288</v>
          </cell>
          <cell r="L2034">
            <v>288</v>
          </cell>
          <cell r="M2034">
            <v>3018</v>
          </cell>
          <cell r="N2034" t="str">
            <v>용호</v>
          </cell>
          <cell r="O2034" t="str">
            <v>펌프카(1대)</v>
          </cell>
          <cell r="P2034">
            <v>820</v>
          </cell>
          <cell r="Q2034">
            <v>1216</v>
          </cell>
          <cell r="R2034">
            <v>195</v>
          </cell>
          <cell r="S2034">
            <v>52</v>
          </cell>
          <cell r="T2034">
            <v>42</v>
          </cell>
          <cell r="U2034">
            <v>131</v>
          </cell>
          <cell r="V2034"/>
          <cell r="W2034" t="str">
            <v>김광록</v>
          </cell>
          <cell r="X2034" t="str">
            <v>(인)</v>
          </cell>
          <cell r="Y2034" t="str">
            <v>박순홍</v>
          </cell>
          <cell r="Z2034" t="str">
            <v>(인)</v>
          </cell>
          <cell r="AA2034" t="str">
            <v>이홍걸</v>
          </cell>
          <cell r="AB2034" t="str">
            <v>(인)</v>
          </cell>
          <cell r="AC2034" t="str">
            <v>박상갑</v>
          </cell>
          <cell r="AD2034" t="str">
            <v>(인)</v>
          </cell>
          <cell r="AE2034">
            <v>183.1</v>
          </cell>
          <cell r="AF2034" t="str">
            <v>동절기</v>
          </cell>
          <cell r="AG2034">
            <v>2</v>
          </cell>
          <cell r="AH2034">
            <v>0</v>
          </cell>
        </row>
        <row r="2035">
          <cell r="G2035">
            <v>2503310203</v>
          </cell>
          <cell r="H2035" t="str">
            <v>118동</v>
          </cell>
          <cell r="I2035">
            <v>250331</v>
          </cell>
          <cell r="J2035" t="str">
            <v>118동 13층 바닥</v>
          </cell>
          <cell r="K2035">
            <v>288</v>
          </cell>
          <cell r="L2035">
            <v>288</v>
          </cell>
          <cell r="M2035">
            <v>3018</v>
          </cell>
          <cell r="N2035" t="str">
            <v>용호</v>
          </cell>
          <cell r="O2035" t="str">
            <v>펌프카(1대)</v>
          </cell>
          <cell r="P2035">
            <v>820</v>
          </cell>
          <cell r="Q2035">
            <v>1216</v>
          </cell>
          <cell r="R2035">
            <v>180</v>
          </cell>
          <cell r="S2035">
            <v>48</v>
          </cell>
          <cell r="T2035">
            <v>38</v>
          </cell>
          <cell r="U2035">
            <v>170</v>
          </cell>
          <cell r="V2035"/>
          <cell r="W2035" t="str">
            <v>김광록</v>
          </cell>
          <cell r="X2035" t="str">
            <v>(인)</v>
          </cell>
          <cell r="Y2035" t="str">
            <v>박순홍</v>
          </cell>
          <cell r="Z2035" t="str">
            <v>(인)</v>
          </cell>
          <cell r="AA2035" t="str">
            <v>이홍걸</v>
          </cell>
          <cell r="AB2035" t="str">
            <v>(인)</v>
          </cell>
          <cell r="AC2035" t="str">
            <v>박상갑</v>
          </cell>
          <cell r="AD2035" t="str">
            <v>(인)</v>
          </cell>
          <cell r="AE2035">
            <v>181.5</v>
          </cell>
          <cell r="AF2035" t="str">
            <v>동절기</v>
          </cell>
          <cell r="AG2035">
            <v>3</v>
          </cell>
          <cell r="AH2035">
            <v>0</v>
          </cell>
        </row>
        <row r="2036">
          <cell r="G2036">
            <v>2503310301</v>
          </cell>
          <cell r="H2036" t="str">
            <v>119동</v>
          </cell>
          <cell r="I2036">
            <v>250331</v>
          </cell>
          <cell r="J2036" t="str">
            <v>119동 13층 바닥</v>
          </cell>
          <cell r="K2036">
            <v>287</v>
          </cell>
          <cell r="L2036">
            <v>287</v>
          </cell>
          <cell r="M2036">
            <v>3018</v>
          </cell>
          <cell r="N2036" t="str">
            <v>용호</v>
          </cell>
          <cell r="O2036" t="str">
            <v>펌프카(1대)</v>
          </cell>
          <cell r="P2036">
            <v>1308</v>
          </cell>
          <cell r="Q2036">
            <v>1640</v>
          </cell>
          <cell r="R2036">
            <v>195</v>
          </cell>
          <cell r="S2036">
            <v>39</v>
          </cell>
          <cell r="T2036">
            <v>91</v>
          </cell>
          <cell r="U2036">
            <v>187</v>
          </cell>
          <cell r="V2036"/>
          <cell r="W2036" t="str">
            <v>박순홍</v>
          </cell>
          <cell r="X2036" t="str">
            <v>(인)</v>
          </cell>
          <cell r="Y2036" t="str">
            <v>박순홍</v>
          </cell>
          <cell r="Z2036" t="str">
            <v>(인)</v>
          </cell>
          <cell r="AA2036" t="str">
            <v>이홍걸</v>
          </cell>
          <cell r="AB2036" t="str">
            <v>(인)</v>
          </cell>
          <cell r="AC2036" t="str">
            <v>박상갑</v>
          </cell>
          <cell r="AD2036" t="str">
            <v>(인)</v>
          </cell>
          <cell r="AE2036">
            <v>179.8</v>
          </cell>
          <cell r="AF2036" t="str">
            <v>동절기</v>
          </cell>
          <cell r="AG2036">
            <v>1</v>
          </cell>
          <cell r="AH2036">
            <v>1</v>
          </cell>
          <cell r="AI2036">
            <v>2679</v>
          </cell>
          <cell r="AJ2036">
            <v>2684</v>
          </cell>
          <cell r="AK2036">
            <v>210800</v>
          </cell>
          <cell r="AL2036">
            <v>4056</v>
          </cell>
          <cell r="AM2036">
            <v>3924</v>
          </cell>
          <cell r="AN2036">
            <v>4172</v>
          </cell>
          <cell r="AO2036">
            <v>3966</v>
          </cell>
          <cell r="AP2036">
            <v>3984</v>
          </cell>
          <cell r="AQ2036">
            <v>4064</v>
          </cell>
          <cell r="AR2036">
            <v>3984</v>
          </cell>
          <cell r="AS2036">
            <v>3976</v>
          </cell>
          <cell r="AT2036">
            <v>322400</v>
          </cell>
        </row>
        <row r="2037">
          <cell r="G2037">
            <v>2503310302</v>
          </cell>
          <cell r="H2037" t="str">
            <v>119동</v>
          </cell>
          <cell r="I2037">
            <v>250331</v>
          </cell>
          <cell r="J2037" t="str">
            <v>119동 13층 바닥</v>
          </cell>
          <cell r="K2037">
            <v>287</v>
          </cell>
          <cell r="L2037">
            <v>287</v>
          </cell>
          <cell r="M2037">
            <v>3018</v>
          </cell>
          <cell r="N2037" t="str">
            <v>용호</v>
          </cell>
          <cell r="O2037" t="str">
            <v>펌프카(1대)</v>
          </cell>
          <cell r="P2037">
            <v>1308</v>
          </cell>
          <cell r="Q2037">
            <v>1640</v>
          </cell>
          <cell r="R2037">
            <v>190</v>
          </cell>
          <cell r="S2037">
            <v>35</v>
          </cell>
          <cell r="T2037">
            <v>73</v>
          </cell>
          <cell r="U2037">
            <v>188</v>
          </cell>
          <cell r="V2037"/>
          <cell r="W2037" t="str">
            <v>박순홍</v>
          </cell>
          <cell r="X2037" t="str">
            <v>(인)</v>
          </cell>
          <cell r="Y2037" t="str">
            <v>박순홍</v>
          </cell>
          <cell r="Z2037" t="str">
            <v>(인)</v>
          </cell>
          <cell r="AA2037" t="str">
            <v>이홍걸</v>
          </cell>
          <cell r="AB2037" t="str">
            <v>(인)</v>
          </cell>
          <cell r="AC2037" t="str">
            <v>박상갑</v>
          </cell>
          <cell r="AD2037" t="str">
            <v>(인)</v>
          </cell>
          <cell r="AE2037">
            <v>186.2</v>
          </cell>
          <cell r="AF2037" t="str">
            <v>동절기</v>
          </cell>
          <cell r="AG2037">
            <v>2</v>
          </cell>
          <cell r="AH2037">
            <v>0</v>
          </cell>
        </row>
        <row r="2038">
          <cell r="G2038">
            <v>2503310303</v>
          </cell>
          <cell r="H2038" t="str">
            <v>119동</v>
          </cell>
          <cell r="I2038">
            <v>250331</v>
          </cell>
          <cell r="J2038" t="str">
            <v>119동 13층 바닥</v>
          </cell>
          <cell r="K2038">
            <v>287</v>
          </cell>
          <cell r="L2038">
            <v>287</v>
          </cell>
          <cell r="M2038">
            <v>3018</v>
          </cell>
          <cell r="N2038" t="str">
            <v>용호</v>
          </cell>
          <cell r="O2038" t="str">
            <v>펌프카(1대)</v>
          </cell>
          <cell r="P2038">
            <v>1308</v>
          </cell>
          <cell r="Q2038">
            <v>1640</v>
          </cell>
          <cell r="R2038">
            <v>180</v>
          </cell>
          <cell r="S2038">
            <v>53</v>
          </cell>
          <cell r="T2038">
            <v>51</v>
          </cell>
          <cell r="U2038">
            <v>172</v>
          </cell>
          <cell r="V2038"/>
          <cell r="W2038" t="str">
            <v>박순홍</v>
          </cell>
          <cell r="X2038" t="str">
            <v>(인)</v>
          </cell>
          <cell r="Y2038" t="str">
            <v>박순홍</v>
          </cell>
          <cell r="Z2038" t="str">
            <v>(인)</v>
          </cell>
          <cell r="AA2038" t="str">
            <v>이홍걸</v>
          </cell>
          <cell r="AB2038" t="str">
            <v>(인)</v>
          </cell>
          <cell r="AC2038" t="str">
            <v>박상갑</v>
          </cell>
          <cell r="AD2038" t="str">
            <v>(인)</v>
          </cell>
          <cell r="AE2038">
            <v>184.2</v>
          </cell>
          <cell r="AF2038" t="str">
            <v>동절기</v>
          </cell>
          <cell r="AG2038">
            <v>3</v>
          </cell>
          <cell r="AH2038">
            <v>0</v>
          </cell>
        </row>
        <row r="2039">
          <cell r="G2039">
            <v>2503310401</v>
          </cell>
          <cell r="H2039" t="str">
            <v>주차장</v>
          </cell>
          <cell r="I2039">
            <v>250331</v>
          </cell>
          <cell r="J2039" t="str">
            <v>118동 주변주차장</v>
          </cell>
          <cell r="K2039">
            <v>588</v>
          </cell>
          <cell r="L2039">
            <v>588</v>
          </cell>
          <cell r="M2039">
            <v>2715</v>
          </cell>
          <cell r="N2039" t="str">
            <v>영진</v>
          </cell>
          <cell r="O2039" t="str">
            <v>펌프카(1대)</v>
          </cell>
          <cell r="P2039">
            <v>800</v>
          </cell>
          <cell r="Q2039">
            <v>1628</v>
          </cell>
          <cell r="R2039">
            <v>155</v>
          </cell>
          <cell r="S2039">
            <v>43</v>
          </cell>
          <cell r="T2039">
            <v>55</v>
          </cell>
          <cell r="U2039">
            <v>145</v>
          </cell>
          <cell r="V2039"/>
          <cell r="W2039" t="str">
            <v>김광록</v>
          </cell>
          <cell r="X2039" t="str">
            <v>(인)</v>
          </cell>
          <cell r="Y2039" t="str">
            <v>박순홍</v>
          </cell>
          <cell r="Z2039" t="str">
            <v>(인)</v>
          </cell>
          <cell r="AA2039" t="str">
            <v>이홍걸</v>
          </cell>
          <cell r="AB2039" t="str">
            <v>(인)</v>
          </cell>
          <cell r="AC2039" t="str">
            <v>박상갑</v>
          </cell>
          <cell r="AD2039" t="str">
            <v>(인)</v>
          </cell>
          <cell r="AE2039">
            <v>178.1</v>
          </cell>
          <cell r="AF2039" t="str">
            <v>동절기</v>
          </cell>
          <cell r="AG2039">
            <v>1</v>
          </cell>
          <cell r="AH2039">
            <v>1</v>
          </cell>
          <cell r="AI2039">
            <v>2301</v>
          </cell>
          <cell r="AJ2039">
            <v>2274</v>
          </cell>
          <cell r="AK2039">
            <v>179800</v>
          </cell>
          <cell r="AL2039">
            <v>3419</v>
          </cell>
          <cell r="AM2039">
            <v>3460</v>
          </cell>
          <cell r="AN2039">
            <v>3386</v>
          </cell>
          <cell r="AO2039">
            <v>3427</v>
          </cell>
          <cell r="AP2039">
            <v>3416</v>
          </cell>
          <cell r="AQ2039">
            <v>3397</v>
          </cell>
          <cell r="AR2039">
            <v>3284</v>
          </cell>
          <cell r="AS2039">
            <v>3367</v>
          </cell>
          <cell r="AT2039">
            <v>268600</v>
          </cell>
        </row>
        <row r="2040">
          <cell r="G2040">
            <v>2503310402</v>
          </cell>
          <cell r="H2040" t="str">
            <v>주차장</v>
          </cell>
          <cell r="I2040">
            <v>250331</v>
          </cell>
          <cell r="J2040" t="str">
            <v>118동 주변주차장</v>
          </cell>
          <cell r="K2040">
            <v>588</v>
          </cell>
          <cell r="L2040">
            <v>588</v>
          </cell>
          <cell r="M2040">
            <v>2715</v>
          </cell>
          <cell r="N2040" t="str">
            <v>영진</v>
          </cell>
          <cell r="O2040" t="str">
            <v>펌프카(1대)</v>
          </cell>
          <cell r="P2040">
            <v>800</v>
          </cell>
          <cell r="Q2040">
            <v>1628</v>
          </cell>
          <cell r="R2040">
            <v>160</v>
          </cell>
          <cell r="S2040">
            <v>45</v>
          </cell>
          <cell r="T2040">
            <v>43</v>
          </cell>
          <cell r="U2040">
            <v>138</v>
          </cell>
          <cell r="V2040"/>
          <cell r="W2040" t="str">
            <v>김광록</v>
          </cell>
          <cell r="X2040" t="str">
            <v>(인)</v>
          </cell>
          <cell r="Y2040" t="str">
            <v>박순홍</v>
          </cell>
          <cell r="Z2040" t="str">
            <v>(인)</v>
          </cell>
          <cell r="AA2040" t="str">
            <v>이홍걸</v>
          </cell>
          <cell r="AB2040" t="str">
            <v>(인)</v>
          </cell>
          <cell r="AC2040" t="str">
            <v>박상갑</v>
          </cell>
          <cell r="AD2040" t="str">
            <v>(인)</v>
          </cell>
          <cell r="AE2040">
            <v>177.2</v>
          </cell>
          <cell r="AF2040" t="str">
            <v>동절기</v>
          </cell>
          <cell r="AG2040">
            <v>2</v>
          </cell>
          <cell r="AH2040">
            <v>0</v>
          </cell>
        </row>
        <row r="2041">
          <cell r="G2041">
            <v>2503310403</v>
          </cell>
          <cell r="H2041" t="str">
            <v>주차장</v>
          </cell>
          <cell r="I2041">
            <v>250331</v>
          </cell>
          <cell r="J2041" t="str">
            <v>118동 주변주차장</v>
          </cell>
          <cell r="K2041">
            <v>588</v>
          </cell>
          <cell r="L2041">
            <v>588</v>
          </cell>
          <cell r="M2041">
            <v>2715</v>
          </cell>
          <cell r="N2041" t="str">
            <v>영진</v>
          </cell>
          <cell r="O2041" t="str">
            <v>펌프카(1대)</v>
          </cell>
          <cell r="P2041">
            <v>800</v>
          </cell>
          <cell r="Q2041">
            <v>1628</v>
          </cell>
          <cell r="R2041">
            <v>170</v>
          </cell>
          <cell r="S2041">
            <v>50</v>
          </cell>
          <cell r="T2041">
            <v>35</v>
          </cell>
          <cell r="U2041">
            <v>139</v>
          </cell>
          <cell r="V2041"/>
          <cell r="W2041" t="str">
            <v>김광록</v>
          </cell>
          <cell r="X2041" t="str">
            <v>(인)</v>
          </cell>
          <cell r="Y2041" t="str">
            <v>박순홍</v>
          </cell>
          <cell r="Z2041" t="str">
            <v>(인)</v>
          </cell>
          <cell r="AA2041" t="str">
            <v>이홍걸</v>
          </cell>
          <cell r="AB2041" t="str">
            <v>(인)</v>
          </cell>
          <cell r="AC2041" t="str">
            <v>박상갑</v>
          </cell>
          <cell r="AD2041" t="str">
            <v>(인)</v>
          </cell>
          <cell r="AE2041">
            <v>179.4</v>
          </cell>
          <cell r="AF2041" t="str">
            <v>동절기</v>
          </cell>
          <cell r="AG2041">
            <v>3</v>
          </cell>
          <cell r="AH2041">
            <v>0</v>
          </cell>
        </row>
        <row r="2042">
          <cell r="G2042">
            <v>2503310404</v>
          </cell>
          <cell r="H2042" t="str">
            <v>주차장</v>
          </cell>
          <cell r="I2042">
            <v>250331</v>
          </cell>
          <cell r="J2042" t="str">
            <v>118동 주변주차장</v>
          </cell>
          <cell r="K2042">
            <v>588</v>
          </cell>
          <cell r="L2042">
            <v>588</v>
          </cell>
          <cell r="M2042">
            <v>2715</v>
          </cell>
          <cell r="N2042" t="str">
            <v>영진</v>
          </cell>
          <cell r="O2042" t="str">
            <v>펌프카(1대)</v>
          </cell>
          <cell r="P2042">
            <v>800</v>
          </cell>
          <cell r="Q2042">
            <v>1628</v>
          </cell>
          <cell r="R2042">
            <v>155</v>
          </cell>
          <cell r="S2042">
            <v>42</v>
          </cell>
          <cell r="T2042">
            <v>48</v>
          </cell>
          <cell r="U2042">
            <v>166</v>
          </cell>
          <cell r="V2042"/>
          <cell r="W2042" t="str">
            <v>김광록</v>
          </cell>
          <cell r="X2042" t="str">
            <v>(인)</v>
          </cell>
          <cell r="Y2042" t="str">
            <v>박순홍</v>
          </cell>
          <cell r="Z2042" t="str">
            <v>(인)</v>
          </cell>
          <cell r="AA2042" t="str">
            <v>이홍걸</v>
          </cell>
          <cell r="AB2042" t="str">
            <v>(인)</v>
          </cell>
          <cell r="AC2042" t="str">
            <v>박상갑</v>
          </cell>
          <cell r="AD2042" t="str">
            <v>(인)</v>
          </cell>
          <cell r="AE2042">
            <v>178.4</v>
          </cell>
          <cell r="AF2042" t="str">
            <v>동절기</v>
          </cell>
          <cell r="AG2042">
            <v>4</v>
          </cell>
          <cell r="AH2042">
            <v>1</v>
          </cell>
          <cell r="AL2042">
            <v>3292</v>
          </cell>
          <cell r="AM2042">
            <v>3272</v>
          </cell>
          <cell r="AN2042">
            <v>3307</v>
          </cell>
          <cell r="AO2042">
            <v>3286</v>
          </cell>
          <cell r="AP2042">
            <v>3306</v>
          </cell>
          <cell r="AQ2042">
            <v>3287</v>
          </cell>
          <cell r="AR2042">
            <v>3304</v>
          </cell>
          <cell r="AS2042">
            <v>3272</v>
          </cell>
          <cell r="AT2042">
            <v>260400</v>
          </cell>
        </row>
        <row r="2043">
          <cell r="G2043">
            <v>2503310405</v>
          </cell>
          <cell r="H2043" t="str">
            <v>주차장</v>
          </cell>
          <cell r="I2043">
            <v>250331</v>
          </cell>
          <cell r="J2043" t="str">
            <v>118동 주변주차장</v>
          </cell>
          <cell r="K2043">
            <v>588</v>
          </cell>
          <cell r="L2043">
            <v>588</v>
          </cell>
          <cell r="M2043">
            <v>2715</v>
          </cell>
          <cell r="N2043" t="str">
            <v>영진</v>
          </cell>
          <cell r="O2043" t="str">
            <v>펌프카(1대)</v>
          </cell>
          <cell r="P2043">
            <v>800</v>
          </cell>
          <cell r="Q2043">
            <v>1628</v>
          </cell>
          <cell r="R2043">
            <v>160</v>
          </cell>
          <cell r="S2043">
            <v>39</v>
          </cell>
          <cell r="T2043">
            <v>66</v>
          </cell>
          <cell r="U2043">
            <v>171</v>
          </cell>
          <cell r="V2043"/>
          <cell r="W2043" t="str">
            <v>김광록</v>
          </cell>
          <cell r="X2043" t="str">
            <v>(인)</v>
          </cell>
          <cell r="Y2043" t="str">
            <v>박순홍</v>
          </cell>
          <cell r="Z2043" t="str">
            <v>(인)</v>
          </cell>
          <cell r="AA2043" t="str">
            <v>이홍걸</v>
          </cell>
          <cell r="AB2043" t="str">
            <v>(인)</v>
          </cell>
          <cell r="AC2043" t="str">
            <v>박상갑</v>
          </cell>
          <cell r="AD2043" t="str">
            <v>(인)</v>
          </cell>
          <cell r="AE2043">
            <v>180.9</v>
          </cell>
          <cell r="AF2043" t="str">
            <v>동절기</v>
          </cell>
          <cell r="AG2043">
            <v>5</v>
          </cell>
          <cell r="AH2043">
            <v>0</v>
          </cell>
        </row>
        <row r="2044">
          <cell r="G2044">
            <v>2504010101</v>
          </cell>
          <cell r="H2044" t="str">
            <v>112동</v>
          </cell>
          <cell r="I2044">
            <v>250401</v>
          </cell>
          <cell r="J2044" t="str">
            <v>112동 13층 바닥</v>
          </cell>
          <cell r="K2044">
            <v>210</v>
          </cell>
          <cell r="L2044">
            <v>210</v>
          </cell>
          <cell r="M2044">
            <v>3018</v>
          </cell>
          <cell r="N2044" t="str">
            <v>용호</v>
          </cell>
          <cell r="O2044" t="str">
            <v>펌프카(1대)</v>
          </cell>
          <cell r="P2044">
            <v>1254</v>
          </cell>
          <cell r="Q2044">
            <v>1210</v>
          </cell>
          <cell r="R2044">
            <v>190</v>
          </cell>
          <cell r="S2044">
            <v>50</v>
          </cell>
          <cell r="T2044">
            <v>39</v>
          </cell>
          <cell r="U2044">
            <v>181</v>
          </cell>
          <cell r="V2044"/>
          <cell r="W2044" t="str">
            <v>박순홍</v>
          </cell>
          <cell r="X2044" t="str">
            <v>(인)</v>
          </cell>
          <cell r="Y2044" t="str">
            <v>김광록</v>
          </cell>
          <cell r="Z2044" t="str">
            <v>(인)</v>
          </cell>
          <cell r="AA2044" t="str">
            <v>이홍걸</v>
          </cell>
          <cell r="AB2044" t="str">
            <v>(인)</v>
          </cell>
          <cell r="AC2044" t="str">
            <v>박상갑</v>
          </cell>
          <cell r="AD2044" t="str">
            <v>(인)</v>
          </cell>
          <cell r="AE2044">
            <v>184.7</v>
          </cell>
          <cell r="AF2044" t="str">
            <v>동절기</v>
          </cell>
          <cell r="AG2044">
            <v>1</v>
          </cell>
          <cell r="AH2044">
            <v>1</v>
          </cell>
          <cell r="AI2044">
            <v>2862</v>
          </cell>
          <cell r="AJ2044">
            <v>2904</v>
          </cell>
          <cell r="AK2044">
            <v>223800</v>
          </cell>
          <cell r="AL2044">
            <v>3728</v>
          </cell>
          <cell r="AM2044">
            <v>3862</v>
          </cell>
          <cell r="AN2044">
            <v>3784</v>
          </cell>
          <cell r="AO2044">
            <v>3868</v>
          </cell>
          <cell r="AP2044">
            <v>3729</v>
          </cell>
          <cell r="AQ2044">
            <v>3966</v>
          </cell>
          <cell r="AR2044">
            <v>3840</v>
          </cell>
          <cell r="AS2044">
            <v>3829</v>
          </cell>
          <cell r="AT2044">
            <v>294500</v>
          </cell>
        </row>
        <row r="2045">
          <cell r="G2045">
            <v>2504010102</v>
          </cell>
          <cell r="H2045" t="str">
            <v>112동</v>
          </cell>
          <cell r="I2045">
            <v>250401</v>
          </cell>
          <cell r="J2045" t="str">
            <v>112동 13층 바닥</v>
          </cell>
          <cell r="K2045">
            <v>210</v>
          </cell>
          <cell r="L2045">
            <v>210</v>
          </cell>
          <cell r="M2045">
            <v>3018</v>
          </cell>
          <cell r="N2045" t="str">
            <v>용호</v>
          </cell>
          <cell r="O2045" t="str">
            <v>펌프카(1대)</v>
          </cell>
          <cell r="P2045">
            <v>1254</v>
          </cell>
          <cell r="Q2045">
            <v>1210</v>
          </cell>
          <cell r="R2045">
            <v>195</v>
          </cell>
          <cell r="S2045">
            <v>46</v>
          </cell>
          <cell r="T2045">
            <v>41</v>
          </cell>
          <cell r="U2045">
            <v>196</v>
          </cell>
          <cell r="V2045"/>
          <cell r="W2045" t="str">
            <v>박순홍</v>
          </cell>
          <cell r="X2045" t="str">
            <v>(인)</v>
          </cell>
          <cell r="Y2045" t="str">
            <v>김광록</v>
          </cell>
          <cell r="Z2045" t="str">
            <v>(인)</v>
          </cell>
          <cell r="AA2045" t="str">
            <v>이홍걸</v>
          </cell>
          <cell r="AB2045" t="str">
            <v>(인)</v>
          </cell>
          <cell r="AC2045" t="str">
            <v>박상갑</v>
          </cell>
          <cell r="AD2045" t="str">
            <v>(인)</v>
          </cell>
          <cell r="AE2045">
            <v>187.4</v>
          </cell>
          <cell r="AF2045" t="str">
            <v>동절기</v>
          </cell>
          <cell r="AG2045">
            <v>2</v>
          </cell>
          <cell r="AH2045">
            <v>0</v>
          </cell>
        </row>
        <row r="2046">
          <cell r="G2046">
            <v>2504020101</v>
          </cell>
          <cell r="H2046" t="str">
            <v>116동</v>
          </cell>
          <cell r="I2046">
            <v>250402</v>
          </cell>
          <cell r="J2046" t="str">
            <v>116동 15층 바닥</v>
          </cell>
          <cell r="K2046">
            <v>288</v>
          </cell>
          <cell r="L2046">
            <v>288</v>
          </cell>
          <cell r="M2046">
            <v>3018</v>
          </cell>
          <cell r="N2046" t="str">
            <v>대공</v>
          </cell>
          <cell r="O2046" t="str">
            <v>펌프카(1대)</v>
          </cell>
          <cell r="P2046">
            <v>819</v>
          </cell>
          <cell r="Q2046">
            <v>1500</v>
          </cell>
          <cell r="R2046">
            <v>200</v>
          </cell>
          <cell r="S2046">
            <v>50</v>
          </cell>
          <cell r="T2046">
            <v>17</v>
          </cell>
          <cell r="U2046">
            <v>149</v>
          </cell>
          <cell r="V2046"/>
          <cell r="W2046" t="str">
            <v>박순홍</v>
          </cell>
          <cell r="X2046" t="str">
            <v>(인)</v>
          </cell>
          <cell r="Y2046" t="str">
            <v>박순홍</v>
          </cell>
          <cell r="Z2046" t="str">
            <v>(인)</v>
          </cell>
          <cell r="AA2046" t="str">
            <v>이홍걸</v>
          </cell>
          <cell r="AB2046" t="str">
            <v>(인)</v>
          </cell>
          <cell r="AC2046" t="str">
            <v>박상갑</v>
          </cell>
          <cell r="AD2046" t="str">
            <v>(인)</v>
          </cell>
          <cell r="AE2046">
            <v>186.3</v>
          </cell>
          <cell r="AF2046" t="str">
            <v>동절기</v>
          </cell>
          <cell r="AG2046">
            <v>1</v>
          </cell>
          <cell r="AH2046">
            <v>1</v>
          </cell>
          <cell r="AI2046">
            <v>2701</v>
          </cell>
          <cell r="AJ2046">
            <v>2672</v>
          </cell>
          <cell r="AK2046">
            <v>211400</v>
          </cell>
          <cell r="AL2046">
            <v>3977</v>
          </cell>
          <cell r="AM2046">
            <v>3985</v>
          </cell>
          <cell r="AN2046">
            <v>3967</v>
          </cell>
          <cell r="AO2046">
            <v>3896</v>
          </cell>
          <cell r="AP2046">
            <v>4007</v>
          </cell>
          <cell r="AQ2046">
            <v>3962</v>
          </cell>
          <cell r="AR2046">
            <v>3884</v>
          </cell>
          <cell r="AS2046">
            <v>3902</v>
          </cell>
          <cell r="AT2046">
            <v>297200</v>
          </cell>
        </row>
        <row r="2047">
          <cell r="G2047">
            <v>2504020102</v>
          </cell>
          <cell r="H2047" t="str">
            <v>116동</v>
          </cell>
          <cell r="I2047">
            <v>250402</v>
          </cell>
          <cell r="J2047" t="str">
            <v>116동 15층 바닥</v>
          </cell>
          <cell r="K2047">
            <v>288</v>
          </cell>
          <cell r="L2047">
            <v>288</v>
          </cell>
          <cell r="M2047">
            <v>3018</v>
          </cell>
          <cell r="N2047" t="str">
            <v>대공</v>
          </cell>
          <cell r="O2047" t="str">
            <v>펌프카(1대)</v>
          </cell>
          <cell r="P2047">
            <v>819</v>
          </cell>
          <cell r="Q2047">
            <v>1500</v>
          </cell>
          <cell r="R2047">
            <v>195</v>
          </cell>
          <cell r="S2047">
            <v>44</v>
          </cell>
          <cell r="T2047">
            <v>30</v>
          </cell>
          <cell r="U2047">
            <v>162</v>
          </cell>
          <cell r="V2047"/>
          <cell r="W2047" t="str">
            <v>박순홍</v>
          </cell>
          <cell r="X2047" t="str">
            <v>(인)</v>
          </cell>
          <cell r="Y2047" t="str">
            <v>박순홍</v>
          </cell>
          <cell r="Z2047" t="str">
            <v>(인)</v>
          </cell>
          <cell r="AA2047" t="str">
            <v>이홍걸</v>
          </cell>
          <cell r="AB2047" t="str">
            <v>(인)</v>
          </cell>
          <cell r="AC2047" t="str">
            <v>박상갑</v>
          </cell>
          <cell r="AD2047" t="str">
            <v>(인)</v>
          </cell>
          <cell r="AE2047">
            <v>181.3</v>
          </cell>
          <cell r="AF2047" t="str">
            <v>동절기</v>
          </cell>
          <cell r="AG2047">
            <v>2</v>
          </cell>
          <cell r="AH2047">
            <v>0</v>
          </cell>
        </row>
        <row r="2048">
          <cell r="G2048">
            <v>2504020103</v>
          </cell>
          <cell r="H2048" t="str">
            <v>116동</v>
          </cell>
          <cell r="I2048">
            <v>250402</v>
          </cell>
          <cell r="J2048" t="str">
            <v>116동 15층 바닥</v>
          </cell>
          <cell r="K2048">
            <v>288</v>
          </cell>
          <cell r="L2048">
            <v>288</v>
          </cell>
          <cell r="M2048">
            <v>3018</v>
          </cell>
          <cell r="N2048" t="str">
            <v>대공</v>
          </cell>
          <cell r="O2048" t="str">
            <v>펌프카(1대)</v>
          </cell>
          <cell r="P2048">
            <v>819</v>
          </cell>
          <cell r="Q2048">
            <v>1500</v>
          </cell>
          <cell r="R2048">
            <v>180</v>
          </cell>
          <cell r="S2048">
            <v>42</v>
          </cell>
          <cell r="T2048">
            <v>27</v>
          </cell>
          <cell r="U2048">
            <v>163</v>
          </cell>
          <cell r="V2048"/>
          <cell r="W2048" t="str">
            <v>박순홍</v>
          </cell>
          <cell r="X2048" t="str">
            <v>(인)</v>
          </cell>
          <cell r="Y2048" t="str">
            <v>박순홍</v>
          </cell>
          <cell r="Z2048" t="str">
            <v>(인)</v>
          </cell>
          <cell r="AA2048" t="str">
            <v>이홍걸</v>
          </cell>
          <cell r="AB2048" t="str">
            <v>(인)</v>
          </cell>
          <cell r="AC2048" t="str">
            <v>박상갑</v>
          </cell>
          <cell r="AD2048" t="str">
            <v>(인)</v>
          </cell>
          <cell r="AE2048">
            <v>183.2</v>
          </cell>
          <cell r="AF2048" t="str">
            <v>동절기</v>
          </cell>
          <cell r="AG2048">
            <v>3</v>
          </cell>
          <cell r="AH2048">
            <v>0</v>
          </cell>
        </row>
        <row r="2049">
          <cell r="G2049">
            <v>2504020201</v>
          </cell>
          <cell r="H2049" t="str">
            <v>110동</v>
          </cell>
          <cell r="I2049">
            <v>250402</v>
          </cell>
          <cell r="J2049" t="str">
            <v>110동 최상층 바닥</v>
          </cell>
          <cell r="K2049">
            <v>359</v>
          </cell>
          <cell r="L2049">
            <v>359</v>
          </cell>
          <cell r="M2049">
            <v>3018</v>
          </cell>
          <cell r="N2049" t="str">
            <v>동양</v>
          </cell>
          <cell r="O2049" t="str">
            <v>펌프카(1대)</v>
          </cell>
          <cell r="P2049">
            <v>942</v>
          </cell>
          <cell r="Q2049">
            <v>1448</v>
          </cell>
          <cell r="R2049">
            <v>185</v>
          </cell>
          <cell r="S2049">
            <v>42</v>
          </cell>
          <cell r="T2049">
            <v>32</v>
          </cell>
          <cell r="U2049">
            <v>179</v>
          </cell>
          <cell r="V2049"/>
          <cell r="W2049" t="str">
            <v>박순홍</v>
          </cell>
          <cell r="X2049" t="str">
            <v>(인)</v>
          </cell>
          <cell r="Y2049" t="str">
            <v>박순홍</v>
          </cell>
          <cell r="Z2049" t="str">
            <v>(인)</v>
          </cell>
          <cell r="AA2049" t="str">
            <v>이홍걸</v>
          </cell>
          <cell r="AB2049" t="str">
            <v>(인)</v>
          </cell>
          <cell r="AC2049" t="str">
            <v>박상갑</v>
          </cell>
          <cell r="AD2049" t="str">
            <v>(인)</v>
          </cell>
          <cell r="AE2049">
            <v>187.2</v>
          </cell>
          <cell r="AF2049" t="str">
            <v>동절기</v>
          </cell>
          <cell r="AG2049">
            <v>1</v>
          </cell>
          <cell r="AH2049">
            <v>1</v>
          </cell>
          <cell r="AI2049">
            <v>2713</v>
          </cell>
          <cell r="AJ2049">
            <v>2786</v>
          </cell>
          <cell r="AK2049">
            <v>218400</v>
          </cell>
          <cell r="AL2049">
            <v>4005</v>
          </cell>
          <cell r="AM2049">
            <v>4003</v>
          </cell>
          <cell r="AN2049">
            <v>4104</v>
          </cell>
          <cell r="AO2049">
            <v>4067</v>
          </cell>
          <cell r="AP2049">
            <v>4183</v>
          </cell>
          <cell r="AQ2049">
            <v>4206</v>
          </cell>
          <cell r="AR2049">
            <v>3964</v>
          </cell>
          <cell r="AS2049">
            <v>4116</v>
          </cell>
          <cell r="AT2049">
            <v>328200</v>
          </cell>
        </row>
        <row r="2050">
          <cell r="G2050">
            <v>2504020202</v>
          </cell>
          <cell r="H2050" t="str">
            <v>110동</v>
          </cell>
          <cell r="I2050">
            <v>250402</v>
          </cell>
          <cell r="J2050" t="str">
            <v>110동 최상층 바닥</v>
          </cell>
          <cell r="K2050">
            <v>359</v>
          </cell>
          <cell r="L2050">
            <v>359</v>
          </cell>
          <cell r="M2050">
            <v>3018</v>
          </cell>
          <cell r="N2050" t="str">
            <v>동양</v>
          </cell>
          <cell r="O2050" t="str">
            <v>펌프카(1대)</v>
          </cell>
          <cell r="P2050">
            <v>942</v>
          </cell>
          <cell r="Q2050">
            <v>1448</v>
          </cell>
          <cell r="R2050">
            <v>190</v>
          </cell>
          <cell r="S2050">
            <v>40</v>
          </cell>
          <cell r="T2050">
            <v>23</v>
          </cell>
          <cell r="U2050">
            <v>165</v>
          </cell>
          <cell r="V2050"/>
          <cell r="W2050" t="str">
            <v>박순홍</v>
          </cell>
          <cell r="X2050" t="str">
            <v>(인)</v>
          </cell>
          <cell r="Y2050" t="str">
            <v>박순홍</v>
          </cell>
          <cell r="Z2050" t="str">
            <v>(인)</v>
          </cell>
          <cell r="AA2050" t="str">
            <v>이홍걸</v>
          </cell>
          <cell r="AB2050" t="str">
            <v>(인)</v>
          </cell>
          <cell r="AC2050" t="str">
            <v>박상갑</v>
          </cell>
          <cell r="AD2050" t="str">
            <v>(인)</v>
          </cell>
          <cell r="AE2050">
            <v>190.6</v>
          </cell>
          <cell r="AF2050" t="str">
            <v>동절기</v>
          </cell>
          <cell r="AG2050">
            <v>2</v>
          </cell>
          <cell r="AH2050">
            <v>0</v>
          </cell>
        </row>
        <row r="2051">
          <cell r="G2051">
            <v>2504020203</v>
          </cell>
          <cell r="H2051" t="str">
            <v>110동</v>
          </cell>
          <cell r="I2051">
            <v>250402</v>
          </cell>
          <cell r="J2051" t="str">
            <v>110동 최상층 바닥</v>
          </cell>
          <cell r="K2051">
            <v>359</v>
          </cell>
          <cell r="L2051">
            <v>359</v>
          </cell>
          <cell r="M2051">
            <v>3018</v>
          </cell>
          <cell r="N2051" t="str">
            <v>동양</v>
          </cell>
          <cell r="O2051" t="str">
            <v>펌프카(1대)</v>
          </cell>
          <cell r="P2051">
            <v>942</v>
          </cell>
          <cell r="Q2051">
            <v>1448</v>
          </cell>
          <cell r="R2051">
            <v>190</v>
          </cell>
          <cell r="S2051">
            <v>47</v>
          </cell>
          <cell r="T2051">
            <v>15</v>
          </cell>
          <cell r="U2051">
            <v>168</v>
          </cell>
          <cell r="V2051"/>
          <cell r="W2051" t="str">
            <v>박순홍</v>
          </cell>
          <cell r="X2051" t="str">
            <v>(인)</v>
          </cell>
          <cell r="Y2051" t="str">
            <v>박순홍</v>
          </cell>
          <cell r="Z2051" t="str">
            <v>(인)</v>
          </cell>
          <cell r="AA2051" t="str">
            <v>이홍걸</v>
          </cell>
          <cell r="AB2051" t="str">
            <v>(인)</v>
          </cell>
          <cell r="AC2051" t="str">
            <v>박상갑</v>
          </cell>
          <cell r="AD2051" t="str">
            <v>(인)</v>
          </cell>
          <cell r="AE2051">
            <v>188.4</v>
          </cell>
          <cell r="AF2051" t="str">
            <v>동절기</v>
          </cell>
          <cell r="AG2051">
            <v>3</v>
          </cell>
          <cell r="AH2051">
            <v>0</v>
          </cell>
        </row>
        <row r="2052">
          <cell r="G2052">
            <v>2504020301</v>
          </cell>
          <cell r="H2052" t="str">
            <v>115동</v>
          </cell>
          <cell r="I2052">
            <v>250402</v>
          </cell>
          <cell r="J2052" t="str">
            <v>115동 주변주차장 램프 연석</v>
          </cell>
          <cell r="K2052">
            <v>10</v>
          </cell>
          <cell r="L2052">
            <v>10</v>
          </cell>
          <cell r="M2052">
            <v>2118</v>
          </cell>
          <cell r="N2052" t="str">
            <v>대공</v>
          </cell>
          <cell r="O2052" t="str">
            <v>직접타설</v>
          </cell>
          <cell r="P2052">
            <v>1503</v>
          </cell>
          <cell r="Q2052">
            <v>1538</v>
          </cell>
          <cell r="R2052">
            <v>175</v>
          </cell>
          <cell r="S2052">
            <v>47</v>
          </cell>
          <cell r="T2052">
            <v>19</v>
          </cell>
          <cell r="U2052">
            <v>164</v>
          </cell>
          <cell r="V2052"/>
          <cell r="W2052" t="str">
            <v>박순홍</v>
          </cell>
          <cell r="X2052" t="str">
            <v>(인)</v>
          </cell>
          <cell r="Y2052" t="str">
            <v>박순홍</v>
          </cell>
          <cell r="Z2052" t="str">
            <v>(인)</v>
          </cell>
          <cell r="AA2052" t="str">
            <v>이홍걸</v>
          </cell>
          <cell r="AB2052" t="str">
            <v>(인)</v>
          </cell>
          <cell r="AC2052" t="str">
            <v>박상갑</v>
          </cell>
          <cell r="AD2052" t="str">
            <v>(인)</v>
          </cell>
          <cell r="AE2052">
            <v>184.7</v>
          </cell>
          <cell r="AF2052" t="str">
            <v>동절기</v>
          </cell>
          <cell r="AG2052">
            <v>1</v>
          </cell>
          <cell r="AH2052">
            <v>1</v>
          </cell>
          <cell r="AI2052">
            <v>2016</v>
          </cell>
          <cell r="AJ2052">
            <v>1987</v>
          </cell>
          <cell r="AK2052">
            <v>153800</v>
          </cell>
          <cell r="AL2052">
            <v>2900</v>
          </cell>
          <cell r="AM2052">
            <v>2887</v>
          </cell>
          <cell r="AN2052">
            <v>2802</v>
          </cell>
          <cell r="AO2052">
            <v>2904</v>
          </cell>
          <cell r="AP2052">
            <v>2916</v>
          </cell>
          <cell r="AQ2052">
            <v>2866</v>
          </cell>
          <cell r="AR2052">
            <v>2739</v>
          </cell>
          <cell r="AS2052">
            <v>2789</v>
          </cell>
          <cell r="AT2052">
            <v>222700</v>
          </cell>
        </row>
        <row r="2053">
          <cell r="G2053">
            <v>2504030101</v>
          </cell>
          <cell r="H2053" t="str">
            <v>120동</v>
          </cell>
          <cell r="I2053">
            <v>250403</v>
          </cell>
          <cell r="J2053" t="str">
            <v>120동 12층 바닥</v>
          </cell>
          <cell r="K2053">
            <v>294</v>
          </cell>
          <cell r="L2053">
            <v>294</v>
          </cell>
          <cell r="M2053">
            <v>3018</v>
          </cell>
          <cell r="N2053" t="str">
            <v>대원</v>
          </cell>
          <cell r="O2053" t="str">
            <v>펌프카(1대)</v>
          </cell>
          <cell r="P2053">
            <v>832</v>
          </cell>
          <cell r="Q2053">
            <v>1222</v>
          </cell>
          <cell r="R2053">
            <v>200</v>
          </cell>
          <cell r="S2053">
            <v>49</v>
          </cell>
          <cell r="T2053">
            <v>91</v>
          </cell>
          <cell r="U2053">
            <v>181</v>
          </cell>
          <cell r="V2053"/>
          <cell r="W2053" t="str">
            <v>박순홍</v>
          </cell>
          <cell r="X2053" t="str">
            <v>(인)</v>
          </cell>
          <cell r="Y2053" t="str">
            <v>박순홍</v>
          </cell>
          <cell r="Z2053" t="str">
            <v>(인)</v>
          </cell>
          <cell r="AA2053" t="str">
            <v>이홍걸</v>
          </cell>
          <cell r="AB2053" t="str">
            <v>(인)</v>
          </cell>
          <cell r="AC2053" t="str">
            <v>박상갑</v>
          </cell>
          <cell r="AD2053" t="str">
            <v>(인)</v>
          </cell>
          <cell r="AE2053">
            <v>189.6</v>
          </cell>
          <cell r="AF2053" t="str">
            <v>동절기</v>
          </cell>
          <cell r="AG2053">
            <v>1</v>
          </cell>
          <cell r="AH2053">
            <v>1</v>
          </cell>
          <cell r="AI2053">
            <v>2760</v>
          </cell>
          <cell r="AJ2053">
            <v>2742</v>
          </cell>
          <cell r="AK2053">
            <v>218800</v>
          </cell>
          <cell r="AL2053">
            <v>4122</v>
          </cell>
          <cell r="AM2053">
            <v>4153</v>
          </cell>
          <cell r="AN2053">
            <v>4176</v>
          </cell>
          <cell r="AO2053">
            <v>4204</v>
          </cell>
          <cell r="AP2053">
            <v>4262</v>
          </cell>
          <cell r="AQ2053">
            <v>4183</v>
          </cell>
          <cell r="AR2053">
            <v>4107</v>
          </cell>
          <cell r="AS2053">
            <v>4076</v>
          </cell>
          <cell r="AT2053">
            <v>330800</v>
          </cell>
        </row>
        <row r="2054">
          <cell r="G2054">
            <v>2504030102</v>
          </cell>
          <cell r="H2054" t="str">
            <v>120동</v>
          </cell>
          <cell r="I2054">
            <v>250403</v>
          </cell>
          <cell r="J2054" t="str">
            <v>120동 12층 바닥</v>
          </cell>
          <cell r="K2054">
            <v>294</v>
          </cell>
          <cell r="L2054">
            <v>294</v>
          </cell>
          <cell r="M2054">
            <v>3018</v>
          </cell>
          <cell r="N2054" t="str">
            <v>대원</v>
          </cell>
          <cell r="O2054" t="str">
            <v>펌프카(1대)</v>
          </cell>
          <cell r="P2054">
            <v>832</v>
          </cell>
          <cell r="Q2054">
            <v>1222</v>
          </cell>
          <cell r="R2054">
            <v>195</v>
          </cell>
          <cell r="S2054">
            <v>44</v>
          </cell>
          <cell r="T2054">
            <v>91</v>
          </cell>
          <cell r="U2054">
            <v>180</v>
          </cell>
          <cell r="V2054"/>
          <cell r="W2054" t="str">
            <v>박순홍</v>
          </cell>
          <cell r="X2054" t="str">
            <v>(인)</v>
          </cell>
          <cell r="Y2054" t="str">
            <v>박순홍</v>
          </cell>
          <cell r="Z2054" t="str">
            <v>(인)</v>
          </cell>
          <cell r="AA2054" t="str">
            <v>이홍걸</v>
          </cell>
          <cell r="AB2054" t="str">
            <v>(인)</v>
          </cell>
          <cell r="AC2054" t="str">
            <v>박상갑</v>
          </cell>
          <cell r="AD2054" t="str">
            <v>(인)</v>
          </cell>
          <cell r="AE2054">
            <v>184.7</v>
          </cell>
          <cell r="AF2054" t="str">
            <v>동절기</v>
          </cell>
          <cell r="AG2054">
            <v>2</v>
          </cell>
          <cell r="AH2054">
            <v>0</v>
          </cell>
        </row>
        <row r="2055">
          <cell r="G2055">
            <v>2504030103</v>
          </cell>
          <cell r="H2055" t="str">
            <v>120동</v>
          </cell>
          <cell r="I2055">
            <v>250403</v>
          </cell>
          <cell r="J2055" t="str">
            <v>120동 12층 바닥</v>
          </cell>
          <cell r="K2055">
            <v>294</v>
          </cell>
          <cell r="L2055">
            <v>294</v>
          </cell>
          <cell r="M2055">
            <v>3018</v>
          </cell>
          <cell r="N2055" t="str">
            <v>대원</v>
          </cell>
          <cell r="O2055" t="str">
            <v>펌프카(1대)</v>
          </cell>
          <cell r="P2055">
            <v>832</v>
          </cell>
          <cell r="Q2055">
            <v>1222</v>
          </cell>
          <cell r="R2055">
            <v>175</v>
          </cell>
          <cell r="S2055">
            <v>52</v>
          </cell>
          <cell r="T2055">
            <v>73</v>
          </cell>
          <cell r="U2055">
            <v>176</v>
          </cell>
          <cell r="V2055"/>
          <cell r="W2055" t="str">
            <v>박순홍</v>
          </cell>
          <cell r="X2055" t="str">
            <v>(인)</v>
          </cell>
          <cell r="Y2055" t="str">
            <v>박순홍</v>
          </cell>
          <cell r="Z2055" t="str">
            <v>(인)</v>
          </cell>
          <cell r="AA2055" t="str">
            <v>이홍걸</v>
          </cell>
          <cell r="AB2055" t="str">
            <v>(인)</v>
          </cell>
          <cell r="AC2055" t="str">
            <v>박상갑</v>
          </cell>
          <cell r="AD2055" t="str">
            <v>(인)</v>
          </cell>
          <cell r="AE2055">
            <v>185.5</v>
          </cell>
          <cell r="AF2055" t="str">
            <v>동절기</v>
          </cell>
          <cell r="AG2055">
            <v>3</v>
          </cell>
          <cell r="AH2055">
            <v>0</v>
          </cell>
        </row>
        <row r="2056">
          <cell r="G2056">
            <v>2504030201</v>
          </cell>
          <cell r="H2056" t="str">
            <v>114동</v>
          </cell>
          <cell r="I2056">
            <v>250403</v>
          </cell>
          <cell r="J2056" t="str">
            <v>114동 17층 바닥</v>
          </cell>
          <cell r="K2056">
            <v>153</v>
          </cell>
          <cell r="L2056">
            <v>153</v>
          </cell>
          <cell r="M2056">
            <v>3018</v>
          </cell>
          <cell r="N2056" t="str">
            <v>대원</v>
          </cell>
          <cell r="O2056" t="str">
            <v>펌프카(1대)</v>
          </cell>
          <cell r="P2056">
            <v>1220</v>
          </cell>
          <cell r="Q2056">
            <v>1615</v>
          </cell>
          <cell r="R2056">
            <v>180</v>
          </cell>
          <cell r="S2056">
            <v>50</v>
          </cell>
          <cell r="T2056">
            <v>50</v>
          </cell>
          <cell r="U2056">
            <v>190</v>
          </cell>
          <cell r="V2056"/>
          <cell r="W2056" t="str">
            <v>김광록</v>
          </cell>
          <cell r="X2056" t="str">
            <v>(인)</v>
          </cell>
          <cell r="Y2056" t="str">
            <v>박순홍</v>
          </cell>
          <cell r="Z2056" t="str">
            <v>(인)</v>
          </cell>
          <cell r="AA2056" t="str">
            <v>이홍걸</v>
          </cell>
          <cell r="AB2056" t="str">
            <v>(인)</v>
          </cell>
          <cell r="AC2056" t="str">
            <v>박상갑</v>
          </cell>
          <cell r="AD2056" t="str">
            <v>(인)</v>
          </cell>
          <cell r="AE2056">
            <v>170</v>
          </cell>
          <cell r="AF2056" t="str">
            <v>동절기</v>
          </cell>
          <cell r="AG2056">
            <v>1</v>
          </cell>
          <cell r="AH2056">
            <v>1</v>
          </cell>
          <cell r="AI2056">
            <v>2829</v>
          </cell>
          <cell r="AJ2056">
            <v>2786</v>
          </cell>
          <cell r="AK2056">
            <v>215400</v>
          </cell>
          <cell r="AL2056">
            <v>3916</v>
          </cell>
          <cell r="AM2056">
            <v>3941</v>
          </cell>
          <cell r="AN2056">
            <v>4072</v>
          </cell>
          <cell r="AO2056">
            <v>4088</v>
          </cell>
          <cell r="AP2056">
            <v>3984</v>
          </cell>
          <cell r="AQ2056">
            <v>3962</v>
          </cell>
          <cell r="AR2056">
            <v>4032</v>
          </cell>
          <cell r="AS2056">
            <v>4087</v>
          </cell>
          <cell r="AT2056">
            <v>311600</v>
          </cell>
        </row>
        <row r="2057">
          <cell r="G2057">
            <v>2504030202</v>
          </cell>
          <cell r="H2057" t="str">
            <v>114동</v>
          </cell>
          <cell r="I2057">
            <v>250403</v>
          </cell>
          <cell r="J2057" t="str">
            <v>114동 17층 바닥</v>
          </cell>
          <cell r="K2057">
            <v>153</v>
          </cell>
          <cell r="L2057">
            <v>153</v>
          </cell>
          <cell r="M2057">
            <v>3018</v>
          </cell>
          <cell r="N2057" t="str">
            <v>대원</v>
          </cell>
          <cell r="O2057" t="str">
            <v>펌프카(1대)</v>
          </cell>
          <cell r="P2057">
            <v>1220</v>
          </cell>
          <cell r="Q2057">
            <v>1615</v>
          </cell>
          <cell r="R2057">
            <v>170</v>
          </cell>
          <cell r="S2057">
            <v>53</v>
          </cell>
          <cell r="T2057">
            <v>50</v>
          </cell>
          <cell r="U2057">
            <v>188</v>
          </cell>
          <cell r="V2057"/>
          <cell r="W2057" t="str">
            <v>김광록</v>
          </cell>
          <cell r="X2057" t="str">
            <v>(인)</v>
          </cell>
          <cell r="Y2057" t="str">
            <v>박순홍</v>
          </cell>
          <cell r="Z2057" t="str">
            <v>(인)</v>
          </cell>
          <cell r="AA2057" t="str">
            <v>이홍걸</v>
          </cell>
          <cell r="AB2057" t="str">
            <v>(인)</v>
          </cell>
          <cell r="AC2057" t="str">
            <v>박상갑</v>
          </cell>
          <cell r="AD2057" t="str">
            <v>(인)</v>
          </cell>
          <cell r="AE2057">
            <v>169.2</v>
          </cell>
          <cell r="AF2057" t="str">
            <v>동절기</v>
          </cell>
          <cell r="AG2057">
            <v>2</v>
          </cell>
          <cell r="AH2057">
            <v>0</v>
          </cell>
        </row>
        <row r="2058">
          <cell r="G2058">
            <v>2504040101</v>
          </cell>
          <cell r="H2058" t="str">
            <v>108동</v>
          </cell>
          <cell r="I2058">
            <v>250404</v>
          </cell>
          <cell r="J2058" t="str">
            <v>108동 18층 바닥 외</v>
          </cell>
          <cell r="K2058">
            <v>342</v>
          </cell>
          <cell r="L2058">
            <v>342</v>
          </cell>
          <cell r="M2058">
            <v>3018</v>
          </cell>
          <cell r="N2058" t="str">
            <v>대원</v>
          </cell>
          <cell r="O2058" t="str">
            <v>펌프카(1대)</v>
          </cell>
          <cell r="P2058">
            <v>935</v>
          </cell>
          <cell r="Q2058">
            <v>1719</v>
          </cell>
          <cell r="R2058">
            <v>180</v>
          </cell>
          <cell r="S2058">
            <v>51</v>
          </cell>
          <cell r="T2058">
            <v>41</v>
          </cell>
          <cell r="U2058">
            <v>161</v>
          </cell>
          <cell r="V2058"/>
          <cell r="W2058" t="str">
            <v>박순홍</v>
          </cell>
          <cell r="X2058" t="str">
            <v>(인)</v>
          </cell>
          <cell r="Y2058" t="str">
            <v>박순홍</v>
          </cell>
          <cell r="Z2058" t="str">
            <v>(인)</v>
          </cell>
          <cell r="AA2058" t="str">
            <v>이홍걸</v>
          </cell>
          <cell r="AB2058" t="str">
            <v>(인)</v>
          </cell>
          <cell r="AC2058" t="str">
            <v>이홍걸</v>
          </cell>
          <cell r="AD2058" t="str">
            <v>(인)</v>
          </cell>
          <cell r="AE2058">
            <v>185.3</v>
          </cell>
          <cell r="AF2058" t="str">
            <v>동절기</v>
          </cell>
          <cell r="AG2058">
            <v>1</v>
          </cell>
          <cell r="AH2058">
            <v>1</v>
          </cell>
          <cell r="AI2058">
            <v>2672</v>
          </cell>
          <cell r="AJ2058">
            <v>2689</v>
          </cell>
          <cell r="AK2058">
            <v>209100</v>
          </cell>
          <cell r="AL2058">
            <v>4176</v>
          </cell>
          <cell r="AM2058">
            <v>4086</v>
          </cell>
          <cell r="AN2058">
            <v>4172</v>
          </cell>
          <cell r="AO2058">
            <v>4034</v>
          </cell>
          <cell r="AP2058">
            <v>4062</v>
          </cell>
          <cell r="AQ2058">
            <v>4074</v>
          </cell>
          <cell r="AR2058">
            <v>4067</v>
          </cell>
          <cell r="AS2058">
            <v>4136</v>
          </cell>
          <cell r="AT2058">
            <v>316200</v>
          </cell>
        </row>
        <row r="2059">
          <cell r="G2059">
            <v>2504040102</v>
          </cell>
          <cell r="H2059" t="str">
            <v>108동</v>
          </cell>
          <cell r="I2059">
            <v>250404</v>
          </cell>
          <cell r="J2059" t="str">
            <v>108동 18층 바닥 외</v>
          </cell>
          <cell r="K2059">
            <v>342</v>
          </cell>
          <cell r="L2059">
            <v>342</v>
          </cell>
          <cell r="M2059">
            <v>3018</v>
          </cell>
          <cell r="N2059" t="str">
            <v>대원</v>
          </cell>
          <cell r="O2059" t="str">
            <v>펌프카(1대)</v>
          </cell>
          <cell r="P2059">
            <v>935</v>
          </cell>
          <cell r="Q2059">
            <v>1719</v>
          </cell>
          <cell r="R2059">
            <v>195</v>
          </cell>
          <cell r="S2059">
            <v>4.5999999999999996</v>
          </cell>
          <cell r="T2059">
            <v>92</v>
          </cell>
          <cell r="U2059">
            <v>175</v>
          </cell>
          <cell r="V2059"/>
          <cell r="W2059" t="str">
            <v>박순홍</v>
          </cell>
          <cell r="X2059" t="str">
            <v>(인)</v>
          </cell>
          <cell r="Y2059" t="str">
            <v>박순홍</v>
          </cell>
          <cell r="Z2059" t="str">
            <v>(인)</v>
          </cell>
          <cell r="AA2059" t="str">
            <v>이홍걸</v>
          </cell>
          <cell r="AB2059" t="str">
            <v>(인)</v>
          </cell>
          <cell r="AC2059" t="str">
            <v>이홍걸</v>
          </cell>
          <cell r="AD2059" t="str">
            <v>(인)</v>
          </cell>
          <cell r="AE2059">
            <v>188.9</v>
          </cell>
          <cell r="AF2059" t="str">
            <v>동절기</v>
          </cell>
          <cell r="AG2059">
            <v>2</v>
          </cell>
          <cell r="AH2059">
            <v>0</v>
          </cell>
        </row>
        <row r="2060">
          <cell r="G2060">
            <v>2504040103</v>
          </cell>
          <cell r="H2060" t="str">
            <v>108동</v>
          </cell>
          <cell r="I2060">
            <v>250404</v>
          </cell>
          <cell r="J2060" t="str">
            <v>108동 18층 바닥 외</v>
          </cell>
          <cell r="K2060">
            <v>342</v>
          </cell>
          <cell r="L2060">
            <v>342</v>
          </cell>
          <cell r="M2060">
            <v>3018</v>
          </cell>
          <cell r="N2060" t="str">
            <v>대원</v>
          </cell>
          <cell r="O2060" t="str">
            <v>펌프카(1대)</v>
          </cell>
          <cell r="P2060">
            <v>935</v>
          </cell>
          <cell r="Q2060">
            <v>1719</v>
          </cell>
          <cell r="R2060">
            <v>185</v>
          </cell>
          <cell r="S2060">
            <v>45</v>
          </cell>
          <cell r="T2060">
            <v>61</v>
          </cell>
          <cell r="U2060">
            <v>167</v>
          </cell>
          <cell r="V2060"/>
          <cell r="W2060" t="str">
            <v>박순홍</v>
          </cell>
          <cell r="X2060" t="str">
            <v>(인)</v>
          </cell>
          <cell r="Y2060" t="str">
            <v>박순홍</v>
          </cell>
          <cell r="Z2060" t="str">
            <v>(인)</v>
          </cell>
          <cell r="AA2060" t="str">
            <v>이홍걸</v>
          </cell>
          <cell r="AB2060" t="str">
            <v>(인)</v>
          </cell>
          <cell r="AC2060" t="str">
            <v>이홍걸</v>
          </cell>
          <cell r="AD2060" t="str">
            <v>(인)</v>
          </cell>
          <cell r="AE2060">
            <v>187.1</v>
          </cell>
          <cell r="AF2060" t="str">
            <v>동절기</v>
          </cell>
          <cell r="AG2060">
            <v>3</v>
          </cell>
          <cell r="AH2060">
            <v>0</v>
          </cell>
        </row>
        <row r="2061">
          <cell r="G2061">
            <v>2504040201</v>
          </cell>
          <cell r="H2061" t="str">
            <v>115동</v>
          </cell>
          <cell r="I2061">
            <v>250404</v>
          </cell>
          <cell r="J2061" t="str">
            <v>115동 18층 바닥 외</v>
          </cell>
          <cell r="K2061">
            <v>312</v>
          </cell>
          <cell r="L2061">
            <v>312</v>
          </cell>
          <cell r="M2061">
            <v>3018</v>
          </cell>
          <cell r="N2061" t="str">
            <v>대공</v>
          </cell>
          <cell r="O2061" t="str">
            <v>펌프카(1대)</v>
          </cell>
          <cell r="P2061">
            <v>758</v>
          </cell>
          <cell r="Q2061">
            <v>1555</v>
          </cell>
          <cell r="R2061">
            <v>200</v>
          </cell>
          <cell r="S2061">
            <v>48</v>
          </cell>
          <cell r="T2061">
            <v>100</v>
          </cell>
          <cell r="U2061">
            <v>166</v>
          </cell>
          <cell r="V2061"/>
          <cell r="W2061" t="str">
            <v>박순홍</v>
          </cell>
          <cell r="X2061" t="str">
            <v>(인)</v>
          </cell>
          <cell r="Y2061" t="str">
            <v>박순홍</v>
          </cell>
          <cell r="Z2061" t="str">
            <v>(인)</v>
          </cell>
          <cell r="AA2061" t="str">
            <v>이홍걸</v>
          </cell>
          <cell r="AB2061" t="str">
            <v>(인)</v>
          </cell>
          <cell r="AC2061" t="str">
            <v>이홍걸</v>
          </cell>
          <cell r="AD2061" t="str">
            <v>(인)</v>
          </cell>
          <cell r="AE2061">
            <v>181.4</v>
          </cell>
          <cell r="AF2061" t="str">
            <v>동절기</v>
          </cell>
          <cell r="AG2061">
            <v>1</v>
          </cell>
          <cell r="AH2061">
            <v>1</v>
          </cell>
          <cell r="AI2061">
            <v>2702</v>
          </cell>
          <cell r="AJ2061">
            <v>2714</v>
          </cell>
          <cell r="AK2061">
            <v>217400</v>
          </cell>
          <cell r="AL2061">
            <v>4073</v>
          </cell>
          <cell r="AM2061">
            <v>4064</v>
          </cell>
          <cell r="AN2061">
            <v>4172</v>
          </cell>
          <cell r="AO2061">
            <v>4106</v>
          </cell>
          <cell r="AP2061">
            <v>4076</v>
          </cell>
          <cell r="AQ2061">
            <v>4071</v>
          </cell>
          <cell r="AR2061">
            <v>3986</v>
          </cell>
          <cell r="AS2061">
            <v>3974</v>
          </cell>
          <cell r="AT2061">
            <v>319600</v>
          </cell>
        </row>
        <row r="2062">
          <cell r="G2062">
            <v>2504040202</v>
          </cell>
          <cell r="H2062" t="str">
            <v>115동</v>
          </cell>
          <cell r="I2062">
            <v>250404</v>
          </cell>
          <cell r="J2062" t="str">
            <v>115동 18층 바닥 외</v>
          </cell>
          <cell r="K2062">
            <v>312</v>
          </cell>
          <cell r="L2062">
            <v>312</v>
          </cell>
          <cell r="M2062">
            <v>3018</v>
          </cell>
          <cell r="N2062" t="str">
            <v>대공</v>
          </cell>
          <cell r="O2062" t="str">
            <v>펌프카(1대)</v>
          </cell>
          <cell r="P2062">
            <v>758</v>
          </cell>
          <cell r="Q2062">
            <v>1555</v>
          </cell>
          <cell r="R2062">
            <v>200</v>
          </cell>
          <cell r="S2062">
            <v>42</v>
          </cell>
          <cell r="T2062">
            <v>76</v>
          </cell>
          <cell r="U2062">
            <v>157</v>
          </cell>
          <cell r="V2062"/>
          <cell r="W2062" t="str">
            <v>박순홍</v>
          </cell>
          <cell r="X2062" t="str">
            <v>(인)</v>
          </cell>
          <cell r="Y2062" t="str">
            <v>박순홍</v>
          </cell>
          <cell r="Z2062" t="str">
            <v>(인)</v>
          </cell>
          <cell r="AA2062" t="str">
            <v>이홍걸</v>
          </cell>
          <cell r="AB2062" t="str">
            <v>(인)</v>
          </cell>
          <cell r="AC2062" t="str">
            <v>이홍걸</v>
          </cell>
          <cell r="AD2062" t="str">
            <v>(인)</v>
          </cell>
          <cell r="AE2062">
            <v>186</v>
          </cell>
          <cell r="AF2062" t="str">
            <v>동절기</v>
          </cell>
          <cell r="AG2062">
            <v>2</v>
          </cell>
          <cell r="AH2062">
            <v>0</v>
          </cell>
        </row>
        <row r="2063">
          <cell r="G2063">
            <v>2504040203</v>
          </cell>
          <cell r="H2063" t="str">
            <v>115동</v>
          </cell>
          <cell r="I2063">
            <v>250404</v>
          </cell>
          <cell r="J2063" t="str">
            <v>115동 18층 바닥 외</v>
          </cell>
          <cell r="K2063">
            <v>312</v>
          </cell>
          <cell r="L2063">
            <v>312</v>
          </cell>
          <cell r="M2063">
            <v>3018</v>
          </cell>
          <cell r="N2063" t="str">
            <v>대공</v>
          </cell>
          <cell r="O2063" t="str">
            <v>펌프카(1대)</v>
          </cell>
          <cell r="P2063">
            <v>758</v>
          </cell>
          <cell r="Q2063">
            <v>1555</v>
          </cell>
          <cell r="R2063">
            <v>185</v>
          </cell>
          <cell r="S2063">
            <v>40</v>
          </cell>
          <cell r="T2063">
            <v>39</v>
          </cell>
          <cell r="U2063">
            <v>142</v>
          </cell>
          <cell r="V2063"/>
          <cell r="W2063" t="str">
            <v>박순홍</v>
          </cell>
          <cell r="X2063" t="str">
            <v>(인)</v>
          </cell>
          <cell r="Y2063" t="str">
            <v>박순홍</v>
          </cell>
          <cell r="Z2063" t="str">
            <v>(인)</v>
          </cell>
          <cell r="AA2063" t="str">
            <v>이홍걸</v>
          </cell>
          <cell r="AB2063" t="str">
            <v>(인)</v>
          </cell>
          <cell r="AC2063" t="str">
            <v>이홍걸</v>
          </cell>
          <cell r="AD2063" t="str">
            <v>(인)</v>
          </cell>
          <cell r="AE2063">
            <v>182.2</v>
          </cell>
          <cell r="AF2063" t="str">
            <v>동절기</v>
          </cell>
          <cell r="AG2063">
            <v>3</v>
          </cell>
          <cell r="AH2063">
            <v>0</v>
          </cell>
        </row>
        <row r="2064">
          <cell r="G2064">
            <v>2504070101</v>
          </cell>
          <cell r="H2064" t="str">
            <v>117동</v>
          </cell>
          <cell r="I2064">
            <v>250407</v>
          </cell>
          <cell r="J2064" t="str">
            <v>117동 15층 바닥</v>
          </cell>
          <cell r="K2064">
            <v>336</v>
          </cell>
          <cell r="L2064">
            <v>336</v>
          </cell>
          <cell r="M2064">
            <v>3018</v>
          </cell>
          <cell r="N2064" t="str">
            <v>영진</v>
          </cell>
          <cell r="O2064" t="str">
            <v>펌프카(1대)</v>
          </cell>
          <cell r="P2064">
            <v>902</v>
          </cell>
          <cell r="Q2064">
            <v>1343</v>
          </cell>
          <cell r="R2064">
            <v>185</v>
          </cell>
          <cell r="S2064">
            <v>50</v>
          </cell>
          <cell r="T2064">
            <v>45</v>
          </cell>
          <cell r="U2064">
            <v>146</v>
          </cell>
          <cell r="V2064"/>
          <cell r="W2064" t="str">
            <v>박순홍</v>
          </cell>
          <cell r="X2064" t="str">
            <v>(인)</v>
          </cell>
          <cell r="Y2064" t="str">
            <v>김광록</v>
          </cell>
          <cell r="Z2064" t="str">
            <v>(인)</v>
          </cell>
          <cell r="AA2064" t="str">
            <v>박상갑</v>
          </cell>
          <cell r="AB2064" t="str">
            <v>(인)</v>
          </cell>
          <cell r="AC2064" t="str">
            <v>김만고</v>
          </cell>
          <cell r="AD2064" t="str">
            <v>(인)</v>
          </cell>
          <cell r="AE2064">
            <v>181.4</v>
          </cell>
          <cell r="AF2064" t="str">
            <v>동절기</v>
          </cell>
          <cell r="AG2064">
            <v>1</v>
          </cell>
          <cell r="AH2064">
            <v>1</v>
          </cell>
          <cell r="AI2064">
            <v>2871</v>
          </cell>
          <cell r="AJ2064">
            <v>2943</v>
          </cell>
          <cell r="AK2064">
            <v>229400</v>
          </cell>
          <cell r="AL2064">
            <v>3752</v>
          </cell>
          <cell r="AM2064">
            <v>3760</v>
          </cell>
          <cell r="AN2064">
            <v>3774</v>
          </cell>
          <cell r="AO2064">
            <v>3629</v>
          </cell>
          <cell r="AP2064">
            <v>3818</v>
          </cell>
          <cell r="AQ2064">
            <v>3764</v>
          </cell>
          <cell r="AR2064">
            <v>3738</v>
          </cell>
          <cell r="AS2064">
            <v>3628</v>
          </cell>
          <cell r="AT2064">
            <v>285600</v>
          </cell>
        </row>
        <row r="2065">
          <cell r="G2065">
            <v>2504070102</v>
          </cell>
          <cell r="H2065" t="str">
            <v>117동</v>
          </cell>
          <cell r="I2065">
            <v>250407</v>
          </cell>
          <cell r="J2065" t="str">
            <v>117동 15층 바닥</v>
          </cell>
          <cell r="K2065">
            <v>336</v>
          </cell>
          <cell r="L2065">
            <v>336</v>
          </cell>
          <cell r="M2065">
            <v>3018</v>
          </cell>
          <cell r="N2065" t="str">
            <v>영진</v>
          </cell>
          <cell r="O2065" t="str">
            <v>펌프카(1대)</v>
          </cell>
          <cell r="P2065">
            <v>902</v>
          </cell>
          <cell r="Q2065">
            <v>1343</v>
          </cell>
          <cell r="R2065">
            <v>190</v>
          </cell>
          <cell r="S2065">
            <v>52</v>
          </cell>
          <cell r="T2065">
            <v>48</v>
          </cell>
          <cell r="U2065">
            <v>156</v>
          </cell>
          <cell r="V2065"/>
          <cell r="W2065" t="str">
            <v>박순홍</v>
          </cell>
          <cell r="X2065" t="str">
            <v>(인)</v>
          </cell>
          <cell r="Y2065" t="str">
            <v>김광록</v>
          </cell>
          <cell r="Z2065" t="str">
            <v>(인)</v>
          </cell>
          <cell r="AA2065" t="str">
            <v>박상갑</v>
          </cell>
          <cell r="AB2065" t="str">
            <v>(인)</v>
          </cell>
          <cell r="AC2065" t="str">
            <v>김만고</v>
          </cell>
          <cell r="AD2065" t="str">
            <v>(인)</v>
          </cell>
          <cell r="AE2065">
            <v>180.6</v>
          </cell>
          <cell r="AF2065" t="str">
            <v>동절기</v>
          </cell>
          <cell r="AG2065">
            <v>2</v>
          </cell>
          <cell r="AH2065">
            <v>0</v>
          </cell>
        </row>
        <row r="2066">
          <cell r="G2066">
            <v>2504070103</v>
          </cell>
          <cell r="H2066" t="str">
            <v>117동</v>
          </cell>
          <cell r="I2066">
            <v>250407</v>
          </cell>
          <cell r="J2066" t="str">
            <v>117동 15층 바닥</v>
          </cell>
          <cell r="K2066">
            <v>336</v>
          </cell>
          <cell r="L2066">
            <v>336</v>
          </cell>
          <cell r="M2066">
            <v>3018</v>
          </cell>
          <cell r="N2066" t="str">
            <v>영진</v>
          </cell>
          <cell r="O2066" t="str">
            <v>펌프카(1대)</v>
          </cell>
          <cell r="P2066">
            <v>902</v>
          </cell>
          <cell r="Q2066">
            <v>1343</v>
          </cell>
          <cell r="R2066">
            <v>180</v>
          </cell>
          <cell r="S2066">
            <v>46</v>
          </cell>
          <cell r="T2066">
            <v>41</v>
          </cell>
          <cell r="U2066">
            <v>120</v>
          </cell>
          <cell r="V2066"/>
          <cell r="W2066" t="str">
            <v>박순홍</v>
          </cell>
          <cell r="X2066" t="str">
            <v>(인)</v>
          </cell>
          <cell r="Y2066" t="str">
            <v>김광록</v>
          </cell>
          <cell r="Z2066" t="str">
            <v>(인)</v>
          </cell>
          <cell r="AA2066" t="str">
            <v>박상갑</v>
          </cell>
          <cell r="AB2066" t="str">
            <v>(인)</v>
          </cell>
          <cell r="AC2066" t="str">
            <v>김만고</v>
          </cell>
          <cell r="AD2066" t="str">
            <v>(인)</v>
          </cell>
          <cell r="AE2066">
            <v>179.4</v>
          </cell>
          <cell r="AF2066" t="str">
            <v>동절기</v>
          </cell>
          <cell r="AG2066">
            <v>3</v>
          </cell>
          <cell r="AH2066">
            <v>0</v>
          </cell>
        </row>
        <row r="2067">
          <cell r="G2067">
            <v>2504070201</v>
          </cell>
          <cell r="H2067" t="str">
            <v>118동</v>
          </cell>
          <cell r="I2067">
            <v>250407</v>
          </cell>
          <cell r="J2067" t="str">
            <v>118동 14층 바닥</v>
          </cell>
          <cell r="K2067">
            <v>288</v>
          </cell>
          <cell r="L2067">
            <v>288</v>
          </cell>
          <cell r="M2067">
            <v>3018</v>
          </cell>
          <cell r="N2067" t="str">
            <v>영진</v>
          </cell>
          <cell r="O2067" t="str">
            <v>펌프카(1대)</v>
          </cell>
          <cell r="P2067">
            <v>825</v>
          </cell>
          <cell r="Q2067">
            <v>1222</v>
          </cell>
          <cell r="R2067">
            <v>165</v>
          </cell>
          <cell r="S2067">
            <v>35</v>
          </cell>
          <cell r="T2067">
            <v>29</v>
          </cell>
          <cell r="U2067">
            <v>143</v>
          </cell>
          <cell r="V2067"/>
          <cell r="W2067" t="str">
            <v>김광록</v>
          </cell>
          <cell r="X2067" t="str">
            <v>(인)</v>
          </cell>
          <cell r="Y2067" t="str">
            <v>김광록</v>
          </cell>
          <cell r="Z2067" t="str">
            <v>(인)</v>
          </cell>
          <cell r="AA2067" t="str">
            <v>박상갑</v>
          </cell>
          <cell r="AB2067" t="str">
            <v>(인)</v>
          </cell>
          <cell r="AC2067" t="str">
            <v>김만고</v>
          </cell>
          <cell r="AD2067" t="str">
            <v>(인)</v>
          </cell>
          <cell r="AE2067">
            <v>184.5</v>
          </cell>
          <cell r="AF2067" t="str">
            <v>동절기</v>
          </cell>
          <cell r="AG2067">
            <v>1</v>
          </cell>
          <cell r="AH2067">
            <v>1</v>
          </cell>
          <cell r="AI2067">
            <v>2796</v>
          </cell>
          <cell r="AJ2067">
            <v>2783</v>
          </cell>
          <cell r="AK2067">
            <v>221800</v>
          </cell>
          <cell r="AL2067">
            <v>3798</v>
          </cell>
          <cell r="AM2067">
            <v>3812</v>
          </cell>
          <cell r="AN2067">
            <v>3839</v>
          </cell>
          <cell r="AO2067">
            <v>3877</v>
          </cell>
          <cell r="AP2067">
            <v>3762</v>
          </cell>
          <cell r="AQ2067">
            <v>3824</v>
          </cell>
          <cell r="AR2067">
            <v>3789</v>
          </cell>
          <cell r="AS2067">
            <v>3810</v>
          </cell>
          <cell r="AT2067">
            <v>306400</v>
          </cell>
        </row>
        <row r="2068">
          <cell r="G2068">
            <v>2504070202</v>
          </cell>
          <cell r="H2068" t="str">
            <v>118동</v>
          </cell>
          <cell r="I2068">
            <v>250407</v>
          </cell>
          <cell r="J2068" t="str">
            <v>118동 14층 바닥</v>
          </cell>
          <cell r="K2068">
            <v>288</v>
          </cell>
          <cell r="L2068">
            <v>288</v>
          </cell>
          <cell r="M2068">
            <v>3018</v>
          </cell>
          <cell r="N2068" t="str">
            <v>영진</v>
          </cell>
          <cell r="O2068" t="str">
            <v>펌프카(1대)</v>
          </cell>
          <cell r="P2068">
            <v>825</v>
          </cell>
          <cell r="Q2068">
            <v>1222</v>
          </cell>
          <cell r="R2068">
            <v>185</v>
          </cell>
          <cell r="S2068">
            <v>48</v>
          </cell>
          <cell r="T2068">
            <v>28</v>
          </cell>
          <cell r="U2068">
            <v>183</v>
          </cell>
          <cell r="V2068"/>
          <cell r="W2068" t="str">
            <v>김광록</v>
          </cell>
          <cell r="X2068" t="str">
            <v>(인)</v>
          </cell>
          <cell r="Y2068" t="str">
            <v>김광록</v>
          </cell>
          <cell r="Z2068" t="str">
            <v>(인)</v>
          </cell>
          <cell r="AA2068" t="str">
            <v>박상갑</v>
          </cell>
          <cell r="AB2068" t="str">
            <v>(인)</v>
          </cell>
          <cell r="AC2068" t="str">
            <v>김만고</v>
          </cell>
          <cell r="AD2068" t="str">
            <v>(인)</v>
          </cell>
          <cell r="AE2068">
            <v>185.3</v>
          </cell>
          <cell r="AF2068" t="str">
            <v>동절기</v>
          </cell>
          <cell r="AG2068">
            <v>2</v>
          </cell>
          <cell r="AH2068">
            <v>0</v>
          </cell>
        </row>
        <row r="2069">
          <cell r="G2069">
            <v>2504070203</v>
          </cell>
          <cell r="H2069" t="str">
            <v>118동</v>
          </cell>
          <cell r="I2069">
            <v>250407</v>
          </cell>
          <cell r="J2069" t="str">
            <v>118동 14층 바닥</v>
          </cell>
          <cell r="K2069">
            <v>288</v>
          </cell>
          <cell r="L2069">
            <v>288</v>
          </cell>
          <cell r="M2069">
            <v>3018</v>
          </cell>
          <cell r="N2069" t="str">
            <v>영진</v>
          </cell>
          <cell r="O2069" t="str">
            <v>펌프카(1대)</v>
          </cell>
          <cell r="P2069">
            <v>825</v>
          </cell>
          <cell r="Q2069">
            <v>1222</v>
          </cell>
          <cell r="R2069">
            <v>175</v>
          </cell>
          <cell r="S2069">
            <v>45</v>
          </cell>
          <cell r="T2069">
            <v>32</v>
          </cell>
          <cell r="U2069">
            <v>155</v>
          </cell>
          <cell r="V2069"/>
          <cell r="W2069" t="str">
            <v>김광록</v>
          </cell>
          <cell r="X2069" t="str">
            <v>(인)</v>
          </cell>
          <cell r="Y2069" t="str">
            <v>김광록</v>
          </cell>
          <cell r="Z2069" t="str">
            <v>(인)</v>
          </cell>
          <cell r="AA2069" t="str">
            <v>박상갑</v>
          </cell>
          <cell r="AB2069" t="str">
            <v>(인)</v>
          </cell>
          <cell r="AC2069" t="str">
            <v>김만고</v>
          </cell>
          <cell r="AD2069" t="str">
            <v>(인)</v>
          </cell>
          <cell r="AE2069">
            <v>178.3</v>
          </cell>
          <cell r="AF2069" t="str">
            <v>동절기</v>
          </cell>
          <cell r="AG2069">
            <v>3</v>
          </cell>
          <cell r="AH2069">
            <v>0</v>
          </cell>
        </row>
        <row r="2070">
          <cell r="G2070">
            <v>2504070301</v>
          </cell>
          <cell r="H2070" t="str">
            <v>119동</v>
          </cell>
          <cell r="I2070">
            <v>250407</v>
          </cell>
          <cell r="J2070" t="str">
            <v>119동 14층 바닥</v>
          </cell>
          <cell r="K2070">
            <v>281</v>
          </cell>
          <cell r="L2070">
            <v>281</v>
          </cell>
          <cell r="M2070">
            <v>3018</v>
          </cell>
          <cell r="N2070" t="str">
            <v>영진</v>
          </cell>
          <cell r="O2070" t="str">
            <v>펌프카(1대)</v>
          </cell>
          <cell r="P2070">
            <v>1317</v>
          </cell>
          <cell r="Q2070">
            <v>1623</v>
          </cell>
          <cell r="R2070">
            <v>195</v>
          </cell>
          <cell r="S2070">
            <v>53</v>
          </cell>
          <cell r="T2070">
            <v>130</v>
          </cell>
          <cell r="U2070">
            <v>197</v>
          </cell>
          <cell r="V2070"/>
          <cell r="W2070" t="str">
            <v>김광록</v>
          </cell>
          <cell r="X2070" t="str">
            <v>(인)</v>
          </cell>
          <cell r="Y2070" t="str">
            <v>김광록</v>
          </cell>
          <cell r="Z2070" t="str">
            <v>(인)</v>
          </cell>
          <cell r="AA2070" t="str">
            <v>박상갑</v>
          </cell>
          <cell r="AB2070" t="str">
            <v>(인)</v>
          </cell>
          <cell r="AC2070" t="str">
            <v>김만고</v>
          </cell>
          <cell r="AD2070" t="str">
            <v>(인)</v>
          </cell>
          <cell r="AE2070">
            <v>178.2</v>
          </cell>
          <cell r="AF2070" t="str">
            <v>동절기</v>
          </cell>
          <cell r="AG2070">
            <v>1</v>
          </cell>
          <cell r="AH2070">
            <v>1</v>
          </cell>
          <cell r="AI2070">
            <v>2748</v>
          </cell>
          <cell r="AJ2070">
            <v>2829</v>
          </cell>
          <cell r="AK2070">
            <v>220400</v>
          </cell>
          <cell r="AL2070">
            <v>3719</v>
          </cell>
          <cell r="AM2070">
            <v>3728</v>
          </cell>
          <cell r="AN2070">
            <v>3654</v>
          </cell>
          <cell r="AO2070">
            <v>3671</v>
          </cell>
          <cell r="AP2070">
            <v>3768</v>
          </cell>
          <cell r="AQ2070">
            <v>3728</v>
          </cell>
          <cell r="AR2070">
            <v>3796</v>
          </cell>
          <cell r="AS2070">
            <v>3810</v>
          </cell>
          <cell r="AT2070">
            <v>288200</v>
          </cell>
        </row>
        <row r="2071">
          <cell r="G2071">
            <v>2504070302</v>
          </cell>
          <cell r="H2071" t="str">
            <v>119동</v>
          </cell>
          <cell r="I2071">
            <v>250407</v>
          </cell>
          <cell r="J2071" t="str">
            <v>119동 14층 바닥</v>
          </cell>
          <cell r="K2071">
            <v>281</v>
          </cell>
          <cell r="L2071">
            <v>281</v>
          </cell>
          <cell r="M2071">
            <v>3018</v>
          </cell>
          <cell r="N2071" t="str">
            <v>영진</v>
          </cell>
          <cell r="O2071" t="str">
            <v>펌프카(1대)</v>
          </cell>
          <cell r="P2071">
            <v>1317</v>
          </cell>
          <cell r="Q2071">
            <v>1623</v>
          </cell>
          <cell r="R2071">
            <v>190</v>
          </cell>
          <cell r="S2071">
            <v>50</v>
          </cell>
          <cell r="T2071">
            <v>57</v>
          </cell>
          <cell r="U2071">
            <v>175</v>
          </cell>
          <cell r="V2071"/>
          <cell r="W2071" t="str">
            <v>김광록</v>
          </cell>
          <cell r="X2071" t="str">
            <v>(인)</v>
          </cell>
          <cell r="Y2071" t="str">
            <v>김광록</v>
          </cell>
          <cell r="Z2071" t="str">
            <v>(인)</v>
          </cell>
          <cell r="AA2071" t="str">
            <v>박상갑</v>
          </cell>
          <cell r="AB2071" t="str">
            <v>(인)</v>
          </cell>
          <cell r="AC2071" t="str">
            <v>김만고</v>
          </cell>
          <cell r="AD2071" t="str">
            <v>(인)</v>
          </cell>
          <cell r="AE2071">
            <v>179.7</v>
          </cell>
          <cell r="AF2071" t="str">
            <v>동절기</v>
          </cell>
          <cell r="AG2071">
            <v>2</v>
          </cell>
          <cell r="AH2071">
            <v>0</v>
          </cell>
        </row>
        <row r="2072">
          <cell r="G2072">
            <v>2504070303</v>
          </cell>
          <cell r="H2072" t="str">
            <v>119동</v>
          </cell>
          <cell r="I2072">
            <v>250407</v>
          </cell>
          <cell r="J2072" t="str">
            <v>119동 14층 바닥</v>
          </cell>
          <cell r="K2072">
            <v>281</v>
          </cell>
          <cell r="L2072">
            <v>281</v>
          </cell>
          <cell r="M2072">
            <v>3018</v>
          </cell>
          <cell r="N2072" t="str">
            <v>영진</v>
          </cell>
          <cell r="O2072" t="str">
            <v>펌프카(1대)</v>
          </cell>
          <cell r="P2072">
            <v>1317</v>
          </cell>
          <cell r="Q2072">
            <v>1623</v>
          </cell>
          <cell r="R2072">
            <v>170</v>
          </cell>
          <cell r="S2072">
            <v>35</v>
          </cell>
          <cell r="T2072">
            <v>62</v>
          </cell>
          <cell r="U2072">
            <v>204</v>
          </cell>
          <cell r="V2072"/>
          <cell r="W2072" t="str">
            <v>김광록</v>
          </cell>
          <cell r="X2072" t="str">
            <v>(인)</v>
          </cell>
          <cell r="Y2072" t="str">
            <v>김광록</v>
          </cell>
          <cell r="Z2072" t="str">
            <v>(인)</v>
          </cell>
          <cell r="AA2072" t="str">
            <v>박상갑</v>
          </cell>
          <cell r="AB2072" t="str">
            <v>(인)</v>
          </cell>
          <cell r="AC2072" t="str">
            <v>김만고</v>
          </cell>
          <cell r="AD2072" t="str">
            <v>(인)</v>
          </cell>
          <cell r="AE2072">
            <v>180.6</v>
          </cell>
          <cell r="AF2072" t="str">
            <v>동절기</v>
          </cell>
          <cell r="AG2072">
            <v>3</v>
          </cell>
          <cell r="AH2072">
            <v>0</v>
          </cell>
        </row>
        <row r="2073">
          <cell r="G2073">
            <v>2504070401</v>
          </cell>
          <cell r="H2073" t="str">
            <v>118동</v>
          </cell>
          <cell r="I2073">
            <v>250407</v>
          </cell>
          <cell r="J2073" t="str">
            <v>118동 주변 주차장</v>
          </cell>
          <cell r="K2073">
            <v>468</v>
          </cell>
          <cell r="L2073">
            <v>468</v>
          </cell>
          <cell r="M2073">
            <v>2715</v>
          </cell>
          <cell r="N2073" t="str">
            <v>신우</v>
          </cell>
          <cell r="O2073" t="str">
            <v>펌프카(1대)</v>
          </cell>
          <cell r="P2073">
            <v>852</v>
          </cell>
          <cell r="Q2073">
            <v>1645</v>
          </cell>
          <cell r="R2073">
            <v>155</v>
          </cell>
          <cell r="S2073">
            <v>42</v>
          </cell>
          <cell r="T2073">
            <v>34</v>
          </cell>
          <cell r="U2073">
            <v>147</v>
          </cell>
          <cell r="V2073"/>
          <cell r="W2073" t="str">
            <v>김광록</v>
          </cell>
          <cell r="X2073" t="str">
            <v>(인)</v>
          </cell>
          <cell r="Y2073" t="str">
            <v>김광록</v>
          </cell>
          <cell r="Z2073" t="str">
            <v>(인)</v>
          </cell>
          <cell r="AA2073" t="str">
            <v>박상갑</v>
          </cell>
          <cell r="AB2073" t="str">
            <v>(인)</v>
          </cell>
          <cell r="AC2073" t="str">
            <v>김만고</v>
          </cell>
          <cell r="AD2073" t="str">
            <v>(인)</v>
          </cell>
          <cell r="AE2073">
            <v>181.2</v>
          </cell>
          <cell r="AF2073" t="str">
            <v>동절기</v>
          </cell>
          <cell r="AG2073">
            <v>1</v>
          </cell>
          <cell r="AH2073">
            <v>1</v>
          </cell>
          <cell r="AI2073">
            <v>2610</v>
          </cell>
          <cell r="AJ2073">
            <v>2528</v>
          </cell>
          <cell r="AK2073">
            <v>195600</v>
          </cell>
          <cell r="AL2073">
            <v>3318</v>
          </cell>
          <cell r="AM2073">
            <v>3254</v>
          </cell>
          <cell r="AN2073">
            <v>3265</v>
          </cell>
          <cell r="AO2073">
            <v>3328</v>
          </cell>
          <cell r="AP2073">
            <v>3384</v>
          </cell>
          <cell r="AQ2073">
            <v>3269</v>
          </cell>
          <cell r="AR2073">
            <v>3399</v>
          </cell>
          <cell r="AS2073">
            <v>3271</v>
          </cell>
          <cell r="AT2073">
            <v>256200</v>
          </cell>
        </row>
        <row r="2074">
          <cell r="G2074">
            <v>2504070402</v>
          </cell>
          <cell r="H2074" t="str">
            <v>118동</v>
          </cell>
          <cell r="I2074">
            <v>250407</v>
          </cell>
          <cell r="J2074" t="str">
            <v>118동 주변 주차장</v>
          </cell>
          <cell r="K2074">
            <v>468</v>
          </cell>
          <cell r="L2074">
            <v>468</v>
          </cell>
          <cell r="M2074">
            <v>2715</v>
          </cell>
          <cell r="N2074" t="str">
            <v>신우</v>
          </cell>
          <cell r="O2074" t="str">
            <v>펌프카(1대)</v>
          </cell>
          <cell r="P2074">
            <v>852</v>
          </cell>
          <cell r="Q2074">
            <v>1645</v>
          </cell>
          <cell r="R2074">
            <v>170</v>
          </cell>
          <cell r="S2074">
            <v>45</v>
          </cell>
          <cell r="T2074">
            <v>43</v>
          </cell>
          <cell r="U2074">
            <v>154</v>
          </cell>
          <cell r="V2074"/>
          <cell r="W2074" t="str">
            <v>김광록</v>
          </cell>
          <cell r="X2074" t="str">
            <v>(인)</v>
          </cell>
          <cell r="Y2074" t="str">
            <v>김광록</v>
          </cell>
          <cell r="Z2074" t="str">
            <v>(인)</v>
          </cell>
          <cell r="AA2074" t="str">
            <v>박상갑</v>
          </cell>
          <cell r="AB2074" t="str">
            <v>(인)</v>
          </cell>
          <cell r="AC2074" t="str">
            <v>김만고</v>
          </cell>
          <cell r="AD2074" t="str">
            <v>(인)</v>
          </cell>
          <cell r="AE2074">
            <v>184.5</v>
          </cell>
          <cell r="AF2074" t="str">
            <v>동절기</v>
          </cell>
          <cell r="AG2074">
            <v>2</v>
          </cell>
          <cell r="AH2074">
            <v>0</v>
          </cell>
        </row>
        <row r="2075">
          <cell r="G2075">
            <v>2504070403</v>
          </cell>
          <cell r="H2075" t="str">
            <v>118동</v>
          </cell>
          <cell r="I2075">
            <v>250407</v>
          </cell>
          <cell r="J2075" t="str">
            <v>118동 주변 주차장</v>
          </cell>
          <cell r="K2075">
            <v>468</v>
          </cell>
          <cell r="L2075">
            <v>468</v>
          </cell>
          <cell r="M2075">
            <v>2715</v>
          </cell>
          <cell r="N2075" t="str">
            <v>신우</v>
          </cell>
          <cell r="O2075" t="str">
            <v>펌프카(1대)</v>
          </cell>
          <cell r="P2075">
            <v>852</v>
          </cell>
          <cell r="Q2075">
            <v>1645</v>
          </cell>
          <cell r="R2075">
            <v>170</v>
          </cell>
          <cell r="S2075">
            <v>49</v>
          </cell>
          <cell r="T2075">
            <v>74</v>
          </cell>
          <cell r="U2075">
            <v>179</v>
          </cell>
          <cell r="V2075"/>
          <cell r="W2075" t="str">
            <v>김광록</v>
          </cell>
          <cell r="X2075" t="str">
            <v>(인)</v>
          </cell>
          <cell r="Y2075" t="str">
            <v>김광록</v>
          </cell>
          <cell r="Z2075" t="str">
            <v>(인)</v>
          </cell>
          <cell r="AA2075" t="str">
            <v>박상갑</v>
          </cell>
          <cell r="AB2075" t="str">
            <v>(인)</v>
          </cell>
          <cell r="AC2075" t="str">
            <v>김만고</v>
          </cell>
          <cell r="AD2075" t="str">
            <v>(인)</v>
          </cell>
          <cell r="AE2075">
            <v>177.2</v>
          </cell>
          <cell r="AF2075" t="str">
            <v>동절기</v>
          </cell>
          <cell r="AG2075">
            <v>3</v>
          </cell>
          <cell r="AH2075">
            <v>0</v>
          </cell>
        </row>
        <row r="2076">
          <cell r="G2076">
            <v>2504070404</v>
          </cell>
          <cell r="H2076" t="str">
            <v>118동</v>
          </cell>
          <cell r="I2076">
            <v>250407</v>
          </cell>
          <cell r="J2076" t="str">
            <v>118동 주변 주차장</v>
          </cell>
          <cell r="K2076">
            <v>468</v>
          </cell>
          <cell r="L2076">
            <v>468</v>
          </cell>
          <cell r="M2076">
            <v>2715</v>
          </cell>
          <cell r="N2076" t="str">
            <v>신우</v>
          </cell>
          <cell r="O2076" t="str">
            <v>펌프카(1대)</v>
          </cell>
          <cell r="P2076">
            <v>852</v>
          </cell>
          <cell r="Q2076">
            <v>1645</v>
          </cell>
          <cell r="R2076">
            <v>160</v>
          </cell>
          <cell r="S2076">
            <v>52</v>
          </cell>
          <cell r="T2076">
            <v>77</v>
          </cell>
          <cell r="U2076">
            <v>184</v>
          </cell>
          <cell r="V2076"/>
          <cell r="W2076" t="str">
            <v>김광록</v>
          </cell>
          <cell r="X2076" t="str">
            <v>(인)</v>
          </cell>
          <cell r="Y2076" t="str">
            <v>김광록</v>
          </cell>
          <cell r="Z2076" t="str">
            <v>(인)</v>
          </cell>
          <cell r="AA2076" t="str">
            <v>박상갑</v>
          </cell>
          <cell r="AB2076" t="str">
            <v>(인)</v>
          </cell>
          <cell r="AC2076" t="str">
            <v>김만고</v>
          </cell>
          <cell r="AD2076" t="str">
            <v>(인)</v>
          </cell>
          <cell r="AE2076">
            <v>176.5</v>
          </cell>
          <cell r="AF2076" t="str">
            <v>동절기</v>
          </cell>
          <cell r="AG2076">
            <v>4</v>
          </cell>
          <cell r="AH2076">
            <v>1</v>
          </cell>
          <cell r="AL2076">
            <v>3384</v>
          </cell>
          <cell r="AM2076">
            <v>3399</v>
          </cell>
          <cell r="AN2076">
            <v>3415</v>
          </cell>
          <cell r="AO2076">
            <v>3229</v>
          </cell>
          <cell r="AP2076">
            <v>3271</v>
          </cell>
          <cell r="AQ2076">
            <v>3277</v>
          </cell>
          <cell r="AR2076">
            <v>3344</v>
          </cell>
          <cell r="AS2076">
            <v>3278</v>
          </cell>
          <cell r="AT2076">
            <v>264600</v>
          </cell>
        </row>
        <row r="2077">
          <cell r="G2077">
            <v>2504080101</v>
          </cell>
          <cell r="H2077" t="str">
            <v>112동</v>
          </cell>
          <cell r="I2077">
            <v>250408</v>
          </cell>
          <cell r="J2077" t="str">
            <v>112동 14층 바닥</v>
          </cell>
          <cell r="K2077">
            <v>220</v>
          </cell>
          <cell r="L2077">
            <v>222</v>
          </cell>
          <cell r="M2077">
            <v>3018</v>
          </cell>
          <cell r="N2077" t="str">
            <v>대원</v>
          </cell>
          <cell r="O2077" t="str">
            <v>펌프카(1대)</v>
          </cell>
          <cell r="P2077">
            <v>838</v>
          </cell>
          <cell r="Q2077">
            <v>1336</v>
          </cell>
          <cell r="R2077">
            <v>170</v>
          </cell>
          <cell r="S2077">
            <v>49</v>
          </cell>
          <cell r="T2077">
            <v>22</v>
          </cell>
          <cell r="U2077">
            <v>168</v>
          </cell>
          <cell r="V2077"/>
          <cell r="W2077" t="str">
            <v>박순홍</v>
          </cell>
          <cell r="X2077" t="str">
            <v>(인)</v>
          </cell>
          <cell r="Y2077" t="str">
            <v>박순홍</v>
          </cell>
          <cell r="Z2077" t="str">
            <v>(인)</v>
          </cell>
          <cell r="AA2077" t="str">
            <v>박상갑</v>
          </cell>
          <cell r="AB2077" t="str">
            <v>(인)</v>
          </cell>
          <cell r="AC2077" t="str">
            <v>이홍걸</v>
          </cell>
          <cell r="AD2077" t="str">
            <v>(인)</v>
          </cell>
          <cell r="AE2077">
            <v>187.3</v>
          </cell>
          <cell r="AF2077" t="str">
            <v>동절기</v>
          </cell>
          <cell r="AG2077">
            <v>1</v>
          </cell>
          <cell r="AH2077">
            <v>1</v>
          </cell>
          <cell r="AI2077">
            <v>2800</v>
          </cell>
          <cell r="AJ2077">
            <v>2938</v>
          </cell>
          <cell r="AK2077">
            <v>221200</v>
          </cell>
          <cell r="AL2077">
            <v>4016</v>
          </cell>
          <cell r="AM2077">
            <v>4068</v>
          </cell>
          <cell r="AN2077">
            <v>3978</v>
          </cell>
          <cell r="AO2077">
            <v>4076</v>
          </cell>
          <cell r="AP2077">
            <v>3988</v>
          </cell>
          <cell r="AQ2077">
            <v>3896</v>
          </cell>
          <cell r="AR2077">
            <v>4012</v>
          </cell>
          <cell r="AS2077">
            <v>4037</v>
          </cell>
          <cell r="AT2077">
            <v>312200</v>
          </cell>
        </row>
        <row r="2078">
          <cell r="G2078">
            <v>2504080102</v>
          </cell>
          <cell r="H2078" t="str">
            <v>112동</v>
          </cell>
          <cell r="I2078">
            <v>250408</v>
          </cell>
          <cell r="J2078" t="str">
            <v>112동 14층 바닥</v>
          </cell>
          <cell r="K2078">
            <v>220</v>
          </cell>
          <cell r="L2078">
            <v>222</v>
          </cell>
          <cell r="M2078">
            <v>3018</v>
          </cell>
          <cell r="N2078" t="str">
            <v>대원</v>
          </cell>
          <cell r="O2078" t="str">
            <v>펌프카(1대)</v>
          </cell>
          <cell r="P2078">
            <v>838</v>
          </cell>
          <cell r="Q2078">
            <v>1336</v>
          </cell>
          <cell r="R2078">
            <v>190</v>
          </cell>
          <cell r="S2078">
            <v>51</v>
          </cell>
          <cell r="T2078">
            <v>41</v>
          </cell>
          <cell r="U2078">
            <v>187</v>
          </cell>
          <cell r="V2078"/>
          <cell r="W2078" t="str">
            <v>박순홍</v>
          </cell>
          <cell r="X2078" t="str">
            <v>(인)</v>
          </cell>
          <cell r="Y2078" t="str">
            <v>박순홍</v>
          </cell>
          <cell r="Z2078" t="str">
            <v>(인)</v>
          </cell>
          <cell r="AA2078" t="str">
            <v>박상갑</v>
          </cell>
          <cell r="AB2078" t="str">
            <v>(인)</v>
          </cell>
          <cell r="AC2078" t="str">
            <v>이홍걸</v>
          </cell>
          <cell r="AD2078" t="str">
            <v>(인)</v>
          </cell>
          <cell r="AE2078">
            <v>188.4</v>
          </cell>
          <cell r="AF2078" t="str">
            <v>동절기</v>
          </cell>
          <cell r="AG2078">
            <v>2</v>
          </cell>
          <cell r="AH2078">
            <v>0</v>
          </cell>
        </row>
        <row r="2079">
          <cell r="G2079">
            <v>2504080201</v>
          </cell>
          <cell r="H2079" t="str">
            <v>108동</v>
          </cell>
          <cell r="I2079">
            <v>250408</v>
          </cell>
          <cell r="J2079" t="str">
            <v>108동 주변주차장 지붕층</v>
          </cell>
          <cell r="K2079">
            <v>100</v>
          </cell>
          <cell r="L2079">
            <v>96</v>
          </cell>
          <cell r="M2079">
            <v>2715</v>
          </cell>
          <cell r="N2079" t="str">
            <v>대원</v>
          </cell>
          <cell r="O2079" t="str">
            <v>펌프카(1대)</v>
          </cell>
          <cell r="P2079">
            <v>1402</v>
          </cell>
          <cell r="Q2079">
            <v>1540</v>
          </cell>
          <cell r="R2079">
            <v>165</v>
          </cell>
          <cell r="S2079">
            <v>40</v>
          </cell>
          <cell r="T2079">
            <v>26</v>
          </cell>
          <cell r="U2079">
            <v>218</v>
          </cell>
          <cell r="V2079"/>
          <cell r="W2079" t="str">
            <v>박순홍</v>
          </cell>
          <cell r="X2079" t="str">
            <v>(인)</v>
          </cell>
          <cell r="Y2079" t="str">
            <v>박순홍</v>
          </cell>
          <cell r="Z2079" t="str">
            <v>(인)</v>
          </cell>
          <cell r="AA2079" t="str">
            <v>박상갑</v>
          </cell>
          <cell r="AB2079" t="str">
            <v>(인)</v>
          </cell>
          <cell r="AC2079" t="str">
            <v>이홍걸</v>
          </cell>
          <cell r="AD2079" t="str">
            <v>(인)</v>
          </cell>
          <cell r="AE2079">
            <v>181.4</v>
          </cell>
          <cell r="AF2079" t="str">
            <v>동절기</v>
          </cell>
          <cell r="AG2079">
            <v>1</v>
          </cell>
          <cell r="AH2079">
            <v>1</v>
          </cell>
          <cell r="AI2079">
            <v>2462</v>
          </cell>
          <cell r="AJ2079">
            <v>2533</v>
          </cell>
          <cell r="AK2079">
            <v>204000</v>
          </cell>
          <cell r="AL2079">
            <v>3688</v>
          </cell>
          <cell r="AM2079">
            <v>3713</v>
          </cell>
          <cell r="AN2079">
            <v>3716</v>
          </cell>
          <cell r="AO2079">
            <v>3690</v>
          </cell>
          <cell r="AP2079">
            <v>3684</v>
          </cell>
          <cell r="AQ2079">
            <v>3713</v>
          </cell>
          <cell r="AR2079">
            <v>3689</v>
          </cell>
          <cell r="AS2079">
            <v>3672</v>
          </cell>
          <cell r="AT2079">
            <v>293800</v>
          </cell>
        </row>
        <row r="2080">
          <cell r="G2080">
            <v>2504090101</v>
          </cell>
          <cell r="H2080" t="str">
            <v>116동</v>
          </cell>
          <cell r="I2080">
            <v>250409</v>
          </cell>
          <cell r="J2080" t="str">
            <v>116동 16층 바닥</v>
          </cell>
          <cell r="K2080">
            <v>280</v>
          </cell>
          <cell r="L2080">
            <v>282</v>
          </cell>
          <cell r="M2080">
            <v>3018</v>
          </cell>
          <cell r="N2080" t="str">
            <v>대공</v>
          </cell>
          <cell r="O2080" t="str">
            <v>펌프카(1대)</v>
          </cell>
          <cell r="P2080">
            <v>920</v>
          </cell>
          <cell r="Q2080">
            <v>1420</v>
          </cell>
          <cell r="R2080">
            <v>190</v>
          </cell>
          <cell r="S2080">
            <v>40</v>
          </cell>
          <cell r="T2080">
            <v>99</v>
          </cell>
          <cell r="U2080">
            <v>145</v>
          </cell>
          <cell r="V2080"/>
          <cell r="W2080" t="str">
            <v>박순홍</v>
          </cell>
          <cell r="X2080" t="str">
            <v>(인)</v>
          </cell>
          <cell r="Y2080" t="str">
            <v>박순홍</v>
          </cell>
          <cell r="Z2080" t="str">
            <v>(인)</v>
          </cell>
          <cell r="AA2080" t="str">
            <v>박상갑</v>
          </cell>
          <cell r="AB2080" t="str">
            <v>(인)</v>
          </cell>
          <cell r="AC2080" t="str">
            <v>이홍걸</v>
          </cell>
          <cell r="AD2080" t="str">
            <v>(인)</v>
          </cell>
          <cell r="AE2080">
            <v>185.7</v>
          </cell>
          <cell r="AF2080" t="str">
            <v>동절기</v>
          </cell>
          <cell r="AG2080">
            <v>1</v>
          </cell>
          <cell r="AH2080">
            <v>1</v>
          </cell>
          <cell r="AI2080">
            <v>2789</v>
          </cell>
          <cell r="AJ2080">
            <v>2834</v>
          </cell>
          <cell r="AK2080">
            <v>218000</v>
          </cell>
          <cell r="AL2080">
            <v>3813</v>
          </cell>
          <cell r="AM2080">
            <v>3768</v>
          </cell>
          <cell r="AN2080">
            <v>3784</v>
          </cell>
          <cell r="AO2080">
            <v>3796</v>
          </cell>
          <cell r="AP2080">
            <v>3786</v>
          </cell>
          <cell r="AQ2080">
            <v>3780</v>
          </cell>
          <cell r="AR2080">
            <v>3813</v>
          </cell>
          <cell r="AS2080">
            <v>3716</v>
          </cell>
          <cell r="AT2080">
            <v>296600</v>
          </cell>
        </row>
        <row r="2081">
          <cell r="G2081">
            <v>2504090102</v>
          </cell>
          <cell r="H2081" t="str">
            <v>116동</v>
          </cell>
          <cell r="I2081">
            <v>250409</v>
          </cell>
          <cell r="J2081" t="str">
            <v>116동 16층 바닥</v>
          </cell>
          <cell r="K2081">
            <v>280</v>
          </cell>
          <cell r="L2081">
            <v>282</v>
          </cell>
          <cell r="M2081">
            <v>3018</v>
          </cell>
          <cell r="N2081" t="str">
            <v>대공</v>
          </cell>
          <cell r="O2081" t="str">
            <v>펌프카(1대)</v>
          </cell>
          <cell r="P2081">
            <v>920</v>
          </cell>
          <cell r="Q2081">
            <v>1420</v>
          </cell>
          <cell r="R2081">
            <v>195</v>
          </cell>
          <cell r="S2081">
            <v>48</v>
          </cell>
          <cell r="T2081">
            <v>170</v>
          </cell>
          <cell r="U2081">
            <v>156</v>
          </cell>
          <cell r="V2081"/>
          <cell r="W2081" t="str">
            <v>박순홍</v>
          </cell>
          <cell r="X2081" t="str">
            <v>(인)</v>
          </cell>
          <cell r="Y2081" t="str">
            <v>박순홍</v>
          </cell>
          <cell r="Z2081" t="str">
            <v>(인)</v>
          </cell>
          <cell r="AA2081" t="str">
            <v>박상갑</v>
          </cell>
          <cell r="AB2081" t="str">
            <v>(인)</v>
          </cell>
          <cell r="AC2081" t="str">
            <v>이홍걸</v>
          </cell>
          <cell r="AD2081" t="str">
            <v>(인)</v>
          </cell>
          <cell r="AE2081">
            <v>186.4</v>
          </cell>
          <cell r="AF2081" t="str">
            <v>동절기</v>
          </cell>
          <cell r="AG2081">
            <v>2</v>
          </cell>
          <cell r="AH2081">
            <v>0</v>
          </cell>
        </row>
        <row r="2082">
          <cell r="G2082">
            <v>2504090103</v>
          </cell>
          <cell r="H2082" t="str">
            <v>116동</v>
          </cell>
          <cell r="I2082">
            <v>250409</v>
          </cell>
          <cell r="J2082" t="str">
            <v>116동 16층 바닥</v>
          </cell>
          <cell r="K2082">
            <v>280</v>
          </cell>
          <cell r="L2082">
            <v>282</v>
          </cell>
          <cell r="M2082">
            <v>3018</v>
          </cell>
          <cell r="N2082" t="str">
            <v>대공</v>
          </cell>
          <cell r="O2082" t="str">
            <v>펌프카(1대)</v>
          </cell>
          <cell r="P2082">
            <v>920</v>
          </cell>
          <cell r="Q2082">
            <v>1420</v>
          </cell>
          <cell r="R2082">
            <v>170</v>
          </cell>
          <cell r="S2082">
            <v>36</v>
          </cell>
          <cell r="T2082">
            <v>54</v>
          </cell>
          <cell r="U2082">
            <v>131</v>
          </cell>
          <cell r="V2082"/>
          <cell r="W2082" t="str">
            <v>박순홍</v>
          </cell>
          <cell r="X2082" t="str">
            <v>(인)</v>
          </cell>
          <cell r="Y2082" t="str">
            <v>박순홍</v>
          </cell>
          <cell r="Z2082" t="str">
            <v>(인)</v>
          </cell>
          <cell r="AA2082" t="str">
            <v>박상갑</v>
          </cell>
          <cell r="AB2082" t="str">
            <v>(인)</v>
          </cell>
          <cell r="AC2082" t="str">
            <v>이홍걸</v>
          </cell>
          <cell r="AD2082" t="str">
            <v>(인)</v>
          </cell>
          <cell r="AE2082">
            <v>183.2</v>
          </cell>
          <cell r="AF2082" t="str">
            <v>동절기</v>
          </cell>
          <cell r="AG2082">
            <v>3</v>
          </cell>
          <cell r="AH2082">
            <v>0</v>
          </cell>
        </row>
        <row r="2083">
          <cell r="G2083">
            <v>2504100101</v>
          </cell>
          <cell r="H2083" t="str">
            <v>120동</v>
          </cell>
          <cell r="I2083">
            <v>250410</v>
          </cell>
          <cell r="J2083" t="str">
            <v>120동 13층 바닥</v>
          </cell>
          <cell r="K2083">
            <v>290</v>
          </cell>
          <cell r="L2083">
            <v>288</v>
          </cell>
          <cell r="M2083">
            <v>3018</v>
          </cell>
          <cell r="N2083" t="str">
            <v>대공</v>
          </cell>
          <cell r="O2083" t="str">
            <v>펌프카(1대)</v>
          </cell>
          <cell r="P2083">
            <v>910</v>
          </cell>
          <cell r="Q2083">
            <v>1449</v>
          </cell>
          <cell r="R2083">
            <v>180</v>
          </cell>
          <cell r="S2083">
            <v>48</v>
          </cell>
          <cell r="T2083">
            <v>74</v>
          </cell>
          <cell r="U2083">
            <v>161</v>
          </cell>
          <cell r="V2083"/>
          <cell r="W2083" t="str">
            <v>박순홍</v>
          </cell>
          <cell r="X2083" t="str">
            <v>(인)</v>
          </cell>
          <cell r="Y2083" t="str">
            <v>박순홍</v>
          </cell>
          <cell r="Z2083" t="str">
            <v>(인)</v>
          </cell>
          <cell r="AA2083" t="str">
            <v>박상갑</v>
          </cell>
          <cell r="AB2083" t="str">
            <v>(인)</v>
          </cell>
          <cell r="AC2083" t="str">
            <v>이홍걸</v>
          </cell>
          <cell r="AD2083" t="str">
            <v>(인)</v>
          </cell>
          <cell r="AE2083">
            <v>184</v>
          </cell>
          <cell r="AF2083" t="str">
            <v>동절기</v>
          </cell>
          <cell r="AG2083">
            <v>1</v>
          </cell>
          <cell r="AH2083">
            <v>1</v>
          </cell>
        </row>
        <row r="2084">
          <cell r="G2084">
            <v>2504100102</v>
          </cell>
          <cell r="H2084" t="str">
            <v>120동</v>
          </cell>
          <cell r="I2084">
            <v>250410</v>
          </cell>
          <cell r="J2084" t="str">
            <v>120동 13층 바닥</v>
          </cell>
          <cell r="K2084">
            <v>290</v>
          </cell>
          <cell r="L2084">
            <v>288</v>
          </cell>
          <cell r="M2084">
            <v>3018</v>
          </cell>
          <cell r="N2084" t="str">
            <v>대공</v>
          </cell>
          <cell r="O2084" t="str">
            <v>펌프카(1대)</v>
          </cell>
          <cell r="P2084">
            <v>910</v>
          </cell>
          <cell r="Q2084">
            <v>1449</v>
          </cell>
          <cell r="R2084">
            <v>190</v>
          </cell>
          <cell r="S2084">
            <v>51</v>
          </cell>
          <cell r="T2084">
            <v>55</v>
          </cell>
          <cell r="U2084">
            <v>173</v>
          </cell>
          <cell r="V2084"/>
          <cell r="W2084" t="str">
            <v>박순홍</v>
          </cell>
          <cell r="X2084" t="str">
            <v>(인)</v>
          </cell>
          <cell r="Y2084" t="str">
            <v>박순홍</v>
          </cell>
          <cell r="Z2084" t="str">
            <v>(인)</v>
          </cell>
          <cell r="AA2084" t="str">
            <v>박상갑</v>
          </cell>
          <cell r="AB2084" t="str">
            <v>(인)</v>
          </cell>
          <cell r="AC2084" t="str">
            <v>이홍걸</v>
          </cell>
          <cell r="AD2084" t="str">
            <v>(인)</v>
          </cell>
          <cell r="AE2084">
            <v>184.2</v>
          </cell>
          <cell r="AF2084" t="str">
            <v>동절기</v>
          </cell>
          <cell r="AG2084">
            <v>2</v>
          </cell>
          <cell r="AH2084">
            <v>0</v>
          </cell>
        </row>
        <row r="2085">
          <cell r="G2085">
            <v>2504100103</v>
          </cell>
          <cell r="H2085" t="str">
            <v>120동</v>
          </cell>
          <cell r="I2085">
            <v>250410</v>
          </cell>
          <cell r="J2085" t="str">
            <v>120동 13층 바닥</v>
          </cell>
          <cell r="K2085">
            <v>290</v>
          </cell>
          <cell r="L2085">
            <v>288</v>
          </cell>
          <cell r="M2085">
            <v>3018</v>
          </cell>
          <cell r="N2085" t="str">
            <v>대공</v>
          </cell>
          <cell r="O2085" t="str">
            <v>펌프카(1대)</v>
          </cell>
          <cell r="P2085">
            <v>910</v>
          </cell>
          <cell r="Q2085">
            <v>1449</v>
          </cell>
          <cell r="R2085">
            <v>190</v>
          </cell>
          <cell r="S2085">
            <v>46</v>
          </cell>
          <cell r="T2085">
            <v>52</v>
          </cell>
          <cell r="U2085">
            <v>180</v>
          </cell>
          <cell r="V2085"/>
          <cell r="W2085" t="str">
            <v>박순홍</v>
          </cell>
          <cell r="X2085" t="str">
            <v>(인)</v>
          </cell>
          <cell r="Y2085" t="str">
            <v>박순홍</v>
          </cell>
          <cell r="Z2085" t="str">
            <v>(인)</v>
          </cell>
          <cell r="AA2085" t="str">
            <v>박상갑</v>
          </cell>
          <cell r="AB2085" t="str">
            <v>(인)</v>
          </cell>
          <cell r="AC2085" t="str">
            <v>이홍걸</v>
          </cell>
          <cell r="AD2085" t="str">
            <v>(인)</v>
          </cell>
          <cell r="AE2085">
            <v>179.1</v>
          </cell>
          <cell r="AF2085" t="str">
            <v>동절기</v>
          </cell>
          <cell r="AG2085">
            <v>3</v>
          </cell>
          <cell r="AH2085">
            <v>0</v>
          </cell>
        </row>
        <row r="2086">
          <cell r="G2086">
            <v>2504100201</v>
          </cell>
          <cell r="H2086" t="str">
            <v>115동</v>
          </cell>
          <cell r="I2086">
            <v>250410</v>
          </cell>
          <cell r="J2086" t="str">
            <v>115동 19층 바닥</v>
          </cell>
          <cell r="K2086">
            <v>293</v>
          </cell>
          <cell r="L2086">
            <v>293</v>
          </cell>
          <cell r="M2086">
            <v>3018</v>
          </cell>
          <cell r="N2086" t="str">
            <v>대원</v>
          </cell>
          <cell r="O2086" t="str">
            <v>펌프카(1대)</v>
          </cell>
          <cell r="P2086">
            <v>1115</v>
          </cell>
          <cell r="Q2086">
            <v>1635</v>
          </cell>
          <cell r="R2086">
            <v>180</v>
          </cell>
          <cell r="S2086">
            <v>55</v>
          </cell>
          <cell r="T2086">
            <v>13</v>
          </cell>
          <cell r="U2086">
            <v>169</v>
          </cell>
          <cell r="V2086"/>
          <cell r="W2086" t="str">
            <v>김광록</v>
          </cell>
          <cell r="X2086" t="str">
            <v>(인)</v>
          </cell>
          <cell r="Y2086" t="str">
            <v>박순홍</v>
          </cell>
          <cell r="Z2086" t="str">
            <v>(인)</v>
          </cell>
          <cell r="AA2086" t="str">
            <v>박상갑</v>
          </cell>
          <cell r="AB2086" t="str">
            <v>(인)</v>
          </cell>
          <cell r="AC2086" t="str">
            <v>이홍걸</v>
          </cell>
          <cell r="AD2086" t="str">
            <v>(인)</v>
          </cell>
          <cell r="AE2086">
            <v>183.5</v>
          </cell>
          <cell r="AF2086" t="str">
            <v>동절기</v>
          </cell>
          <cell r="AG2086">
            <v>1</v>
          </cell>
          <cell r="AH2086">
            <v>1</v>
          </cell>
        </row>
        <row r="2087">
          <cell r="G2087">
            <v>2504100202</v>
          </cell>
          <cell r="H2087" t="str">
            <v>115동</v>
          </cell>
          <cell r="I2087">
            <v>250410</v>
          </cell>
          <cell r="J2087" t="str">
            <v>115동 19층 바닥</v>
          </cell>
          <cell r="K2087">
            <v>293</v>
          </cell>
          <cell r="L2087">
            <v>293</v>
          </cell>
          <cell r="M2087">
            <v>3018</v>
          </cell>
          <cell r="N2087" t="str">
            <v>대원</v>
          </cell>
          <cell r="O2087" t="str">
            <v>펌프카(1대)</v>
          </cell>
          <cell r="P2087">
            <v>1115</v>
          </cell>
          <cell r="Q2087">
            <v>1635</v>
          </cell>
          <cell r="R2087">
            <v>180</v>
          </cell>
          <cell r="S2087">
            <v>50</v>
          </cell>
          <cell r="T2087">
            <v>28</v>
          </cell>
          <cell r="U2087">
            <v>172</v>
          </cell>
          <cell r="V2087"/>
          <cell r="W2087" t="str">
            <v>김광록</v>
          </cell>
          <cell r="X2087" t="str">
            <v>(인)</v>
          </cell>
          <cell r="Y2087" t="str">
            <v>박순홍</v>
          </cell>
          <cell r="Z2087" t="str">
            <v>(인)</v>
          </cell>
          <cell r="AA2087" t="str">
            <v>박상갑</v>
          </cell>
          <cell r="AB2087" t="str">
            <v>(인)</v>
          </cell>
          <cell r="AC2087" t="str">
            <v>이홍걸</v>
          </cell>
          <cell r="AD2087" t="str">
            <v>(인)</v>
          </cell>
          <cell r="AE2087">
            <v>185.5</v>
          </cell>
          <cell r="AF2087" t="str">
            <v>동절기</v>
          </cell>
          <cell r="AG2087">
            <v>2</v>
          </cell>
          <cell r="AH2087">
            <v>0</v>
          </cell>
        </row>
        <row r="2088">
          <cell r="G2088">
            <v>2504100203</v>
          </cell>
          <cell r="H2088" t="str">
            <v>115동</v>
          </cell>
          <cell r="I2088">
            <v>250410</v>
          </cell>
          <cell r="J2088" t="str">
            <v>115동 19층 바닥</v>
          </cell>
          <cell r="K2088">
            <v>293</v>
          </cell>
          <cell r="L2088">
            <v>293</v>
          </cell>
          <cell r="M2088">
            <v>3018</v>
          </cell>
          <cell r="N2088" t="str">
            <v>대원</v>
          </cell>
          <cell r="O2088" t="str">
            <v>펌프카(1대)</v>
          </cell>
          <cell r="P2088">
            <v>1115</v>
          </cell>
          <cell r="Q2088">
            <v>1635</v>
          </cell>
          <cell r="R2088">
            <v>190</v>
          </cell>
          <cell r="S2088">
            <v>52</v>
          </cell>
          <cell r="T2088">
            <v>30</v>
          </cell>
          <cell r="U2088">
            <v>176</v>
          </cell>
          <cell r="V2088"/>
          <cell r="W2088" t="str">
            <v>김광록</v>
          </cell>
          <cell r="X2088" t="str">
            <v>(인)</v>
          </cell>
          <cell r="Y2088" t="str">
            <v>박순홍</v>
          </cell>
          <cell r="Z2088" t="str">
            <v>(인)</v>
          </cell>
          <cell r="AA2088" t="str">
            <v>박상갑</v>
          </cell>
          <cell r="AB2088" t="str">
            <v>(인)</v>
          </cell>
          <cell r="AC2088" t="str">
            <v>이홍걸</v>
          </cell>
          <cell r="AD2088" t="str">
            <v>(인)</v>
          </cell>
          <cell r="AE2088">
            <v>185.9</v>
          </cell>
          <cell r="AF2088" t="str">
            <v>동절기</v>
          </cell>
          <cell r="AG2088">
            <v>3</v>
          </cell>
          <cell r="AH2088">
            <v>0</v>
          </cell>
        </row>
        <row r="2089">
          <cell r="G2089">
            <v>2504100301</v>
          </cell>
          <cell r="H2089" t="str">
            <v>109동</v>
          </cell>
          <cell r="I2089">
            <v>250410</v>
          </cell>
          <cell r="J2089" t="str">
            <v>109동 PH2 바닥</v>
          </cell>
          <cell r="K2089">
            <v>72</v>
          </cell>
          <cell r="L2089">
            <v>72</v>
          </cell>
          <cell r="M2089">
            <v>3018</v>
          </cell>
          <cell r="N2089" t="str">
            <v>용호</v>
          </cell>
          <cell r="O2089" t="str">
            <v>펌프카(1대)</v>
          </cell>
          <cell r="P2089">
            <v>849</v>
          </cell>
          <cell r="Q2089">
            <v>1522</v>
          </cell>
          <cell r="R2089">
            <v>190</v>
          </cell>
          <cell r="S2089">
            <v>42</v>
          </cell>
          <cell r="T2089">
            <v>77</v>
          </cell>
          <cell r="U2089">
            <v>193</v>
          </cell>
          <cell r="V2089"/>
          <cell r="W2089" t="str">
            <v>김광록</v>
          </cell>
          <cell r="X2089" t="str">
            <v>(인)</v>
          </cell>
          <cell r="Y2089" t="str">
            <v>박순홍</v>
          </cell>
          <cell r="Z2089" t="str">
            <v>(인)</v>
          </cell>
          <cell r="AA2089" t="str">
            <v>박상갑</v>
          </cell>
          <cell r="AB2089" t="str">
            <v>(인)</v>
          </cell>
          <cell r="AC2089" t="str">
            <v>이홍걸</v>
          </cell>
          <cell r="AD2089" t="str">
            <v>(인)</v>
          </cell>
          <cell r="AE2089">
            <v>178.6</v>
          </cell>
          <cell r="AF2089" t="str">
            <v>동절기</v>
          </cell>
          <cell r="AG2089">
            <v>1</v>
          </cell>
          <cell r="AH2089">
            <v>1</v>
          </cell>
        </row>
        <row r="2090">
          <cell r="G2090">
            <v>2504110101</v>
          </cell>
          <cell r="H2090" t="str">
            <v>108동</v>
          </cell>
          <cell r="I2090">
            <v>250411</v>
          </cell>
          <cell r="J2090" t="str">
            <v>108동 19층 바닥</v>
          </cell>
          <cell r="K2090">
            <v>288</v>
          </cell>
          <cell r="L2090">
            <v>288</v>
          </cell>
          <cell r="M2090">
            <v>3018</v>
          </cell>
          <cell r="N2090" t="str">
            <v>용호</v>
          </cell>
          <cell r="O2090" t="str">
            <v>펌프카(1대)</v>
          </cell>
          <cell r="P2090">
            <v>840</v>
          </cell>
          <cell r="Q2090">
            <v>1330</v>
          </cell>
          <cell r="R2090">
            <v>185</v>
          </cell>
          <cell r="S2090">
            <v>41</v>
          </cell>
          <cell r="T2090">
            <v>99</v>
          </cell>
          <cell r="U2090">
            <v>202</v>
          </cell>
          <cell r="V2090"/>
          <cell r="W2090" t="str">
            <v>박순홍</v>
          </cell>
          <cell r="X2090" t="str">
            <v>(인)</v>
          </cell>
          <cell r="Y2090" t="str">
            <v>박순홍</v>
          </cell>
          <cell r="Z2090" t="str">
            <v>(인)</v>
          </cell>
          <cell r="AA2090" t="str">
            <v>박상갑</v>
          </cell>
          <cell r="AB2090" t="str">
            <v>(인)</v>
          </cell>
          <cell r="AC2090" t="str">
            <v>이홍걸</v>
          </cell>
          <cell r="AD2090" t="str">
            <v>(인)</v>
          </cell>
          <cell r="AE2090">
            <v>190.7</v>
          </cell>
          <cell r="AF2090" t="str">
            <v>동절기</v>
          </cell>
          <cell r="AG2090">
            <v>1</v>
          </cell>
          <cell r="AH2090">
            <v>1</v>
          </cell>
        </row>
        <row r="2091">
          <cell r="G2091">
            <v>2504110102</v>
          </cell>
          <cell r="H2091" t="str">
            <v>108동</v>
          </cell>
          <cell r="I2091">
            <v>250411</v>
          </cell>
          <cell r="J2091" t="str">
            <v>108동 19층 바닥</v>
          </cell>
          <cell r="K2091">
            <v>288</v>
          </cell>
          <cell r="L2091">
            <v>288</v>
          </cell>
          <cell r="M2091">
            <v>3018</v>
          </cell>
          <cell r="N2091" t="str">
            <v>용호</v>
          </cell>
          <cell r="O2091" t="str">
            <v>펌프카(1대)</v>
          </cell>
          <cell r="P2091">
            <v>840</v>
          </cell>
          <cell r="Q2091">
            <v>1330</v>
          </cell>
          <cell r="R2091">
            <v>190</v>
          </cell>
          <cell r="S2091">
            <v>40</v>
          </cell>
          <cell r="T2091">
            <v>94</v>
          </cell>
          <cell r="U2091">
            <v>194</v>
          </cell>
          <cell r="V2091"/>
          <cell r="W2091" t="str">
            <v>박순홍</v>
          </cell>
          <cell r="X2091" t="str">
            <v>(인)</v>
          </cell>
          <cell r="Y2091" t="str">
            <v>박순홍</v>
          </cell>
          <cell r="Z2091" t="str">
            <v>(인)</v>
          </cell>
          <cell r="AA2091" t="str">
            <v>박상갑</v>
          </cell>
          <cell r="AB2091" t="str">
            <v>(인)</v>
          </cell>
          <cell r="AC2091" t="str">
            <v>이홍걸</v>
          </cell>
          <cell r="AD2091" t="str">
            <v>(인)</v>
          </cell>
          <cell r="AE2091">
            <v>187.2</v>
          </cell>
          <cell r="AF2091" t="str">
            <v>동절기</v>
          </cell>
          <cell r="AG2091">
            <v>2</v>
          </cell>
          <cell r="AH2091">
            <v>0</v>
          </cell>
        </row>
        <row r="2092">
          <cell r="G2092">
            <v>2504110103</v>
          </cell>
          <cell r="H2092" t="str">
            <v>108동</v>
          </cell>
          <cell r="I2092">
            <v>250411</v>
          </cell>
          <cell r="J2092" t="str">
            <v>108동 19층 바닥</v>
          </cell>
          <cell r="K2092">
            <v>288</v>
          </cell>
          <cell r="L2092">
            <v>288</v>
          </cell>
          <cell r="M2092">
            <v>3018</v>
          </cell>
          <cell r="N2092" t="str">
            <v>용호</v>
          </cell>
          <cell r="O2092" t="str">
            <v>펌프카(1대)</v>
          </cell>
          <cell r="P2092">
            <v>840</v>
          </cell>
          <cell r="Q2092">
            <v>1330</v>
          </cell>
          <cell r="R2092">
            <v>170</v>
          </cell>
          <cell r="S2092">
            <v>39</v>
          </cell>
          <cell r="T2092">
            <v>100</v>
          </cell>
          <cell r="U2092">
            <v>205</v>
          </cell>
          <cell r="V2092"/>
          <cell r="W2092" t="str">
            <v>박순홍</v>
          </cell>
          <cell r="X2092" t="str">
            <v>(인)</v>
          </cell>
          <cell r="Y2092" t="str">
            <v>박순홍</v>
          </cell>
          <cell r="Z2092" t="str">
            <v>(인)</v>
          </cell>
          <cell r="AA2092" t="str">
            <v>박상갑</v>
          </cell>
          <cell r="AB2092" t="str">
            <v>(인)</v>
          </cell>
          <cell r="AC2092" t="str">
            <v>이홍걸</v>
          </cell>
          <cell r="AD2092" t="str">
            <v>(인)</v>
          </cell>
          <cell r="AE2092">
            <v>184.4</v>
          </cell>
          <cell r="AF2092" t="str">
            <v>동절기</v>
          </cell>
          <cell r="AG2092">
            <v>3</v>
          </cell>
          <cell r="AH2092">
            <v>0</v>
          </cell>
        </row>
        <row r="2093">
          <cell r="G2093">
            <v>2504110201</v>
          </cell>
          <cell r="H2093" t="str">
            <v>114동</v>
          </cell>
          <cell r="I2093">
            <v>250411</v>
          </cell>
          <cell r="J2093" t="str">
            <v>114동 18층 바닥</v>
          </cell>
          <cell r="K2093">
            <v>150</v>
          </cell>
          <cell r="L2093">
            <v>150</v>
          </cell>
          <cell r="M2093">
            <v>3018</v>
          </cell>
          <cell r="N2093" t="str">
            <v>용호</v>
          </cell>
          <cell r="O2093" t="str">
            <v>펌프카(1대)</v>
          </cell>
          <cell r="P2093">
            <v>1430</v>
          </cell>
          <cell r="Q2093">
            <v>1654</v>
          </cell>
          <cell r="R2093">
            <v>185</v>
          </cell>
          <cell r="S2093">
            <v>37</v>
          </cell>
          <cell r="T2093">
            <v>9</v>
          </cell>
          <cell r="U2093">
            <v>223</v>
          </cell>
          <cell r="V2093"/>
          <cell r="W2093" t="str">
            <v>박순홍</v>
          </cell>
          <cell r="X2093" t="str">
            <v>(인)</v>
          </cell>
          <cell r="Y2093" t="str">
            <v>박순홍</v>
          </cell>
          <cell r="Z2093" t="str">
            <v>(인)</v>
          </cell>
          <cell r="AA2093" t="str">
            <v>박상갑</v>
          </cell>
          <cell r="AB2093" t="str">
            <v>(인)</v>
          </cell>
          <cell r="AC2093" t="str">
            <v>이홍걸</v>
          </cell>
          <cell r="AD2093" t="str">
            <v>(인)</v>
          </cell>
          <cell r="AE2093">
            <v>187.6</v>
          </cell>
          <cell r="AF2093" t="str">
            <v>동절기</v>
          </cell>
          <cell r="AG2093">
            <v>1</v>
          </cell>
          <cell r="AH2093">
            <v>1</v>
          </cell>
          <cell r="AI2093">
            <v>2959</v>
          </cell>
          <cell r="AJ2093">
            <v>2889</v>
          </cell>
          <cell r="AK2093">
            <v>225600</v>
          </cell>
          <cell r="AL2093">
            <v>4176</v>
          </cell>
          <cell r="AM2093">
            <v>4236</v>
          </cell>
          <cell r="AN2093">
            <v>4186</v>
          </cell>
          <cell r="AO2093">
            <v>4074</v>
          </cell>
          <cell r="AP2093">
            <v>4177</v>
          </cell>
          <cell r="AQ2093">
            <v>4186</v>
          </cell>
          <cell r="AR2093">
            <v>4036</v>
          </cell>
          <cell r="AS2093">
            <v>4184</v>
          </cell>
          <cell r="AT2093">
            <v>333400</v>
          </cell>
        </row>
        <row r="2094">
          <cell r="G2094">
            <v>2504110202</v>
          </cell>
          <cell r="H2094" t="str">
            <v>114동</v>
          </cell>
          <cell r="I2094">
            <v>250411</v>
          </cell>
          <cell r="J2094" t="str">
            <v>114동 18층 바닥</v>
          </cell>
          <cell r="K2094">
            <v>150</v>
          </cell>
          <cell r="L2094">
            <v>150</v>
          </cell>
          <cell r="M2094">
            <v>3018</v>
          </cell>
          <cell r="N2094" t="str">
            <v>용호</v>
          </cell>
          <cell r="O2094" t="str">
            <v>펌프카(1대)</v>
          </cell>
          <cell r="P2094">
            <v>1430</v>
          </cell>
          <cell r="Q2094">
            <v>1654</v>
          </cell>
          <cell r="R2094">
            <v>190</v>
          </cell>
          <cell r="S2094">
            <v>41</v>
          </cell>
          <cell r="T2094">
            <v>22</v>
          </cell>
          <cell r="U2094">
            <v>257</v>
          </cell>
          <cell r="V2094"/>
          <cell r="W2094" t="str">
            <v>박순홍</v>
          </cell>
          <cell r="X2094" t="str">
            <v>(인)</v>
          </cell>
          <cell r="Y2094" t="str">
            <v>박순홍</v>
          </cell>
          <cell r="Z2094" t="str">
            <v>(인)</v>
          </cell>
          <cell r="AA2094" t="str">
            <v>박상갑</v>
          </cell>
          <cell r="AB2094" t="str">
            <v>(인)</v>
          </cell>
          <cell r="AC2094" t="str">
            <v>이홍걸</v>
          </cell>
          <cell r="AD2094" t="str">
            <v>(인)</v>
          </cell>
          <cell r="AE2094">
            <v>179.2</v>
          </cell>
          <cell r="AF2094" t="str">
            <v>동절기</v>
          </cell>
          <cell r="AG2094">
            <v>2</v>
          </cell>
          <cell r="AH2094">
            <v>0</v>
          </cell>
        </row>
        <row r="2095">
          <cell r="G2095">
            <v>2504140101</v>
          </cell>
          <cell r="H2095" t="str">
            <v>118동</v>
          </cell>
          <cell r="I2095">
            <v>250414</v>
          </cell>
          <cell r="J2095" t="str">
            <v>118동 15층 바닥</v>
          </cell>
          <cell r="K2095">
            <v>288</v>
          </cell>
          <cell r="L2095">
            <v>288</v>
          </cell>
          <cell r="M2095">
            <v>3018</v>
          </cell>
          <cell r="N2095" t="str">
            <v>용호</v>
          </cell>
          <cell r="O2095" t="str">
            <v>펌프카(1대)</v>
          </cell>
          <cell r="P2095">
            <v>820</v>
          </cell>
          <cell r="Q2095">
            <v>1220</v>
          </cell>
          <cell r="R2095">
            <v>180</v>
          </cell>
          <cell r="S2095">
            <v>41</v>
          </cell>
          <cell r="T2095">
            <v>14</v>
          </cell>
          <cell r="U2095">
            <v>171</v>
          </cell>
          <cell r="V2095"/>
          <cell r="W2095" t="str">
            <v>김광록</v>
          </cell>
          <cell r="X2095" t="str">
            <v>(인)</v>
          </cell>
          <cell r="Y2095" t="str">
            <v>박순홍</v>
          </cell>
          <cell r="Z2095" t="str">
            <v>(인)</v>
          </cell>
          <cell r="AA2095" t="str">
            <v>이홍걸</v>
          </cell>
          <cell r="AB2095" t="str">
            <v>(인)</v>
          </cell>
          <cell r="AC2095" t="str">
            <v>박상갑</v>
          </cell>
          <cell r="AD2095" t="str">
            <v>(인)</v>
          </cell>
          <cell r="AE2095">
            <v>173.6</v>
          </cell>
          <cell r="AF2095" t="str">
            <v>동절기</v>
          </cell>
          <cell r="AG2095">
            <v>1</v>
          </cell>
          <cell r="AH2095">
            <v>1</v>
          </cell>
          <cell r="AI2095">
            <v>2819</v>
          </cell>
          <cell r="AJ2095">
            <v>2867</v>
          </cell>
          <cell r="AK2095">
            <v>229600</v>
          </cell>
          <cell r="AL2095">
            <v>3936</v>
          </cell>
          <cell r="AM2095">
            <v>3957</v>
          </cell>
          <cell r="AN2095">
            <v>3872</v>
          </cell>
          <cell r="AO2095">
            <v>3926</v>
          </cell>
          <cell r="AP2095">
            <v>4072</v>
          </cell>
          <cell r="AQ2095">
            <v>4014</v>
          </cell>
          <cell r="AR2095">
            <v>3962</v>
          </cell>
          <cell r="AS2095">
            <v>3872</v>
          </cell>
          <cell r="AT2095">
            <v>306800</v>
          </cell>
        </row>
        <row r="2096">
          <cell r="G2096">
            <v>2504140102</v>
          </cell>
          <cell r="H2096" t="str">
            <v>118동</v>
          </cell>
          <cell r="I2096">
            <v>250414</v>
          </cell>
          <cell r="J2096" t="str">
            <v>118동 15층 바닥</v>
          </cell>
          <cell r="K2096">
            <v>288</v>
          </cell>
          <cell r="L2096">
            <v>288</v>
          </cell>
          <cell r="M2096">
            <v>3018</v>
          </cell>
          <cell r="N2096" t="str">
            <v>용호</v>
          </cell>
          <cell r="O2096" t="str">
            <v>펌프카(1대)</v>
          </cell>
          <cell r="P2096">
            <v>820</v>
          </cell>
          <cell r="Q2096">
            <v>1220</v>
          </cell>
          <cell r="R2096">
            <v>200</v>
          </cell>
          <cell r="S2096">
            <v>39</v>
          </cell>
          <cell r="T2096">
            <v>47</v>
          </cell>
          <cell r="U2096">
            <v>174</v>
          </cell>
          <cell r="V2096"/>
          <cell r="W2096" t="str">
            <v>김광록</v>
          </cell>
          <cell r="X2096" t="str">
            <v>(인)</v>
          </cell>
          <cell r="Y2096" t="str">
            <v>박순홍</v>
          </cell>
          <cell r="Z2096" t="str">
            <v>(인)</v>
          </cell>
          <cell r="AA2096" t="str">
            <v>이홍걸</v>
          </cell>
          <cell r="AB2096" t="str">
            <v>(인)</v>
          </cell>
          <cell r="AC2096" t="str">
            <v>박상갑</v>
          </cell>
          <cell r="AD2096" t="str">
            <v>(인)</v>
          </cell>
          <cell r="AE2096">
            <v>1183.2</v>
          </cell>
          <cell r="AF2096" t="str">
            <v>동절기</v>
          </cell>
          <cell r="AG2096">
            <v>2</v>
          </cell>
          <cell r="AH2096">
            <v>0</v>
          </cell>
        </row>
        <row r="2097">
          <cell r="G2097">
            <v>2504140103</v>
          </cell>
          <cell r="H2097" t="str">
            <v>118동</v>
          </cell>
          <cell r="I2097">
            <v>250414</v>
          </cell>
          <cell r="J2097" t="str">
            <v>118동 15층 바닥</v>
          </cell>
          <cell r="K2097">
            <v>288</v>
          </cell>
          <cell r="L2097">
            <v>288</v>
          </cell>
          <cell r="M2097">
            <v>3018</v>
          </cell>
          <cell r="N2097" t="str">
            <v>용호</v>
          </cell>
          <cell r="O2097" t="str">
            <v>펌프카(1대)</v>
          </cell>
          <cell r="P2097">
            <v>820</v>
          </cell>
          <cell r="Q2097">
            <v>1220</v>
          </cell>
          <cell r="R2097">
            <v>190</v>
          </cell>
          <cell r="S2097">
            <v>44</v>
          </cell>
          <cell r="T2097">
            <v>16</v>
          </cell>
          <cell r="U2097">
            <v>162</v>
          </cell>
          <cell r="V2097"/>
          <cell r="W2097" t="str">
            <v>김광록</v>
          </cell>
          <cell r="X2097" t="str">
            <v>(인)</v>
          </cell>
          <cell r="Y2097" t="str">
            <v>박순홍</v>
          </cell>
          <cell r="Z2097" t="str">
            <v>(인)</v>
          </cell>
          <cell r="AA2097" t="str">
            <v>이홍걸</v>
          </cell>
          <cell r="AB2097" t="str">
            <v>(인)</v>
          </cell>
          <cell r="AC2097" t="str">
            <v>박상갑</v>
          </cell>
          <cell r="AD2097" t="str">
            <v>(인)</v>
          </cell>
          <cell r="AE2097">
            <v>185.9</v>
          </cell>
          <cell r="AF2097" t="str">
            <v>동절기</v>
          </cell>
          <cell r="AG2097">
            <v>3</v>
          </cell>
          <cell r="AH2097">
            <v>0</v>
          </cell>
        </row>
        <row r="2098">
          <cell r="G2098">
            <v>2504150101</v>
          </cell>
          <cell r="H2098" t="str">
            <v>117동</v>
          </cell>
          <cell r="I2098">
            <v>250415</v>
          </cell>
          <cell r="J2098" t="str">
            <v>117동 16층 바닥</v>
          </cell>
          <cell r="K2098">
            <v>342</v>
          </cell>
          <cell r="L2098">
            <v>342</v>
          </cell>
          <cell r="M2098">
            <v>3018</v>
          </cell>
          <cell r="N2098" t="str">
            <v>영진</v>
          </cell>
          <cell r="O2098" t="str">
            <v>펌프카(1대)</v>
          </cell>
          <cell r="P2098">
            <v>1033</v>
          </cell>
          <cell r="Q2098">
            <v>1517</v>
          </cell>
          <cell r="R2098">
            <v>190</v>
          </cell>
          <cell r="S2098">
            <v>45</v>
          </cell>
          <cell r="T2098">
            <v>43</v>
          </cell>
          <cell r="U2098">
            <v>147</v>
          </cell>
          <cell r="V2098"/>
          <cell r="W2098" t="str">
            <v>김광록</v>
          </cell>
          <cell r="X2098" t="str">
            <v>(인)</v>
          </cell>
          <cell r="Y2098" t="str">
            <v>박순홍</v>
          </cell>
          <cell r="Z2098" t="str">
            <v>(인)</v>
          </cell>
          <cell r="AA2098" t="str">
            <v>이홍걸</v>
          </cell>
          <cell r="AB2098" t="str">
            <v>(인)</v>
          </cell>
          <cell r="AC2098" t="str">
            <v>박상갑</v>
          </cell>
          <cell r="AD2098" t="str">
            <v>(인)</v>
          </cell>
          <cell r="AE2098">
            <v>183.7</v>
          </cell>
          <cell r="AF2098" t="str">
            <v>동절기</v>
          </cell>
          <cell r="AG2098">
            <v>1</v>
          </cell>
          <cell r="AH2098">
            <v>1</v>
          </cell>
          <cell r="AI2098">
            <v>2817</v>
          </cell>
          <cell r="AJ2098">
            <v>2907</v>
          </cell>
          <cell r="AK2098">
            <v>228200</v>
          </cell>
          <cell r="AL2098">
            <v>4092</v>
          </cell>
          <cell r="AM2098">
            <v>3947</v>
          </cell>
          <cell r="AN2098">
            <v>4136</v>
          </cell>
          <cell r="AO2098">
            <v>4172</v>
          </cell>
          <cell r="AP2098">
            <v>4086</v>
          </cell>
          <cell r="AQ2098">
            <v>4070</v>
          </cell>
          <cell r="AR2098">
            <v>4164</v>
          </cell>
          <cell r="AS2098">
            <v>3972</v>
          </cell>
          <cell r="AT2098">
            <v>311000</v>
          </cell>
        </row>
        <row r="2099">
          <cell r="G2099">
            <v>2504150102</v>
          </cell>
          <cell r="H2099" t="str">
            <v>117동</v>
          </cell>
          <cell r="I2099">
            <v>250415</v>
          </cell>
          <cell r="J2099" t="str">
            <v>117동 16층 바닥</v>
          </cell>
          <cell r="K2099">
            <v>342</v>
          </cell>
          <cell r="L2099">
            <v>342</v>
          </cell>
          <cell r="M2099">
            <v>3018</v>
          </cell>
          <cell r="N2099" t="str">
            <v>영진</v>
          </cell>
          <cell r="O2099" t="str">
            <v>펌프카(1대)</v>
          </cell>
          <cell r="P2099">
            <v>1033</v>
          </cell>
          <cell r="Q2099">
            <v>1517</v>
          </cell>
          <cell r="R2099">
            <v>180</v>
          </cell>
          <cell r="S2099">
            <v>42</v>
          </cell>
          <cell r="T2099">
            <v>31</v>
          </cell>
          <cell r="U2099">
            <v>152</v>
          </cell>
          <cell r="V2099"/>
          <cell r="W2099" t="str">
            <v>김광록</v>
          </cell>
          <cell r="X2099" t="str">
            <v>(인)</v>
          </cell>
          <cell r="Y2099" t="str">
            <v>박순홍</v>
          </cell>
          <cell r="Z2099" t="str">
            <v>(인)</v>
          </cell>
          <cell r="AA2099" t="str">
            <v>이홍걸</v>
          </cell>
          <cell r="AB2099" t="str">
            <v>(인)</v>
          </cell>
          <cell r="AC2099" t="str">
            <v>박상갑</v>
          </cell>
          <cell r="AD2099" t="str">
            <v>(인)</v>
          </cell>
          <cell r="AE2099">
            <v>181.8</v>
          </cell>
          <cell r="AF2099" t="str">
            <v>동절기</v>
          </cell>
          <cell r="AG2099">
            <v>2</v>
          </cell>
          <cell r="AH2099">
            <v>0</v>
          </cell>
        </row>
        <row r="2100">
          <cell r="G2100">
            <v>2504150103</v>
          </cell>
          <cell r="H2100" t="str">
            <v>117동</v>
          </cell>
          <cell r="I2100">
            <v>250415</v>
          </cell>
          <cell r="J2100" t="str">
            <v>117동 16층 바닥</v>
          </cell>
          <cell r="K2100">
            <v>342</v>
          </cell>
          <cell r="L2100">
            <v>342</v>
          </cell>
          <cell r="M2100">
            <v>3018</v>
          </cell>
          <cell r="N2100" t="str">
            <v>영진</v>
          </cell>
          <cell r="O2100" t="str">
            <v>펌프카(1대)</v>
          </cell>
          <cell r="P2100">
            <v>1033</v>
          </cell>
          <cell r="Q2100">
            <v>1517</v>
          </cell>
          <cell r="R2100">
            <v>175</v>
          </cell>
          <cell r="S2100">
            <v>50</v>
          </cell>
          <cell r="T2100">
            <v>33</v>
          </cell>
          <cell r="U2100">
            <v>144</v>
          </cell>
          <cell r="V2100"/>
          <cell r="W2100" t="str">
            <v>김광록</v>
          </cell>
          <cell r="X2100" t="str">
            <v>(인)</v>
          </cell>
          <cell r="Y2100" t="str">
            <v>박순홍</v>
          </cell>
          <cell r="Z2100" t="str">
            <v>(인)</v>
          </cell>
          <cell r="AA2100" t="str">
            <v>이홍걸</v>
          </cell>
          <cell r="AB2100" t="str">
            <v>(인)</v>
          </cell>
          <cell r="AC2100" t="str">
            <v>박상갑</v>
          </cell>
          <cell r="AD2100" t="str">
            <v>(인)</v>
          </cell>
          <cell r="AE2100">
            <v>184.4</v>
          </cell>
          <cell r="AF2100" t="str">
            <v>동절기</v>
          </cell>
          <cell r="AG2100">
            <v>3</v>
          </cell>
          <cell r="AH2100">
            <v>0</v>
          </cell>
        </row>
        <row r="2101">
          <cell r="G2101">
            <v>2504150201</v>
          </cell>
          <cell r="H2101" t="str">
            <v>119동</v>
          </cell>
          <cell r="I2101">
            <v>250415</v>
          </cell>
          <cell r="J2101" t="str">
            <v>119동 15층 바닥</v>
          </cell>
          <cell r="K2101">
            <v>266</v>
          </cell>
          <cell r="L2101">
            <v>266</v>
          </cell>
          <cell r="M2101">
            <v>3018</v>
          </cell>
          <cell r="N2101" t="str">
            <v>용호</v>
          </cell>
          <cell r="O2101" t="str">
            <v>펌프카(1대)</v>
          </cell>
          <cell r="P2101">
            <v>1240</v>
          </cell>
          <cell r="Q2101">
            <v>1617</v>
          </cell>
          <cell r="R2101">
            <v>195</v>
          </cell>
          <cell r="S2101">
            <v>44</v>
          </cell>
          <cell r="T2101">
            <v>54</v>
          </cell>
          <cell r="U2101">
            <v>206</v>
          </cell>
          <cell r="V2101"/>
          <cell r="W2101" t="str">
            <v>김광록</v>
          </cell>
          <cell r="X2101" t="str">
            <v>(인)</v>
          </cell>
          <cell r="Y2101" t="str">
            <v>박순홍</v>
          </cell>
          <cell r="Z2101" t="str">
            <v>(인)</v>
          </cell>
          <cell r="AA2101" t="str">
            <v>이홍걸</v>
          </cell>
          <cell r="AB2101" t="str">
            <v>(인)</v>
          </cell>
          <cell r="AC2101" t="str">
            <v>박상갑</v>
          </cell>
          <cell r="AD2101" t="str">
            <v>(인)</v>
          </cell>
          <cell r="AE2101">
            <v>178.6</v>
          </cell>
          <cell r="AF2101" t="str">
            <v>동절기</v>
          </cell>
          <cell r="AG2101">
            <v>1</v>
          </cell>
          <cell r="AH2101">
            <v>1</v>
          </cell>
          <cell r="AI2101">
            <v>2774</v>
          </cell>
          <cell r="AJ2101">
            <v>2762</v>
          </cell>
          <cell r="AK2101">
            <v>214800</v>
          </cell>
          <cell r="AL2101">
            <v>4132</v>
          </cell>
          <cell r="AM2101">
            <v>4008</v>
          </cell>
          <cell r="AN2101">
            <v>3872</v>
          </cell>
          <cell r="AO2101">
            <v>4112</v>
          </cell>
          <cell r="AP2101">
            <v>4064</v>
          </cell>
          <cell r="AQ2101">
            <v>4086</v>
          </cell>
          <cell r="AR2101">
            <v>3972</v>
          </cell>
          <cell r="AS2101">
            <v>3872</v>
          </cell>
          <cell r="AT2101">
            <v>311800</v>
          </cell>
        </row>
        <row r="2102">
          <cell r="G2102">
            <v>2504150202</v>
          </cell>
          <cell r="H2102" t="str">
            <v>119동</v>
          </cell>
          <cell r="I2102">
            <v>250415</v>
          </cell>
          <cell r="J2102" t="str">
            <v>119동 15층 바닥</v>
          </cell>
          <cell r="K2102">
            <v>266</v>
          </cell>
          <cell r="L2102">
            <v>266</v>
          </cell>
          <cell r="M2102">
            <v>3018</v>
          </cell>
          <cell r="N2102" t="str">
            <v>용호</v>
          </cell>
          <cell r="O2102" t="str">
            <v>펌프카(1대)</v>
          </cell>
          <cell r="P2102">
            <v>1240</v>
          </cell>
          <cell r="Q2102">
            <v>1617</v>
          </cell>
          <cell r="R2102">
            <v>190</v>
          </cell>
          <cell r="S2102">
            <v>42</v>
          </cell>
          <cell r="T2102">
            <v>81</v>
          </cell>
          <cell r="U2102">
            <v>204</v>
          </cell>
          <cell r="V2102"/>
          <cell r="W2102" t="str">
            <v>김광록</v>
          </cell>
          <cell r="X2102" t="str">
            <v>(인)</v>
          </cell>
          <cell r="Y2102" t="str">
            <v>박순홍</v>
          </cell>
          <cell r="Z2102" t="str">
            <v>(인)</v>
          </cell>
          <cell r="AA2102" t="str">
            <v>이홍걸</v>
          </cell>
          <cell r="AB2102" t="str">
            <v>(인)</v>
          </cell>
          <cell r="AC2102" t="str">
            <v>박상갑</v>
          </cell>
          <cell r="AD2102" t="str">
            <v>(인)</v>
          </cell>
          <cell r="AE2102">
            <v>178.6</v>
          </cell>
          <cell r="AF2102" t="str">
            <v>동절기</v>
          </cell>
          <cell r="AG2102">
            <v>2</v>
          </cell>
          <cell r="AH2102">
            <v>0</v>
          </cell>
        </row>
        <row r="2103">
          <cell r="G2103">
            <v>2504150203</v>
          </cell>
          <cell r="H2103" t="str">
            <v>119동</v>
          </cell>
          <cell r="I2103">
            <v>250415</v>
          </cell>
          <cell r="J2103" t="str">
            <v>119동 15층 바닥</v>
          </cell>
          <cell r="K2103">
            <v>266</v>
          </cell>
          <cell r="L2103">
            <v>266</v>
          </cell>
          <cell r="M2103">
            <v>3018</v>
          </cell>
          <cell r="N2103" t="str">
            <v>용호</v>
          </cell>
          <cell r="O2103" t="str">
            <v>펌프카(1대)</v>
          </cell>
          <cell r="P2103">
            <v>1240</v>
          </cell>
          <cell r="Q2103">
            <v>1617</v>
          </cell>
          <cell r="R2103">
            <v>180</v>
          </cell>
          <cell r="S2103">
            <v>38</v>
          </cell>
          <cell r="T2103">
            <v>67</v>
          </cell>
          <cell r="U2103">
            <v>189</v>
          </cell>
          <cell r="V2103"/>
          <cell r="W2103" t="str">
            <v>김광록</v>
          </cell>
          <cell r="X2103" t="str">
            <v>(인)</v>
          </cell>
          <cell r="Y2103" t="str">
            <v>박순홍</v>
          </cell>
          <cell r="Z2103" t="str">
            <v>(인)</v>
          </cell>
          <cell r="AA2103" t="str">
            <v>이홍걸</v>
          </cell>
          <cell r="AB2103" t="str">
            <v>(인)</v>
          </cell>
          <cell r="AC2103" t="str">
            <v>박상갑</v>
          </cell>
          <cell r="AD2103" t="str">
            <v>(인)</v>
          </cell>
          <cell r="AE2103">
            <v>179.1</v>
          </cell>
          <cell r="AF2103" t="str">
            <v>동절기</v>
          </cell>
          <cell r="AG2103">
            <v>3</v>
          </cell>
          <cell r="AH2103">
            <v>0</v>
          </cell>
        </row>
        <row r="2104">
          <cell r="G2104">
            <v>2504160101</v>
          </cell>
          <cell r="H2104" t="str">
            <v>112동</v>
          </cell>
          <cell r="I2104">
            <v>250416</v>
          </cell>
          <cell r="J2104" t="str">
            <v>112동 15층 바닥</v>
          </cell>
          <cell r="K2104">
            <v>216</v>
          </cell>
          <cell r="L2104">
            <v>216</v>
          </cell>
          <cell r="M2104">
            <v>3018</v>
          </cell>
          <cell r="N2104" t="str">
            <v>용호</v>
          </cell>
          <cell r="O2104" t="str">
            <v>펌프카(1대)</v>
          </cell>
          <cell r="P2104">
            <v>920</v>
          </cell>
          <cell r="Q2104">
            <v>1306</v>
          </cell>
          <cell r="R2104">
            <v>200</v>
          </cell>
          <cell r="S2104">
            <v>43</v>
          </cell>
          <cell r="T2104">
            <v>23</v>
          </cell>
          <cell r="U2104">
            <v>218</v>
          </cell>
          <cell r="V2104"/>
          <cell r="W2104" t="str">
            <v>김광록</v>
          </cell>
          <cell r="X2104" t="str">
            <v>(인)</v>
          </cell>
          <cell r="Y2104" t="str">
            <v>박순홍</v>
          </cell>
          <cell r="Z2104" t="str">
            <v>(인)</v>
          </cell>
          <cell r="AA2104" t="str">
            <v>이홍걸</v>
          </cell>
          <cell r="AB2104" t="str">
            <v>(인)</v>
          </cell>
          <cell r="AC2104" t="str">
            <v>박상갑</v>
          </cell>
          <cell r="AD2104" t="str">
            <v>(인)</v>
          </cell>
          <cell r="AE2104">
            <v>180.9</v>
          </cell>
          <cell r="AF2104" t="str">
            <v>동절기</v>
          </cell>
          <cell r="AG2104">
            <v>1</v>
          </cell>
          <cell r="AH2104">
            <v>1</v>
          </cell>
          <cell r="AI2104">
            <v>2730</v>
          </cell>
          <cell r="AJ2104">
            <v>2860</v>
          </cell>
          <cell r="AK2104">
            <v>215000</v>
          </cell>
          <cell r="AL2104">
            <v>3985</v>
          </cell>
          <cell r="AM2104">
            <v>3875</v>
          </cell>
          <cell r="AN2104">
            <v>3907</v>
          </cell>
          <cell r="AO2104">
            <v>4017</v>
          </cell>
          <cell r="AP2104">
            <v>4072</v>
          </cell>
          <cell r="AQ2104">
            <v>4026</v>
          </cell>
          <cell r="AR2104">
            <v>4176</v>
          </cell>
          <cell r="AS2104">
            <v>4073</v>
          </cell>
          <cell r="AT2104">
            <v>311600</v>
          </cell>
        </row>
        <row r="2105">
          <cell r="G2105">
            <v>2504160102</v>
          </cell>
          <cell r="H2105" t="str">
            <v>112동</v>
          </cell>
          <cell r="I2105">
            <v>250416</v>
          </cell>
          <cell r="J2105" t="str">
            <v>112동 15층 바닥</v>
          </cell>
          <cell r="K2105">
            <v>216</v>
          </cell>
          <cell r="L2105">
            <v>216</v>
          </cell>
          <cell r="M2105">
            <v>3018</v>
          </cell>
          <cell r="N2105" t="str">
            <v>용호</v>
          </cell>
          <cell r="O2105" t="str">
            <v>펌프카(1대)</v>
          </cell>
          <cell r="P2105">
            <v>920</v>
          </cell>
          <cell r="Q2105">
            <v>1306</v>
          </cell>
          <cell r="R2105">
            <v>185</v>
          </cell>
          <cell r="S2105">
            <v>50</v>
          </cell>
          <cell r="T2105">
            <v>20</v>
          </cell>
          <cell r="U2105">
            <v>207</v>
          </cell>
          <cell r="V2105"/>
          <cell r="W2105" t="str">
            <v>김광록</v>
          </cell>
          <cell r="X2105" t="str">
            <v>(인)</v>
          </cell>
          <cell r="Y2105" t="str">
            <v>박순홍</v>
          </cell>
          <cell r="Z2105" t="str">
            <v>(인)</v>
          </cell>
          <cell r="AA2105" t="str">
            <v>이홍걸</v>
          </cell>
          <cell r="AB2105" t="str">
            <v>(인)</v>
          </cell>
          <cell r="AC2105" t="str">
            <v>박상갑</v>
          </cell>
          <cell r="AD2105" t="str">
            <v>(인)</v>
          </cell>
          <cell r="AE2105">
            <v>178.4</v>
          </cell>
          <cell r="AF2105" t="str">
            <v>동절기</v>
          </cell>
          <cell r="AG2105">
            <v>2</v>
          </cell>
          <cell r="AH2105">
            <v>0</v>
          </cell>
        </row>
        <row r="2106">
          <cell r="G2106">
            <v>2504160201</v>
          </cell>
          <cell r="H2106" t="str">
            <v>주차장 누름</v>
          </cell>
          <cell r="I2106">
            <v>250416</v>
          </cell>
          <cell r="J2106" t="str">
            <v>117동 주변주차장 누름</v>
          </cell>
          <cell r="K2106">
            <v>54</v>
          </cell>
          <cell r="L2106">
            <v>54</v>
          </cell>
          <cell r="M2106">
            <v>1815</v>
          </cell>
          <cell r="N2106" t="str">
            <v>용호</v>
          </cell>
          <cell r="O2106" t="str">
            <v>펌프카(1대)</v>
          </cell>
          <cell r="P2106">
            <v>1338</v>
          </cell>
          <cell r="Q2106">
            <v>1459</v>
          </cell>
          <cell r="R2106">
            <v>160</v>
          </cell>
          <cell r="S2106">
            <v>4.4000000000000004</v>
          </cell>
          <cell r="T2106">
            <v>54</v>
          </cell>
          <cell r="U2106">
            <v>221</v>
          </cell>
          <cell r="V2106"/>
          <cell r="W2106" t="str">
            <v>김광록</v>
          </cell>
          <cell r="X2106" t="str">
            <v>(인)</v>
          </cell>
          <cell r="Y2106" t="str">
            <v>박순홍</v>
          </cell>
          <cell r="Z2106" t="str">
            <v>(인)</v>
          </cell>
          <cell r="AA2106" t="str">
            <v>이홍걸</v>
          </cell>
          <cell r="AB2106" t="str">
            <v>(인)</v>
          </cell>
          <cell r="AC2106" t="str">
            <v>박상갑</v>
          </cell>
          <cell r="AD2106" t="str">
            <v>(인)</v>
          </cell>
          <cell r="AE2106">
            <v>175.6</v>
          </cell>
          <cell r="AF2106" t="str">
            <v>동절기</v>
          </cell>
          <cell r="AG2106">
            <v>1</v>
          </cell>
          <cell r="AH2106">
            <v>1</v>
          </cell>
          <cell r="AI2106">
            <v>1596</v>
          </cell>
          <cell r="AJ2106">
            <v>1680</v>
          </cell>
          <cell r="AK2106">
            <v>126800</v>
          </cell>
          <cell r="AL2106">
            <v>2551</v>
          </cell>
          <cell r="AM2106">
            <v>2594</v>
          </cell>
          <cell r="AN2106">
            <v>2487</v>
          </cell>
          <cell r="AO2106">
            <v>2476</v>
          </cell>
          <cell r="AP2106">
            <v>2506</v>
          </cell>
          <cell r="AQ2106">
            <v>2514</v>
          </cell>
          <cell r="AR2106">
            <v>2416</v>
          </cell>
          <cell r="AS2106">
            <v>2407</v>
          </cell>
          <cell r="AT2106">
            <v>202400</v>
          </cell>
        </row>
        <row r="2107">
          <cell r="G2107">
            <v>2504170101</v>
          </cell>
          <cell r="H2107" t="str">
            <v>116동</v>
          </cell>
          <cell r="I2107">
            <v>250417</v>
          </cell>
          <cell r="J2107" t="str">
            <v>116동 17층 바닥</v>
          </cell>
          <cell r="K2107">
            <v>288</v>
          </cell>
          <cell r="L2107">
            <v>288</v>
          </cell>
          <cell r="M2107">
            <v>3018</v>
          </cell>
          <cell r="N2107" t="str">
            <v>대원</v>
          </cell>
          <cell r="O2107" t="str">
            <v>펌프카(1대)</v>
          </cell>
          <cell r="P2107">
            <v>732</v>
          </cell>
          <cell r="Q2107">
            <v>1147</v>
          </cell>
          <cell r="R2107">
            <v>180</v>
          </cell>
          <cell r="S2107">
            <v>37</v>
          </cell>
          <cell r="T2107">
            <v>16</v>
          </cell>
          <cell r="U2107">
            <v>196</v>
          </cell>
          <cell r="V2107"/>
          <cell r="W2107" t="str">
            <v>박순홍</v>
          </cell>
          <cell r="X2107" t="str">
            <v>(인)</v>
          </cell>
          <cell r="Y2107" t="str">
            <v>박순홍</v>
          </cell>
          <cell r="Z2107" t="str">
            <v>(인)</v>
          </cell>
          <cell r="AA2107" t="str">
            <v>이홍걸</v>
          </cell>
          <cell r="AB2107" t="str">
            <v>(인)</v>
          </cell>
          <cell r="AC2107" t="str">
            <v>박상갑</v>
          </cell>
          <cell r="AD2107" t="str">
            <v>(인)</v>
          </cell>
          <cell r="AE2107">
            <v>183.4</v>
          </cell>
          <cell r="AF2107" t="str">
            <v>동절기</v>
          </cell>
          <cell r="AG2107">
            <v>1</v>
          </cell>
          <cell r="AH2107">
            <v>1</v>
          </cell>
          <cell r="AI2107">
            <v>2790</v>
          </cell>
          <cell r="AJ2107">
            <v>2812</v>
          </cell>
          <cell r="AK2107">
            <v>226200</v>
          </cell>
          <cell r="AL2107">
            <v>3893</v>
          </cell>
          <cell r="AM2107">
            <v>3827</v>
          </cell>
          <cell r="AN2107">
            <v>4106</v>
          </cell>
          <cell r="AO2107">
            <v>4072</v>
          </cell>
          <cell r="AP2107">
            <v>4087</v>
          </cell>
          <cell r="AQ2107">
            <v>3924</v>
          </cell>
          <cell r="AR2107">
            <v>4061</v>
          </cell>
          <cell r="AS2107">
            <v>4031</v>
          </cell>
          <cell r="AT2107">
            <v>324600</v>
          </cell>
        </row>
        <row r="2108">
          <cell r="G2108">
            <v>2504170102</v>
          </cell>
          <cell r="H2108" t="str">
            <v>116동</v>
          </cell>
          <cell r="I2108">
            <v>250417</v>
          </cell>
          <cell r="J2108" t="str">
            <v>116동 17층 바닥</v>
          </cell>
          <cell r="K2108">
            <v>288</v>
          </cell>
          <cell r="L2108">
            <v>288</v>
          </cell>
          <cell r="M2108">
            <v>3018</v>
          </cell>
          <cell r="N2108" t="str">
            <v>대원</v>
          </cell>
          <cell r="O2108" t="str">
            <v>펌프카(1대)</v>
          </cell>
          <cell r="P2108">
            <v>732</v>
          </cell>
          <cell r="Q2108">
            <v>1147</v>
          </cell>
          <cell r="R2108">
            <v>185</v>
          </cell>
          <cell r="S2108">
            <v>40</v>
          </cell>
          <cell r="T2108">
            <v>41</v>
          </cell>
          <cell r="U2108">
            <v>176</v>
          </cell>
          <cell r="V2108"/>
          <cell r="W2108" t="str">
            <v>박순홍</v>
          </cell>
          <cell r="X2108" t="str">
            <v>(인)</v>
          </cell>
          <cell r="Y2108" t="str">
            <v>박순홍</v>
          </cell>
          <cell r="Z2108" t="str">
            <v>(인)</v>
          </cell>
          <cell r="AA2108" t="str">
            <v>이홍걸</v>
          </cell>
          <cell r="AB2108" t="str">
            <v>(인)</v>
          </cell>
          <cell r="AC2108" t="str">
            <v>박상갑</v>
          </cell>
          <cell r="AD2108" t="str">
            <v>(인)</v>
          </cell>
          <cell r="AE2108">
            <v>186.3</v>
          </cell>
          <cell r="AF2108" t="str">
            <v>동절기</v>
          </cell>
          <cell r="AG2108">
            <v>2</v>
          </cell>
          <cell r="AH2108">
            <v>0</v>
          </cell>
        </row>
        <row r="2109">
          <cell r="G2109">
            <v>2504170103</v>
          </cell>
          <cell r="H2109" t="str">
            <v>116동</v>
          </cell>
          <cell r="I2109">
            <v>250417</v>
          </cell>
          <cell r="J2109" t="str">
            <v>116동 17층 바닥</v>
          </cell>
          <cell r="K2109">
            <v>288</v>
          </cell>
          <cell r="L2109">
            <v>288</v>
          </cell>
          <cell r="M2109">
            <v>3018</v>
          </cell>
          <cell r="N2109" t="str">
            <v>대원</v>
          </cell>
          <cell r="O2109" t="str">
            <v>펌프카(1대)</v>
          </cell>
          <cell r="P2109">
            <v>732</v>
          </cell>
          <cell r="Q2109">
            <v>1147</v>
          </cell>
          <cell r="R2109">
            <v>200</v>
          </cell>
          <cell r="S2109">
            <v>50</v>
          </cell>
          <cell r="T2109">
            <v>101</v>
          </cell>
          <cell r="U2109">
            <v>185</v>
          </cell>
          <cell r="V2109"/>
          <cell r="W2109" t="str">
            <v>박순홍</v>
          </cell>
          <cell r="X2109" t="str">
            <v>(인)</v>
          </cell>
          <cell r="Y2109" t="str">
            <v>박순홍</v>
          </cell>
          <cell r="Z2109" t="str">
            <v>(인)</v>
          </cell>
          <cell r="AA2109" t="str">
            <v>이홍걸</v>
          </cell>
          <cell r="AB2109" t="str">
            <v>(인)</v>
          </cell>
          <cell r="AC2109" t="str">
            <v>박상갑</v>
          </cell>
          <cell r="AD2109" t="str">
            <v>(인)</v>
          </cell>
          <cell r="AE2109">
            <v>182.9</v>
          </cell>
          <cell r="AF2109" t="str">
            <v>동절기</v>
          </cell>
          <cell r="AG2109">
            <v>3</v>
          </cell>
          <cell r="AH2109">
            <v>0</v>
          </cell>
        </row>
        <row r="2110">
          <cell r="G2110">
            <v>2504170201</v>
          </cell>
          <cell r="H2110" t="str">
            <v>120동</v>
          </cell>
          <cell r="I2110">
            <v>250417</v>
          </cell>
          <cell r="J2110" t="str">
            <v>120동 14층 바닥</v>
          </cell>
          <cell r="K2110">
            <v>282</v>
          </cell>
          <cell r="L2110">
            <v>282</v>
          </cell>
          <cell r="M2110">
            <v>3018</v>
          </cell>
          <cell r="N2110" t="str">
            <v>대공</v>
          </cell>
          <cell r="O2110" t="str">
            <v>펌프카(1대)</v>
          </cell>
          <cell r="P2110">
            <v>1245</v>
          </cell>
          <cell r="Q2110">
            <v>1712</v>
          </cell>
          <cell r="R2110">
            <v>200</v>
          </cell>
          <cell r="S2110">
            <v>50</v>
          </cell>
          <cell r="T2110">
            <v>23</v>
          </cell>
          <cell r="U2110">
            <v>202</v>
          </cell>
          <cell r="V2110"/>
          <cell r="W2110" t="str">
            <v>김광록</v>
          </cell>
          <cell r="X2110" t="str">
            <v>(인)</v>
          </cell>
          <cell r="Y2110" t="str">
            <v>박순홍</v>
          </cell>
          <cell r="Z2110" t="str">
            <v>(인)</v>
          </cell>
          <cell r="AA2110" t="str">
            <v>이홍걸</v>
          </cell>
          <cell r="AB2110" t="str">
            <v>(인)</v>
          </cell>
          <cell r="AC2110" t="str">
            <v>박상갑</v>
          </cell>
          <cell r="AD2110" t="str">
            <v>(인)</v>
          </cell>
          <cell r="AE2110">
            <v>183.6</v>
          </cell>
          <cell r="AF2110" t="str">
            <v>동절기</v>
          </cell>
          <cell r="AG2110">
            <v>1</v>
          </cell>
          <cell r="AH2110">
            <v>1</v>
          </cell>
          <cell r="AI2110">
            <v>2879</v>
          </cell>
          <cell r="AJ2110">
            <v>2904</v>
          </cell>
          <cell r="AK2110">
            <v>227800</v>
          </cell>
          <cell r="AL2110">
            <v>3986</v>
          </cell>
          <cell r="AM2110">
            <v>3957</v>
          </cell>
          <cell r="AN2110">
            <v>3906</v>
          </cell>
          <cell r="AO2110">
            <v>3972</v>
          </cell>
          <cell r="AP2110">
            <v>4062</v>
          </cell>
          <cell r="AQ2110">
            <v>4071</v>
          </cell>
          <cell r="AR2110">
            <v>3917</v>
          </cell>
          <cell r="AS2110">
            <v>3806</v>
          </cell>
          <cell r="AT2110">
            <v>299600</v>
          </cell>
        </row>
        <row r="2111">
          <cell r="G2111">
            <v>2504170202</v>
          </cell>
          <cell r="H2111" t="str">
            <v>120동</v>
          </cell>
          <cell r="I2111">
            <v>250417</v>
          </cell>
          <cell r="J2111" t="str">
            <v>120동 14층 바닥</v>
          </cell>
          <cell r="K2111">
            <v>282</v>
          </cell>
          <cell r="L2111">
            <v>282</v>
          </cell>
          <cell r="M2111">
            <v>3018</v>
          </cell>
          <cell r="N2111" t="str">
            <v>대공</v>
          </cell>
          <cell r="O2111" t="str">
            <v>펌프카(1대)</v>
          </cell>
          <cell r="P2111">
            <v>1245</v>
          </cell>
          <cell r="Q2111">
            <v>1712</v>
          </cell>
          <cell r="R2111">
            <v>185</v>
          </cell>
          <cell r="S2111">
            <v>44</v>
          </cell>
          <cell r="T2111">
            <v>16</v>
          </cell>
          <cell r="U2111">
            <v>218</v>
          </cell>
          <cell r="V2111"/>
          <cell r="W2111" t="str">
            <v>김광록</v>
          </cell>
          <cell r="X2111" t="str">
            <v>(인)</v>
          </cell>
          <cell r="Y2111" t="str">
            <v>박순홍</v>
          </cell>
          <cell r="Z2111" t="str">
            <v>(인)</v>
          </cell>
          <cell r="AA2111" t="str">
            <v>이홍걸</v>
          </cell>
          <cell r="AB2111" t="str">
            <v>(인)</v>
          </cell>
          <cell r="AC2111" t="str">
            <v>박상갑</v>
          </cell>
          <cell r="AD2111" t="str">
            <v>(인)</v>
          </cell>
          <cell r="AE2111">
            <v>181.2</v>
          </cell>
          <cell r="AF2111" t="str">
            <v>동절기</v>
          </cell>
          <cell r="AG2111">
            <v>2</v>
          </cell>
          <cell r="AH2111">
            <v>0</v>
          </cell>
        </row>
        <row r="2112">
          <cell r="G2112">
            <v>2504170203</v>
          </cell>
          <cell r="H2112" t="str">
            <v>120동</v>
          </cell>
          <cell r="I2112">
            <v>250417</v>
          </cell>
          <cell r="J2112" t="str">
            <v>120동 14층 바닥</v>
          </cell>
          <cell r="K2112">
            <v>282</v>
          </cell>
          <cell r="L2112">
            <v>282</v>
          </cell>
          <cell r="M2112">
            <v>3018</v>
          </cell>
          <cell r="N2112" t="str">
            <v>대공</v>
          </cell>
          <cell r="O2112" t="str">
            <v>펌프카(1대)</v>
          </cell>
          <cell r="P2112">
            <v>1245</v>
          </cell>
          <cell r="Q2112">
            <v>1712</v>
          </cell>
          <cell r="R2112">
            <v>175</v>
          </cell>
          <cell r="S2112">
            <v>40</v>
          </cell>
          <cell r="T2112">
            <v>28</v>
          </cell>
          <cell r="U2112">
            <v>172</v>
          </cell>
          <cell r="V2112"/>
          <cell r="W2112" t="str">
            <v>김광록</v>
          </cell>
          <cell r="X2112" t="str">
            <v>(인)</v>
          </cell>
          <cell r="Y2112" t="str">
            <v>박순홍</v>
          </cell>
          <cell r="Z2112" t="str">
            <v>(인)</v>
          </cell>
          <cell r="AA2112" t="str">
            <v>이홍걸</v>
          </cell>
          <cell r="AB2112" t="str">
            <v>(인)</v>
          </cell>
          <cell r="AC2112" t="str">
            <v>박상갑</v>
          </cell>
          <cell r="AD2112" t="str">
            <v>(인)</v>
          </cell>
          <cell r="AE2112">
            <v>175.4</v>
          </cell>
          <cell r="AF2112" t="str">
            <v>동절기</v>
          </cell>
          <cell r="AG2112">
            <v>3</v>
          </cell>
          <cell r="AH2112">
            <v>0</v>
          </cell>
        </row>
        <row r="2113">
          <cell r="G2113">
            <v>2504180101</v>
          </cell>
          <cell r="H2113" t="str">
            <v>115동</v>
          </cell>
          <cell r="I2113">
            <v>250418</v>
          </cell>
          <cell r="J2113" t="str">
            <v>115동 20층 바닥 및 114동 PH2</v>
          </cell>
          <cell r="K2113">
            <v>304</v>
          </cell>
          <cell r="L2113">
            <v>304</v>
          </cell>
          <cell r="M2113">
            <v>3018</v>
          </cell>
          <cell r="N2113" t="str">
            <v>용호</v>
          </cell>
          <cell r="O2113" t="str">
            <v>펌프카(1대)</v>
          </cell>
          <cell r="P2113">
            <v>808</v>
          </cell>
          <cell r="Q2113">
            <v>1154</v>
          </cell>
          <cell r="R2113">
            <v>195</v>
          </cell>
          <cell r="S2113">
            <v>46</v>
          </cell>
          <cell r="T2113">
            <v>45</v>
          </cell>
          <cell r="U2113">
            <v>176</v>
          </cell>
          <cell r="V2113"/>
          <cell r="W2113" t="str">
            <v>박순홍</v>
          </cell>
          <cell r="X2113" t="str">
            <v>(인)</v>
          </cell>
          <cell r="Y2113" t="str">
            <v>박순홍</v>
          </cell>
          <cell r="Z2113" t="str">
            <v>(인)</v>
          </cell>
          <cell r="AA2113" t="str">
            <v>이홍걸</v>
          </cell>
          <cell r="AB2113" t="str">
            <v>(인)</v>
          </cell>
          <cell r="AC2113" t="str">
            <v>박상갑</v>
          </cell>
          <cell r="AD2113" t="str">
            <v>(인)</v>
          </cell>
          <cell r="AE2113">
            <v>183.6</v>
          </cell>
          <cell r="AF2113" t="str">
            <v>동절기</v>
          </cell>
          <cell r="AG2113">
            <v>1</v>
          </cell>
          <cell r="AH2113">
            <v>1</v>
          </cell>
          <cell r="AI2113">
            <v>2776</v>
          </cell>
          <cell r="AJ2113">
            <v>2786</v>
          </cell>
          <cell r="AK2113">
            <v>221800</v>
          </cell>
          <cell r="AL2113">
            <v>3804</v>
          </cell>
          <cell r="AM2113">
            <v>4084</v>
          </cell>
          <cell r="AN2113">
            <v>3867</v>
          </cell>
          <cell r="AO2113">
            <v>3927</v>
          </cell>
          <cell r="AP2113">
            <v>3964</v>
          </cell>
          <cell r="AQ2113">
            <v>4036</v>
          </cell>
          <cell r="AR2113">
            <v>4072</v>
          </cell>
          <cell r="AS2113">
            <v>4126</v>
          </cell>
          <cell r="AT2113">
            <v>309000</v>
          </cell>
        </row>
        <row r="2114">
          <cell r="G2114">
            <v>2504180102</v>
          </cell>
          <cell r="H2114" t="str">
            <v>115동</v>
          </cell>
          <cell r="I2114">
            <v>250418</v>
          </cell>
          <cell r="J2114" t="str">
            <v>115동 20층 바닥 및 114동 PH2</v>
          </cell>
          <cell r="K2114">
            <v>304</v>
          </cell>
          <cell r="L2114">
            <v>304</v>
          </cell>
          <cell r="M2114">
            <v>3018</v>
          </cell>
          <cell r="N2114" t="str">
            <v>용호</v>
          </cell>
          <cell r="O2114" t="str">
            <v>펌프카(1대)</v>
          </cell>
          <cell r="P2114">
            <v>808</v>
          </cell>
          <cell r="Q2114">
            <v>1154</v>
          </cell>
          <cell r="R2114">
            <v>185</v>
          </cell>
          <cell r="S2114">
            <v>52</v>
          </cell>
          <cell r="T2114">
            <v>35</v>
          </cell>
          <cell r="U2114">
            <v>201</v>
          </cell>
          <cell r="V2114"/>
          <cell r="W2114" t="str">
            <v>박순홍</v>
          </cell>
          <cell r="X2114" t="str">
            <v>(인)</v>
          </cell>
          <cell r="Y2114" t="str">
            <v>박순홍</v>
          </cell>
          <cell r="Z2114" t="str">
            <v>(인)</v>
          </cell>
          <cell r="AA2114" t="str">
            <v>이홍걸</v>
          </cell>
          <cell r="AB2114" t="str">
            <v>(인)</v>
          </cell>
          <cell r="AC2114" t="str">
            <v>박상갑</v>
          </cell>
          <cell r="AD2114" t="str">
            <v>(인)</v>
          </cell>
          <cell r="AE2114">
            <v>186.4</v>
          </cell>
          <cell r="AF2114" t="str">
            <v>동절기</v>
          </cell>
          <cell r="AG2114">
            <v>2</v>
          </cell>
          <cell r="AH2114">
            <v>0</v>
          </cell>
        </row>
        <row r="2115">
          <cell r="G2115">
            <v>2504180103</v>
          </cell>
          <cell r="H2115" t="str">
            <v>115동</v>
          </cell>
          <cell r="I2115">
            <v>250418</v>
          </cell>
          <cell r="J2115" t="str">
            <v>115동 20층 바닥 및 114동 PH2</v>
          </cell>
          <cell r="K2115">
            <v>304</v>
          </cell>
          <cell r="L2115">
            <v>304</v>
          </cell>
          <cell r="M2115">
            <v>3018</v>
          </cell>
          <cell r="N2115" t="str">
            <v>용호</v>
          </cell>
          <cell r="O2115" t="str">
            <v>펌프카(1대)</v>
          </cell>
          <cell r="P2115">
            <v>808</v>
          </cell>
          <cell r="Q2115">
            <v>1154</v>
          </cell>
          <cell r="R2115">
            <v>180</v>
          </cell>
          <cell r="S2115">
            <v>50</v>
          </cell>
          <cell r="T2115">
            <v>24</v>
          </cell>
          <cell r="U2115">
            <v>216</v>
          </cell>
          <cell r="V2115"/>
          <cell r="W2115" t="str">
            <v>박순홍</v>
          </cell>
          <cell r="X2115" t="str">
            <v>(인)</v>
          </cell>
          <cell r="Y2115" t="str">
            <v>박순홍</v>
          </cell>
          <cell r="Z2115" t="str">
            <v>(인)</v>
          </cell>
          <cell r="AA2115" t="str">
            <v>이홍걸</v>
          </cell>
          <cell r="AB2115" t="str">
            <v>(인)</v>
          </cell>
          <cell r="AC2115" t="str">
            <v>박상갑</v>
          </cell>
          <cell r="AD2115" t="str">
            <v>(인)</v>
          </cell>
          <cell r="AE2115">
            <v>187.2</v>
          </cell>
          <cell r="AF2115" t="str">
            <v>동절기</v>
          </cell>
          <cell r="AG2115">
            <v>3</v>
          </cell>
          <cell r="AH2115">
            <v>0</v>
          </cell>
        </row>
        <row r="2116">
          <cell r="G2116">
            <v>2504180201</v>
          </cell>
          <cell r="H2116" t="str">
            <v>111동</v>
          </cell>
          <cell r="I2116">
            <v>250418</v>
          </cell>
          <cell r="J2116" t="str">
            <v>110동 PH</v>
          </cell>
          <cell r="K2116">
            <v>42</v>
          </cell>
          <cell r="L2116">
            <v>42</v>
          </cell>
          <cell r="M2116">
            <v>3018</v>
          </cell>
          <cell r="N2116" t="str">
            <v>동양</v>
          </cell>
          <cell r="O2116" t="str">
            <v>펌프카(1대)</v>
          </cell>
          <cell r="P2116">
            <v>1159</v>
          </cell>
          <cell r="Q2116">
            <v>1530</v>
          </cell>
          <cell r="R2116">
            <v>190</v>
          </cell>
          <cell r="S2116">
            <v>47</v>
          </cell>
          <cell r="T2116">
            <v>85</v>
          </cell>
          <cell r="U2116">
            <v>181</v>
          </cell>
          <cell r="V2116"/>
          <cell r="W2116" t="str">
            <v>박순홍</v>
          </cell>
          <cell r="X2116" t="str">
            <v>(인)</v>
          </cell>
          <cell r="Y2116" t="str">
            <v>박순홍</v>
          </cell>
          <cell r="Z2116" t="str">
            <v>(인)</v>
          </cell>
          <cell r="AA2116" t="str">
            <v>이홍걸</v>
          </cell>
          <cell r="AB2116" t="str">
            <v>(인)</v>
          </cell>
          <cell r="AC2116" t="str">
            <v>박상갑</v>
          </cell>
          <cell r="AD2116" t="str">
            <v>(인)</v>
          </cell>
          <cell r="AE2116">
            <v>191.2</v>
          </cell>
          <cell r="AF2116" t="str">
            <v>동절기</v>
          </cell>
          <cell r="AG2116">
            <v>1</v>
          </cell>
          <cell r="AH2116">
            <v>1</v>
          </cell>
          <cell r="AI2116">
            <v>2904</v>
          </cell>
          <cell r="AJ2116">
            <v>2927</v>
          </cell>
          <cell r="AK2116">
            <v>235400</v>
          </cell>
          <cell r="AL2116">
            <v>3929</v>
          </cell>
          <cell r="AM2116">
            <v>4031</v>
          </cell>
          <cell r="AN2116">
            <v>4072</v>
          </cell>
          <cell r="AO2116">
            <v>4012</v>
          </cell>
          <cell r="AP2116">
            <v>4036</v>
          </cell>
          <cell r="AQ2116">
            <v>4072</v>
          </cell>
          <cell r="AR2116">
            <v>4006</v>
          </cell>
          <cell r="AS2116">
            <v>4084</v>
          </cell>
          <cell r="AT2116">
            <v>314200</v>
          </cell>
        </row>
        <row r="2117">
          <cell r="G2117">
            <v>2504210101</v>
          </cell>
          <cell r="H2117" t="str">
            <v>118동</v>
          </cell>
          <cell r="I2117">
            <v>250421</v>
          </cell>
          <cell r="J2117" t="str">
            <v>118동 16층 바닥</v>
          </cell>
          <cell r="K2117">
            <v>282</v>
          </cell>
          <cell r="L2117">
            <v>282</v>
          </cell>
          <cell r="M2117">
            <v>3018</v>
          </cell>
          <cell r="N2117" t="str">
            <v>영진</v>
          </cell>
          <cell r="O2117" t="str">
            <v>펌프카(1대)</v>
          </cell>
          <cell r="P2117">
            <v>805</v>
          </cell>
          <cell r="Q2117">
            <v>1217</v>
          </cell>
          <cell r="R2117">
            <v>180</v>
          </cell>
          <cell r="S2117">
            <v>48</v>
          </cell>
          <cell r="T2117">
            <v>58</v>
          </cell>
          <cell r="U2117">
            <v>218</v>
          </cell>
          <cell r="V2117"/>
          <cell r="W2117" t="str">
            <v>김광록</v>
          </cell>
          <cell r="X2117" t="str">
            <v>(인)</v>
          </cell>
          <cell r="Y2117" t="str">
            <v>박순홍</v>
          </cell>
          <cell r="Z2117" t="str">
            <v>(인)</v>
          </cell>
          <cell r="AA2117" t="str">
            <v>박상갑</v>
          </cell>
          <cell r="AB2117" t="str">
            <v>(인)</v>
          </cell>
          <cell r="AC2117" t="str">
            <v>이홍걸</v>
          </cell>
          <cell r="AD2117" t="str">
            <v>(인)</v>
          </cell>
          <cell r="AE2117">
            <v>178.3</v>
          </cell>
          <cell r="AF2117" t="str">
            <v>동절기</v>
          </cell>
          <cell r="AG2117">
            <v>1</v>
          </cell>
          <cell r="AH2117">
            <v>1</v>
          </cell>
          <cell r="AI2117">
            <v>2951</v>
          </cell>
          <cell r="AJ2117">
            <v>2921</v>
          </cell>
          <cell r="AK2117">
            <v>230800</v>
          </cell>
          <cell r="AL2117">
            <v>3872</v>
          </cell>
          <cell r="AM2117">
            <v>4004</v>
          </cell>
          <cell r="AN2117">
            <v>3862</v>
          </cell>
          <cell r="AO2117">
            <v>3974</v>
          </cell>
          <cell r="AP2117">
            <v>3920</v>
          </cell>
          <cell r="AQ2117">
            <v>3904</v>
          </cell>
          <cell r="AR2117">
            <v>3872</v>
          </cell>
          <cell r="AS2117">
            <v>4001</v>
          </cell>
          <cell r="AT2117">
            <v>307000</v>
          </cell>
        </row>
        <row r="2118">
          <cell r="G2118">
            <v>2504210102</v>
          </cell>
          <cell r="H2118" t="str">
            <v>118동</v>
          </cell>
          <cell r="I2118">
            <v>250421</v>
          </cell>
          <cell r="J2118" t="str">
            <v>118동 16층 바닥</v>
          </cell>
          <cell r="K2118">
            <v>282</v>
          </cell>
          <cell r="L2118">
            <v>282</v>
          </cell>
          <cell r="M2118">
            <v>3018</v>
          </cell>
          <cell r="N2118" t="str">
            <v>영진</v>
          </cell>
          <cell r="O2118" t="str">
            <v>펌프카(1대)</v>
          </cell>
          <cell r="P2118">
            <v>805</v>
          </cell>
          <cell r="Q2118">
            <v>1217</v>
          </cell>
          <cell r="R2118">
            <v>190</v>
          </cell>
          <cell r="S2118">
            <v>52</v>
          </cell>
          <cell r="T2118">
            <v>29</v>
          </cell>
          <cell r="U2118">
            <v>172</v>
          </cell>
          <cell r="V2118"/>
          <cell r="W2118" t="str">
            <v>김광록</v>
          </cell>
          <cell r="X2118" t="str">
            <v>(인)</v>
          </cell>
          <cell r="Y2118" t="str">
            <v>박순홍</v>
          </cell>
          <cell r="Z2118" t="str">
            <v>(인)</v>
          </cell>
          <cell r="AA2118" t="str">
            <v>박상갑</v>
          </cell>
          <cell r="AB2118" t="str">
            <v>(인)</v>
          </cell>
          <cell r="AC2118" t="str">
            <v>이홍걸</v>
          </cell>
          <cell r="AD2118" t="str">
            <v>(인)</v>
          </cell>
          <cell r="AE2118">
            <v>183.5</v>
          </cell>
          <cell r="AF2118" t="str">
            <v>동절기</v>
          </cell>
          <cell r="AG2118">
            <v>2</v>
          </cell>
          <cell r="AH2118">
            <v>0</v>
          </cell>
        </row>
        <row r="2119">
          <cell r="G2119">
            <v>2504210103</v>
          </cell>
          <cell r="H2119" t="str">
            <v>118동</v>
          </cell>
          <cell r="I2119">
            <v>250421</v>
          </cell>
          <cell r="J2119" t="str">
            <v>118동 16층 바닥</v>
          </cell>
          <cell r="K2119">
            <v>282</v>
          </cell>
          <cell r="L2119">
            <v>282</v>
          </cell>
          <cell r="M2119">
            <v>3018</v>
          </cell>
          <cell r="N2119" t="str">
            <v>영진</v>
          </cell>
          <cell r="O2119" t="str">
            <v>펌프카(1대)</v>
          </cell>
          <cell r="P2119">
            <v>805</v>
          </cell>
          <cell r="Q2119">
            <v>1217</v>
          </cell>
          <cell r="R2119">
            <v>175</v>
          </cell>
          <cell r="S2119">
            <v>50</v>
          </cell>
          <cell r="T2119">
            <v>25</v>
          </cell>
          <cell r="U2119">
            <v>172</v>
          </cell>
          <cell r="V2119"/>
          <cell r="W2119" t="str">
            <v>김광록</v>
          </cell>
          <cell r="X2119" t="str">
            <v>(인)</v>
          </cell>
          <cell r="Y2119" t="str">
            <v>박순홍</v>
          </cell>
          <cell r="Z2119" t="str">
            <v>(인)</v>
          </cell>
          <cell r="AA2119" t="str">
            <v>박상갑</v>
          </cell>
          <cell r="AB2119" t="str">
            <v>(인)</v>
          </cell>
          <cell r="AC2119" t="str">
            <v>이홍걸</v>
          </cell>
          <cell r="AD2119" t="str">
            <v>(인)</v>
          </cell>
          <cell r="AE2119">
            <v>185.3</v>
          </cell>
          <cell r="AF2119" t="str">
            <v>동절기</v>
          </cell>
          <cell r="AG2119">
            <v>3</v>
          </cell>
          <cell r="AH2119">
            <v>0</v>
          </cell>
        </row>
        <row r="2120">
          <cell r="G2120">
            <v>2504210201</v>
          </cell>
          <cell r="H2120" t="str">
            <v>117동</v>
          </cell>
          <cell r="I2120">
            <v>250421</v>
          </cell>
          <cell r="J2120" t="str">
            <v>117동 17층 바닥 및 110동 PH2</v>
          </cell>
          <cell r="K2120">
            <v>375</v>
          </cell>
          <cell r="L2120">
            <v>375</v>
          </cell>
          <cell r="M2120">
            <v>3018</v>
          </cell>
          <cell r="N2120" t="str">
            <v>용호</v>
          </cell>
          <cell r="O2120" t="str">
            <v>펌프카(1대)</v>
          </cell>
          <cell r="P2120">
            <v>920</v>
          </cell>
          <cell r="Q2120">
            <v>1510</v>
          </cell>
          <cell r="R2120">
            <v>185</v>
          </cell>
          <cell r="S2120">
            <v>51</v>
          </cell>
          <cell r="T2120">
            <v>27</v>
          </cell>
          <cell r="U2120">
            <v>234</v>
          </cell>
          <cell r="V2120"/>
          <cell r="W2120" t="str">
            <v>박순홍</v>
          </cell>
          <cell r="X2120" t="str">
            <v>(인)</v>
          </cell>
          <cell r="Y2120" t="str">
            <v>박순홍</v>
          </cell>
          <cell r="Z2120" t="str">
            <v>(인)</v>
          </cell>
          <cell r="AA2120" t="str">
            <v>박상갑</v>
          </cell>
          <cell r="AB2120" t="str">
            <v>(인)</v>
          </cell>
          <cell r="AC2120" t="str">
            <v>이홍걸</v>
          </cell>
          <cell r="AD2120" t="str">
            <v>(인)</v>
          </cell>
          <cell r="AE2120">
            <v>182.1</v>
          </cell>
          <cell r="AF2120" t="str">
            <v>동절기</v>
          </cell>
          <cell r="AG2120">
            <v>1</v>
          </cell>
          <cell r="AH2120">
            <v>1</v>
          </cell>
          <cell r="AI2120">
            <v>2933</v>
          </cell>
          <cell r="AJ2120">
            <v>2864</v>
          </cell>
          <cell r="AK2120">
            <v>225600</v>
          </cell>
          <cell r="AL2120">
            <v>4016</v>
          </cell>
          <cell r="AM2120">
            <v>3984</v>
          </cell>
          <cell r="AN2120">
            <v>3910</v>
          </cell>
          <cell r="AO2120">
            <v>4007</v>
          </cell>
          <cell r="AP2120">
            <v>4064</v>
          </cell>
          <cell r="AQ2120">
            <v>3930</v>
          </cell>
          <cell r="AR2120">
            <v>3927</v>
          </cell>
          <cell r="AS2120">
            <v>4006</v>
          </cell>
          <cell r="AT2120">
            <v>309200</v>
          </cell>
        </row>
        <row r="2121">
          <cell r="G2121">
            <v>2504210202</v>
          </cell>
          <cell r="H2121" t="str">
            <v>117동</v>
          </cell>
          <cell r="I2121">
            <v>250421</v>
          </cell>
          <cell r="J2121" t="str">
            <v>117동 17층 바닥 및 110동 PH2</v>
          </cell>
          <cell r="K2121">
            <v>375</v>
          </cell>
          <cell r="L2121">
            <v>375</v>
          </cell>
          <cell r="M2121">
            <v>3018</v>
          </cell>
          <cell r="N2121" t="str">
            <v>용호</v>
          </cell>
          <cell r="O2121" t="str">
            <v>펌프카(1대)</v>
          </cell>
          <cell r="P2121">
            <v>920</v>
          </cell>
          <cell r="Q2121">
            <v>1510</v>
          </cell>
          <cell r="R2121">
            <v>190</v>
          </cell>
          <cell r="S2121">
            <v>49</v>
          </cell>
          <cell r="T2121">
            <v>40</v>
          </cell>
          <cell r="U2121">
            <v>245</v>
          </cell>
          <cell r="V2121"/>
          <cell r="W2121" t="str">
            <v>박순홍</v>
          </cell>
          <cell r="X2121" t="str">
            <v>(인)</v>
          </cell>
          <cell r="Y2121" t="str">
            <v>박순홍</v>
          </cell>
          <cell r="Z2121" t="str">
            <v>(인)</v>
          </cell>
          <cell r="AA2121" t="str">
            <v>박상갑</v>
          </cell>
          <cell r="AB2121" t="str">
            <v>(인)</v>
          </cell>
          <cell r="AC2121" t="str">
            <v>이홍걸</v>
          </cell>
          <cell r="AD2121" t="str">
            <v>(인)</v>
          </cell>
          <cell r="AE2121">
            <v>184.7</v>
          </cell>
          <cell r="AF2121" t="str">
            <v>동절기</v>
          </cell>
          <cell r="AG2121">
            <v>2</v>
          </cell>
          <cell r="AH2121">
            <v>0</v>
          </cell>
        </row>
        <row r="2122">
          <cell r="G2122">
            <v>2504210203</v>
          </cell>
          <cell r="H2122" t="str">
            <v>117동</v>
          </cell>
          <cell r="I2122">
            <v>250421</v>
          </cell>
          <cell r="J2122" t="str">
            <v>117동 17층 바닥 및 110동 PH2</v>
          </cell>
          <cell r="K2122">
            <v>375</v>
          </cell>
          <cell r="L2122">
            <v>375</v>
          </cell>
          <cell r="M2122">
            <v>3018</v>
          </cell>
          <cell r="N2122" t="str">
            <v>용호</v>
          </cell>
          <cell r="O2122" t="str">
            <v>펌프카(1대)</v>
          </cell>
          <cell r="P2122">
            <v>920</v>
          </cell>
          <cell r="Q2122">
            <v>1510</v>
          </cell>
          <cell r="R2122">
            <v>190</v>
          </cell>
          <cell r="S2122">
            <v>44</v>
          </cell>
          <cell r="T2122">
            <v>86</v>
          </cell>
          <cell r="U2122">
            <v>243</v>
          </cell>
          <cell r="V2122"/>
          <cell r="W2122" t="str">
            <v>박순홍</v>
          </cell>
          <cell r="X2122" t="str">
            <v>(인)</v>
          </cell>
          <cell r="Y2122" t="str">
            <v>박순홍</v>
          </cell>
          <cell r="Z2122" t="str">
            <v>(인)</v>
          </cell>
          <cell r="AA2122" t="str">
            <v>박상갑</v>
          </cell>
          <cell r="AB2122" t="str">
            <v>(인)</v>
          </cell>
          <cell r="AC2122" t="str">
            <v>이홍걸</v>
          </cell>
          <cell r="AD2122" t="str">
            <v>(인)</v>
          </cell>
          <cell r="AE2122">
            <v>185.3</v>
          </cell>
          <cell r="AF2122" t="str">
            <v>동절기</v>
          </cell>
          <cell r="AG2122">
            <v>3</v>
          </cell>
          <cell r="AH2122">
            <v>0</v>
          </cell>
        </row>
        <row r="2123">
          <cell r="G2123">
            <v>2504210204</v>
          </cell>
          <cell r="H2123" t="str">
            <v>117동</v>
          </cell>
          <cell r="I2123">
            <v>250421</v>
          </cell>
          <cell r="J2123" t="str">
            <v>117동 17층 바닥 및 110동 PH2</v>
          </cell>
          <cell r="K2123">
            <v>375</v>
          </cell>
          <cell r="L2123">
            <v>375</v>
          </cell>
          <cell r="M2123">
            <v>3018</v>
          </cell>
          <cell r="N2123" t="str">
            <v>용호</v>
          </cell>
          <cell r="O2123" t="str">
            <v>펌프카(1대)</v>
          </cell>
          <cell r="P2123">
            <v>920</v>
          </cell>
          <cell r="Q2123">
            <v>1510</v>
          </cell>
          <cell r="R2123">
            <v>190</v>
          </cell>
          <cell r="S2123">
            <v>51</v>
          </cell>
          <cell r="T2123">
            <v>12</v>
          </cell>
          <cell r="U2123">
            <v>243</v>
          </cell>
          <cell r="V2123"/>
          <cell r="W2123" t="str">
            <v>박순홍</v>
          </cell>
          <cell r="X2123" t="str">
            <v>(인)</v>
          </cell>
          <cell r="Y2123" t="str">
            <v>박순홍</v>
          </cell>
          <cell r="Z2123" t="str">
            <v>(인)</v>
          </cell>
          <cell r="AA2123" t="str">
            <v>박상갑</v>
          </cell>
          <cell r="AB2123" t="str">
            <v>(인)</v>
          </cell>
          <cell r="AC2123" t="str">
            <v>이홍걸</v>
          </cell>
          <cell r="AD2123" t="str">
            <v>(인)</v>
          </cell>
          <cell r="AE2123">
            <v>183.7</v>
          </cell>
          <cell r="AF2123" t="str">
            <v>동절기</v>
          </cell>
          <cell r="AG2123">
            <v>4</v>
          </cell>
          <cell r="AH2123">
            <v>1</v>
          </cell>
          <cell r="AL2123">
            <v>4107</v>
          </cell>
          <cell r="AM2123">
            <v>4016</v>
          </cell>
          <cell r="AN2123">
            <v>4072</v>
          </cell>
          <cell r="AO2123">
            <v>3961</v>
          </cell>
          <cell r="AP2123">
            <v>4007</v>
          </cell>
          <cell r="AQ2123">
            <v>4107</v>
          </cell>
          <cell r="AR2123">
            <v>4006</v>
          </cell>
          <cell r="AS2123">
            <v>4167</v>
          </cell>
          <cell r="AT2123">
            <v>314400</v>
          </cell>
        </row>
        <row r="2124">
          <cell r="G2124">
            <v>2504210301</v>
          </cell>
          <cell r="H2124" t="str">
            <v>주차장 누름</v>
          </cell>
          <cell r="I2124">
            <v>250421</v>
          </cell>
          <cell r="J2124" t="str">
            <v>112동~113동 주변주차장 누름</v>
          </cell>
          <cell r="K2124">
            <v>300</v>
          </cell>
          <cell r="L2124">
            <v>300</v>
          </cell>
          <cell r="M2124">
            <v>1815</v>
          </cell>
          <cell r="N2124" t="str">
            <v>용호</v>
          </cell>
          <cell r="O2124" t="str">
            <v>펌프카(1대)</v>
          </cell>
          <cell r="P2124">
            <v>1330</v>
          </cell>
          <cell r="Q2124">
            <v>1755</v>
          </cell>
          <cell r="R2124">
            <v>160</v>
          </cell>
          <cell r="S2124">
            <v>49</v>
          </cell>
          <cell r="T2124">
            <v>31</v>
          </cell>
          <cell r="U2124">
            <v>234</v>
          </cell>
          <cell r="V2124"/>
          <cell r="W2124" t="str">
            <v>박순홍</v>
          </cell>
          <cell r="X2124" t="str">
            <v>(인)</v>
          </cell>
          <cell r="Y2124" t="str">
            <v>박순홍</v>
          </cell>
          <cell r="Z2124" t="str">
            <v>(인)</v>
          </cell>
          <cell r="AA2124" t="str">
            <v>박상갑</v>
          </cell>
          <cell r="AB2124" t="str">
            <v>(인)</v>
          </cell>
          <cell r="AC2124" t="str">
            <v>이홍걸</v>
          </cell>
          <cell r="AD2124" t="str">
            <v>(인)</v>
          </cell>
          <cell r="AE2124">
            <v>181.9</v>
          </cell>
          <cell r="AF2124" t="str">
            <v>동절기</v>
          </cell>
          <cell r="AG2124">
            <v>1</v>
          </cell>
          <cell r="AH2124">
            <v>1</v>
          </cell>
          <cell r="AI2124">
            <v>1866</v>
          </cell>
          <cell r="AJ2124">
            <v>1719</v>
          </cell>
          <cell r="AK2124">
            <v>133000</v>
          </cell>
          <cell r="AL2124">
            <v>2801</v>
          </cell>
          <cell r="AM2124">
            <v>2714</v>
          </cell>
          <cell r="AN2124">
            <v>2607</v>
          </cell>
          <cell r="AO2124">
            <v>2701</v>
          </cell>
          <cell r="AP2124">
            <v>27040</v>
          </cell>
          <cell r="AQ2124">
            <v>2687</v>
          </cell>
          <cell r="AR2124">
            <v>2690</v>
          </cell>
          <cell r="AS2124">
            <v>2784</v>
          </cell>
          <cell r="AT2124">
            <v>219000</v>
          </cell>
        </row>
        <row r="2125">
          <cell r="G2125">
            <v>2504210302</v>
          </cell>
          <cell r="H2125" t="str">
            <v>주차장 누름</v>
          </cell>
          <cell r="I2125">
            <v>250421</v>
          </cell>
          <cell r="J2125" t="str">
            <v>112동~113동 주변주차장 누름</v>
          </cell>
          <cell r="K2125">
            <v>300</v>
          </cell>
          <cell r="L2125">
            <v>300</v>
          </cell>
          <cell r="M2125">
            <v>1815</v>
          </cell>
          <cell r="N2125" t="str">
            <v>용호</v>
          </cell>
          <cell r="O2125" t="str">
            <v>펌프카(1대)</v>
          </cell>
          <cell r="P2125">
            <v>1330</v>
          </cell>
          <cell r="Q2125">
            <v>1755</v>
          </cell>
          <cell r="R2125">
            <v>160</v>
          </cell>
          <cell r="S2125">
            <v>44</v>
          </cell>
          <cell r="T2125">
            <v>17</v>
          </cell>
          <cell r="U2125">
            <v>241</v>
          </cell>
          <cell r="V2125"/>
          <cell r="W2125" t="str">
            <v>박순홍</v>
          </cell>
          <cell r="X2125" t="str">
            <v>(인)</v>
          </cell>
          <cell r="Y2125" t="str">
            <v>박순홍</v>
          </cell>
          <cell r="Z2125" t="str">
            <v>(인)</v>
          </cell>
          <cell r="AA2125" t="str">
            <v>박상갑</v>
          </cell>
          <cell r="AB2125" t="str">
            <v>(인)</v>
          </cell>
          <cell r="AC2125" t="str">
            <v>이홍걸</v>
          </cell>
          <cell r="AD2125" t="str">
            <v>(인)</v>
          </cell>
          <cell r="AE2125">
            <v>182.9</v>
          </cell>
          <cell r="AF2125" t="str">
            <v>동절기</v>
          </cell>
          <cell r="AG2125">
            <v>2</v>
          </cell>
          <cell r="AH2125">
            <v>0</v>
          </cell>
        </row>
        <row r="2126">
          <cell r="G2126">
            <v>2504210303</v>
          </cell>
          <cell r="H2126" t="str">
            <v>주차장 누름</v>
          </cell>
          <cell r="I2126">
            <v>250421</v>
          </cell>
          <cell r="J2126" t="str">
            <v>112동~113동 주변주차장 누름</v>
          </cell>
          <cell r="K2126">
            <v>300</v>
          </cell>
          <cell r="L2126">
            <v>300</v>
          </cell>
          <cell r="M2126">
            <v>1815</v>
          </cell>
          <cell r="N2126" t="str">
            <v>용호</v>
          </cell>
          <cell r="O2126" t="str">
            <v>펌프카(1대)</v>
          </cell>
          <cell r="P2126">
            <v>1330</v>
          </cell>
          <cell r="Q2126">
            <v>1755</v>
          </cell>
          <cell r="R2126">
            <v>160</v>
          </cell>
          <cell r="S2126">
            <v>46</v>
          </cell>
          <cell r="T2126">
            <v>82</v>
          </cell>
          <cell r="U2126">
            <v>235</v>
          </cell>
          <cell r="V2126"/>
          <cell r="W2126" t="str">
            <v>박순홍</v>
          </cell>
          <cell r="X2126" t="str">
            <v>(인)</v>
          </cell>
          <cell r="Y2126" t="str">
            <v>박순홍</v>
          </cell>
          <cell r="Z2126" t="str">
            <v>(인)</v>
          </cell>
          <cell r="AA2126" t="str">
            <v>박상갑</v>
          </cell>
          <cell r="AB2126" t="str">
            <v>(인)</v>
          </cell>
          <cell r="AC2126" t="str">
            <v>이홍걸</v>
          </cell>
          <cell r="AD2126" t="str">
            <v>(인)</v>
          </cell>
          <cell r="AE2126">
            <v>183.5</v>
          </cell>
          <cell r="AF2126" t="str">
            <v>동절기</v>
          </cell>
          <cell r="AG2126">
            <v>3</v>
          </cell>
          <cell r="AH2126">
            <v>0</v>
          </cell>
        </row>
        <row r="2127">
          <cell r="G2127">
            <v>2504230101</v>
          </cell>
          <cell r="H2127" t="str">
            <v>119동</v>
          </cell>
          <cell r="I2127">
            <v>250423</v>
          </cell>
          <cell r="J2127" t="str">
            <v>119동 16층 바닥</v>
          </cell>
          <cell r="K2127">
            <v>282</v>
          </cell>
          <cell r="L2127">
            <v>282</v>
          </cell>
          <cell r="M2127">
            <v>3018</v>
          </cell>
          <cell r="N2127" t="str">
            <v>영진</v>
          </cell>
          <cell r="O2127" t="str">
            <v>펌프카(1대)</v>
          </cell>
          <cell r="P2127">
            <v>725</v>
          </cell>
          <cell r="Q2127">
            <v>1123</v>
          </cell>
          <cell r="R2127">
            <v>185</v>
          </cell>
          <cell r="S2127">
            <v>56</v>
          </cell>
          <cell r="T2127">
            <v>32</v>
          </cell>
          <cell r="U2127">
            <v>190</v>
          </cell>
          <cell r="V2127"/>
          <cell r="W2127" t="str">
            <v>김광록</v>
          </cell>
          <cell r="X2127" t="str">
            <v>(인)</v>
          </cell>
          <cell r="Y2127" t="str">
            <v>박순홍</v>
          </cell>
          <cell r="Z2127" t="str">
            <v>(인)</v>
          </cell>
          <cell r="AA2127" t="str">
            <v>박상갑</v>
          </cell>
          <cell r="AB2127" t="str">
            <v>(인)</v>
          </cell>
          <cell r="AC2127" t="str">
            <v>이홍걸</v>
          </cell>
          <cell r="AD2127" t="str">
            <v>(인)</v>
          </cell>
          <cell r="AE2127">
            <v>183.2</v>
          </cell>
          <cell r="AF2127" t="str">
            <v>동절기</v>
          </cell>
          <cell r="AG2127">
            <v>1</v>
          </cell>
          <cell r="AH2127">
            <v>1</v>
          </cell>
          <cell r="AI2127">
            <v>2933</v>
          </cell>
          <cell r="AJ2127">
            <v>2889</v>
          </cell>
          <cell r="AK2127">
            <v>229000</v>
          </cell>
          <cell r="AL2127">
            <v>3912</v>
          </cell>
          <cell r="AM2127">
            <v>3867</v>
          </cell>
          <cell r="AN2127">
            <v>3904</v>
          </cell>
          <cell r="AO2127">
            <v>3879</v>
          </cell>
          <cell r="AP2127">
            <v>4004</v>
          </cell>
          <cell r="AQ2127">
            <v>3916</v>
          </cell>
          <cell r="AR2127">
            <v>3984</v>
          </cell>
          <cell r="AS2127">
            <v>4036</v>
          </cell>
          <cell r="AT2127">
            <v>306200</v>
          </cell>
        </row>
        <row r="2128">
          <cell r="G2128">
            <v>2504230102</v>
          </cell>
          <cell r="H2128" t="str">
            <v>119동</v>
          </cell>
          <cell r="I2128">
            <v>250423</v>
          </cell>
          <cell r="J2128" t="str">
            <v>119동 16층 바닥</v>
          </cell>
          <cell r="K2128">
            <v>282</v>
          </cell>
          <cell r="L2128">
            <v>282</v>
          </cell>
          <cell r="M2128">
            <v>3018</v>
          </cell>
          <cell r="N2128" t="str">
            <v>영진</v>
          </cell>
          <cell r="O2128" t="str">
            <v>펌프카(1대)</v>
          </cell>
          <cell r="P2128">
            <v>725</v>
          </cell>
          <cell r="Q2128">
            <v>1123</v>
          </cell>
          <cell r="R2128">
            <v>200</v>
          </cell>
          <cell r="S2128">
            <v>48</v>
          </cell>
          <cell r="T2128">
            <v>40</v>
          </cell>
          <cell r="U2128">
            <v>201</v>
          </cell>
          <cell r="V2128"/>
          <cell r="W2128" t="str">
            <v>김광록</v>
          </cell>
          <cell r="X2128" t="str">
            <v>(인)</v>
          </cell>
          <cell r="Y2128" t="str">
            <v>박순홍</v>
          </cell>
          <cell r="Z2128" t="str">
            <v>(인)</v>
          </cell>
          <cell r="AA2128" t="str">
            <v>박상갑</v>
          </cell>
          <cell r="AB2128" t="str">
            <v>(인)</v>
          </cell>
          <cell r="AC2128" t="str">
            <v>이홍걸</v>
          </cell>
          <cell r="AD2128" t="str">
            <v>(인)</v>
          </cell>
          <cell r="AE2128">
            <v>181.8</v>
          </cell>
          <cell r="AF2128" t="str">
            <v>동절기</v>
          </cell>
          <cell r="AG2128">
            <v>2</v>
          </cell>
          <cell r="AH2128">
            <v>0</v>
          </cell>
        </row>
        <row r="2129">
          <cell r="G2129">
            <v>2504230103</v>
          </cell>
          <cell r="H2129" t="str">
            <v>119동</v>
          </cell>
          <cell r="I2129">
            <v>250423</v>
          </cell>
          <cell r="J2129" t="str">
            <v>119동 16층 바닥</v>
          </cell>
          <cell r="K2129">
            <v>282</v>
          </cell>
          <cell r="L2129">
            <v>282</v>
          </cell>
          <cell r="M2129">
            <v>3018</v>
          </cell>
          <cell r="N2129" t="str">
            <v>영진</v>
          </cell>
          <cell r="O2129" t="str">
            <v>펌프카(1대)</v>
          </cell>
          <cell r="P2129">
            <v>725</v>
          </cell>
          <cell r="Q2129">
            <v>1123</v>
          </cell>
          <cell r="R2129">
            <v>175</v>
          </cell>
          <cell r="S2129">
            <v>50</v>
          </cell>
          <cell r="T2129">
            <v>58</v>
          </cell>
          <cell r="U2129">
            <v>183</v>
          </cell>
          <cell r="V2129"/>
          <cell r="W2129" t="str">
            <v>김광록</v>
          </cell>
          <cell r="X2129" t="str">
            <v>(인)</v>
          </cell>
          <cell r="Y2129" t="str">
            <v>박순홍</v>
          </cell>
          <cell r="Z2129" t="str">
            <v>(인)</v>
          </cell>
          <cell r="AA2129" t="str">
            <v>박상갑</v>
          </cell>
          <cell r="AB2129" t="str">
            <v>(인)</v>
          </cell>
          <cell r="AC2129" t="str">
            <v>이홍걸</v>
          </cell>
          <cell r="AD2129" t="str">
            <v>(인)</v>
          </cell>
          <cell r="AE2129">
            <v>184.4</v>
          </cell>
          <cell r="AF2129" t="str">
            <v>동절기</v>
          </cell>
          <cell r="AG2129">
            <v>3</v>
          </cell>
          <cell r="AH2129">
            <v>0</v>
          </cell>
        </row>
        <row r="2130">
          <cell r="G2130">
            <v>2504230201</v>
          </cell>
          <cell r="H2130" t="str">
            <v>108동</v>
          </cell>
          <cell r="I2130">
            <v>250423</v>
          </cell>
          <cell r="J2130" t="str">
            <v>108동 최상층 바닥</v>
          </cell>
          <cell r="K2130">
            <v>354</v>
          </cell>
          <cell r="L2130">
            <v>354</v>
          </cell>
          <cell r="M2130">
            <v>3018</v>
          </cell>
          <cell r="N2130" t="str">
            <v>용호</v>
          </cell>
          <cell r="O2130" t="str">
            <v>펌프카(1대)</v>
          </cell>
          <cell r="P2130">
            <v>1208</v>
          </cell>
          <cell r="Q2130">
            <v>1740</v>
          </cell>
          <cell r="R2130">
            <v>195</v>
          </cell>
          <cell r="S2130">
            <v>43</v>
          </cell>
          <cell r="T2130">
            <v>54</v>
          </cell>
          <cell r="U2130">
            <v>165</v>
          </cell>
          <cell r="V2130"/>
          <cell r="W2130" t="str">
            <v>김광록</v>
          </cell>
          <cell r="X2130" t="str">
            <v>(인)</v>
          </cell>
          <cell r="Y2130" t="str">
            <v>박순홍</v>
          </cell>
          <cell r="Z2130" t="str">
            <v>(인)</v>
          </cell>
          <cell r="AA2130" t="str">
            <v>박상갑</v>
          </cell>
          <cell r="AB2130" t="str">
            <v>(인)</v>
          </cell>
          <cell r="AC2130" t="str">
            <v>이홍걸</v>
          </cell>
          <cell r="AD2130" t="str">
            <v>(인)</v>
          </cell>
          <cell r="AE2130">
            <v>180.6</v>
          </cell>
          <cell r="AF2130" t="str">
            <v>동절기</v>
          </cell>
          <cell r="AG2130">
            <v>1</v>
          </cell>
          <cell r="AH2130">
            <v>1</v>
          </cell>
          <cell r="AI2130">
            <v>3007</v>
          </cell>
          <cell r="AJ2130">
            <v>2908</v>
          </cell>
          <cell r="AK2130">
            <v>225200</v>
          </cell>
          <cell r="AL2130">
            <v>4112</v>
          </cell>
          <cell r="AM2130">
            <v>4076</v>
          </cell>
          <cell r="AN2130">
            <v>4124</v>
          </cell>
          <cell r="AO2130">
            <v>3996</v>
          </cell>
          <cell r="AP2130">
            <v>4106</v>
          </cell>
          <cell r="AQ2130">
            <v>4172</v>
          </cell>
          <cell r="AR2130">
            <v>4036</v>
          </cell>
          <cell r="AS2130">
            <v>4126</v>
          </cell>
          <cell r="AT2130">
            <v>317600</v>
          </cell>
        </row>
        <row r="2131">
          <cell r="G2131">
            <v>2504230202</v>
          </cell>
          <cell r="H2131" t="str">
            <v>108동</v>
          </cell>
          <cell r="I2131">
            <v>250423</v>
          </cell>
          <cell r="J2131" t="str">
            <v>108동 최상층 바닥</v>
          </cell>
          <cell r="K2131">
            <v>354</v>
          </cell>
          <cell r="L2131">
            <v>354</v>
          </cell>
          <cell r="M2131">
            <v>3018</v>
          </cell>
          <cell r="N2131" t="str">
            <v>용호</v>
          </cell>
          <cell r="O2131" t="str">
            <v>펌프카(1대)</v>
          </cell>
          <cell r="P2131">
            <v>1208</v>
          </cell>
          <cell r="Q2131">
            <v>1740</v>
          </cell>
          <cell r="R2131">
            <v>190</v>
          </cell>
          <cell r="S2131">
            <v>34</v>
          </cell>
          <cell r="T2131">
            <v>27</v>
          </cell>
          <cell r="U2131">
            <v>169</v>
          </cell>
          <cell r="V2131"/>
          <cell r="W2131" t="str">
            <v>김광록</v>
          </cell>
          <cell r="X2131" t="str">
            <v>(인)</v>
          </cell>
          <cell r="Y2131" t="str">
            <v>박순홍</v>
          </cell>
          <cell r="Z2131" t="str">
            <v>(인)</v>
          </cell>
          <cell r="AA2131" t="str">
            <v>박상갑</v>
          </cell>
          <cell r="AB2131" t="str">
            <v>(인)</v>
          </cell>
          <cell r="AC2131" t="str">
            <v>이홍걸</v>
          </cell>
          <cell r="AD2131" t="str">
            <v>(인)</v>
          </cell>
          <cell r="AE2131">
            <v>182.9</v>
          </cell>
          <cell r="AF2131" t="str">
            <v>동절기</v>
          </cell>
          <cell r="AG2131">
            <v>2</v>
          </cell>
          <cell r="AH2131">
            <v>0</v>
          </cell>
        </row>
        <row r="2132">
          <cell r="G2132">
            <v>2504230203</v>
          </cell>
          <cell r="H2132" t="str">
            <v>108동</v>
          </cell>
          <cell r="I2132">
            <v>250423</v>
          </cell>
          <cell r="J2132" t="str">
            <v>108동 최상층 바닥</v>
          </cell>
          <cell r="K2132">
            <v>354</v>
          </cell>
          <cell r="L2132">
            <v>354</v>
          </cell>
          <cell r="M2132">
            <v>3018</v>
          </cell>
          <cell r="N2132" t="str">
            <v>용호</v>
          </cell>
          <cell r="O2132" t="str">
            <v>펌프카(1대)</v>
          </cell>
          <cell r="P2132">
            <v>1208</v>
          </cell>
          <cell r="Q2132">
            <v>1740</v>
          </cell>
          <cell r="R2132">
            <v>180</v>
          </cell>
          <cell r="S2132">
            <v>38</v>
          </cell>
          <cell r="T2132">
            <v>61</v>
          </cell>
          <cell r="U2132">
            <v>158</v>
          </cell>
          <cell r="V2132"/>
          <cell r="W2132" t="str">
            <v>김광록</v>
          </cell>
          <cell r="X2132" t="str">
            <v>(인)</v>
          </cell>
          <cell r="Y2132" t="str">
            <v>박순홍</v>
          </cell>
          <cell r="Z2132" t="str">
            <v>(인)</v>
          </cell>
          <cell r="AA2132" t="str">
            <v>박상갑</v>
          </cell>
          <cell r="AB2132" t="str">
            <v>(인)</v>
          </cell>
          <cell r="AC2132" t="str">
            <v>이홍걸</v>
          </cell>
          <cell r="AD2132" t="str">
            <v>(인)</v>
          </cell>
          <cell r="AE2132">
            <v>181.9</v>
          </cell>
          <cell r="AF2132" t="str">
            <v>동절기</v>
          </cell>
          <cell r="AG2132">
            <v>3</v>
          </cell>
          <cell r="AH2132">
            <v>0</v>
          </cell>
        </row>
        <row r="2133">
          <cell r="G2133">
            <v>2504230301</v>
          </cell>
          <cell r="H2133" t="str">
            <v>112동</v>
          </cell>
          <cell r="I2133">
            <v>250423</v>
          </cell>
          <cell r="J2133" t="str">
            <v>112동 16층 바닥</v>
          </cell>
          <cell r="K2133">
            <v>216</v>
          </cell>
          <cell r="L2133">
            <v>216</v>
          </cell>
          <cell r="M2133">
            <v>3018</v>
          </cell>
          <cell r="N2133" t="str">
            <v>대원</v>
          </cell>
          <cell r="O2133" t="str">
            <v>펌프카(1대)</v>
          </cell>
          <cell r="P2133">
            <v>1237</v>
          </cell>
          <cell r="Q2133">
            <v>1550</v>
          </cell>
          <cell r="R2133">
            <v>200</v>
          </cell>
          <cell r="S2133">
            <v>43</v>
          </cell>
          <cell r="T2133">
            <v>24</v>
          </cell>
          <cell r="U2133">
            <v>186</v>
          </cell>
          <cell r="V2133"/>
          <cell r="W2133" t="str">
            <v>김광록</v>
          </cell>
          <cell r="X2133" t="str">
            <v>(인)</v>
          </cell>
          <cell r="Y2133" t="str">
            <v>박순홍</v>
          </cell>
          <cell r="Z2133" t="str">
            <v>(인)</v>
          </cell>
          <cell r="AA2133" t="str">
            <v>박상갑</v>
          </cell>
          <cell r="AB2133" t="str">
            <v>(인)</v>
          </cell>
          <cell r="AC2133" t="str">
            <v>이홍걸</v>
          </cell>
          <cell r="AD2133" t="str">
            <v>(인)</v>
          </cell>
          <cell r="AE2133">
            <v>182.5</v>
          </cell>
          <cell r="AF2133" t="str">
            <v>동절기</v>
          </cell>
          <cell r="AG2133">
            <v>1</v>
          </cell>
          <cell r="AH2133">
            <v>1</v>
          </cell>
          <cell r="AI2133">
            <v>2925</v>
          </cell>
          <cell r="AJ2133">
            <v>2903</v>
          </cell>
          <cell r="AK2133">
            <v>226000</v>
          </cell>
          <cell r="AL2133">
            <v>3904</v>
          </cell>
          <cell r="AM2133">
            <v>4016</v>
          </cell>
          <cell r="AN2133">
            <v>4067</v>
          </cell>
          <cell r="AO2133">
            <v>3972</v>
          </cell>
          <cell r="AP2133">
            <v>3984</v>
          </cell>
          <cell r="AQ2133">
            <v>4067</v>
          </cell>
          <cell r="AR2133">
            <v>4037</v>
          </cell>
          <cell r="AS2133">
            <v>4076</v>
          </cell>
          <cell r="AT2133">
            <v>300400</v>
          </cell>
        </row>
        <row r="2134">
          <cell r="G2134">
            <v>2504230302</v>
          </cell>
          <cell r="H2134" t="str">
            <v>112동</v>
          </cell>
          <cell r="I2134">
            <v>250423</v>
          </cell>
          <cell r="J2134" t="str">
            <v>112동 16층 바닥</v>
          </cell>
          <cell r="K2134">
            <v>216</v>
          </cell>
          <cell r="L2134">
            <v>216</v>
          </cell>
          <cell r="M2134">
            <v>3018</v>
          </cell>
          <cell r="N2134" t="str">
            <v>대원</v>
          </cell>
          <cell r="O2134" t="str">
            <v>펌프카(1대)</v>
          </cell>
          <cell r="P2134">
            <v>1237</v>
          </cell>
          <cell r="Q2134">
            <v>1550</v>
          </cell>
          <cell r="R2134">
            <v>185</v>
          </cell>
          <cell r="S2134">
            <v>42</v>
          </cell>
          <cell r="T2134">
            <v>70</v>
          </cell>
          <cell r="U2134">
            <v>173</v>
          </cell>
          <cell r="V2134"/>
          <cell r="W2134" t="str">
            <v>김광록</v>
          </cell>
          <cell r="X2134" t="str">
            <v>(인)</v>
          </cell>
          <cell r="Y2134" t="str">
            <v>박순홍</v>
          </cell>
          <cell r="Z2134" t="str">
            <v>(인)</v>
          </cell>
          <cell r="AA2134" t="str">
            <v>박상갑</v>
          </cell>
          <cell r="AB2134" t="str">
            <v>(인)</v>
          </cell>
          <cell r="AC2134" t="str">
            <v>이홍걸</v>
          </cell>
          <cell r="AD2134" t="str">
            <v>(인)</v>
          </cell>
          <cell r="AE2134">
            <v>179.7</v>
          </cell>
          <cell r="AF2134" t="str">
            <v>동절기</v>
          </cell>
          <cell r="AG2134">
            <v>2</v>
          </cell>
          <cell r="AH2134">
            <v>0</v>
          </cell>
        </row>
        <row r="2135">
          <cell r="G2135">
            <v>2504230401</v>
          </cell>
          <cell r="H2135" t="str">
            <v>111동</v>
          </cell>
          <cell r="I2135">
            <v>250423</v>
          </cell>
          <cell r="J2135" t="str">
            <v>도서관 지붕층 및 111동 2코어 PH2</v>
          </cell>
          <cell r="K2135">
            <v>102</v>
          </cell>
          <cell r="L2135">
            <v>102</v>
          </cell>
          <cell r="M2135">
            <v>3018</v>
          </cell>
          <cell r="N2135" t="str">
            <v>용호</v>
          </cell>
          <cell r="O2135" t="str">
            <v>펌프카(1대)</v>
          </cell>
          <cell r="P2135">
            <v>818</v>
          </cell>
          <cell r="Q2135">
            <v>1210</v>
          </cell>
          <cell r="R2135">
            <v>170</v>
          </cell>
          <cell r="S2135">
            <v>41</v>
          </cell>
          <cell r="T2135">
            <v>78</v>
          </cell>
          <cell r="U2135">
            <v>182</v>
          </cell>
          <cell r="V2135"/>
          <cell r="W2135" t="str">
            <v>김광록</v>
          </cell>
          <cell r="X2135" t="str">
            <v>(인)</v>
          </cell>
          <cell r="Y2135" t="str">
            <v>박순홍</v>
          </cell>
          <cell r="Z2135" t="str">
            <v>(인)</v>
          </cell>
          <cell r="AA2135" t="str">
            <v>박상갑</v>
          </cell>
          <cell r="AB2135" t="str">
            <v>(인)</v>
          </cell>
          <cell r="AC2135" t="str">
            <v>이홍걸</v>
          </cell>
          <cell r="AD2135" t="str">
            <v>(인)</v>
          </cell>
          <cell r="AE2135">
            <v>182.7</v>
          </cell>
          <cell r="AF2135" t="str">
            <v>동절기</v>
          </cell>
          <cell r="AG2135">
            <v>1</v>
          </cell>
          <cell r="AH2135">
            <v>1</v>
          </cell>
          <cell r="AI2135">
            <v>2852</v>
          </cell>
          <cell r="AJ2135">
            <v>2970</v>
          </cell>
          <cell r="AK2135">
            <v>228200</v>
          </cell>
          <cell r="AL2135">
            <v>4072</v>
          </cell>
          <cell r="AM2135">
            <v>3906</v>
          </cell>
          <cell r="AN2135">
            <v>3916</v>
          </cell>
          <cell r="AO2135">
            <v>3876</v>
          </cell>
          <cell r="AP2135">
            <v>3916</v>
          </cell>
          <cell r="AQ2135">
            <v>3907</v>
          </cell>
          <cell r="AR2135">
            <v>3826</v>
          </cell>
          <cell r="AS2135">
            <v>3872</v>
          </cell>
          <cell r="AT2135">
            <v>300000</v>
          </cell>
        </row>
        <row r="2136">
          <cell r="G2136">
            <v>2504240101</v>
          </cell>
          <cell r="H2136" t="str">
            <v>116동</v>
          </cell>
          <cell r="I2136">
            <v>250424</v>
          </cell>
          <cell r="J2136" t="str">
            <v>116동 18층 바닥</v>
          </cell>
          <cell r="K2136">
            <v>282</v>
          </cell>
          <cell r="L2136">
            <v>282</v>
          </cell>
          <cell r="M2136">
            <v>3018</v>
          </cell>
          <cell r="N2136" t="str">
            <v>대원</v>
          </cell>
          <cell r="O2136" t="str">
            <v>펌프카(1대)</v>
          </cell>
          <cell r="P2136">
            <v>823</v>
          </cell>
          <cell r="Q2136">
            <v>1231</v>
          </cell>
          <cell r="R2136">
            <v>180</v>
          </cell>
          <cell r="S2136">
            <v>51</v>
          </cell>
          <cell r="T2136">
            <v>42</v>
          </cell>
          <cell r="U2136">
            <v>175</v>
          </cell>
          <cell r="V2136"/>
          <cell r="W2136" t="str">
            <v>박순홍</v>
          </cell>
          <cell r="X2136" t="str">
            <v>(인)</v>
          </cell>
          <cell r="Y2136" t="str">
            <v>박순홍</v>
          </cell>
          <cell r="Z2136" t="str">
            <v>(인)</v>
          </cell>
          <cell r="AA2136" t="str">
            <v>박상갑</v>
          </cell>
          <cell r="AB2136" t="str">
            <v>(인)</v>
          </cell>
          <cell r="AC2136" t="str">
            <v>이홍걸</v>
          </cell>
          <cell r="AD2136" t="str">
            <v>(인)</v>
          </cell>
          <cell r="AE2136">
            <v>181.8</v>
          </cell>
          <cell r="AF2136" t="str">
            <v>동절기</v>
          </cell>
          <cell r="AG2136">
            <v>1</v>
          </cell>
          <cell r="AH2136">
            <v>1</v>
          </cell>
          <cell r="AI2136">
            <v>2971</v>
          </cell>
          <cell r="AJ2136">
            <v>2869</v>
          </cell>
          <cell r="AK2136">
            <v>229600</v>
          </cell>
          <cell r="AL2136">
            <v>4012</v>
          </cell>
          <cell r="AM2136">
            <v>3967</v>
          </cell>
          <cell r="AN2136">
            <v>3942</v>
          </cell>
          <cell r="AO2136">
            <v>3860</v>
          </cell>
          <cell r="AP2136">
            <v>3927</v>
          </cell>
          <cell r="AQ2136">
            <v>4001</v>
          </cell>
          <cell r="AR2136">
            <v>3924</v>
          </cell>
          <cell r="AS2136">
            <v>4036</v>
          </cell>
          <cell r="AT2136">
            <v>308600</v>
          </cell>
        </row>
        <row r="2137">
          <cell r="G2137">
            <v>2504240102</v>
          </cell>
          <cell r="H2137" t="str">
            <v>116동</v>
          </cell>
          <cell r="I2137">
            <v>250424</v>
          </cell>
          <cell r="J2137" t="str">
            <v>116동 18층 바닥</v>
          </cell>
          <cell r="K2137">
            <v>282</v>
          </cell>
          <cell r="L2137">
            <v>282</v>
          </cell>
          <cell r="M2137">
            <v>3018</v>
          </cell>
          <cell r="N2137" t="str">
            <v>대원</v>
          </cell>
          <cell r="O2137" t="str">
            <v>펌프카(1대)</v>
          </cell>
          <cell r="P2137">
            <v>823</v>
          </cell>
          <cell r="Q2137">
            <v>1231</v>
          </cell>
          <cell r="R2137">
            <v>190</v>
          </cell>
          <cell r="S2137">
            <v>46</v>
          </cell>
          <cell r="T2137">
            <v>13</v>
          </cell>
          <cell r="U2137">
            <v>181</v>
          </cell>
          <cell r="V2137"/>
          <cell r="W2137" t="str">
            <v>박순홍</v>
          </cell>
          <cell r="X2137" t="str">
            <v>(인)</v>
          </cell>
          <cell r="Y2137" t="str">
            <v>박순홍</v>
          </cell>
          <cell r="Z2137" t="str">
            <v>(인)</v>
          </cell>
          <cell r="AA2137" t="str">
            <v>박상갑</v>
          </cell>
          <cell r="AB2137" t="str">
            <v>(인)</v>
          </cell>
          <cell r="AC2137" t="str">
            <v>이홍걸</v>
          </cell>
          <cell r="AD2137" t="str">
            <v>(인)</v>
          </cell>
          <cell r="AE2137">
            <v>187.3</v>
          </cell>
          <cell r="AF2137" t="str">
            <v>동절기</v>
          </cell>
          <cell r="AG2137">
            <v>2</v>
          </cell>
          <cell r="AH2137">
            <v>0</v>
          </cell>
        </row>
        <row r="2138">
          <cell r="G2138">
            <v>2504240103</v>
          </cell>
          <cell r="H2138" t="str">
            <v>116동</v>
          </cell>
          <cell r="I2138">
            <v>250424</v>
          </cell>
          <cell r="J2138" t="str">
            <v>116동 18층 바닥</v>
          </cell>
          <cell r="K2138">
            <v>282</v>
          </cell>
          <cell r="L2138">
            <v>282</v>
          </cell>
          <cell r="M2138">
            <v>3018</v>
          </cell>
          <cell r="N2138" t="str">
            <v>대원</v>
          </cell>
          <cell r="O2138" t="str">
            <v>펌프카(1대)</v>
          </cell>
          <cell r="P2138">
            <v>823</v>
          </cell>
          <cell r="Q2138">
            <v>1231</v>
          </cell>
          <cell r="R2138">
            <v>195</v>
          </cell>
          <cell r="S2138">
            <v>50</v>
          </cell>
          <cell r="T2138">
            <v>84</v>
          </cell>
          <cell r="U2138">
            <v>187</v>
          </cell>
          <cell r="V2138"/>
          <cell r="W2138" t="str">
            <v>박순홍</v>
          </cell>
          <cell r="X2138" t="str">
            <v>(인)</v>
          </cell>
          <cell r="Y2138" t="str">
            <v>박순홍</v>
          </cell>
          <cell r="Z2138" t="str">
            <v>(인)</v>
          </cell>
          <cell r="AA2138" t="str">
            <v>박상갑</v>
          </cell>
          <cell r="AB2138" t="str">
            <v>(인)</v>
          </cell>
          <cell r="AC2138" t="str">
            <v>이홍걸</v>
          </cell>
          <cell r="AD2138" t="str">
            <v>(인)</v>
          </cell>
          <cell r="AE2138">
            <v>184.4</v>
          </cell>
          <cell r="AF2138" t="str">
            <v>동절기</v>
          </cell>
          <cell r="AG2138">
            <v>3</v>
          </cell>
          <cell r="AH2138">
            <v>0</v>
          </cell>
        </row>
        <row r="2139">
          <cell r="G2139">
            <v>2504240201</v>
          </cell>
          <cell r="H2139" t="str">
            <v>120동</v>
          </cell>
          <cell r="I2139">
            <v>250424</v>
          </cell>
          <cell r="J2139" t="str">
            <v>120동 15층 바닥</v>
          </cell>
          <cell r="K2139">
            <v>285</v>
          </cell>
          <cell r="L2139">
            <v>285</v>
          </cell>
          <cell r="M2139">
            <v>3018</v>
          </cell>
          <cell r="N2139" t="str">
            <v>용호</v>
          </cell>
          <cell r="O2139" t="str">
            <v>펌프카(1대)</v>
          </cell>
          <cell r="P2139">
            <v>839</v>
          </cell>
          <cell r="Q2139">
            <v>1327</v>
          </cell>
          <cell r="R2139">
            <v>190</v>
          </cell>
          <cell r="S2139">
            <v>47</v>
          </cell>
          <cell r="T2139">
            <v>43</v>
          </cell>
          <cell r="U2139">
            <v>190</v>
          </cell>
          <cell r="V2139"/>
          <cell r="W2139" t="str">
            <v>김광록</v>
          </cell>
          <cell r="X2139" t="str">
            <v>(인)</v>
          </cell>
          <cell r="Y2139" t="str">
            <v>박순홍</v>
          </cell>
          <cell r="Z2139" t="str">
            <v>(인)</v>
          </cell>
          <cell r="AA2139" t="str">
            <v>박상갑</v>
          </cell>
          <cell r="AB2139" t="str">
            <v>(인)</v>
          </cell>
          <cell r="AC2139" t="str">
            <v>이홍걸</v>
          </cell>
          <cell r="AD2139" t="str">
            <v>(인)</v>
          </cell>
          <cell r="AE2139">
            <v>183.5</v>
          </cell>
          <cell r="AF2139" t="str">
            <v>동절기</v>
          </cell>
          <cell r="AG2139">
            <v>1</v>
          </cell>
          <cell r="AH2139">
            <v>1</v>
          </cell>
          <cell r="AI2139">
            <v>2869</v>
          </cell>
          <cell r="AJ2139">
            <v>2902</v>
          </cell>
          <cell r="AK2139">
            <v>224000</v>
          </cell>
          <cell r="AL2139">
            <v>3926</v>
          </cell>
          <cell r="AM2139">
            <v>3830</v>
          </cell>
          <cell r="AN2139">
            <v>3892</v>
          </cell>
          <cell r="AO2139">
            <v>4016</v>
          </cell>
          <cell r="AP2139">
            <v>3834</v>
          </cell>
          <cell r="AQ2139">
            <v>3907</v>
          </cell>
          <cell r="AR2139">
            <v>3984</v>
          </cell>
          <cell r="AS2139">
            <v>3862</v>
          </cell>
          <cell r="AT2139">
            <v>304600</v>
          </cell>
        </row>
        <row r="2140">
          <cell r="G2140">
            <v>2504240202</v>
          </cell>
          <cell r="H2140" t="str">
            <v>120동</v>
          </cell>
          <cell r="I2140">
            <v>250424</v>
          </cell>
          <cell r="J2140" t="str">
            <v>120동 15층 바닥</v>
          </cell>
          <cell r="K2140">
            <v>285</v>
          </cell>
          <cell r="L2140">
            <v>285</v>
          </cell>
          <cell r="M2140">
            <v>3018</v>
          </cell>
          <cell r="N2140" t="str">
            <v>용호</v>
          </cell>
          <cell r="O2140" t="str">
            <v>펌프카(1대)</v>
          </cell>
          <cell r="P2140">
            <v>839</v>
          </cell>
          <cell r="Q2140">
            <v>1327</v>
          </cell>
          <cell r="R2140">
            <v>200</v>
          </cell>
          <cell r="S2140">
            <v>49</v>
          </cell>
          <cell r="T2140">
            <v>63</v>
          </cell>
          <cell r="U2140">
            <v>192</v>
          </cell>
          <cell r="V2140"/>
          <cell r="W2140" t="str">
            <v>김광록</v>
          </cell>
          <cell r="X2140" t="str">
            <v>(인)</v>
          </cell>
          <cell r="Y2140" t="str">
            <v>박순홍</v>
          </cell>
          <cell r="Z2140" t="str">
            <v>(인)</v>
          </cell>
          <cell r="AA2140" t="str">
            <v>박상갑</v>
          </cell>
          <cell r="AB2140" t="str">
            <v>(인)</v>
          </cell>
          <cell r="AC2140" t="str">
            <v>이홍걸</v>
          </cell>
          <cell r="AD2140" t="str">
            <v>(인)</v>
          </cell>
          <cell r="AE2140">
            <v>183.7</v>
          </cell>
          <cell r="AF2140" t="str">
            <v>동절기</v>
          </cell>
          <cell r="AG2140">
            <v>2</v>
          </cell>
          <cell r="AH2140">
            <v>0</v>
          </cell>
        </row>
        <row r="2141">
          <cell r="G2141">
            <v>2504240203</v>
          </cell>
          <cell r="H2141" t="str">
            <v>120동</v>
          </cell>
          <cell r="I2141">
            <v>250424</v>
          </cell>
          <cell r="J2141" t="str">
            <v>120동 15층 바닥</v>
          </cell>
          <cell r="K2141">
            <v>285</v>
          </cell>
          <cell r="L2141">
            <v>285</v>
          </cell>
          <cell r="M2141">
            <v>3018</v>
          </cell>
          <cell r="N2141" t="str">
            <v>용호</v>
          </cell>
          <cell r="O2141" t="str">
            <v>펌프카(1대)</v>
          </cell>
          <cell r="P2141">
            <v>839</v>
          </cell>
          <cell r="Q2141">
            <v>1327</v>
          </cell>
          <cell r="R2141">
            <v>180</v>
          </cell>
          <cell r="S2141">
            <v>40</v>
          </cell>
          <cell r="T2141">
            <v>18</v>
          </cell>
          <cell r="U2141">
            <v>182</v>
          </cell>
          <cell r="V2141"/>
          <cell r="W2141" t="str">
            <v>김광록</v>
          </cell>
          <cell r="X2141" t="str">
            <v>(인)</v>
          </cell>
          <cell r="Y2141" t="str">
            <v>박순홍</v>
          </cell>
          <cell r="Z2141" t="str">
            <v>(인)</v>
          </cell>
          <cell r="AA2141" t="str">
            <v>박상갑</v>
          </cell>
          <cell r="AB2141" t="str">
            <v>(인)</v>
          </cell>
          <cell r="AC2141" t="str">
            <v>이홍걸</v>
          </cell>
          <cell r="AD2141" t="str">
            <v>(인)</v>
          </cell>
          <cell r="AE2141">
            <v>182.9</v>
          </cell>
          <cell r="AF2141" t="str">
            <v>동절기</v>
          </cell>
          <cell r="AG2141">
            <v>3</v>
          </cell>
          <cell r="AH2141">
            <v>0</v>
          </cell>
        </row>
        <row r="2142">
          <cell r="G2142">
            <v>2504240301</v>
          </cell>
          <cell r="H2142" t="str">
            <v>114동</v>
          </cell>
          <cell r="I2142">
            <v>250424</v>
          </cell>
          <cell r="J2142" t="str">
            <v>114동 19층 바닥</v>
          </cell>
          <cell r="K2142">
            <v>174</v>
          </cell>
          <cell r="L2142">
            <v>174</v>
          </cell>
          <cell r="M2142">
            <v>3018</v>
          </cell>
          <cell r="N2142" t="str">
            <v>용호</v>
          </cell>
          <cell r="O2142" t="str">
            <v>펌프카(1대)</v>
          </cell>
          <cell r="P2142">
            <v>1350</v>
          </cell>
          <cell r="Q2142">
            <v>1639</v>
          </cell>
          <cell r="R2142">
            <v>170</v>
          </cell>
          <cell r="S2142">
            <v>50</v>
          </cell>
          <cell r="T2142">
            <v>22</v>
          </cell>
          <cell r="U2142">
            <v>230</v>
          </cell>
          <cell r="V2142"/>
          <cell r="W2142" t="str">
            <v>박순홍</v>
          </cell>
          <cell r="X2142" t="str">
            <v>(인)</v>
          </cell>
          <cell r="Y2142" t="str">
            <v>박순홍</v>
          </cell>
          <cell r="Z2142" t="str">
            <v>(인)</v>
          </cell>
          <cell r="AA2142" t="str">
            <v>박상갑</v>
          </cell>
          <cell r="AB2142" t="str">
            <v>(인)</v>
          </cell>
          <cell r="AC2142" t="str">
            <v>이홍걸</v>
          </cell>
          <cell r="AD2142" t="str">
            <v>(인)</v>
          </cell>
          <cell r="AE2142">
            <v>179.8</v>
          </cell>
          <cell r="AF2142" t="str">
            <v>동절기</v>
          </cell>
          <cell r="AG2142">
            <v>1</v>
          </cell>
          <cell r="AH2142">
            <v>1</v>
          </cell>
          <cell r="AI2142">
            <v>2862</v>
          </cell>
          <cell r="AJ2142">
            <v>2804</v>
          </cell>
          <cell r="AK2142">
            <v>221800</v>
          </cell>
          <cell r="AL2142">
            <v>4016</v>
          </cell>
          <cell r="AM2142">
            <v>4172</v>
          </cell>
          <cell r="AN2142">
            <v>4094</v>
          </cell>
          <cell r="AO2142">
            <v>4014</v>
          </cell>
          <cell r="AP2142">
            <v>3972</v>
          </cell>
          <cell r="AQ2142">
            <v>3960</v>
          </cell>
          <cell r="AR2142">
            <v>4014</v>
          </cell>
          <cell r="AS2142">
            <v>4136</v>
          </cell>
          <cell r="AT2142">
            <v>319200</v>
          </cell>
        </row>
        <row r="2143">
          <cell r="G2143">
            <v>2504240302</v>
          </cell>
          <cell r="H2143" t="str">
            <v>114동</v>
          </cell>
          <cell r="I2143">
            <v>250424</v>
          </cell>
          <cell r="J2143" t="str">
            <v>114동 19층 바닥</v>
          </cell>
          <cell r="K2143">
            <v>174</v>
          </cell>
          <cell r="L2143">
            <v>174</v>
          </cell>
          <cell r="M2143">
            <v>3018</v>
          </cell>
          <cell r="N2143" t="str">
            <v>용호</v>
          </cell>
          <cell r="O2143" t="str">
            <v>펌프카(1대)</v>
          </cell>
          <cell r="P2143">
            <v>1350</v>
          </cell>
          <cell r="Q2143">
            <v>1639</v>
          </cell>
          <cell r="R2143">
            <v>180</v>
          </cell>
          <cell r="S2143">
            <v>47</v>
          </cell>
          <cell r="T2143">
            <v>89</v>
          </cell>
          <cell r="U2143">
            <v>225</v>
          </cell>
          <cell r="V2143"/>
          <cell r="W2143" t="str">
            <v>박순홍</v>
          </cell>
          <cell r="X2143" t="str">
            <v>(인)</v>
          </cell>
          <cell r="Y2143" t="str">
            <v>박순홍</v>
          </cell>
          <cell r="Z2143" t="str">
            <v>(인)</v>
          </cell>
          <cell r="AA2143" t="str">
            <v>박상갑</v>
          </cell>
          <cell r="AB2143" t="str">
            <v>(인)</v>
          </cell>
          <cell r="AC2143" t="str">
            <v>이홍걸</v>
          </cell>
          <cell r="AD2143" t="str">
            <v>(인)</v>
          </cell>
          <cell r="AE2143">
            <v>180.6</v>
          </cell>
          <cell r="AF2143" t="str">
            <v>동절기</v>
          </cell>
          <cell r="AG2143">
            <v>2</v>
          </cell>
          <cell r="AH2143">
            <v>0</v>
          </cell>
        </row>
        <row r="2144">
          <cell r="G2144">
            <v>2504250101</v>
          </cell>
          <cell r="H2144" t="str">
            <v>115동</v>
          </cell>
          <cell r="I2144">
            <v>250425</v>
          </cell>
          <cell r="J2144" t="str">
            <v xml:space="preserve">115동 21층 바닥 </v>
          </cell>
          <cell r="K2144">
            <v>306</v>
          </cell>
          <cell r="L2144">
            <v>306</v>
          </cell>
          <cell r="M2144">
            <v>3018</v>
          </cell>
          <cell r="N2144" t="str">
            <v>동양</v>
          </cell>
          <cell r="O2144" t="str">
            <v>펌프카(1대)</v>
          </cell>
          <cell r="P2144">
            <v>849</v>
          </cell>
          <cell r="Q2144">
            <v>1325</v>
          </cell>
          <cell r="R2144">
            <v>200</v>
          </cell>
          <cell r="S2144">
            <v>48</v>
          </cell>
          <cell r="T2144">
            <v>49</v>
          </cell>
          <cell r="U2144">
            <v>182</v>
          </cell>
          <cell r="V2144"/>
          <cell r="W2144" t="str">
            <v>박순홍</v>
          </cell>
          <cell r="X2144" t="str">
            <v>(인)</v>
          </cell>
          <cell r="Y2144" t="str">
            <v>박순홍</v>
          </cell>
          <cell r="Z2144" t="str">
            <v>(인)</v>
          </cell>
          <cell r="AA2144" t="str">
            <v>박상갑</v>
          </cell>
          <cell r="AB2144" t="str">
            <v>(인)</v>
          </cell>
          <cell r="AC2144" t="str">
            <v>이홍걸</v>
          </cell>
          <cell r="AD2144" t="str">
            <v>(인)</v>
          </cell>
          <cell r="AE2144">
            <v>185.6</v>
          </cell>
          <cell r="AF2144" t="str">
            <v>동절기</v>
          </cell>
          <cell r="AG2144">
            <v>1</v>
          </cell>
          <cell r="AH2144">
            <v>1</v>
          </cell>
          <cell r="AI2144">
            <v>2916</v>
          </cell>
          <cell r="AJ2144">
            <v>2894</v>
          </cell>
          <cell r="AK2144">
            <v>233400</v>
          </cell>
          <cell r="AL2144">
            <v>3927</v>
          </cell>
          <cell r="AM2144">
            <v>3904</v>
          </cell>
          <cell r="AN2144">
            <v>3864</v>
          </cell>
          <cell r="AO2144">
            <v>3872</v>
          </cell>
          <cell r="AP2144">
            <v>3901</v>
          </cell>
          <cell r="AQ2144">
            <v>3941</v>
          </cell>
          <cell r="AR2144">
            <v>4016</v>
          </cell>
          <cell r="AS2144">
            <v>3867</v>
          </cell>
          <cell r="AT2144">
            <v>302800</v>
          </cell>
        </row>
        <row r="2145">
          <cell r="G2145">
            <v>2504250102</v>
          </cell>
          <cell r="H2145" t="str">
            <v>115동</v>
          </cell>
          <cell r="I2145">
            <v>250425</v>
          </cell>
          <cell r="J2145" t="str">
            <v xml:space="preserve">115동 21층 바닥 </v>
          </cell>
          <cell r="K2145">
            <v>306</v>
          </cell>
          <cell r="L2145">
            <v>306</v>
          </cell>
          <cell r="M2145">
            <v>3018</v>
          </cell>
          <cell r="N2145" t="str">
            <v>동양</v>
          </cell>
          <cell r="O2145" t="str">
            <v>펌프카(1대)</v>
          </cell>
          <cell r="P2145">
            <v>849</v>
          </cell>
          <cell r="Q2145">
            <v>1325</v>
          </cell>
          <cell r="R2145">
            <v>195</v>
          </cell>
          <cell r="S2145">
            <v>49</v>
          </cell>
          <cell r="T2145">
            <v>16</v>
          </cell>
          <cell r="U2145">
            <v>189</v>
          </cell>
          <cell r="V2145"/>
          <cell r="W2145" t="str">
            <v>박순홍</v>
          </cell>
          <cell r="X2145" t="str">
            <v>(인)</v>
          </cell>
          <cell r="Y2145" t="str">
            <v>박순홍</v>
          </cell>
          <cell r="Z2145" t="str">
            <v>(인)</v>
          </cell>
          <cell r="AA2145" t="str">
            <v>박상갑</v>
          </cell>
          <cell r="AB2145" t="str">
            <v>(인)</v>
          </cell>
          <cell r="AC2145" t="str">
            <v>이홍걸</v>
          </cell>
          <cell r="AD2145" t="str">
            <v>(인)</v>
          </cell>
          <cell r="AE2145">
            <v>186.8</v>
          </cell>
          <cell r="AF2145" t="str">
            <v>동절기</v>
          </cell>
          <cell r="AG2145">
            <v>2</v>
          </cell>
          <cell r="AH2145">
            <v>0</v>
          </cell>
        </row>
        <row r="2146">
          <cell r="G2146">
            <v>2504250103</v>
          </cell>
          <cell r="H2146" t="str">
            <v>115동</v>
          </cell>
          <cell r="I2146">
            <v>250425</v>
          </cell>
          <cell r="J2146" t="str">
            <v xml:space="preserve">115동 21층 바닥 </v>
          </cell>
          <cell r="K2146">
            <v>306</v>
          </cell>
          <cell r="L2146">
            <v>306</v>
          </cell>
          <cell r="M2146">
            <v>3018</v>
          </cell>
          <cell r="N2146" t="str">
            <v>동양</v>
          </cell>
          <cell r="O2146" t="str">
            <v>펌프카(1대)</v>
          </cell>
          <cell r="P2146">
            <v>849</v>
          </cell>
          <cell r="Q2146">
            <v>1325</v>
          </cell>
          <cell r="R2146">
            <v>175</v>
          </cell>
          <cell r="S2146">
            <v>52</v>
          </cell>
          <cell r="T2146">
            <v>75</v>
          </cell>
          <cell r="U2146">
            <v>208</v>
          </cell>
          <cell r="V2146"/>
          <cell r="W2146" t="str">
            <v>박순홍</v>
          </cell>
          <cell r="X2146" t="str">
            <v>(인)</v>
          </cell>
          <cell r="Y2146" t="str">
            <v>박순홍</v>
          </cell>
          <cell r="Z2146" t="str">
            <v>(인)</v>
          </cell>
          <cell r="AA2146" t="str">
            <v>박상갑</v>
          </cell>
          <cell r="AB2146" t="str">
            <v>(인)</v>
          </cell>
          <cell r="AC2146" t="str">
            <v>이홍걸</v>
          </cell>
          <cell r="AD2146" t="str">
            <v>(인)</v>
          </cell>
          <cell r="AE2146">
            <v>188.8</v>
          </cell>
          <cell r="AF2146" t="str">
            <v>동절기</v>
          </cell>
          <cell r="AG2146">
            <v>3</v>
          </cell>
          <cell r="AH2146">
            <v>0</v>
          </cell>
        </row>
        <row r="2147">
          <cell r="G2147">
            <v>2504280101</v>
          </cell>
          <cell r="H2147" t="str">
            <v>118동</v>
          </cell>
          <cell r="I2147">
            <v>250428</v>
          </cell>
          <cell r="J2147" t="str">
            <v>118동 17층 바닥</v>
          </cell>
          <cell r="K2147">
            <v>282</v>
          </cell>
          <cell r="L2147">
            <v>282</v>
          </cell>
          <cell r="M2147">
            <v>3018</v>
          </cell>
          <cell r="N2147" t="str">
            <v>대원</v>
          </cell>
          <cell r="O2147" t="str">
            <v>펌프카(1대)</v>
          </cell>
          <cell r="P2147">
            <v>753</v>
          </cell>
          <cell r="Q2147">
            <v>1153</v>
          </cell>
          <cell r="R2147">
            <v>190</v>
          </cell>
          <cell r="S2147">
            <v>49</v>
          </cell>
          <cell r="T2147">
            <v>72</v>
          </cell>
          <cell r="U2147">
            <v>199</v>
          </cell>
          <cell r="V2147"/>
          <cell r="W2147" t="str">
            <v>박순홍</v>
          </cell>
          <cell r="X2147" t="str">
            <v>(인)</v>
          </cell>
          <cell r="Y2147" t="str">
            <v>김광록</v>
          </cell>
          <cell r="Z2147" t="str">
            <v>(인)</v>
          </cell>
          <cell r="AA2147" t="str">
            <v>이홍걸</v>
          </cell>
          <cell r="AB2147" t="str">
            <v>(인)</v>
          </cell>
          <cell r="AC2147" t="str">
            <v>박상갑</v>
          </cell>
          <cell r="AD2147" t="str">
            <v>(인)</v>
          </cell>
          <cell r="AE2147">
            <v>191.4</v>
          </cell>
          <cell r="AF2147" t="str">
            <v>동절기</v>
          </cell>
          <cell r="AG2147">
            <v>1</v>
          </cell>
          <cell r="AH2147">
            <v>1</v>
          </cell>
          <cell r="AI2147">
            <v>2861</v>
          </cell>
          <cell r="AJ2147">
            <v>2833</v>
          </cell>
          <cell r="AK2147">
            <v>217400</v>
          </cell>
          <cell r="AL2147">
            <v>3801</v>
          </cell>
          <cell r="AM2147">
            <v>3841</v>
          </cell>
          <cell r="AN2147">
            <v>3728</v>
          </cell>
          <cell r="AO2147">
            <v>3748</v>
          </cell>
          <cell r="AP2147">
            <v>3811</v>
          </cell>
          <cell r="AQ2147">
            <v>3696</v>
          </cell>
          <cell r="AR2147">
            <v>3618</v>
          </cell>
          <cell r="AS2147">
            <v>3847</v>
          </cell>
          <cell r="AT2147">
            <v>296600</v>
          </cell>
        </row>
        <row r="2148">
          <cell r="G2148">
            <v>2504280102</v>
          </cell>
          <cell r="H2148" t="str">
            <v>118동</v>
          </cell>
          <cell r="I2148">
            <v>250428</v>
          </cell>
          <cell r="J2148" t="str">
            <v>118동 17층 바닥</v>
          </cell>
          <cell r="K2148">
            <v>282</v>
          </cell>
          <cell r="L2148">
            <v>282</v>
          </cell>
          <cell r="M2148">
            <v>3018</v>
          </cell>
          <cell r="N2148" t="str">
            <v>대원</v>
          </cell>
          <cell r="O2148" t="str">
            <v>펌프카(1대)</v>
          </cell>
          <cell r="P2148">
            <v>753</v>
          </cell>
          <cell r="Q2148">
            <v>1153</v>
          </cell>
          <cell r="R2148">
            <v>180</v>
          </cell>
          <cell r="S2148">
            <v>50</v>
          </cell>
          <cell r="T2148">
            <v>110</v>
          </cell>
          <cell r="U2148">
            <v>192</v>
          </cell>
          <cell r="V2148"/>
          <cell r="W2148" t="str">
            <v>박순홍</v>
          </cell>
          <cell r="X2148" t="str">
            <v>(인)</v>
          </cell>
          <cell r="Y2148" t="str">
            <v>김광록</v>
          </cell>
          <cell r="Z2148" t="str">
            <v>(인)</v>
          </cell>
          <cell r="AA2148" t="str">
            <v>이홍걸</v>
          </cell>
          <cell r="AB2148" t="str">
            <v>(인)</v>
          </cell>
          <cell r="AC2148" t="str">
            <v>박상갑</v>
          </cell>
          <cell r="AD2148" t="str">
            <v>(인)</v>
          </cell>
          <cell r="AE2148">
            <v>189.3</v>
          </cell>
          <cell r="AF2148" t="str">
            <v>동절기</v>
          </cell>
          <cell r="AG2148">
            <v>2</v>
          </cell>
          <cell r="AH2148">
            <v>0</v>
          </cell>
        </row>
        <row r="2149">
          <cell r="G2149">
            <v>2504280103</v>
          </cell>
          <cell r="H2149" t="str">
            <v>118동</v>
          </cell>
          <cell r="I2149">
            <v>250428</v>
          </cell>
          <cell r="J2149" t="str">
            <v>118동 17층 바닥</v>
          </cell>
          <cell r="K2149">
            <v>282</v>
          </cell>
          <cell r="L2149">
            <v>282</v>
          </cell>
          <cell r="M2149">
            <v>3018</v>
          </cell>
          <cell r="N2149" t="str">
            <v>대원</v>
          </cell>
          <cell r="O2149" t="str">
            <v>펌프카(1대)</v>
          </cell>
          <cell r="P2149">
            <v>753</v>
          </cell>
          <cell r="Q2149">
            <v>1153</v>
          </cell>
          <cell r="R2149">
            <v>185</v>
          </cell>
          <cell r="S2149">
            <v>48</v>
          </cell>
          <cell r="T2149">
            <v>47</v>
          </cell>
          <cell r="U2149">
            <v>186</v>
          </cell>
          <cell r="V2149"/>
          <cell r="W2149" t="str">
            <v>박순홍</v>
          </cell>
          <cell r="X2149" t="str">
            <v>(인)</v>
          </cell>
          <cell r="Y2149" t="str">
            <v>김광록</v>
          </cell>
          <cell r="Z2149" t="str">
            <v>(인)</v>
          </cell>
          <cell r="AA2149" t="str">
            <v>이홍걸</v>
          </cell>
          <cell r="AB2149" t="str">
            <v>(인)</v>
          </cell>
          <cell r="AC2149" t="str">
            <v>박상갑</v>
          </cell>
          <cell r="AD2149" t="str">
            <v>(인)</v>
          </cell>
          <cell r="AE2149">
            <v>190.2</v>
          </cell>
          <cell r="AF2149" t="str">
            <v>동절기</v>
          </cell>
          <cell r="AG2149">
            <v>3</v>
          </cell>
          <cell r="AH2149">
            <v>0</v>
          </cell>
        </row>
        <row r="2150">
          <cell r="G2150">
            <v>2504280201</v>
          </cell>
          <cell r="H2150" t="str">
            <v>117동</v>
          </cell>
          <cell r="I2150">
            <v>250428</v>
          </cell>
          <cell r="J2150" t="str">
            <v>117동 18층 바닥</v>
          </cell>
          <cell r="K2150">
            <v>342</v>
          </cell>
          <cell r="L2150">
            <v>342</v>
          </cell>
          <cell r="M2150">
            <v>3018</v>
          </cell>
          <cell r="N2150" t="str">
            <v>영진</v>
          </cell>
          <cell r="O2150" t="str">
            <v>펌프카(1대)</v>
          </cell>
          <cell r="P2150">
            <v>903</v>
          </cell>
          <cell r="Q2150">
            <v>1404</v>
          </cell>
          <cell r="R2150">
            <v>185</v>
          </cell>
          <cell r="S2150">
            <v>48</v>
          </cell>
          <cell r="T2150">
            <v>45</v>
          </cell>
          <cell r="U2150">
            <v>193</v>
          </cell>
          <cell r="V2150"/>
          <cell r="W2150" t="str">
            <v>박순홍</v>
          </cell>
          <cell r="X2150" t="str">
            <v>(인)</v>
          </cell>
          <cell r="Y2150" t="str">
            <v>김광록</v>
          </cell>
          <cell r="Z2150" t="str">
            <v>(인)</v>
          </cell>
          <cell r="AA2150" t="str">
            <v>이홍걸</v>
          </cell>
          <cell r="AB2150" t="str">
            <v>(인)</v>
          </cell>
          <cell r="AC2150" t="str">
            <v>박상갑</v>
          </cell>
          <cell r="AD2150" t="str">
            <v>(인)</v>
          </cell>
          <cell r="AE2150">
            <v>180.7</v>
          </cell>
          <cell r="AF2150" t="str">
            <v>동절기</v>
          </cell>
          <cell r="AG2150">
            <v>1</v>
          </cell>
          <cell r="AH2150">
            <v>1</v>
          </cell>
          <cell r="AI2150">
            <v>2801</v>
          </cell>
          <cell r="AJ2150">
            <v>2764</v>
          </cell>
          <cell r="AK2150">
            <v>224200</v>
          </cell>
          <cell r="AL2150">
            <v>3851</v>
          </cell>
          <cell r="AM2150">
            <v>3746</v>
          </cell>
          <cell r="AN2150">
            <v>3687</v>
          </cell>
          <cell r="AO2150">
            <v>3818</v>
          </cell>
          <cell r="AP2150">
            <v>3762</v>
          </cell>
          <cell r="AQ2150">
            <v>3877</v>
          </cell>
          <cell r="AR2150">
            <v>3758</v>
          </cell>
          <cell r="AS2150">
            <v>3753</v>
          </cell>
          <cell r="AT2150">
            <v>300400</v>
          </cell>
        </row>
        <row r="2151">
          <cell r="G2151">
            <v>2504280202</v>
          </cell>
          <cell r="H2151" t="str">
            <v>117동</v>
          </cell>
          <cell r="I2151">
            <v>250428</v>
          </cell>
          <cell r="J2151" t="str">
            <v>117동 18층 바닥</v>
          </cell>
          <cell r="K2151">
            <v>342</v>
          </cell>
          <cell r="L2151">
            <v>342</v>
          </cell>
          <cell r="M2151">
            <v>3018</v>
          </cell>
          <cell r="N2151" t="str">
            <v>영진</v>
          </cell>
          <cell r="O2151" t="str">
            <v>펌프카(1대)</v>
          </cell>
          <cell r="P2151">
            <v>903</v>
          </cell>
          <cell r="Q2151">
            <v>1404</v>
          </cell>
          <cell r="R2151">
            <v>180</v>
          </cell>
          <cell r="S2151">
            <v>44</v>
          </cell>
          <cell r="T2151">
            <v>40</v>
          </cell>
          <cell r="U2151">
            <v>202</v>
          </cell>
          <cell r="V2151"/>
          <cell r="W2151" t="str">
            <v>박순홍</v>
          </cell>
          <cell r="X2151" t="str">
            <v>(인)</v>
          </cell>
          <cell r="Y2151" t="str">
            <v>김광록</v>
          </cell>
          <cell r="Z2151" t="str">
            <v>(인)</v>
          </cell>
          <cell r="AA2151" t="str">
            <v>이홍걸</v>
          </cell>
          <cell r="AB2151" t="str">
            <v>(인)</v>
          </cell>
          <cell r="AC2151" t="str">
            <v>박상갑</v>
          </cell>
          <cell r="AD2151" t="str">
            <v>(인)</v>
          </cell>
          <cell r="AE2151">
            <v>183</v>
          </cell>
          <cell r="AF2151" t="str">
            <v>동절기</v>
          </cell>
          <cell r="AG2151">
            <v>2</v>
          </cell>
          <cell r="AH2151">
            <v>0</v>
          </cell>
        </row>
        <row r="2152">
          <cell r="G2152">
            <v>2504280203</v>
          </cell>
          <cell r="H2152" t="str">
            <v>117동</v>
          </cell>
          <cell r="I2152">
            <v>250428</v>
          </cell>
          <cell r="J2152" t="str">
            <v>117동 18층 바닥</v>
          </cell>
          <cell r="K2152">
            <v>342</v>
          </cell>
          <cell r="L2152">
            <v>342</v>
          </cell>
          <cell r="M2152">
            <v>3018</v>
          </cell>
          <cell r="N2152" t="str">
            <v>영진</v>
          </cell>
          <cell r="O2152" t="str">
            <v>펌프카(1대)</v>
          </cell>
          <cell r="P2152">
            <v>903</v>
          </cell>
          <cell r="Q2152">
            <v>1404</v>
          </cell>
          <cell r="R2152">
            <v>175</v>
          </cell>
          <cell r="S2152">
            <v>48</v>
          </cell>
          <cell r="T2152">
            <v>42</v>
          </cell>
          <cell r="U2152">
            <v>190</v>
          </cell>
          <cell r="V2152"/>
          <cell r="W2152" t="str">
            <v>박순홍</v>
          </cell>
          <cell r="X2152" t="str">
            <v>(인)</v>
          </cell>
          <cell r="Y2152" t="str">
            <v>김광록</v>
          </cell>
          <cell r="Z2152" t="str">
            <v>(인)</v>
          </cell>
          <cell r="AA2152" t="str">
            <v>이홍걸</v>
          </cell>
          <cell r="AB2152" t="str">
            <v>(인)</v>
          </cell>
          <cell r="AC2152" t="str">
            <v>박상갑</v>
          </cell>
          <cell r="AD2152" t="str">
            <v>(인)</v>
          </cell>
          <cell r="AE2152">
            <v>183.4</v>
          </cell>
          <cell r="AF2152" t="str">
            <v>동절기</v>
          </cell>
          <cell r="AG2152">
            <v>3</v>
          </cell>
          <cell r="AH2152">
            <v>0</v>
          </cell>
        </row>
        <row r="2153">
          <cell r="G2153">
            <v>2504280301</v>
          </cell>
          <cell r="H2153" t="str">
            <v>주차장</v>
          </cell>
          <cell r="I2153">
            <v>250428</v>
          </cell>
          <cell r="J2153" t="str">
            <v>104동~105동 주차장 누름</v>
          </cell>
          <cell r="K2153">
            <v>86</v>
          </cell>
          <cell r="L2153">
            <v>86</v>
          </cell>
          <cell r="M2153">
            <v>1815</v>
          </cell>
          <cell r="N2153" t="str">
            <v>용호</v>
          </cell>
          <cell r="O2153" t="str">
            <v>펌프카(1대)</v>
          </cell>
          <cell r="P2153">
            <v>1455</v>
          </cell>
          <cell r="Q2153">
            <v>1536</v>
          </cell>
          <cell r="R2153">
            <v>170</v>
          </cell>
          <cell r="S2153">
            <v>41</v>
          </cell>
          <cell r="T2153">
            <v>50</v>
          </cell>
          <cell r="U2153">
            <v>216</v>
          </cell>
          <cell r="V2153"/>
          <cell r="W2153" t="str">
            <v>박순홍</v>
          </cell>
          <cell r="X2153" t="str">
            <v>(인)</v>
          </cell>
          <cell r="Y2153" t="str">
            <v>김광록</v>
          </cell>
          <cell r="Z2153" t="str">
            <v>(인)</v>
          </cell>
          <cell r="AA2153" t="str">
            <v>이홍걸</v>
          </cell>
          <cell r="AB2153" t="str">
            <v>(인)</v>
          </cell>
          <cell r="AC2153" t="str">
            <v>박상갑</v>
          </cell>
          <cell r="AD2153" t="str">
            <v>(인)</v>
          </cell>
          <cell r="AE2153">
            <v>177.2</v>
          </cell>
          <cell r="AF2153" t="str">
            <v>동절기</v>
          </cell>
          <cell r="AG2153">
            <v>1</v>
          </cell>
          <cell r="AH2153">
            <v>1</v>
          </cell>
          <cell r="AI2153">
            <v>1670</v>
          </cell>
          <cell r="AJ2153">
            <v>1716</v>
          </cell>
          <cell r="AK2153">
            <v>132200</v>
          </cell>
          <cell r="AL2153">
            <v>2361</v>
          </cell>
          <cell r="AM2153">
            <v>2370</v>
          </cell>
          <cell r="AN2153">
            <v>2348</v>
          </cell>
          <cell r="AO2153">
            <v>2348</v>
          </cell>
          <cell r="AP2153">
            <v>2277</v>
          </cell>
          <cell r="AQ2153">
            <v>2460</v>
          </cell>
          <cell r="AR2153">
            <v>2350</v>
          </cell>
          <cell r="AS2153">
            <v>2391</v>
          </cell>
          <cell r="AT2153">
            <v>188600</v>
          </cell>
        </row>
        <row r="2154">
          <cell r="G2154">
            <v>2504290101</v>
          </cell>
          <cell r="H2154" t="str">
            <v>119동</v>
          </cell>
          <cell r="I2154">
            <v>250429</v>
          </cell>
          <cell r="J2154" t="str">
            <v>119동 17층 바닥</v>
          </cell>
          <cell r="K2154">
            <v>278</v>
          </cell>
          <cell r="L2154">
            <v>278</v>
          </cell>
          <cell r="M2154">
            <v>3018</v>
          </cell>
          <cell r="N2154" t="str">
            <v>용호</v>
          </cell>
          <cell r="O2154" t="str">
            <v>펌프카(1대)</v>
          </cell>
          <cell r="P2154">
            <v>1230</v>
          </cell>
          <cell r="Q2154">
            <v>1637</v>
          </cell>
          <cell r="R2154">
            <v>190</v>
          </cell>
          <cell r="S2154">
            <v>51</v>
          </cell>
          <cell r="T2154">
            <v>21</v>
          </cell>
          <cell r="U2154">
            <v>204</v>
          </cell>
          <cell r="V2154"/>
          <cell r="W2154" t="str">
            <v>김광록</v>
          </cell>
          <cell r="X2154" t="str">
            <v>(인)</v>
          </cell>
          <cell r="Y2154" t="str">
            <v>김광록</v>
          </cell>
          <cell r="Z2154" t="str">
            <v>(인)</v>
          </cell>
          <cell r="AA2154" t="str">
            <v>이홍걸</v>
          </cell>
          <cell r="AB2154" t="str">
            <v>(인)</v>
          </cell>
          <cell r="AC2154" t="str">
            <v>박상갑</v>
          </cell>
          <cell r="AD2154" t="str">
            <v>(인)</v>
          </cell>
          <cell r="AE2154">
            <v>174.3</v>
          </cell>
          <cell r="AF2154" t="str">
            <v>동절기</v>
          </cell>
          <cell r="AG2154">
            <v>1</v>
          </cell>
          <cell r="AH2154">
            <v>1</v>
          </cell>
          <cell r="AI2154">
            <v>2876</v>
          </cell>
          <cell r="AJ2154">
            <v>2912</v>
          </cell>
          <cell r="AK2154">
            <v>231400</v>
          </cell>
          <cell r="AL2154">
            <v>3682</v>
          </cell>
          <cell r="AM2154">
            <v>3860</v>
          </cell>
          <cell r="AN2154">
            <v>3754</v>
          </cell>
          <cell r="AO2154">
            <v>3864</v>
          </cell>
          <cell r="AP2154">
            <v>3821</v>
          </cell>
          <cell r="AQ2154">
            <v>3786</v>
          </cell>
          <cell r="AR2154">
            <v>3758</v>
          </cell>
          <cell r="AS2154">
            <v>3819</v>
          </cell>
          <cell r="AT2154">
            <v>292200</v>
          </cell>
        </row>
        <row r="2155">
          <cell r="G2155">
            <v>2504290102</v>
          </cell>
          <cell r="H2155" t="str">
            <v>119동</v>
          </cell>
          <cell r="I2155">
            <v>250429</v>
          </cell>
          <cell r="J2155" t="str">
            <v>119동 17층 바닥</v>
          </cell>
          <cell r="K2155">
            <v>278</v>
          </cell>
          <cell r="L2155">
            <v>278</v>
          </cell>
          <cell r="M2155">
            <v>3018</v>
          </cell>
          <cell r="N2155" t="str">
            <v>용호</v>
          </cell>
          <cell r="O2155" t="str">
            <v>펌프카(1대)</v>
          </cell>
          <cell r="P2155">
            <v>1230</v>
          </cell>
          <cell r="Q2155">
            <v>1637</v>
          </cell>
          <cell r="R2155">
            <v>195</v>
          </cell>
          <cell r="S2155">
            <v>46</v>
          </cell>
          <cell r="T2155">
            <v>14</v>
          </cell>
          <cell r="U2155">
            <v>218</v>
          </cell>
          <cell r="V2155"/>
          <cell r="W2155" t="str">
            <v>김광록</v>
          </cell>
          <cell r="X2155" t="str">
            <v>(인)</v>
          </cell>
          <cell r="Y2155" t="str">
            <v>김광록</v>
          </cell>
          <cell r="Z2155" t="str">
            <v>(인)</v>
          </cell>
          <cell r="AA2155" t="str">
            <v>이홍걸</v>
          </cell>
          <cell r="AB2155" t="str">
            <v>(인)</v>
          </cell>
          <cell r="AC2155" t="str">
            <v>박상갑</v>
          </cell>
          <cell r="AD2155" t="str">
            <v>(인)</v>
          </cell>
          <cell r="AE2155">
            <v>178.3</v>
          </cell>
          <cell r="AF2155" t="str">
            <v>동절기</v>
          </cell>
          <cell r="AG2155">
            <v>2</v>
          </cell>
          <cell r="AH2155">
            <v>0</v>
          </cell>
        </row>
        <row r="2156">
          <cell r="G2156">
            <v>2504290103</v>
          </cell>
          <cell r="H2156" t="str">
            <v>119동</v>
          </cell>
          <cell r="I2156">
            <v>250429</v>
          </cell>
          <cell r="J2156" t="str">
            <v>119동 17층 바닥</v>
          </cell>
          <cell r="K2156">
            <v>278</v>
          </cell>
          <cell r="L2156">
            <v>278</v>
          </cell>
          <cell r="M2156">
            <v>3018</v>
          </cell>
          <cell r="N2156" t="str">
            <v>용호</v>
          </cell>
          <cell r="O2156" t="str">
            <v>펌프카(1대)</v>
          </cell>
          <cell r="P2156">
            <v>1230</v>
          </cell>
          <cell r="Q2156">
            <v>1637</v>
          </cell>
          <cell r="R2156">
            <v>190</v>
          </cell>
          <cell r="S2156">
            <v>49</v>
          </cell>
          <cell r="T2156">
            <v>25</v>
          </cell>
          <cell r="U2156">
            <v>212</v>
          </cell>
          <cell r="V2156"/>
          <cell r="W2156" t="str">
            <v>김광록</v>
          </cell>
          <cell r="X2156" t="str">
            <v>(인)</v>
          </cell>
          <cell r="Y2156" t="str">
            <v>김광록</v>
          </cell>
          <cell r="Z2156" t="str">
            <v>(인)</v>
          </cell>
          <cell r="AA2156" t="str">
            <v>이홍걸</v>
          </cell>
          <cell r="AB2156" t="str">
            <v>(인)</v>
          </cell>
          <cell r="AC2156" t="str">
            <v>박상갑</v>
          </cell>
          <cell r="AD2156" t="str">
            <v>(인)</v>
          </cell>
          <cell r="AE2156">
            <v>185.9</v>
          </cell>
          <cell r="AF2156" t="str">
            <v>동절기</v>
          </cell>
          <cell r="AG2156">
            <v>3</v>
          </cell>
          <cell r="AH2156">
            <v>0</v>
          </cell>
        </row>
        <row r="2157">
          <cell r="G2157">
            <v>2504290201</v>
          </cell>
          <cell r="H2157" t="str">
            <v>112동</v>
          </cell>
          <cell r="I2157">
            <v>250429</v>
          </cell>
          <cell r="J2157" t="str">
            <v>112동 17층 바닥</v>
          </cell>
          <cell r="K2157">
            <v>210</v>
          </cell>
          <cell r="L2157">
            <v>210</v>
          </cell>
          <cell r="M2157">
            <v>3018</v>
          </cell>
          <cell r="N2157" t="str">
            <v>대원</v>
          </cell>
          <cell r="O2157" t="str">
            <v>펌프카(1대)</v>
          </cell>
          <cell r="P2157">
            <v>830</v>
          </cell>
          <cell r="Q2157">
            <v>1131</v>
          </cell>
          <cell r="R2157">
            <v>190</v>
          </cell>
          <cell r="S2157">
            <v>47</v>
          </cell>
          <cell r="T2157">
            <v>101</v>
          </cell>
          <cell r="U2157">
            <v>176</v>
          </cell>
          <cell r="V2157"/>
          <cell r="W2157" t="str">
            <v>김광록</v>
          </cell>
          <cell r="X2157" t="str">
            <v>(인)</v>
          </cell>
          <cell r="Y2157" t="str">
            <v>김광록</v>
          </cell>
          <cell r="Z2157" t="str">
            <v>(인)</v>
          </cell>
          <cell r="AA2157" t="str">
            <v>이홍걸</v>
          </cell>
          <cell r="AB2157" t="str">
            <v>(인)</v>
          </cell>
          <cell r="AC2157" t="str">
            <v>박상갑</v>
          </cell>
          <cell r="AD2157" t="str">
            <v>(인)</v>
          </cell>
          <cell r="AE2157">
            <v>184.5</v>
          </cell>
          <cell r="AF2157" t="str">
            <v>동절기</v>
          </cell>
          <cell r="AG2157">
            <v>1</v>
          </cell>
          <cell r="AH2157">
            <v>1</v>
          </cell>
          <cell r="AI2157">
            <v>2876</v>
          </cell>
          <cell r="AJ2157">
            <v>2908</v>
          </cell>
          <cell r="AK2157">
            <v>228600</v>
          </cell>
          <cell r="AL2157">
            <v>3809</v>
          </cell>
          <cell r="AM2157">
            <v>3860</v>
          </cell>
          <cell r="AN2157">
            <v>3794</v>
          </cell>
          <cell r="AO2157">
            <v>3860</v>
          </cell>
          <cell r="AP2157">
            <v>3904</v>
          </cell>
          <cell r="AQ2157">
            <v>3826</v>
          </cell>
          <cell r="AR2157">
            <v>3910</v>
          </cell>
          <cell r="AS2157">
            <v>3842</v>
          </cell>
          <cell r="AT2157">
            <v>299400</v>
          </cell>
        </row>
        <row r="2158">
          <cell r="G2158">
            <v>2504290202</v>
          </cell>
          <cell r="H2158" t="str">
            <v>112동</v>
          </cell>
          <cell r="I2158">
            <v>250429</v>
          </cell>
          <cell r="J2158" t="str">
            <v>112동 17층 바닥</v>
          </cell>
          <cell r="K2158">
            <v>210</v>
          </cell>
          <cell r="L2158">
            <v>210</v>
          </cell>
          <cell r="M2158">
            <v>3018</v>
          </cell>
          <cell r="N2158" t="str">
            <v>대원</v>
          </cell>
          <cell r="O2158" t="str">
            <v>펌프카(1대)</v>
          </cell>
          <cell r="P2158">
            <v>830</v>
          </cell>
          <cell r="Q2158">
            <v>1131</v>
          </cell>
          <cell r="R2158">
            <v>180</v>
          </cell>
          <cell r="S2158">
            <v>44</v>
          </cell>
          <cell r="T2158">
            <v>85</v>
          </cell>
          <cell r="U2158">
            <v>181</v>
          </cell>
          <cell r="V2158"/>
          <cell r="W2158" t="str">
            <v>김광록</v>
          </cell>
          <cell r="X2158" t="str">
            <v>(인)</v>
          </cell>
          <cell r="Y2158" t="str">
            <v>김광록</v>
          </cell>
          <cell r="Z2158" t="str">
            <v>(인)</v>
          </cell>
          <cell r="AA2158" t="str">
            <v>이홍걸</v>
          </cell>
          <cell r="AB2158" t="str">
            <v>(인)</v>
          </cell>
          <cell r="AC2158" t="str">
            <v>박상갑</v>
          </cell>
          <cell r="AD2158" t="str">
            <v>(인)</v>
          </cell>
          <cell r="AE2158">
            <v>185.3</v>
          </cell>
          <cell r="AF2158" t="str">
            <v>동절기</v>
          </cell>
          <cell r="AG2158">
            <v>2</v>
          </cell>
          <cell r="AH2158">
            <v>0</v>
          </cell>
        </row>
        <row r="2159">
          <cell r="G2159">
            <v>2504300101</v>
          </cell>
          <cell r="H2159" t="str">
            <v>116동</v>
          </cell>
          <cell r="I2159">
            <v>250430</v>
          </cell>
          <cell r="J2159" t="str">
            <v>116동 19층 바닥</v>
          </cell>
          <cell r="K2159">
            <v>288</v>
          </cell>
          <cell r="L2159">
            <v>288</v>
          </cell>
          <cell r="M2159">
            <v>3018</v>
          </cell>
          <cell r="N2159" t="str">
            <v>영진</v>
          </cell>
          <cell r="O2159" t="str">
            <v>펌프카(1대)</v>
          </cell>
          <cell r="P2159">
            <v>835</v>
          </cell>
          <cell r="Q2159">
            <v>1235</v>
          </cell>
          <cell r="R2159">
            <v>175</v>
          </cell>
          <cell r="S2159">
            <v>39</v>
          </cell>
          <cell r="T2159">
            <v>37</v>
          </cell>
          <cell r="U2159">
            <v>184</v>
          </cell>
          <cell r="V2159"/>
          <cell r="W2159" t="str">
            <v>박순홍</v>
          </cell>
          <cell r="X2159" t="str">
            <v>(인)</v>
          </cell>
          <cell r="Y2159" t="str">
            <v>박순홍</v>
          </cell>
          <cell r="Z2159" t="str">
            <v>(인)</v>
          </cell>
          <cell r="AA2159" t="str">
            <v>이홍걸</v>
          </cell>
          <cell r="AB2159" t="str">
            <v>(인)</v>
          </cell>
          <cell r="AC2159" t="str">
            <v>박상갑</v>
          </cell>
          <cell r="AD2159" t="str">
            <v>(인)</v>
          </cell>
          <cell r="AE2159">
            <v>184.7</v>
          </cell>
          <cell r="AF2159" t="str">
            <v>동절기</v>
          </cell>
          <cell r="AG2159">
            <v>1</v>
          </cell>
          <cell r="AH2159">
            <v>1</v>
          </cell>
          <cell r="AI2159">
            <v>2872</v>
          </cell>
          <cell r="AJ2159">
            <v>2930</v>
          </cell>
          <cell r="AK2159">
            <v>232600</v>
          </cell>
          <cell r="AL2159">
            <v>4056</v>
          </cell>
          <cell r="AM2159">
            <v>3939</v>
          </cell>
          <cell r="AN2159">
            <v>3929</v>
          </cell>
          <cell r="AO2159">
            <v>4016</v>
          </cell>
          <cell r="AP2159">
            <v>3927</v>
          </cell>
          <cell r="AQ2159">
            <v>4004</v>
          </cell>
          <cell r="AR2159">
            <v>3937</v>
          </cell>
          <cell r="AS2159">
            <v>3862</v>
          </cell>
          <cell r="AT2159">
            <v>317800</v>
          </cell>
        </row>
        <row r="2160">
          <cell r="G2160">
            <v>2504300102</v>
          </cell>
          <cell r="H2160" t="str">
            <v>120동</v>
          </cell>
          <cell r="I2160">
            <v>250430</v>
          </cell>
          <cell r="J2160" t="str">
            <v>116동 19층 바닥</v>
          </cell>
          <cell r="K2160">
            <v>288</v>
          </cell>
          <cell r="L2160">
            <v>288</v>
          </cell>
          <cell r="M2160">
            <v>3018</v>
          </cell>
          <cell r="N2160" t="str">
            <v>영진</v>
          </cell>
          <cell r="O2160" t="str">
            <v>펌프카(1대)</v>
          </cell>
          <cell r="P2160">
            <v>835</v>
          </cell>
          <cell r="Q2160">
            <v>1235</v>
          </cell>
          <cell r="R2160">
            <v>185</v>
          </cell>
          <cell r="S2160">
            <v>45</v>
          </cell>
          <cell r="T2160">
            <v>35</v>
          </cell>
          <cell r="U2160">
            <v>172</v>
          </cell>
          <cell r="V2160"/>
          <cell r="W2160" t="str">
            <v>박순홍</v>
          </cell>
          <cell r="X2160" t="str">
            <v>(인)</v>
          </cell>
          <cell r="Y2160" t="str">
            <v>박순홍</v>
          </cell>
          <cell r="Z2160" t="str">
            <v>(인)</v>
          </cell>
          <cell r="AA2160" t="str">
            <v>이홍걸</v>
          </cell>
          <cell r="AB2160" t="str">
            <v>(인)</v>
          </cell>
          <cell r="AC2160" t="str">
            <v>박상갑</v>
          </cell>
          <cell r="AD2160" t="str">
            <v>(인)</v>
          </cell>
          <cell r="AE2160">
            <v>184.7</v>
          </cell>
          <cell r="AF2160" t="str">
            <v>동절기</v>
          </cell>
          <cell r="AG2160">
            <v>2</v>
          </cell>
          <cell r="AH2160">
            <v>0</v>
          </cell>
        </row>
        <row r="2161">
          <cell r="G2161">
            <v>2504300103</v>
          </cell>
          <cell r="H2161" t="str">
            <v>120동</v>
          </cell>
          <cell r="I2161">
            <v>250430</v>
          </cell>
          <cell r="J2161" t="str">
            <v>116동 19층 바닥</v>
          </cell>
          <cell r="K2161">
            <v>288</v>
          </cell>
          <cell r="L2161">
            <v>288</v>
          </cell>
          <cell r="M2161">
            <v>3018</v>
          </cell>
          <cell r="N2161" t="str">
            <v>영진</v>
          </cell>
          <cell r="O2161" t="str">
            <v>펌프카(1대)</v>
          </cell>
          <cell r="P2161">
            <v>835</v>
          </cell>
          <cell r="Q2161">
            <v>1235</v>
          </cell>
          <cell r="R2161">
            <v>195</v>
          </cell>
          <cell r="S2161">
            <v>48</v>
          </cell>
          <cell r="T2161">
            <v>26</v>
          </cell>
          <cell r="U2161">
            <v>214</v>
          </cell>
          <cell r="V2161"/>
          <cell r="W2161" t="str">
            <v>박순홍</v>
          </cell>
          <cell r="X2161" t="str">
            <v>(인)</v>
          </cell>
          <cell r="Y2161" t="str">
            <v>박순홍</v>
          </cell>
          <cell r="Z2161" t="str">
            <v>(인)</v>
          </cell>
          <cell r="AA2161" t="str">
            <v>이홍걸</v>
          </cell>
          <cell r="AB2161" t="str">
            <v>(인)</v>
          </cell>
          <cell r="AC2161" t="str">
            <v>박상갑</v>
          </cell>
          <cell r="AD2161" t="str">
            <v>(인)</v>
          </cell>
          <cell r="AE2161">
            <v>182.1</v>
          </cell>
          <cell r="AF2161" t="str">
            <v>동절기</v>
          </cell>
          <cell r="AG2161">
            <v>3</v>
          </cell>
          <cell r="AH2161">
            <v>0</v>
          </cell>
        </row>
        <row r="2162">
          <cell r="G2162">
            <v>2504300201</v>
          </cell>
          <cell r="H2162" t="str">
            <v>110동</v>
          </cell>
          <cell r="I2162">
            <v>250430</v>
          </cell>
          <cell r="J2162" t="str">
            <v>110동 옥탑 옥상 바닥</v>
          </cell>
          <cell r="K2162">
            <v>60</v>
          </cell>
          <cell r="L2162">
            <v>60</v>
          </cell>
          <cell r="M2162">
            <v>3018</v>
          </cell>
          <cell r="N2162" t="str">
            <v>용호</v>
          </cell>
          <cell r="O2162" t="str">
            <v>-</v>
          </cell>
          <cell r="P2162">
            <v>900</v>
          </cell>
          <cell r="Q2162">
            <v>1358</v>
          </cell>
          <cell r="R2162">
            <v>200</v>
          </cell>
          <cell r="S2162">
            <v>50</v>
          </cell>
          <cell r="T2162">
            <v>35</v>
          </cell>
          <cell r="U2162">
            <v>197</v>
          </cell>
          <cell r="V2162"/>
          <cell r="W2162" t="str">
            <v>박순홍</v>
          </cell>
          <cell r="X2162" t="str">
            <v>(인)</v>
          </cell>
          <cell r="Y2162" t="str">
            <v>박순홍</v>
          </cell>
          <cell r="Z2162" t="str">
            <v>(인)</v>
          </cell>
          <cell r="AA2162" t="str">
            <v>이홍걸</v>
          </cell>
          <cell r="AB2162" t="str">
            <v>(인)</v>
          </cell>
          <cell r="AC2162" t="str">
            <v>박상갑</v>
          </cell>
          <cell r="AD2162" t="str">
            <v>(인)</v>
          </cell>
          <cell r="AE2162">
            <v>186</v>
          </cell>
          <cell r="AF2162" t="str">
            <v>동절기</v>
          </cell>
          <cell r="AG2162">
            <v>1</v>
          </cell>
          <cell r="AH2162">
            <v>1</v>
          </cell>
          <cell r="AI2162">
            <v>2794</v>
          </cell>
          <cell r="AJ2162">
            <v>2830</v>
          </cell>
          <cell r="AK2162">
            <v>222200</v>
          </cell>
          <cell r="AL2162">
            <v>3975</v>
          </cell>
          <cell r="AM2162">
            <v>4043</v>
          </cell>
          <cell r="AN2162">
            <v>4127</v>
          </cell>
          <cell r="AO2162">
            <v>4032</v>
          </cell>
          <cell r="AP2162">
            <v>4062</v>
          </cell>
          <cell r="AQ2162">
            <v>4072</v>
          </cell>
          <cell r="AR2162">
            <v>3968</v>
          </cell>
          <cell r="AS2162">
            <v>4130</v>
          </cell>
          <cell r="AT2162">
            <v>322000</v>
          </cell>
        </row>
        <row r="2163">
          <cell r="G2163">
            <v>2505020101</v>
          </cell>
          <cell r="H2163" t="str">
            <v>120동</v>
          </cell>
          <cell r="I2163">
            <v>250502</v>
          </cell>
          <cell r="J2163" t="str">
            <v>120동 16층 바닥</v>
          </cell>
          <cell r="K2163">
            <v>287</v>
          </cell>
          <cell r="L2163">
            <v>287</v>
          </cell>
          <cell r="M2163">
            <v>3018</v>
          </cell>
          <cell r="N2163" t="str">
            <v>대공</v>
          </cell>
          <cell r="O2163" t="str">
            <v>펌프카(1대)</v>
          </cell>
          <cell r="P2163">
            <v>830</v>
          </cell>
          <cell r="Q2163">
            <v>1318</v>
          </cell>
          <cell r="R2163">
            <v>185</v>
          </cell>
          <cell r="S2163">
            <v>45</v>
          </cell>
          <cell r="T2163">
            <v>17</v>
          </cell>
          <cell r="U2163">
            <v>180</v>
          </cell>
          <cell r="V2163"/>
          <cell r="W2163" t="str">
            <v>박순홍</v>
          </cell>
          <cell r="X2163" t="str">
            <v>(인)</v>
          </cell>
          <cell r="Y2163" t="str">
            <v>박순홍</v>
          </cell>
          <cell r="Z2163" t="str">
            <v>(인)</v>
          </cell>
          <cell r="AA2163" t="str">
            <v>이홍걸</v>
          </cell>
          <cell r="AB2163" t="str">
            <v>(인)</v>
          </cell>
          <cell r="AC2163" t="str">
            <v>박상갑</v>
          </cell>
          <cell r="AD2163" t="str">
            <v>(인)</v>
          </cell>
          <cell r="AE2163">
            <v>171.4</v>
          </cell>
          <cell r="AF2163" t="str">
            <v>표준</v>
          </cell>
          <cell r="AG2163">
            <v>1</v>
          </cell>
          <cell r="AH2163">
            <v>1</v>
          </cell>
          <cell r="AI2163">
            <v>2906</v>
          </cell>
          <cell r="AJ2163">
            <v>2874</v>
          </cell>
          <cell r="AK2163">
            <v>223800</v>
          </cell>
          <cell r="AL2163">
            <v>3947</v>
          </cell>
          <cell r="AM2163">
            <v>3939</v>
          </cell>
          <cell r="AN2163">
            <v>4012</v>
          </cell>
          <cell r="AO2163">
            <v>3967</v>
          </cell>
          <cell r="AP2163">
            <v>3978</v>
          </cell>
          <cell r="AQ2163">
            <v>4017</v>
          </cell>
          <cell r="AR2163">
            <v>4023</v>
          </cell>
          <cell r="AS2163">
            <v>3964</v>
          </cell>
          <cell r="AT2163">
            <v>311000</v>
          </cell>
        </row>
        <row r="2164">
          <cell r="G2164">
            <v>2505020102</v>
          </cell>
          <cell r="H2164" t="str">
            <v>120동</v>
          </cell>
          <cell r="I2164">
            <v>250502</v>
          </cell>
          <cell r="J2164" t="str">
            <v>120동 16층 바닥</v>
          </cell>
          <cell r="K2164">
            <v>287</v>
          </cell>
          <cell r="L2164">
            <v>287</v>
          </cell>
          <cell r="M2164">
            <v>3018</v>
          </cell>
          <cell r="N2164" t="str">
            <v>대공</v>
          </cell>
          <cell r="O2164" t="str">
            <v>펌프카(1대)</v>
          </cell>
          <cell r="P2164">
            <v>830</v>
          </cell>
          <cell r="Q2164">
            <v>1318</v>
          </cell>
          <cell r="R2164">
            <v>180</v>
          </cell>
          <cell r="S2164">
            <v>50</v>
          </cell>
          <cell r="T2164">
            <v>10</v>
          </cell>
          <cell r="U2164">
            <v>181</v>
          </cell>
          <cell r="V2164"/>
          <cell r="W2164" t="str">
            <v>박순홍</v>
          </cell>
          <cell r="X2164" t="str">
            <v>(인)</v>
          </cell>
          <cell r="Y2164" t="str">
            <v>박순홍</v>
          </cell>
          <cell r="Z2164" t="str">
            <v>(인)</v>
          </cell>
          <cell r="AA2164" t="str">
            <v>이홍걸</v>
          </cell>
          <cell r="AB2164" t="str">
            <v>(인)</v>
          </cell>
          <cell r="AC2164" t="str">
            <v>박상갑</v>
          </cell>
          <cell r="AD2164" t="str">
            <v>(인)</v>
          </cell>
          <cell r="AE2164">
            <v>175.4</v>
          </cell>
          <cell r="AF2164" t="str">
            <v>표준</v>
          </cell>
          <cell r="AG2164">
            <v>2</v>
          </cell>
          <cell r="AH2164">
            <v>0</v>
          </cell>
        </row>
        <row r="2165">
          <cell r="G2165">
            <v>2505020103</v>
          </cell>
          <cell r="H2165" t="str">
            <v>120동</v>
          </cell>
          <cell r="I2165">
            <v>250502</v>
          </cell>
          <cell r="J2165" t="str">
            <v>120동 16층 바닥</v>
          </cell>
          <cell r="K2165">
            <v>287</v>
          </cell>
          <cell r="L2165">
            <v>287</v>
          </cell>
          <cell r="M2165">
            <v>3018</v>
          </cell>
          <cell r="N2165" t="str">
            <v>대공</v>
          </cell>
          <cell r="O2165" t="str">
            <v>펌프카(1대)</v>
          </cell>
          <cell r="P2165">
            <v>830</v>
          </cell>
          <cell r="Q2165">
            <v>1318</v>
          </cell>
          <cell r="R2165">
            <v>190</v>
          </cell>
          <cell r="S2165">
            <v>52</v>
          </cell>
          <cell r="T2165">
            <v>23</v>
          </cell>
          <cell r="U2165">
            <v>172</v>
          </cell>
          <cell r="V2165"/>
          <cell r="W2165" t="str">
            <v>박순홍</v>
          </cell>
          <cell r="X2165" t="str">
            <v>(인)</v>
          </cell>
          <cell r="Y2165" t="str">
            <v>박순홍</v>
          </cell>
          <cell r="Z2165" t="str">
            <v>(인)</v>
          </cell>
          <cell r="AA2165" t="str">
            <v>이홍걸</v>
          </cell>
          <cell r="AB2165" t="str">
            <v>(인)</v>
          </cell>
          <cell r="AC2165" t="str">
            <v>박상갑</v>
          </cell>
          <cell r="AD2165" t="str">
            <v>(인)</v>
          </cell>
          <cell r="AE2165">
            <v>177.6</v>
          </cell>
          <cell r="AF2165" t="str">
            <v>표준</v>
          </cell>
          <cell r="AG2165">
            <v>3</v>
          </cell>
          <cell r="AH2165">
            <v>0</v>
          </cell>
        </row>
        <row r="2166">
          <cell r="G2166">
            <v>2505070101</v>
          </cell>
          <cell r="H2166" t="str">
            <v>118동</v>
          </cell>
          <cell r="I2166">
            <v>250507</v>
          </cell>
          <cell r="J2166" t="str">
            <v>118동 18층 바닥</v>
          </cell>
          <cell r="K2166">
            <v>282</v>
          </cell>
          <cell r="L2166">
            <v>282</v>
          </cell>
          <cell r="M2166">
            <v>3018</v>
          </cell>
          <cell r="N2166" t="str">
            <v>용호</v>
          </cell>
          <cell r="O2166" t="str">
            <v>펌프카(1대)</v>
          </cell>
          <cell r="P2166">
            <v>750</v>
          </cell>
          <cell r="Q2166">
            <v>1133</v>
          </cell>
          <cell r="R2166">
            <v>195</v>
          </cell>
          <cell r="S2166">
            <v>44</v>
          </cell>
          <cell r="T2166">
            <v>50</v>
          </cell>
          <cell r="U2166">
            <v>163</v>
          </cell>
          <cell r="V2166"/>
          <cell r="W2166" t="str">
            <v>김광록</v>
          </cell>
          <cell r="X2166" t="str">
            <v>(인)</v>
          </cell>
          <cell r="Y2166" t="str">
            <v>박순홍</v>
          </cell>
          <cell r="Z2166" t="str">
            <v>(인)</v>
          </cell>
          <cell r="AA2166" t="str">
            <v>박상갑</v>
          </cell>
          <cell r="AB2166" t="str">
            <v>(인)</v>
          </cell>
          <cell r="AC2166" t="str">
            <v>이홍걸</v>
          </cell>
          <cell r="AD2166" t="str">
            <v>(인)</v>
          </cell>
          <cell r="AE2166">
            <v>183.2</v>
          </cell>
          <cell r="AF2166" t="str">
            <v>표준</v>
          </cell>
          <cell r="AG2166">
            <v>1</v>
          </cell>
          <cell r="AH2166">
            <v>1</v>
          </cell>
          <cell r="AI2166">
            <v>2938</v>
          </cell>
          <cell r="AJ2166">
            <v>2807</v>
          </cell>
          <cell r="AK2166">
            <v>225600</v>
          </cell>
          <cell r="AL2166">
            <v>4012</v>
          </cell>
          <cell r="AM2166">
            <v>3972</v>
          </cell>
          <cell r="AN2166">
            <v>4036</v>
          </cell>
          <cell r="AO2166">
            <v>4011</v>
          </cell>
          <cell r="AP2166">
            <v>3939</v>
          </cell>
          <cell r="AQ2166">
            <v>4031</v>
          </cell>
          <cell r="AR2166">
            <v>3872</v>
          </cell>
          <cell r="AS2166">
            <v>3930</v>
          </cell>
          <cell r="AT2166">
            <v>311800</v>
          </cell>
        </row>
        <row r="2167">
          <cell r="G2167">
            <v>2505070102</v>
          </cell>
          <cell r="H2167" t="str">
            <v>118동</v>
          </cell>
          <cell r="I2167">
            <v>250507</v>
          </cell>
          <cell r="J2167" t="str">
            <v>118동 18층 바닥</v>
          </cell>
          <cell r="K2167">
            <v>282</v>
          </cell>
          <cell r="L2167">
            <v>282</v>
          </cell>
          <cell r="M2167">
            <v>3018</v>
          </cell>
          <cell r="N2167" t="str">
            <v>용호</v>
          </cell>
          <cell r="O2167" t="str">
            <v>펌프카(1대)</v>
          </cell>
          <cell r="P2167">
            <v>750</v>
          </cell>
          <cell r="Q2167">
            <v>1133</v>
          </cell>
          <cell r="R2167">
            <v>185</v>
          </cell>
          <cell r="S2167">
            <v>39</v>
          </cell>
          <cell r="T2167">
            <v>65</v>
          </cell>
          <cell r="U2167">
            <v>154</v>
          </cell>
          <cell r="V2167"/>
          <cell r="W2167" t="str">
            <v>김광록</v>
          </cell>
          <cell r="X2167" t="str">
            <v>(인)</v>
          </cell>
          <cell r="Y2167" t="str">
            <v>박순홍</v>
          </cell>
          <cell r="Z2167" t="str">
            <v>(인)</v>
          </cell>
          <cell r="AA2167" t="str">
            <v>박상갑</v>
          </cell>
          <cell r="AB2167" t="str">
            <v>(인)</v>
          </cell>
          <cell r="AC2167" t="str">
            <v>이홍걸</v>
          </cell>
          <cell r="AD2167" t="str">
            <v>(인)</v>
          </cell>
          <cell r="AE2167">
            <v>181.8</v>
          </cell>
          <cell r="AF2167" t="str">
            <v>표준</v>
          </cell>
          <cell r="AG2167">
            <v>2</v>
          </cell>
          <cell r="AH2167">
            <v>0</v>
          </cell>
        </row>
        <row r="2168">
          <cell r="G2168">
            <v>2505070103</v>
          </cell>
          <cell r="H2168" t="str">
            <v>118동</v>
          </cell>
          <cell r="I2168">
            <v>250507</v>
          </cell>
          <cell r="J2168" t="str">
            <v>118동 18층 바닥</v>
          </cell>
          <cell r="K2168">
            <v>282</v>
          </cell>
          <cell r="L2168">
            <v>282</v>
          </cell>
          <cell r="M2168">
            <v>3018</v>
          </cell>
          <cell r="N2168" t="str">
            <v>용호</v>
          </cell>
          <cell r="O2168" t="str">
            <v>펌프카(1대)</v>
          </cell>
          <cell r="P2168">
            <v>750</v>
          </cell>
          <cell r="Q2168">
            <v>1133</v>
          </cell>
          <cell r="R2168">
            <v>190</v>
          </cell>
          <cell r="S2168">
            <v>42</v>
          </cell>
          <cell r="T2168">
            <v>46</v>
          </cell>
          <cell r="U2168">
            <v>148</v>
          </cell>
          <cell r="V2168"/>
          <cell r="W2168" t="str">
            <v>김광록</v>
          </cell>
          <cell r="X2168" t="str">
            <v>(인)</v>
          </cell>
          <cell r="Y2168" t="str">
            <v>박순홍</v>
          </cell>
          <cell r="Z2168" t="str">
            <v>(인)</v>
          </cell>
          <cell r="AA2168" t="str">
            <v>박상갑</v>
          </cell>
          <cell r="AB2168" t="str">
            <v>(인)</v>
          </cell>
          <cell r="AC2168" t="str">
            <v>이홍걸</v>
          </cell>
          <cell r="AD2168" t="str">
            <v>(인)</v>
          </cell>
          <cell r="AE2168">
            <v>182.9</v>
          </cell>
          <cell r="AF2168" t="str">
            <v>표준</v>
          </cell>
          <cell r="AG2168">
            <v>3</v>
          </cell>
          <cell r="AH2168">
            <v>0</v>
          </cell>
        </row>
        <row r="2169">
          <cell r="G2169">
            <v>2505070201</v>
          </cell>
          <cell r="H2169" t="str">
            <v>112동</v>
          </cell>
          <cell r="I2169">
            <v>250507</v>
          </cell>
          <cell r="J2169" t="str">
            <v>112동 18층 바닥</v>
          </cell>
          <cell r="K2169">
            <v>210</v>
          </cell>
          <cell r="L2169">
            <v>210</v>
          </cell>
          <cell r="M2169">
            <v>3018</v>
          </cell>
          <cell r="N2169" t="str">
            <v>용호</v>
          </cell>
          <cell r="O2169" t="str">
            <v>펌프카(1대)</v>
          </cell>
          <cell r="P2169">
            <v>1236</v>
          </cell>
          <cell r="Q2169">
            <v>1524</v>
          </cell>
          <cell r="R2169">
            <v>200</v>
          </cell>
          <cell r="S2169">
            <v>40</v>
          </cell>
          <cell r="T2169">
            <v>14</v>
          </cell>
          <cell r="U2169">
            <v>201</v>
          </cell>
          <cell r="V2169"/>
          <cell r="W2169" t="str">
            <v>박순홍</v>
          </cell>
          <cell r="X2169" t="str">
            <v>(인)</v>
          </cell>
          <cell r="Y2169" t="str">
            <v>박순홍</v>
          </cell>
          <cell r="Z2169" t="str">
            <v>(인)</v>
          </cell>
          <cell r="AA2169" t="str">
            <v>박상갑</v>
          </cell>
          <cell r="AB2169" t="str">
            <v>(인)</v>
          </cell>
          <cell r="AC2169" t="str">
            <v>이홍걸</v>
          </cell>
          <cell r="AD2169" t="str">
            <v>(인)</v>
          </cell>
          <cell r="AE2169">
            <v>177.4</v>
          </cell>
          <cell r="AF2169" t="str">
            <v>표준</v>
          </cell>
          <cell r="AG2169">
            <v>1</v>
          </cell>
          <cell r="AH2169">
            <v>1</v>
          </cell>
          <cell r="AI2169">
            <v>2849</v>
          </cell>
          <cell r="AJ2169">
            <v>2872</v>
          </cell>
          <cell r="AK2169">
            <v>230400</v>
          </cell>
          <cell r="AL2169">
            <v>4013</v>
          </cell>
          <cell r="AM2169">
            <v>3972</v>
          </cell>
          <cell r="AN2169">
            <v>3864</v>
          </cell>
          <cell r="AO2169">
            <v>3940</v>
          </cell>
          <cell r="AP2169">
            <v>3878</v>
          </cell>
          <cell r="AQ2169">
            <v>3904</v>
          </cell>
          <cell r="AR2169">
            <v>3872</v>
          </cell>
          <cell r="AS2169">
            <v>3864</v>
          </cell>
          <cell r="AT2169">
            <v>311800</v>
          </cell>
        </row>
        <row r="2170">
          <cell r="G2170">
            <v>2505070202</v>
          </cell>
          <cell r="H2170" t="str">
            <v>112동</v>
          </cell>
          <cell r="I2170">
            <v>250507</v>
          </cell>
          <cell r="J2170" t="str">
            <v>112동 18층 바닥</v>
          </cell>
          <cell r="K2170">
            <v>210</v>
          </cell>
          <cell r="L2170">
            <v>210</v>
          </cell>
          <cell r="M2170">
            <v>3018</v>
          </cell>
          <cell r="N2170" t="str">
            <v>용호</v>
          </cell>
          <cell r="O2170" t="str">
            <v>펌프카(1대)</v>
          </cell>
          <cell r="P2170">
            <v>1236</v>
          </cell>
          <cell r="Q2170">
            <v>1524</v>
          </cell>
          <cell r="R2170">
            <v>185</v>
          </cell>
          <cell r="S2170">
            <v>47</v>
          </cell>
          <cell r="T2170">
            <v>13</v>
          </cell>
          <cell r="U2170">
            <v>206</v>
          </cell>
          <cell r="V2170"/>
          <cell r="W2170" t="str">
            <v>박순홍</v>
          </cell>
          <cell r="X2170" t="str">
            <v>(인)</v>
          </cell>
          <cell r="Y2170" t="str">
            <v>박순홍</v>
          </cell>
          <cell r="Z2170" t="str">
            <v>(인)</v>
          </cell>
          <cell r="AA2170" t="str">
            <v>박상갑</v>
          </cell>
          <cell r="AB2170" t="str">
            <v>(인)</v>
          </cell>
          <cell r="AC2170" t="str">
            <v>이홍걸</v>
          </cell>
          <cell r="AD2170" t="str">
            <v>(인)</v>
          </cell>
          <cell r="AE2170">
            <v>175.4</v>
          </cell>
          <cell r="AF2170" t="str">
            <v>표준</v>
          </cell>
          <cell r="AG2170">
            <v>2</v>
          </cell>
          <cell r="AH2170">
            <v>0</v>
          </cell>
        </row>
        <row r="2171">
          <cell r="G2171">
            <v>2505080101</v>
          </cell>
          <cell r="H2171" t="str">
            <v>117동</v>
          </cell>
          <cell r="I2171">
            <v>250508</v>
          </cell>
          <cell r="J2171" t="str">
            <v>117동 19층 바닥</v>
          </cell>
          <cell r="K2171">
            <v>342</v>
          </cell>
          <cell r="L2171">
            <v>342</v>
          </cell>
          <cell r="M2171">
            <v>3018</v>
          </cell>
          <cell r="N2171" t="str">
            <v>영진</v>
          </cell>
          <cell r="O2171" t="str">
            <v>펌프카(1대)</v>
          </cell>
          <cell r="P2171">
            <v>753</v>
          </cell>
          <cell r="Q2171">
            <v>1352</v>
          </cell>
          <cell r="R2171">
            <v>195</v>
          </cell>
          <cell r="S2171">
            <v>44</v>
          </cell>
          <cell r="T2171">
            <v>17</v>
          </cell>
          <cell r="U2171">
            <v>171</v>
          </cell>
          <cell r="V2171"/>
          <cell r="W2171" t="str">
            <v>박순홍</v>
          </cell>
          <cell r="X2171" t="str">
            <v>(인)</v>
          </cell>
          <cell r="Y2171" t="str">
            <v>박순홍</v>
          </cell>
          <cell r="Z2171" t="str">
            <v>(인)</v>
          </cell>
          <cell r="AA2171" t="str">
            <v>박상갑</v>
          </cell>
          <cell r="AB2171" t="str">
            <v>(인)</v>
          </cell>
          <cell r="AC2171" t="str">
            <v>이홍걸</v>
          </cell>
          <cell r="AD2171" t="str">
            <v>(인)</v>
          </cell>
          <cell r="AE2171">
            <v>172.2</v>
          </cell>
          <cell r="AF2171" t="str">
            <v>표준</v>
          </cell>
          <cell r="AG2171">
            <v>1</v>
          </cell>
          <cell r="AH2171">
            <v>1</v>
          </cell>
          <cell r="AI2171">
            <v>2908</v>
          </cell>
          <cell r="AJ2171">
            <v>2901</v>
          </cell>
          <cell r="AK2171">
            <v>224000</v>
          </cell>
          <cell r="AL2171">
            <v>3879</v>
          </cell>
          <cell r="AM2171">
            <v>3926</v>
          </cell>
          <cell r="AN2171">
            <v>3874</v>
          </cell>
          <cell r="AO2171">
            <v>3906</v>
          </cell>
          <cell r="AP2171">
            <v>3972</v>
          </cell>
          <cell r="AQ2171">
            <v>4034</v>
          </cell>
          <cell r="AR2171">
            <v>3912</v>
          </cell>
          <cell r="AS2171">
            <v>3862</v>
          </cell>
          <cell r="AT2171">
            <v>302400</v>
          </cell>
        </row>
        <row r="2172">
          <cell r="G2172">
            <v>2505080102</v>
          </cell>
          <cell r="H2172" t="str">
            <v>117동</v>
          </cell>
          <cell r="I2172">
            <v>250508</v>
          </cell>
          <cell r="J2172" t="str">
            <v>117동 19층 바닥</v>
          </cell>
          <cell r="K2172">
            <v>342</v>
          </cell>
          <cell r="L2172">
            <v>342</v>
          </cell>
          <cell r="M2172">
            <v>3018</v>
          </cell>
          <cell r="N2172" t="str">
            <v>영진</v>
          </cell>
          <cell r="O2172" t="str">
            <v>펌프카(1대)</v>
          </cell>
          <cell r="P2172">
            <v>753</v>
          </cell>
          <cell r="Q2172">
            <v>1352</v>
          </cell>
          <cell r="R2172">
            <v>180</v>
          </cell>
          <cell r="S2172">
            <v>56</v>
          </cell>
          <cell r="T2172">
            <v>22</v>
          </cell>
          <cell r="U2172">
            <v>163</v>
          </cell>
          <cell r="V2172"/>
          <cell r="W2172" t="str">
            <v>박순홍</v>
          </cell>
          <cell r="X2172" t="str">
            <v>(인)</v>
          </cell>
          <cell r="Y2172" t="str">
            <v>박순홍</v>
          </cell>
          <cell r="Z2172" t="str">
            <v>(인)</v>
          </cell>
          <cell r="AA2172" t="str">
            <v>박상갑</v>
          </cell>
          <cell r="AB2172" t="str">
            <v>(인)</v>
          </cell>
          <cell r="AC2172" t="str">
            <v>이홍걸</v>
          </cell>
          <cell r="AD2172" t="str">
            <v>(인)</v>
          </cell>
          <cell r="AE2172">
            <v>173.9</v>
          </cell>
          <cell r="AF2172" t="str">
            <v>표준</v>
          </cell>
          <cell r="AG2172">
            <v>2</v>
          </cell>
          <cell r="AH2172">
            <v>0</v>
          </cell>
        </row>
        <row r="2173">
          <cell r="G2173">
            <v>2505080103</v>
          </cell>
          <cell r="H2173" t="str">
            <v>117동</v>
          </cell>
          <cell r="I2173">
            <v>250508</v>
          </cell>
          <cell r="J2173" t="str">
            <v>117동 19층 바닥</v>
          </cell>
          <cell r="K2173">
            <v>342</v>
          </cell>
          <cell r="L2173">
            <v>342</v>
          </cell>
          <cell r="M2173">
            <v>3018</v>
          </cell>
          <cell r="N2173" t="str">
            <v>영진</v>
          </cell>
          <cell r="O2173" t="str">
            <v>펌프카(1대)</v>
          </cell>
          <cell r="P2173">
            <v>753</v>
          </cell>
          <cell r="Q2173">
            <v>1352</v>
          </cell>
          <cell r="R2173">
            <v>170</v>
          </cell>
          <cell r="S2173">
            <v>49</v>
          </cell>
          <cell r="T2173">
            <v>40</v>
          </cell>
          <cell r="U2173">
            <v>165</v>
          </cell>
          <cell r="V2173"/>
          <cell r="W2173" t="str">
            <v>박순홍</v>
          </cell>
          <cell r="X2173" t="str">
            <v>(인)</v>
          </cell>
          <cell r="Y2173" t="str">
            <v>박순홍</v>
          </cell>
          <cell r="Z2173" t="str">
            <v>(인)</v>
          </cell>
          <cell r="AA2173" t="str">
            <v>박상갑</v>
          </cell>
          <cell r="AB2173" t="str">
            <v>(인)</v>
          </cell>
          <cell r="AC2173" t="str">
            <v>이홍걸</v>
          </cell>
          <cell r="AD2173" t="str">
            <v>(인)</v>
          </cell>
          <cell r="AE2173">
            <v>172</v>
          </cell>
          <cell r="AF2173" t="str">
            <v>표준</v>
          </cell>
          <cell r="AG2173">
            <v>3</v>
          </cell>
          <cell r="AH2173">
            <v>0</v>
          </cell>
        </row>
        <row r="2174">
          <cell r="G2174">
            <v>2505080201</v>
          </cell>
          <cell r="H2174" t="str">
            <v>115동</v>
          </cell>
          <cell r="I2174">
            <v>250508</v>
          </cell>
          <cell r="J2174" t="str">
            <v>115동 22층 바닥</v>
          </cell>
          <cell r="K2174">
            <v>315</v>
          </cell>
          <cell r="L2174">
            <v>315</v>
          </cell>
          <cell r="M2174">
            <v>3018</v>
          </cell>
          <cell r="N2174" t="str">
            <v>대공</v>
          </cell>
          <cell r="O2174" t="str">
            <v>펌프카(1대)</v>
          </cell>
          <cell r="P2174">
            <v>845</v>
          </cell>
          <cell r="Q2174">
            <v>1720</v>
          </cell>
          <cell r="R2174">
            <v>195</v>
          </cell>
          <cell r="S2174">
            <v>40</v>
          </cell>
          <cell r="T2174">
            <v>28</v>
          </cell>
          <cell r="U2174">
            <v>174</v>
          </cell>
          <cell r="V2174"/>
          <cell r="W2174" t="str">
            <v>박순홍</v>
          </cell>
          <cell r="X2174" t="str">
            <v>(인)</v>
          </cell>
          <cell r="Y2174" t="str">
            <v>박순홍</v>
          </cell>
          <cell r="Z2174" t="str">
            <v>(인)</v>
          </cell>
          <cell r="AA2174" t="str">
            <v>박상갑</v>
          </cell>
          <cell r="AB2174" t="str">
            <v>(인)</v>
          </cell>
          <cell r="AC2174" t="str">
            <v>이홍걸</v>
          </cell>
          <cell r="AD2174" t="str">
            <v>(인)</v>
          </cell>
          <cell r="AE2174">
            <v>185</v>
          </cell>
          <cell r="AF2174" t="str">
            <v>표준</v>
          </cell>
          <cell r="AG2174">
            <v>1</v>
          </cell>
          <cell r="AH2174">
            <v>1</v>
          </cell>
          <cell r="AI2174">
            <v>2824</v>
          </cell>
          <cell r="AJ2174">
            <v>2810</v>
          </cell>
          <cell r="AK2174">
            <v>219600</v>
          </cell>
          <cell r="AL2174">
            <v>3876</v>
          </cell>
          <cell r="AM2174">
            <v>3924</v>
          </cell>
          <cell r="AN2174">
            <v>4037</v>
          </cell>
          <cell r="AO2174">
            <v>4084</v>
          </cell>
          <cell r="AP2174">
            <v>3979</v>
          </cell>
          <cell r="AQ2174">
            <v>4074</v>
          </cell>
          <cell r="AR2174">
            <v>4112</v>
          </cell>
          <cell r="AS2174">
            <v>3904</v>
          </cell>
          <cell r="AT2174">
            <v>307000</v>
          </cell>
        </row>
        <row r="2175">
          <cell r="G2175">
            <v>2505080202</v>
          </cell>
          <cell r="H2175" t="str">
            <v>115동</v>
          </cell>
          <cell r="I2175">
            <v>250508</v>
          </cell>
          <cell r="J2175" t="str">
            <v>115동 22층 바닥</v>
          </cell>
          <cell r="K2175">
            <v>315</v>
          </cell>
          <cell r="L2175">
            <v>315</v>
          </cell>
          <cell r="M2175">
            <v>3018</v>
          </cell>
          <cell r="N2175" t="str">
            <v>대공</v>
          </cell>
          <cell r="O2175" t="str">
            <v>펌프카(1대)</v>
          </cell>
          <cell r="P2175">
            <v>845</v>
          </cell>
          <cell r="Q2175">
            <v>1720</v>
          </cell>
          <cell r="R2175">
            <v>190</v>
          </cell>
          <cell r="S2175">
            <v>52</v>
          </cell>
          <cell r="T2175">
            <v>14</v>
          </cell>
          <cell r="U2175">
            <v>171</v>
          </cell>
          <cell r="V2175"/>
          <cell r="W2175" t="str">
            <v>박순홍</v>
          </cell>
          <cell r="X2175" t="str">
            <v>(인)</v>
          </cell>
          <cell r="Y2175" t="str">
            <v>박순홍</v>
          </cell>
          <cell r="Z2175" t="str">
            <v>(인)</v>
          </cell>
          <cell r="AA2175" t="str">
            <v>박상갑</v>
          </cell>
          <cell r="AB2175" t="str">
            <v>(인)</v>
          </cell>
          <cell r="AC2175" t="str">
            <v>이홍걸</v>
          </cell>
          <cell r="AD2175" t="str">
            <v>(인)</v>
          </cell>
          <cell r="AE2175">
            <v>184.7</v>
          </cell>
          <cell r="AF2175" t="str">
            <v>표준</v>
          </cell>
          <cell r="AG2175">
            <v>2</v>
          </cell>
          <cell r="AH2175">
            <v>0</v>
          </cell>
          <cell r="AI2175"/>
          <cell r="AJ2175"/>
        </row>
        <row r="2176">
          <cell r="G2176">
            <v>2505080203</v>
          </cell>
          <cell r="H2176" t="str">
            <v>115동</v>
          </cell>
          <cell r="I2176">
            <v>250508</v>
          </cell>
          <cell r="J2176" t="str">
            <v>115동 22층 바닥</v>
          </cell>
          <cell r="K2176">
            <v>315</v>
          </cell>
          <cell r="L2176">
            <v>315</v>
          </cell>
          <cell r="M2176">
            <v>3018</v>
          </cell>
          <cell r="N2176" t="str">
            <v>대공</v>
          </cell>
          <cell r="O2176" t="str">
            <v>펌프카(1대)</v>
          </cell>
          <cell r="P2176">
            <v>845</v>
          </cell>
          <cell r="Q2176">
            <v>1720</v>
          </cell>
          <cell r="R2176">
            <v>170</v>
          </cell>
          <cell r="S2176">
            <v>50</v>
          </cell>
          <cell r="T2176">
            <v>17</v>
          </cell>
          <cell r="U2176">
            <v>176</v>
          </cell>
          <cell r="V2176"/>
          <cell r="W2176" t="str">
            <v>박순홍</v>
          </cell>
          <cell r="X2176" t="str">
            <v>(인)</v>
          </cell>
          <cell r="Y2176" t="str">
            <v>박순홍</v>
          </cell>
          <cell r="Z2176" t="str">
            <v>(인)</v>
          </cell>
          <cell r="AA2176" t="str">
            <v>박상갑</v>
          </cell>
          <cell r="AB2176" t="str">
            <v>(인)</v>
          </cell>
          <cell r="AC2176" t="str">
            <v>이홍걸</v>
          </cell>
          <cell r="AD2176" t="str">
            <v>(인)</v>
          </cell>
          <cell r="AE2176">
            <v>182.9</v>
          </cell>
          <cell r="AF2176" t="str">
            <v>표준</v>
          </cell>
          <cell r="AG2176">
            <v>3</v>
          </cell>
          <cell r="AH2176">
            <v>0</v>
          </cell>
        </row>
        <row r="2177">
          <cell r="G2177">
            <v>2505120101</v>
          </cell>
          <cell r="H2177" t="str">
            <v>116동</v>
          </cell>
          <cell r="I2177">
            <v>250512</v>
          </cell>
          <cell r="J2177" t="str">
            <v>116동 20층 바닥</v>
          </cell>
          <cell r="K2177">
            <v>282</v>
          </cell>
          <cell r="L2177">
            <v>282</v>
          </cell>
          <cell r="M2177">
            <v>3018</v>
          </cell>
          <cell r="N2177" t="str">
            <v>대원</v>
          </cell>
          <cell r="O2177" t="str">
            <v>펌프카(1대)</v>
          </cell>
          <cell r="P2177">
            <v>830</v>
          </cell>
          <cell r="Q2177">
            <v>1351</v>
          </cell>
          <cell r="R2177">
            <v>200</v>
          </cell>
          <cell r="S2177">
            <v>50</v>
          </cell>
          <cell r="T2177">
            <v>36</v>
          </cell>
          <cell r="U2177">
            <v>196</v>
          </cell>
          <cell r="V2177"/>
          <cell r="W2177" t="str">
            <v>박순홍</v>
          </cell>
          <cell r="X2177" t="str">
            <v>(인)</v>
          </cell>
          <cell r="Y2177" t="str">
            <v>박순홍</v>
          </cell>
          <cell r="Z2177" t="str">
            <v>(인)</v>
          </cell>
          <cell r="AA2177" t="str">
            <v>이홍걸</v>
          </cell>
          <cell r="AB2177" t="str">
            <v>(인)</v>
          </cell>
          <cell r="AC2177" t="str">
            <v>박상갑</v>
          </cell>
          <cell r="AD2177" t="str">
            <v>(인)</v>
          </cell>
          <cell r="AE2177">
            <v>181.4</v>
          </cell>
          <cell r="AF2177" t="str">
            <v>표준</v>
          </cell>
          <cell r="AG2177">
            <v>1</v>
          </cell>
          <cell r="AH2177">
            <v>1</v>
          </cell>
          <cell r="AI2177">
            <v>2804</v>
          </cell>
          <cell r="AJ2177">
            <v>2906</v>
          </cell>
          <cell r="AK2177">
            <v>231200</v>
          </cell>
          <cell r="AL2177">
            <v>3870</v>
          </cell>
          <cell r="AM2177">
            <v>3969</v>
          </cell>
          <cell r="AN2177">
            <v>4016</v>
          </cell>
          <cell r="AO2177">
            <v>3934</v>
          </cell>
          <cell r="AP2177">
            <v>3927</v>
          </cell>
          <cell r="AQ2177">
            <v>4014</v>
          </cell>
          <cell r="AR2177">
            <v>3936</v>
          </cell>
          <cell r="AS2177">
            <v>4017</v>
          </cell>
          <cell r="AT2177">
            <v>314000</v>
          </cell>
        </row>
        <row r="2178">
          <cell r="G2178">
            <v>2505120102</v>
          </cell>
          <cell r="H2178" t="str">
            <v>116동</v>
          </cell>
          <cell r="I2178">
            <v>250512</v>
          </cell>
          <cell r="J2178" t="str">
            <v>116동 20층 바닥</v>
          </cell>
          <cell r="K2178">
            <v>282</v>
          </cell>
          <cell r="L2178">
            <v>282</v>
          </cell>
          <cell r="M2178">
            <v>3018</v>
          </cell>
          <cell r="N2178" t="str">
            <v>대원</v>
          </cell>
          <cell r="O2178" t="str">
            <v>펌프카(1대)</v>
          </cell>
          <cell r="P2178">
            <v>830</v>
          </cell>
          <cell r="Q2178">
            <v>1351</v>
          </cell>
          <cell r="R2178">
            <v>180</v>
          </cell>
          <cell r="S2178">
            <v>39</v>
          </cell>
          <cell r="T2178">
            <v>31</v>
          </cell>
          <cell r="U2178">
            <v>179</v>
          </cell>
          <cell r="V2178"/>
          <cell r="W2178" t="str">
            <v>박순홍</v>
          </cell>
          <cell r="X2178" t="str">
            <v>(인)</v>
          </cell>
          <cell r="Y2178" t="str">
            <v>박순홍</v>
          </cell>
          <cell r="Z2178" t="str">
            <v>(인)</v>
          </cell>
          <cell r="AA2178" t="str">
            <v>이홍걸</v>
          </cell>
          <cell r="AB2178" t="str">
            <v>(인)</v>
          </cell>
          <cell r="AC2178" t="str">
            <v>박상갑</v>
          </cell>
          <cell r="AD2178" t="str">
            <v>(인)</v>
          </cell>
          <cell r="AE2178">
            <v>184.6</v>
          </cell>
          <cell r="AF2178" t="str">
            <v>표준</v>
          </cell>
          <cell r="AG2178">
            <v>2</v>
          </cell>
          <cell r="AH2178">
            <v>0</v>
          </cell>
        </row>
        <row r="2179">
          <cell r="G2179">
            <v>2505120103</v>
          </cell>
          <cell r="H2179" t="str">
            <v>116동</v>
          </cell>
          <cell r="I2179">
            <v>250512</v>
          </cell>
          <cell r="J2179" t="str">
            <v>116동 20층 바닥</v>
          </cell>
          <cell r="K2179">
            <v>282</v>
          </cell>
          <cell r="L2179">
            <v>282</v>
          </cell>
          <cell r="M2179">
            <v>3018</v>
          </cell>
          <cell r="N2179" t="str">
            <v>대원</v>
          </cell>
          <cell r="O2179" t="str">
            <v>펌프카(1대)</v>
          </cell>
          <cell r="P2179">
            <v>830</v>
          </cell>
          <cell r="Q2179">
            <v>1351</v>
          </cell>
          <cell r="R2179">
            <v>190</v>
          </cell>
          <cell r="S2179">
            <v>35</v>
          </cell>
          <cell r="T2179">
            <v>36</v>
          </cell>
          <cell r="U2179">
            <v>193</v>
          </cell>
          <cell r="V2179"/>
          <cell r="W2179" t="str">
            <v>박순홍</v>
          </cell>
          <cell r="X2179" t="str">
            <v>(인)</v>
          </cell>
          <cell r="Y2179" t="str">
            <v>박순홍</v>
          </cell>
          <cell r="Z2179" t="str">
            <v>(인)</v>
          </cell>
          <cell r="AA2179" t="str">
            <v>이홍걸</v>
          </cell>
          <cell r="AB2179" t="str">
            <v>(인)</v>
          </cell>
          <cell r="AC2179" t="str">
            <v>박상갑</v>
          </cell>
          <cell r="AD2179" t="str">
            <v>(인)</v>
          </cell>
          <cell r="AE2179">
            <v>184.7</v>
          </cell>
          <cell r="AF2179" t="str">
            <v>표준</v>
          </cell>
          <cell r="AG2179">
            <v>3</v>
          </cell>
          <cell r="AH2179">
            <v>0</v>
          </cell>
        </row>
        <row r="2180">
          <cell r="G2180">
            <v>2505120201</v>
          </cell>
          <cell r="H2180" t="str">
            <v>118동</v>
          </cell>
          <cell r="I2180">
            <v>250512</v>
          </cell>
          <cell r="J2180" t="str">
            <v>118동 19층 바닥 및 108동 옥탑</v>
          </cell>
          <cell r="K2180">
            <v>360</v>
          </cell>
          <cell r="L2180">
            <v>360</v>
          </cell>
          <cell r="M2180">
            <v>3018</v>
          </cell>
          <cell r="N2180" t="str">
            <v>영진</v>
          </cell>
          <cell r="O2180" t="str">
            <v>펌프카(1대)</v>
          </cell>
          <cell r="P2180">
            <v>849</v>
          </cell>
          <cell r="Q2180">
            <v>1535</v>
          </cell>
          <cell r="R2180">
            <v>175</v>
          </cell>
          <cell r="S2180">
            <v>36</v>
          </cell>
          <cell r="T2180">
            <v>27</v>
          </cell>
          <cell r="U2180">
            <v>162</v>
          </cell>
          <cell r="V2180"/>
          <cell r="W2180" t="str">
            <v>박순홍</v>
          </cell>
          <cell r="X2180" t="str">
            <v>(인)</v>
          </cell>
          <cell r="Y2180" t="str">
            <v>박순홍</v>
          </cell>
          <cell r="Z2180" t="str">
            <v>(인)</v>
          </cell>
          <cell r="AA2180" t="str">
            <v>이홍걸</v>
          </cell>
          <cell r="AB2180" t="str">
            <v>(인)</v>
          </cell>
          <cell r="AC2180" t="str">
            <v>박상갑</v>
          </cell>
          <cell r="AD2180" t="str">
            <v>(인)</v>
          </cell>
          <cell r="AE2180">
            <v>179.2</v>
          </cell>
          <cell r="AF2180" t="str">
            <v>표준</v>
          </cell>
          <cell r="AG2180">
            <v>1</v>
          </cell>
          <cell r="AH2180">
            <v>1</v>
          </cell>
          <cell r="AI2180">
            <v>2794</v>
          </cell>
          <cell r="AJ2180">
            <v>2788</v>
          </cell>
          <cell r="AK2180">
            <v>221000</v>
          </cell>
          <cell r="AL2180">
            <v>4094</v>
          </cell>
          <cell r="AM2180">
            <v>4079</v>
          </cell>
          <cell r="AN2180">
            <v>4017</v>
          </cell>
          <cell r="AO2180">
            <v>3946</v>
          </cell>
          <cell r="AP2180">
            <v>3986</v>
          </cell>
          <cell r="AQ2180">
            <v>4112</v>
          </cell>
          <cell r="AR2180">
            <v>4033</v>
          </cell>
          <cell r="AS2180">
            <v>3976</v>
          </cell>
          <cell r="AT2180">
            <v>317400</v>
          </cell>
        </row>
        <row r="2181">
          <cell r="G2181">
            <v>2505120202</v>
          </cell>
          <cell r="H2181" t="str">
            <v>118동</v>
          </cell>
          <cell r="I2181">
            <v>250512</v>
          </cell>
          <cell r="J2181" t="str">
            <v>118동 19층 바닥 및 108동 옥탑</v>
          </cell>
          <cell r="K2181">
            <v>360</v>
          </cell>
          <cell r="L2181">
            <v>360</v>
          </cell>
          <cell r="M2181">
            <v>3018</v>
          </cell>
          <cell r="N2181" t="str">
            <v>영진</v>
          </cell>
          <cell r="O2181" t="str">
            <v>펌프카(1대)</v>
          </cell>
          <cell r="P2181">
            <v>849</v>
          </cell>
          <cell r="Q2181">
            <v>1535</v>
          </cell>
          <cell r="R2181">
            <v>185</v>
          </cell>
          <cell r="S2181">
            <v>39</v>
          </cell>
          <cell r="T2181">
            <v>32</v>
          </cell>
          <cell r="U2181">
            <v>189</v>
          </cell>
          <cell r="V2181"/>
          <cell r="W2181" t="str">
            <v>박순홍</v>
          </cell>
          <cell r="X2181" t="str">
            <v>(인)</v>
          </cell>
          <cell r="Y2181" t="str">
            <v>박순홍</v>
          </cell>
          <cell r="Z2181" t="str">
            <v>(인)</v>
          </cell>
          <cell r="AA2181" t="str">
            <v>이홍걸</v>
          </cell>
          <cell r="AB2181" t="str">
            <v>(인)</v>
          </cell>
          <cell r="AC2181" t="str">
            <v>박상갑</v>
          </cell>
          <cell r="AD2181" t="str">
            <v>(인)</v>
          </cell>
          <cell r="AE2181">
            <v>183</v>
          </cell>
          <cell r="AF2181" t="str">
            <v>표준</v>
          </cell>
          <cell r="AG2181">
            <v>2</v>
          </cell>
          <cell r="AH2181">
            <v>0</v>
          </cell>
        </row>
        <row r="2182">
          <cell r="G2182">
            <v>2505120203</v>
          </cell>
          <cell r="H2182" t="str">
            <v>118동</v>
          </cell>
          <cell r="I2182">
            <v>250512</v>
          </cell>
          <cell r="J2182" t="str">
            <v>118동 19층 바닥 및 108동 옥탑</v>
          </cell>
          <cell r="K2182">
            <v>360</v>
          </cell>
          <cell r="L2182">
            <v>360</v>
          </cell>
          <cell r="M2182">
            <v>3018</v>
          </cell>
          <cell r="N2182" t="str">
            <v>영진</v>
          </cell>
          <cell r="O2182" t="str">
            <v>펌프카(1대)</v>
          </cell>
          <cell r="P2182">
            <v>849</v>
          </cell>
          <cell r="Q2182">
            <v>1535</v>
          </cell>
          <cell r="R2182">
            <v>180</v>
          </cell>
          <cell r="S2182">
            <v>48</v>
          </cell>
          <cell r="T2182">
            <v>37</v>
          </cell>
          <cell r="U2182">
            <v>19</v>
          </cell>
          <cell r="V2182"/>
          <cell r="W2182" t="str">
            <v>박순홍</v>
          </cell>
          <cell r="X2182" t="str">
            <v>(인)</v>
          </cell>
          <cell r="Y2182" t="str">
            <v>박순홍</v>
          </cell>
          <cell r="Z2182" t="str">
            <v>(인)</v>
          </cell>
          <cell r="AA2182" t="str">
            <v>이홍걸</v>
          </cell>
          <cell r="AB2182" t="str">
            <v>(인)</v>
          </cell>
          <cell r="AC2182" t="str">
            <v>박상갑</v>
          </cell>
          <cell r="AD2182" t="str">
            <v>(인)</v>
          </cell>
          <cell r="AE2182">
            <v>180.6</v>
          </cell>
          <cell r="AF2182" t="str">
            <v>표준</v>
          </cell>
          <cell r="AG2182">
            <v>3</v>
          </cell>
          <cell r="AH2182">
            <v>0</v>
          </cell>
        </row>
        <row r="2183">
          <cell r="G2183">
            <v>2505120301</v>
          </cell>
          <cell r="H2183" t="str">
            <v>주차장 누름</v>
          </cell>
          <cell r="I2183">
            <v>250512</v>
          </cell>
          <cell r="J2183" t="str">
            <v>108동~109동 사이 주차장 누름</v>
          </cell>
          <cell r="K2183">
            <v>105</v>
          </cell>
          <cell r="L2183">
            <v>105</v>
          </cell>
          <cell r="M2183">
            <v>1815</v>
          </cell>
          <cell r="N2183" t="str">
            <v>용호</v>
          </cell>
          <cell r="O2183" t="str">
            <v>펌프카(1대)</v>
          </cell>
          <cell r="P2183">
            <v>1440</v>
          </cell>
          <cell r="Q2183">
            <v>1651</v>
          </cell>
          <cell r="R2183">
            <v>160</v>
          </cell>
          <cell r="S2183">
            <v>44</v>
          </cell>
          <cell r="T2183">
            <v>23</v>
          </cell>
          <cell r="U2183">
            <v>225</v>
          </cell>
          <cell r="V2183"/>
          <cell r="W2183" t="str">
            <v>박순홍</v>
          </cell>
          <cell r="X2183" t="str">
            <v>(인)</v>
          </cell>
          <cell r="Y2183" t="str">
            <v>박순홍</v>
          </cell>
          <cell r="Z2183" t="str">
            <v>(인)</v>
          </cell>
          <cell r="AA2183" t="str">
            <v>이홍걸</v>
          </cell>
          <cell r="AB2183" t="str">
            <v>(인)</v>
          </cell>
          <cell r="AC2183" t="str">
            <v>박상갑</v>
          </cell>
          <cell r="AD2183" t="str">
            <v>(인)</v>
          </cell>
          <cell r="AE2183">
            <v>177.3</v>
          </cell>
          <cell r="AF2183" t="str">
            <v>표준</v>
          </cell>
          <cell r="AG2183">
            <v>1</v>
          </cell>
          <cell r="AH2183">
            <v>1</v>
          </cell>
          <cell r="AI2183">
            <v>1804</v>
          </cell>
          <cell r="AJ2183">
            <v>1796</v>
          </cell>
          <cell r="AK2183">
            <v>1782</v>
          </cell>
          <cell r="AL2183">
            <v>2783</v>
          </cell>
          <cell r="AM2183">
            <v>2717</v>
          </cell>
          <cell r="AN2183">
            <v>2730</v>
          </cell>
          <cell r="AO2183">
            <v>2637</v>
          </cell>
          <cell r="AP2183">
            <v>2616</v>
          </cell>
          <cell r="AQ2183">
            <v>2633</v>
          </cell>
          <cell r="AR2183">
            <v>2717</v>
          </cell>
          <cell r="AS2183">
            <v>2704</v>
          </cell>
          <cell r="AT2183">
            <v>208200</v>
          </cell>
        </row>
        <row r="2184">
          <cell r="G2184">
            <v>2505130101</v>
          </cell>
          <cell r="H2184" t="str">
            <v>119동</v>
          </cell>
          <cell r="I2184">
            <v>250513</v>
          </cell>
          <cell r="J2184" t="str">
            <v>119동 18층 바닥</v>
          </cell>
          <cell r="K2184">
            <v>318</v>
          </cell>
          <cell r="L2184">
            <v>318</v>
          </cell>
          <cell r="M2184">
            <v>3018</v>
          </cell>
          <cell r="N2184" t="str">
            <v>용호</v>
          </cell>
          <cell r="O2184" t="str">
            <v>펌프카(1대)</v>
          </cell>
          <cell r="P2184">
            <v>730</v>
          </cell>
          <cell r="Q2184">
            <v>1243</v>
          </cell>
          <cell r="R2184">
            <v>200</v>
          </cell>
          <cell r="S2184">
            <v>49</v>
          </cell>
          <cell r="T2184">
            <v>42</v>
          </cell>
          <cell r="U2184">
            <v>185</v>
          </cell>
          <cell r="V2184"/>
          <cell r="W2184" t="str">
            <v>박순홍</v>
          </cell>
          <cell r="X2184" t="str">
            <v>(인)</v>
          </cell>
          <cell r="Y2184" t="str">
            <v>박순홍</v>
          </cell>
          <cell r="Z2184" t="str">
            <v>(인)</v>
          </cell>
          <cell r="AA2184" t="str">
            <v>이홍걸</v>
          </cell>
          <cell r="AB2184" t="str">
            <v>(인)</v>
          </cell>
          <cell r="AC2184" t="str">
            <v>박상갑</v>
          </cell>
          <cell r="AD2184" t="str">
            <v>(인)</v>
          </cell>
          <cell r="AE2184">
            <v>179.7</v>
          </cell>
          <cell r="AF2184" t="str">
            <v>표준</v>
          </cell>
          <cell r="AG2184">
            <v>1</v>
          </cell>
          <cell r="AH2184">
            <v>1</v>
          </cell>
          <cell r="AI2184">
            <v>2872</v>
          </cell>
          <cell r="AJ2184">
            <v>2931</v>
          </cell>
          <cell r="AK2184">
            <v>229400</v>
          </cell>
          <cell r="AL2184">
            <v>3845</v>
          </cell>
          <cell r="AM2184">
            <v>3926</v>
          </cell>
          <cell r="AN2184">
            <v>4036</v>
          </cell>
          <cell r="AO2184">
            <v>3926</v>
          </cell>
          <cell r="AP2184">
            <v>4071</v>
          </cell>
          <cell r="AQ2184">
            <v>4031</v>
          </cell>
          <cell r="AR2184">
            <v>3962</v>
          </cell>
          <cell r="AS2184">
            <v>3874</v>
          </cell>
          <cell r="AT2184">
            <v>311600</v>
          </cell>
        </row>
        <row r="2185">
          <cell r="G2185">
            <v>2505130102</v>
          </cell>
          <cell r="H2185" t="str">
            <v>119동</v>
          </cell>
          <cell r="I2185">
            <v>250513</v>
          </cell>
          <cell r="J2185" t="str">
            <v>119동 18층 바닥</v>
          </cell>
          <cell r="K2185">
            <v>318</v>
          </cell>
          <cell r="L2185">
            <v>318</v>
          </cell>
          <cell r="M2185">
            <v>3018</v>
          </cell>
          <cell r="N2185" t="str">
            <v>용호</v>
          </cell>
          <cell r="O2185" t="str">
            <v>펌프카(1대)</v>
          </cell>
          <cell r="P2185">
            <v>730</v>
          </cell>
          <cell r="Q2185">
            <v>1243</v>
          </cell>
          <cell r="R2185">
            <v>195</v>
          </cell>
          <cell r="S2185">
            <v>46</v>
          </cell>
          <cell r="T2185">
            <v>21</v>
          </cell>
          <cell r="U2185">
            <v>192</v>
          </cell>
          <cell r="V2185"/>
          <cell r="W2185" t="str">
            <v>박순홍</v>
          </cell>
          <cell r="X2185" t="str">
            <v>(인)</v>
          </cell>
          <cell r="Y2185" t="str">
            <v>박순홍</v>
          </cell>
          <cell r="Z2185" t="str">
            <v>(인)</v>
          </cell>
          <cell r="AA2185" t="str">
            <v>이홍걸</v>
          </cell>
          <cell r="AB2185" t="str">
            <v>(인)</v>
          </cell>
          <cell r="AC2185" t="str">
            <v>박상갑</v>
          </cell>
          <cell r="AD2185" t="str">
            <v>(인)</v>
          </cell>
          <cell r="AE2185">
            <v>183.8</v>
          </cell>
          <cell r="AF2185" t="str">
            <v>표준</v>
          </cell>
          <cell r="AG2185">
            <v>2</v>
          </cell>
          <cell r="AH2185">
            <v>0</v>
          </cell>
        </row>
        <row r="2186">
          <cell r="G2186">
            <v>2505130103</v>
          </cell>
          <cell r="H2186" t="str">
            <v>119동</v>
          </cell>
          <cell r="I2186">
            <v>250513</v>
          </cell>
          <cell r="J2186" t="str">
            <v>119동 18층 바닥</v>
          </cell>
          <cell r="K2186">
            <v>318</v>
          </cell>
          <cell r="L2186">
            <v>318</v>
          </cell>
          <cell r="M2186">
            <v>3018</v>
          </cell>
          <cell r="N2186" t="str">
            <v>용호</v>
          </cell>
          <cell r="O2186" t="str">
            <v>펌프카(1대)</v>
          </cell>
          <cell r="P2186">
            <v>730</v>
          </cell>
          <cell r="Q2186">
            <v>1243</v>
          </cell>
          <cell r="R2186">
            <v>180</v>
          </cell>
          <cell r="S2186">
            <v>41</v>
          </cell>
          <cell r="T2186">
            <v>37</v>
          </cell>
          <cell r="U2186">
            <v>177</v>
          </cell>
          <cell r="V2186"/>
          <cell r="W2186" t="str">
            <v>박순홍</v>
          </cell>
          <cell r="X2186" t="str">
            <v>(인)</v>
          </cell>
          <cell r="Y2186" t="str">
            <v>박순홍</v>
          </cell>
          <cell r="Z2186" t="str">
            <v>(인)</v>
          </cell>
          <cell r="AA2186" t="str">
            <v>이홍걸</v>
          </cell>
          <cell r="AB2186" t="str">
            <v>(인)</v>
          </cell>
          <cell r="AC2186" t="str">
            <v>박상갑</v>
          </cell>
          <cell r="AD2186" t="str">
            <v>(인)</v>
          </cell>
          <cell r="AE2186">
            <v>184</v>
          </cell>
          <cell r="AF2186" t="str">
            <v>표준</v>
          </cell>
          <cell r="AG2186">
            <v>3</v>
          </cell>
          <cell r="AH2186">
            <v>0</v>
          </cell>
        </row>
        <row r="2187">
          <cell r="G2187">
            <v>2505130201</v>
          </cell>
          <cell r="H2187" t="str">
            <v>112동</v>
          </cell>
          <cell r="I2187">
            <v>250513</v>
          </cell>
          <cell r="J2187" t="str">
            <v>112동 19층 바닥</v>
          </cell>
          <cell r="K2187">
            <v>210</v>
          </cell>
          <cell r="L2187">
            <v>210</v>
          </cell>
          <cell r="M2187">
            <v>3018</v>
          </cell>
          <cell r="N2187" t="str">
            <v>용호</v>
          </cell>
          <cell r="O2187" t="str">
            <v>펌프카(1대)</v>
          </cell>
          <cell r="P2187">
            <v>1300</v>
          </cell>
          <cell r="Q2187">
            <v>1650</v>
          </cell>
          <cell r="R2187">
            <v>190</v>
          </cell>
          <cell r="S2187">
            <v>48</v>
          </cell>
          <cell r="T2187">
            <v>20</v>
          </cell>
          <cell r="U2187">
            <v>222</v>
          </cell>
          <cell r="V2187"/>
          <cell r="W2187" t="str">
            <v>박순홍</v>
          </cell>
          <cell r="X2187" t="str">
            <v>(인)</v>
          </cell>
          <cell r="Y2187" t="str">
            <v>박순홍</v>
          </cell>
          <cell r="Z2187" t="str">
            <v>(인)</v>
          </cell>
          <cell r="AA2187" t="str">
            <v>이홍걸</v>
          </cell>
          <cell r="AB2187" t="str">
            <v>(인)</v>
          </cell>
          <cell r="AC2187" t="str">
            <v>박상갑</v>
          </cell>
          <cell r="AD2187" t="str">
            <v>(인)</v>
          </cell>
          <cell r="AE2187">
            <v>181.7</v>
          </cell>
          <cell r="AF2187" t="str">
            <v>표준</v>
          </cell>
          <cell r="AG2187">
            <v>1</v>
          </cell>
          <cell r="AH2187">
            <v>1</v>
          </cell>
          <cell r="AI2187">
            <v>2987</v>
          </cell>
          <cell r="AJ2187">
            <v>2864</v>
          </cell>
          <cell r="AK2187">
            <v>229600</v>
          </cell>
          <cell r="AL2187">
            <v>4031</v>
          </cell>
          <cell r="AM2187">
            <v>4148</v>
          </cell>
          <cell r="AN2187">
            <v>4172</v>
          </cell>
          <cell r="AO2187">
            <v>4037</v>
          </cell>
          <cell r="AP2187">
            <v>4067</v>
          </cell>
          <cell r="AQ2187">
            <v>3967</v>
          </cell>
          <cell r="AR2187">
            <v>4011</v>
          </cell>
          <cell r="AS2187">
            <v>4084</v>
          </cell>
          <cell r="AT2187">
            <v>315200</v>
          </cell>
        </row>
        <row r="2188">
          <cell r="G2188">
            <v>2505130202</v>
          </cell>
          <cell r="H2188" t="str">
            <v>112동</v>
          </cell>
          <cell r="I2188">
            <v>250513</v>
          </cell>
          <cell r="J2188" t="str">
            <v>112동 19층 바닥</v>
          </cell>
          <cell r="K2188">
            <v>210</v>
          </cell>
          <cell r="L2188">
            <v>210</v>
          </cell>
          <cell r="M2188">
            <v>3018</v>
          </cell>
          <cell r="N2188" t="str">
            <v>용호</v>
          </cell>
          <cell r="O2188" t="str">
            <v>펌프카(1대)</v>
          </cell>
          <cell r="P2188">
            <v>1300</v>
          </cell>
          <cell r="Q2188">
            <v>1650</v>
          </cell>
          <cell r="R2188">
            <v>195</v>
          </cell>
          <cell r="S2188">
            <v>51</v>
          </cell>
          <cell r="T2188">
            <v>21</v>
          </cell>
          <cell r="U2188">
            <v>232</v>
          </cell>
          <cell r="V2188"/>
          <cell r="W2188" t="str">
            <v>박순홍</v>
          </cell>
          <cell r="X2188" t="str">
            <v>(인)</v>
          </cell>
          <cell r="Y2188" t="str">
            <v>박순홍</v>
          </cell>
          <cell r="Z2188" t="str">
            <v>(인)</v>
          </cell>
          <cell r="AA2188" t="str">
            <v>이홍걸</v>
          </cell>
          <cell r="AB2188" t="str">
            <v>(인)</v>
          </cell>
          <cell r="AC2188" t="str">
            <v>박상갑</v>
          </cell>
          <cell r="AD2188" t="str">
            <v>(인)</v>
          </cell>
          <cell r="AE2188">
            <v>187.1</v>
          </cell>
          <cell r="AF2188" t="str">
            <v>표준</v>
          </cell>
          <cell r="AG2188">
            <v>2</v>
          </cell>
          <cell r="AH2188">
            <v>0</v>
          </cell>
        </row>
        <row r="2189">
          <cell r="G2189">
            <v>2505140101</v>
          </cell>
          <cell r="H2189" t="str">
            <v>109동</v>
          </cell>
          <cell r="I2189">
            <v>250514</v>
          </cell>
          <cell r="J2189" t="str">
            <v>109동 옥탑</v>
          </cell>
          <cell r="K2189">
            <v>60</v>
          </cell>
          <cell r="L2189">
            <v>60</v>
          </cell>
          <cell r="M2189">
            <v>3018</v>
          </cell>
          <cell r="N2189" t="str">
            <v>대공</v>
          </cell>
          <cell r="O2189" t="str">
            <v>직접타설</v>
          </cell>
          <cell r="P2189">
            <v>838</v>
          </cell>
          <cell r="Q2189">
            <v>1404</v>
          </cell>
          <cell r="R2189">
            <v>180</v>
          </cell>
          <cell r="S2189">
            <v>44</v>
          </cell>
          <cell r="T2189">
            <v>20</v>
          </cell>
          <cell r="U2189">
            <v>197</v>
          </cell>
          <cell r="V2189"/>
          <cell r="W2189" t="str">
            <v>박순홍</v>
          </cell>
          <cell r="X2189" t="str">
            <v>(인)</v>
          </cell>
          <cell r="Y2189" t="str">
            <v>박순홍</v>
          </cell>
          <cell r="Z2189" t="str">
            <v>(인)</v>
          </cell>
          <cell r="AA2189" t="str">
            <v>이홍걸</v>
          </cell>
          <cell r="AB2189" t="str">
            <v>(인)</v>
          </cell>
          <cell r="AC2189" t="str">
            <v>박상갑</v>
          </cell>
          <cell r="AD2189" t="str">
            <v>(인)</v>
          </cell>
          <cell r="AE2189">
            <v>185.5</v>
          </cell>
          <cell r="AF2189" t="str">
            <v>표준</v>
          </cell>
          <cell r="AG2189">
            <v>1</v>
          </cell>
          <cell r="AH2189">
            <v>1</v>
          </cell>
          <cell r="AI2189">
            <v>2972</v>
          </cell>
          <cell r="AJ2189">
            <v>2914</v>
          </cell>
          <cell r="AK2189">
            <v>227800</v>
          </cell>
          <cell r="AL2189">
            <v>3903</v>
          </cell>
          <cell r="AM2189">
            <v>3913</v>
          </cell>
          <cell r="AN2189">
            <v>3929</v>
          </cell>
          <cell r="AO2189">
            <v>3867</v>
          </cell>
          <cell r="AP2189">
            <v>3937</v>
          </cell>
          <cell r="AQ2189">
            <v>3872</v>
          </cell>
          <cell r="AR2189">
            <v>3926</v>
          </cell>
          <cell r="AS2189">
            <v>3611</v>
          </cell>
          <cell r="AT2189">
            <v>312200</v>
          </cell>
        </row>
        <row r="2190">
          <cell r="G2190">
            <v>2505150101</v>
          </cell>
          <cell r="H2190" t="str">
            <v>120동</v>
          </cell>
          <cell r="I2190">
            <v>250515</v>
          </cell>
          <cell r="J2190" t="str">
            <v>120동 17층 바닥</v>
          </cell>
          <cell r="K2190">
            <v>312</v>
          </cell>
          <cell r="L2190">
            <v>312</v>
          </cell>
          <cell r="M2190">
            <v>3018</v>
          </cell>
          <cell r="N2190" t="str">
            <v>대공</v>
          </cell>
          <cell r="O2190" t="str">
            <v>펌프카(1대)</v>
          </cell>
          <cell r="P2190">
            <v>1026</v>
          </cell>
          <cell r="Q2190">
            <v>1459</v>
          </cell>
          <cell r="R2190">
            <v>185</v>
          </cell>
          <cell r="S2190">
            <v>49</v>
          </cell>
          <cell r="T2190">
            <v>23</v>
          </cell>
          <cell r="U2190">
            <v>199</v>
          </cell>
          <cell r="V2190"/>
          <cell r="W2190" t="str">
            <v>박순홍</v>
          </cell>
          <cell r="X2190" t="str">
            <v>(인)</v>
          </cell>
          <cell r="Y2190" t="str">
            <v>박순홍</v>
          </cell>
          <cell r="Z2190" t="str">
            <v>(인)</v>
          </cell>
          <cell r="AA2190" t="str">
            <v>이홍걸</v>
          </cell>
          <cell r="AB2190" t="str">
            <v>(인)</v>
          </cell>
          <cell r="AC2190" t="str">
            <v>박상갑</v>
          </cell>
          <cell r="AD2190" t="str">
            <v>(인)</v>
          </cell>
          <cell r="AE2190">
            <v>180.5</v>
          </cell>
          <cell r="AF2190" t="str">
            <v>표준</v>
          </cell>
          <cell r="AG2190">
            <v>1</v>
          </cell>
          <cell r="AH2190">
            <v>1</v>
          </cell>
          <cell r="AI2190">
            <v>2862</v>
          </cell>
          <cell r="AJ2190">
            <v>2940</v>
          </cell>
          <cell r="AK2190">
            <v>2928</v>
          </cell>
          <cell r="AL2190">
            <v>3941</v>
          </cell>
          <cell r="AM2190">
            <v>3919</v>
          </cell>
          <cell r="AN2190">
            <v>3867</v>
          </cell>
          <cell r="AO2190">
            <v>4034</v>
          </cell>
          <cell r="AP2190">
            <v>4016</v>
          </cell>
          <cell r="AQ2190">
            <v>3924</v>
          </cell>
          <cell r="AR2190">
            <v>3866</v>
          </cell>
          <cell r="AS2190">
            <v>3924</v>
          </cell>
          <cell r="AT2190">
            <v>312000</v>
          </cell>
        </row>
        <row r="2191">
          <cell r="G2191">
            <v>2505150102</v>
          </cell>
          <cell r="H2191" t="str">
            <v>120동</v>
          </cell>
          <cell r="I2191">
            <v>250515</v>
          </cell>
          <cell r="J2191" t="str">
            <v>120동 17층 바닥</v>
          </cell>
          <cell r="K2191">
            <v>312</v>
          </cell>
          <cell r="L2191">
            <v>312</v>
          </cell>
          <cell r="M2191">
            <v>3018</v>
          </cell>
          <cell r="N2191" t="str">
            <v>대공</v>
          </cell>
          <cell r="O2191" t="str">
            <v>펌프카(1대)</v>
          </cell>
          <cell r="P2191">
            <v>1026</v>
          </cell>
          <cell r="Q2191">
            <v>1459</v>
          </cell>
          <cell r="R2191">
            <v>190</v>
          </cell>
          <cell r="S2191">
            <v>55</v>
          </cell>
          <cell r="T2191">
            <v>10</v>
          </cell>
          <cell r="U2191">
            <v>190</v>
          </cell>
          <cell r="V2191"/>
          <cell r="W2191" t="str">
            <v>박순홍</v>
          </cell>
          <cell r="X2191" t="str">
            <v>(인)</v>
          </cell>
          <cell r="Y2191" t="str">
            <v>박순홍</v>
          </cell>
          <cell r="Z2191" t="str">
            <v>(인)</v>
          </cell>
          <cell r="AA2191" t="str">
            <v>이홍걸</v>
          </cell>
          <cell r="AB2191" t="str">
            <v>(인)</v>
          </cell>
          <cell r="AC2191" t="str">
            <v>박상갑</v>
          </cell>
          <cell r="AD2191" t="str">
            <v>(인)</v>
          </cell>
          <cell r="AE2191">
            <v>183.5</v>
          </cell>
          <cell r="AF2191" t="str">
            <v>표준</v>
          </cell>
          <cell r="AG2191">
            <v>2</v>
          </cell>
          <cell r="AH2191">
            <v>0</v>
          </cell>
        </row>
        <row r="2192">
          <cell r="G2192">
            <v>2505150103</v>
          </cell>
          <cell r="H2192" t="str">
            <v>120동</v>
          </cell>
          <cell r="I2192">
            <v>250515</v>
          </cell>
          <cell r="J2192" t="str">
            <v>120동 17층 바닥</v>
          </cell>
          <cell r="K2192">
            <v>312</v>
          </cell>
          <cell r="L2192">
            <v>312</v>
          </cell>
          <cell r="M2192">
            <v>3018</v>
          </cell>
          <cell r="N2192" t="str">
            <v>대공</v>
          </cell>
          <cell r="O2192" t="str">
            <v>펌프카(1대)</v>
          </cell>
          <cell r="P2192">
            <v>1026</v>
          </cell>
          <cell r="Q2192">
            <v>1459</v>
          </cell>
          <cell r="R2192">
            <v>200</v>
          </cell>
          <cell r="S2192">
            <v>38</v>
          </cell>
          <cell r="T2192">
            <v>15</v>
          </cell>
          <cell r="U2192">
            <v>194</v>
          </cell>
          <cell r="V2192"/>
          <cell r="W2192" t="str">
            <v>박순홍</v>
          </cell>
          <cell r="X2192" t="str">
            <v>(인)</v>
          </cell>
          <cell r="Y2192" t="str">
            <v>박순홍</v>
          </cell>
          <cell r="Z2192" t="str">
            <v>(인)</v>
          </cell>
          <cell r="AA2192" t="str">
            <v>이홍걸</v>
          </cell>
          <cell r="AB2192" t="str">
            <v>(인)</v>
          </cell>
          <cell r="AC2192" t="str">
            <v>박상갑</v>
          </cell>
          <cell r="AD2192" t="str">
            <v>(인)</v>
          </cell>
          <cell r="AE2192">
            <v>186.6</v>
          </cell>
          <cell r="AF2192" t="str">
            <v>표준</v>
          </cell>
          <cell r="AG2192">
            <v>3</v>
          </cell>
          <cell r="AH2192">
            <v>0</v>
          </cell>
        </row>
        <row r="2193">
          <cell r="G2193">
            <v>2505160101</v>
          </cell>
          <cell r="H2193" t="str">
            <v>115동</v>
          </cell>
          <cell r="I2193">
            <v>250516</v>
          </cell>
          <cell r="J2193" t="str">
            <v>115동 23층 바닥 몇 114동 옥탑</v>
          </cell>
          <cell r="K2193">
            <v>192</v>
          </cell>
          <cell r="L2193">
            <v>192</v>
          </cell>
          <cell r="M2193">
            <v>3018</v>
          </cell>
          <cell r="N2193" t="str">
            <v>대원</v>
          </cell>
          <cell r="O2193" t="str">
            <v>펌프카(1대)</v>
          </cell>
          <cell r="P2193">
            <v>820</v>
          </cell>
          <cell r="Q2193">
            <v>1148</v>
          </cell>
          <cell r="R2193">
            <v>180</v>
          </cell>
          <cell r="S2193">
            <v>48</v>
          </cell>
          <cell r="T2193">
            <v>27</v>
          </cell>
          <cell r="U2193">
            <v>216</v>
          </cell>
          <cell r="V2193"/>
          <cell r="W2193" t="str">
            <v>박순홍</v>
          </cell>
          <cell r="X2193" t="str">
            <v>(인)</v>
          </cell>
          <cell r="Y2193" t="str">
            <v>박순홍</v>
          </cell>
          <cell r="Z2193" t="str">
            <v>(인)</v>
          </cell>
          <cell r="AA2193" t="str">
            <v>이홍걸</v>
          </cell>
          <cell r="AB2193" t="str">
            <v>(인)</v>
          </cell>
          <cell r="AC2193" t="str">
            <v>박상갑</v>
          </cell>
          <cell r="AD2193" t="str">
            <v>(인)</v>
          </cell>
          <cell r="AE2193">
            <v>181.3</v>
          </cell>
          <cell r="AF2193" t="str">
            <v>표준</v>
          </cell>
          <cell r="AG2193">
            <v>1</v>
          </cell>
          <cell r="AH2193">
            <v>1</v>
          </cell>
          <cell r="AI2193">
            <v>2914</v>
          </cell>
          <cell r="AJ2193">
            <v>2867</v>
          </cell>
          <cell r="AK2193">
            <v>230000</v>
          </cell>
          <cell r="AL2193">
            <v>4038</v>
          </cell>
          <cell r="AM2193">
            <v>3990</v>
          </cell>
          <cell r="AN2193">
            <v>4077</v>
          </cell>
          <cell r="AO2193">
            <v>3962</v>
          </cell>
          <cell r="AP2193">
            <v>4087</v>
          </cell>
          <cell r="AQ2193">
            <v>3926</v>
          </cell>
          <cell r="AR2193">
            <v>4088</v>
          </cell>
          <cell r="AS2193">
            <v>4072</v>
          </cell>
          <cell r="AT2193">
            <v>310600</v>
          </cell>
        </row>
        <row r="2194">
          <cell r="G2194">
            <v>2505160102</v>
          </cell>
          <cell r="H2194" t="str">
            <v>115동</v>
          </cell>
          <cell r="I2194">
            <v>250516</v>
          </cell>
          <cell r="J2194" t="str">
            <v>115동 23층 바닥 몇 114동 옥탑</v>
          </cell>
          <cell r="K2194">
            <v>192</v>
          </cell>
          <cell r="L2194">
            <v>192</v>
          </cell>
          <cell r="M2194">
            <v>3018</v>
          </cell>
          <cell r="N2194" t="str">
            <v>대원</v>
          </cell>
          <cell r="O2194" t="str">
            <v>펌프카(1대)</v>
          </cell>
          <cell r="P2194">
            <v>820</v>
          </cell>
          <cell r="Q2194">
            <v>1148</v>
          </cell>
          <cell r="R2194">
            <v>195</v>
          </cell>
          <cell r="S2194">
            <v>53</v>
          </cell>
          <cell r="T2194">
            <v>27</v>
          </cell>
          <cell r="U2194">
            <v>201</v>
          </cell>
          <cell r="V2194"/>
          <cell r="W2194" t="str">
            <v>박순홍</v>
          </cell>
          <cell r="X2194" t="str">
            <v>(인)</v>
          </cell>
          <cell r="Y2194" t="str">
            <v>박순홍</v>
          </cell>
          <cell r="Z2194" t="str">
            <v>(인)</v>
          </cell>
          <cell r="AA2194" t="str">
            <v>이홍걸</v>
          </cell>
          <cell r="AB2194" t="str">
            <v>(인)</v>
          </cell>
          <cell r="AC2194" t="str">
            <v>박상갑</v>
          </cell>
          <cell r="AD2194" t="str">
            <v>(인)</v>
          </cell>
          <cell r="AE2194">
            <v>181.1</v>
          </cell>
          <cell r="AF2194" t="str">
            <v>표준</v>
          </cell>
          <cell r="AG2194">
            <v>2</v>
          </cell>
          <cell r="AH2194">
            <v>0</v>
          </cell>
        </row>
        <row r="2195">
          <cell r="G2195">
            <v>2505160201</v>
          </cell>
          <cell r="H2195" t="str">
            <v>파라펫</v>
          </cell>
          <cell r="I2195">
            <v>250516</v>
          </cell>
          <cell r="J2195" t="str">
            <v>116동~117동 사이 주차장</v>
          </cell>
          <cell r="K2195">
            <v>18</v>
          </cell>
          <cell r="L2195">
            <v>18</v>
          </cell>
          <cell r="M2195">
            <v>2715</v>
          </cell>
          <cell r="N2195" t="str">
            <v>대원</v>
          </cell>
          <cell r="O2195" t="str">
            <v>펌프카(1대)</v>
          </cell>
          <cell r="P2195">
            <v>1250</v>
          </cell>
          <cell r="Q2195">
            <v>1430</v>
          </cell>
          <cell r="R2195">
            <v>155</v>
          </cell>
          <cell r="S2195">
            <v>49</v>
          </cell>
          <cell r="T2195">
            <v>61</v>
          </cell>
          <cell r="U2195">
            <v>202</v>
          </cell>
          <cell r="V2195"/>
          <cell r="W2195" t="str">
            <v>박순홍</v>
          </cell>
          <cell r="X2195" t="str">
            <v>(인)</v>
          </cell>
          <cell r="Y2195" t="str">
            <v>박순홍</v>
          </cell>
          <cell r="Z2195" t="str">
            <v>(인)</v>
          </cell>
          <cell r="AA2195" t="str">
            <v>이홍걸</v>
          </cell>
          <cell r="AB2195" t="str">
            <v>(인)</v>
          </cell>
          <cell r="AC2195" t="str">
            <v>박상갑</v>
          </cell>
          <cell r="AD2195" t="str">
            <v>(인)</v>
          </cell>
          <cell r="AE2195">
            <v>179.5</v>
          </cell>
          <cell r="AF2195" t="str">
            <v>표준</v>
          </cell>
          <cell r="AG2195">
            <v>1</v>
          </cell>
          <cell r="AH2195">
            <v>1</v>
          </cell>
          <cell r="AI2195">
            <v>2597</v>
          </cell>
          <cell r="AJ2195">
            <v>2510</v>
          </cell>
          <cell r="AK2195">
            <v>205600</v>
          </cell>
          <cell r="AL2195">
            <v>3510</v>
          </cell>
          <cell r="AM2195">
            <v>3529</v>
          </cell>
          <cell r="AN2195">
            <v>3604</v>
          </cell>
          <cell r="AO2195">
            <v>3577</v>
          </cell>
          <cell r="AP2195">
            <v>3489</v>
          </cell>
          <cell r="AQ2195">
            <v>3468</v>
          </cell>
          <cell r="AR2195">
            <v>3530</v>
          </cell>
          <cell r="AS2195">
            <v>3484</v>
          </cell>
          <cell r="AT2195">
            <v>280600</v>
          </cell>
        </row>
        <row r="2196">
          <cell r="G2196">
            <v>2505160301</v>
          </cell>
          <cell r="H2196" t="str">
            <v>주차장 누름</v>
          </cell>
          <cell r="I2196">
            <v>250516</v>
          </cell>
          <cell r="J2196" t="str">
            <v>115동 주변주차장 누름</v>
          </cell>
          <cell r="K2196">
            <v>185</v>
          </cell>
          <cell r="L2196">
            <v>185</v>
          </cell>
          <cell r="M2196">
            <v>1815</v>
          </cell>
          <cell r="N2196" t="str">
            <v>영진</v>
          </cell>
          <cell r="O2196" t="str">
            <v>펌프카(1대)</v>
          </cell>
          <cell r="P2196">
            <v>1145</v>
          </cell>
          <cell r="Q2196">
            <v>1608</v>
          </cell>
          <cell r="R2196">
            <v>160</v>
          </cell>
          <cell r="S2196">
            <v>45</v>
          </cell>
          <cell r="T2196">
            <v>19</v>
          </cell>
          <cell r="U2196">
            <v>210</v>
          </cell>
          <cell r="V2196"/>
          <cell r="W2196" t="str">
            <v>박순홍</v>
          </cell>
          <cell r="X2196" t="str">
            <v>(인)</v>
          </cell>
          <cell r="Y2196" t="str">
            <v>박순홍</v>
          </cell>
          <cell r="Z2196" t="str">
            <v>(인)</v>
          </cell>
          <cell r="AA2196" t="str">
            <v>이홍걸</v>
          </cell>
          <cell r="AB2196" t="str">
            <v>(인)</v>
          </cell>
          <cell r="AC2196" t="str">
            <v>박상갑</v>
          </cell>
          <cell r="AD2196" t="str">
            <v>(인)</v>
          </cell>
          <cell r="AE2196">
            <v>172.5</v>
          </cell>
          <cell r="AF2196" t="str">
            <v>표준</v>
          </cell>
          <cell r="AG2196">
            <v>1</v>
          </cell>
          <cell r="AH2196">
            <v>1</v>
          </cell>
          <cell r="AI2196">
            <v>1487</v>
          </cell>
          <cell r="AJ2196">
            <v>1510</v>
          </cell>
          <cell r="AK2196">
            <v>112200</v>
          </cell>
          <cell r="AL2196">
            <v>2442</v>
          </cell>
          <cell r="AM2196">
            <v>2396</v>
          </cell>
          <cell r="AN2196">
            <v>2386</v>
          </cell>
          <cell r="AO2196">
            <v>2429</v>
          </cell>
          <cell r="AP2196">
            <v>2387</v>
          </cell>
          <cell r="AQ2196">
            <v>2402</v>
          </cell>
          <cell r="AR2196">
            <v>2387</v>
          </cell>
          <cell r="AS2196">
            <v>2408</v>
          </cell>
          <cell r="AT2196">
            <v>185600</v>
          </cell>
        </row>
        <row r="2197">
          <cell r="G2197">
            <v>2505160302</v>
          </cell>
          <cell r="H2197" t="str">
            <v>주차장 누름</v>
          </cell>
          <cell r="I2197">
            <v>250516</v>
          </cell>
          <cell r="J2197" t="str">
            <v>115동 주변주차장 누름</v>
          </cell>
          <cell r="K2197">
            <v>185</v>
          </cell>
          <cell r="L2197">
            <v>185</v>
          </cell>
          <cell r="M2197">
            <v>1815</v>
          </cell>
          <cell r="N2197" t="str">
            <v>영진</v>
          </cell>
          <cell r="O2197" t="str">
            <v>펌프카(1대)</v>
          </cell>
          <cell r="P2197">
            <v>1145</v>
          </cell>
          <cell r="Q2197">
            <v>1608</v>
          </cell>
          <cell r="R2197">
            <v>145</v>
          </cell>
          <cell r="S2197">
            <v>48</v>
          </cell>
          <cell r="T2197">
            <v>46</v>
          </cell>
          <cell r="U2197">
            <v>207</v>
          </cell>
          <cell r="V2197"/>
          <cell r="W2197" t="str">
            <v>박순홍</v>
          </cell>
          <cell r="X2197" t="str">
            <v>(인)</v>
          </cell>
          <cell r="Y2197" t="str">
            <v>박순홍</v>
          </cell>
          <cell r="Z2197" t="str">
            <v>(인)</v>
          </cell>
          <cell r="AA2197" t="str">
            <v>이홍걸</v>
          </cell>
          <cell r="AB2197" t="str">
            <v>(인)</v>
          </cell>
          <cell r="AC2197" t="str">
            <v>박상갑</v>
          </cell>
          <cell r="AD2197" t="str">
            <v>(인)</v>
          </cell>
          <cell r="AE2197">
            <v>175.4</v>
          </cell>
          <cell r="AF2197" t="str">
            <v>표준</v>
          </cell>
          <cell r="AG2197">
            <v>2</v>
          </cell>
          <cell r="AH2197">
            <v>0</v>
          </cell>
        </row>
        <row r="2198">
          <cell r="G2198">
            <v>2505190101</v>
          </cell>
          <cell r="H2198" t="str">
            <v>112동</v>
          </cell>
          <cell r="I2198">
            <v>250519</v>
          </cell>
          <cell r="J2198" t="str">
            <v>112동 20층 바닥</v>
          </cell>
          <cell r="K2198">
            <v>210</v>
          </cell>
          <cell r="L2198">
            <v>210</v>
          </cell>
          <cell r="M2198">
            <v>3018</v>
          </cell>
          <cell r="N2198" t="str">
            <v>용호</v>
          </cell>
          <cell r="O2198" t="str">
            <v>펌프카(1대)</v>
          </cell>
          <cell r="P2198">
            <v>800</v>
          </cell>
          <cell r="Q2198">
            <v>1119</v>
          </cell>
          <cell r="R2198">
            <v>175</v>
          </cell>
          <cell r="S2198">
            <v>56</v>
          </cell>
          <cell r="T2198">
            <v>15</v>
          </cell>
          <cell r="U2198">
            <v>202</v>
          </cell>
          <cell r="V2198"/>
          <cell r="W2198" t="str">
            <v>박순홍</v>
          </cell>
          <cell r="X2198" t="str">
            <v>(인)</v>
          </cell>
          <cell r="Y2198" t="str">
            <v>박순홍</v>
          </cell>
          <cell r="Z2198" t="str">
            <v>(인)</v>
          </cell>
          <cell r="AA2198" t="str">
            <v>박상갑</v>
          </cell>
          <cell r="AB2198" t="str">
            <v>(인)</v>
          </cell>
          <cell r="AC2198" t="str">
            <v>이홍걸</v>
          </cell>
          <cell r="AD2198" t="str">
            <v>(인)</v>
          </cell>
          <cell r="AE2198">
            <v>185.9</v>
          </cell>
          <cell r="AF2198" t="str">
            <v>표준</v>
          </cell>
          <cell r="AG2198">
            <v>1</v>
          </cell>
          <cell r="AH2198">
            <v>1</v>
          </cell>
          <cell r="AI2198">
            <v>2711</v>
          </cell>
          <cell r="AJ2198">
            <v>2630</v>
          </cell>
          <cell r="AK2198">
            <v>212400</v>
          </cell>
          <cell r="AL2198">
            <v>4086</v>
          </cell>
          <cell r="AM2198">
            <v>4126</v>
          </cell>
          <cell r="AN2198">
            <v>3906</v>
          </cell>
          <cell r="AO2198">
            <v>4072</v>
          </cell>
          <cell r="AP2198">
            <v>4075</v>
          </cell>
          <cell r="AQ2198">
            <v>4129</v>
          </cell>
          <cell r="AR2198">
            <v>4072</v>
          </cell>
          <cell r="AS2198">
            <v>4136</v>
          </cell>
          <cell r="AT2198">
            <v>312200</v>
          </cell>
        </row>
        <row r="2199">
          <cell r="G2199">
            <v>2505190102</v>
          </cell>
          <cell r="H2199" t="str">
            <v>112동</v>
          </cell>
          <cell r="I2199">
            <v>250519</v>
          </cell>
          <cell r="J2199" t="str">
            <v>112동 20층 바닥</v>
          </cell>
          <cell r="K2199">
            <v>210</v>
          </cell>
          <cell r="L2199">
            <v>210</v>
          </cell>
          <cell r="M2199">
            <v>3018</v>
          </cell>
          <cell r="N2199" t="str">
            <v>용호</v>
          </cell>
          <cell r="O2199" t="str">
            <v>펌프카(1대)</v>
          </cell>
          <cell r="P2199">
            <v>800</v>
          </cell>
          <cell r="Q2199">
            <v>1119</v>
          </cell>
          <cell r="R2199">
            <v>195</v>
          </cell>
          <cell r="S2199">
            <v>50</v>
          </cell>
          <cell r="T2199">
            <v>28</v>
          </cell>
          <cell r="U2199">
            <v>195</v>
          </cell>
          <cell r="V2199"/>
          <cell r="W2199" t="str">
            <v>박순홍</v>
          </cell>
          <cell r="X2199" t="str">
            <v>(인)</v>
          </cell>
          <cell r="Y2199" t="str">
            <v>박순홍</v>
          </cell>
          <cell r="Z2199" t="str">
            <v>(인)</v>
          </cell>
          <cell r="AA2199" t="str">
            <v>박상갑</v>
          </cell>
          <cell r="AB2199" t="str">
            <v>(인)</v>
          </cell>
          <cell r="AC2199" t="str">
            <v>이홍걸</v>
          </cell>
          <cell r="AD2199" t="str">
            <v>(인)</v>
          </cell>
          <cell r="AE2199">
            <v>184.7</v>
          </cell>
          <cell r="AF2199" t="str">
            <v>표준</v>
          </cell>
          <cell r="AG2199">
            <v>2</v>
          </cell>
          <cell r="AH2199">
            <v>0</v>
          </cell>
        </row>
        <row r="2200">
          <cell r="G2200">
            <v>2505190201</v>
          </cell>
          <cell r="H2200" t="str">
            <v>118동</v>
          </cell>
          <cell r="I2200">
            <v>250519</v>
          </cell>
          <cell r="J2200" t="str">
            <v>118동 20층 바닥</v>
          </cell>
          <cell r="K2200">
            <v>289</v>
          </cell>
          <cell r="L2200">
            <v>289</v>
          </cell>
          <cell r="M2200">
            <v>3018</v>
          </cell>
          <cell r="N2200" t="str">
            <v>영진</v>
          </cell>
          <cell r="O2200" t="str">
            <v>펌프카(1대)</v>
          </cell>
          <cell r="P2200">
            <v>1225</v>
          </cell>
          <cell r="Q2200">
            <v>1710</v>
          </cell>
          <cell r="R2200">
            <v>195</v>
          </cell>
          <cell r="S2200">
            <v>43</v>
          </cell>
          <cell r="T2200">
            <v>50</v>
          </cell>
          <cell r="U2200">
            <v>202</v>
          </cell>
          <cell r="V2200"/>
          <cell r="W2200" t="str">
            <v>박순홍</v>
          </cell>
          <cell r="X2200" t="str">
            <v>(인)</v>
          </cell>
          <cell r="Y2200" t="str">
            <v>박순홍</v>
          </cell>
          <cell r="Z2200" t="str">
            <v>(인)</v>
          </cell>
          <cell r="AA2200" t="str">
            <v>박상갑</v>
          </cell>
          <cell r="AB2200" t="str">
            <v>(인)</v>
          </cell>
          <cell r="AC2200" t="str">
            <v>이홍걸</v>
          </cell>
          <cell r="AD2200" t="str">
            <v>(인)</v>
          </cell>
          <cell r="AE2200">
            <v>180.5</v>
          </cell>
          <cell r="AF2200" t="str">
            <v>표준</v>
          </cell>
          <cell r="AG2200">
            <v>1</v>
          </cell>
          <cell r="AH2200">
            <v>1</v>
          </cell>
          <cell r="AI2200">
            <v>2681</v>
          </cell>
          <cell r="AJ2200">
            <v>2655</v>
          </cell>
          <cell r="AK2200">
            <v>212800</v>
          </cell>
          <cell r="AL2200">
            <v>4018</v>
          </cell>
          <cell r="AM2200">
            <v>3927</v>
          </cell>
          <cell r="AN2200">
            <v>3873</v>
          </cell>
          <cell r="AO2200">
            <v>3879</v>
          </cell>
          <cell r="AP2200">
            <v>4023</v>
          </cell>
          <cell r="AQ2200">
            <v>4017</v>
          </cell>
          <cell r="AR2200">
            <v>4072</v>
          </cell>
          <cell r="AS2200">
            <v>3927</v>
          </cell>
          <cell r="AT2200">
            <v>312600</v>
          </cell>
        </row>
        <row r="2201">
          <cell r="G2201">
            <v>2505190202</v>
          </cell>
          <cell r="H2201" t="str">
            <v>118동</v>
          </cell>
          <cell r="I2201">
            <v>250519</v>
          </cell>
          <cell r="J2201" t="str">
            <v>118동 20층 바닥</v>
          </cell>
          <cell r="K2201">
            <v>289</v>
          </cell>
          <cell r="L2201">
            <v>289</v>
          </cell>
          <cell r="M2201">
            <v>3018</v>
          </cell>
          <cell r="N2201" t="str">
            <v>영진</v>
          </cell>
          <cell r="O2201" t="str">
            <v>펌프카(1대)</v>
          </cell>
          <cell r="P2201">
            <v>1225</v>
          </cell>
          <cell r="Q2201">
            <v>1710</v>
          </cell>
          <cell r="R2201">
            <v>185</v>
          </cell>
          <cell r="S2201">
            <v>48</v>
          </cell>
          <cell r="T2201">
            <v>63</v>
          </cell>
          <cell r="U2201">
            <v>196</v>
          </cell>
          <cell r="V2201"/>
          <cell r="W2201" t="str">
            <v>박순홍</v>
          </cell>
          <cell r="X2201" t="str">
            <v>(인)</v>
          </cell>
          <cell r="Y2201" t="str">
            <v>박순홍</v>
          </cell>
          <cell r="Z2201" t="str">
            <v>(인)</v>
          </cell>
          <cell r="AA2201" t="str">
            <v>박상갑</v>
          </cell>
          <cell r="AB2201" t="str">
            <v>(인)</v>
          </cell>
          <cell r="AC2201" t="str">
            <v>이홍걸</v>
          </cell>
          <cell r="AD2201" t="str">
            <v>(인)</v>
          </cell>
          <cell r="AE2201">
            <v>181.3</v>
          </cell>
          <cell r="AF2201" t="str">
            <v>표준</v>
          </cell>
          <cell r="AG2201">
            <v>2</v>
          </cell>
          <cell r="AH2201">
            <v>0</v>
          </cell>
        </row>
        <row r="2202">
          <cell r="G2202">
            <v>2505190203</v>
          </cell>
          <cell r="H2202" t="str">
            <v>118동</v>
          </cell>
          <cell r="I2202">
            <v>250519</v>
          </cell>
          <cell r="J2202" t="str">
            <v>118동 20층 바닥</v>
          </cell>
          <cell r="K2202">
            <v>289</v>
          </cell>
          <cell r="L2202">
            <v>289</v>
          </cell>
          <cell r="M2202">
            <v>3018</v>
          </cell>
          <cell r="N2202" t="str">
            <v>영진</v>
          </cell>
          <cell r="O2202" t="str">
            <v>펌프카(1대)</v>
          </cell>
          <cell r="P2202">
            <v>1225</v>
          </cell>
          <cell r="Q2202">
            <v>1710</v>
          </cell>
          <cell r="R2202">
            <v>185</v>
          </cell>
          <cell r="S2202">
            <v>51</v>
          </cell>
          <cell r="T2202">
            <v>85</v>
          </cell>
          <cell r="U2202">
            <v>213</v>
          </cell>
          <cell r="V2202"/>
          <cell r="W2202" t="str">
            <v>박순홍</v>
          </cell>
          <cell r="X2202" t="str">
            <v>(인)</v>
          </cell>
          <cell r="Y2202" t="str">
            <v>박순홍</v>
          </cell>
          <cell r="Z2202" t="str">
            <v>(인)</v>
          </cell>
          <cell r="AA2202" t="str">
            <v>박상갑</v>
          </cell>
          <cell r="AB2202" t="str">
            <v>(인)</v>
          </cell>
          <cell r="AC2202" t="str">
            <v>이홍걸</v>
          </cell>
          <cell r="AD2202" t="str">
            <v>(인)</v>
          </cell>
          <cell r="AE2202">
            <v>183.5</v>
          </cell>
          <cell r="AF2202" t="str">
            <v>표준</v>
          </cell>
          <cell r="AG2202">
            <v>3</v>
          </cell>
          <cell r="AH2202">
            <v>0</v>
          </cell>
        </row>
        <row r="2203">
          <cell r="G2203">
            <v>2505200101</v>
          </cell>
          <cell r="H2203" t="str">
            <v>117동</v>
          </cell>
          <cell r="I2203">
            <v>250520</v>
          </cell>
          <cell r="J2203" t="str">
            <v>117동 20층 바닥</v>
          </cell>
          <cell r="K2203">
            <v>420</v>
          </cell>
          <cell r="L2203">
            <v>420</v>
          </cell>
          <cell r="M2203">
            <v>3018</v>
          </cell>
          <cell r="N2203" t="str">
            <v>용호</v>
          </cell>
          <cell r="O2203" t="str">
            <v>펌프카(1대)</v>
          </cell>
          <cell r="P2203">
            <v>815</v>
          </cell>
          <cell r="Q2203">
            <v>1450</v>
          </cell>
          <cell r="R2203">
            <v>180</v>
          </cell>
          <cell r="S2203">
            <v>40</v>
          </cell>
          <cell r="T2203">
            <v>79</v>
          </cell>
          <cell r="U2203">
            <v>223</v>
          </cell>
          <cell r="V2203"/>
          <cell r="W2203" t="str">
            <v>박순홍</v>
          </cell>
          <cell r="X2203" t="str">
            <v>(인)</v>
          </cell>
          <cell r="Y2203" t="str">
            <v>박순홍</v>
          </cell>
          <cell r="Z2203" t="str">
            <v>(인)</v>
          </cell>
          <cell r="AA2203" t="str">
            <v>박상갑</v>
          </cell>
          <cell r="AB2203" t="str">
            <v>(인)</v>
          </cell>
          <cell r="AC2203" t="str">
            <v>이홍걸</v>
          </cell>
          <cell r="AD2203" t="str">
            <v>(인)</v>
          </cell>
          <cell r="AE2203">
            <v>184.2</v>
          </cell>
          <cell r="AF2203" t="str">
            <v>표준</v>
          </cell>
          <cell r="AG2203">
            <v>1</v>
          </cell>
          <cell r="AH2203">
            <v>1</v>
          </cell>
          <cell r="AI2203">
            <v>2811</v>
          </cell>
          <cell r="AJ2203">
            <v>2750</v>
          </cell>
          <cell r="AK2203">
            <v>224800</v>
          </cell>
          <cell r="AL2203">
            <v>3788</v>
          </cell>
          <cell r="AM2203">
            <v>3862</v>
          </cell>
          <cell r="AN2203">
            <v>3937</v>
          </cell>
          <cell r="AO2203">
            <v>3926</v>
          </cell>
          <cell r="AP2203">
            <v>3874</v>
          </cell>
          <cell r="AQ2203">
            <v>3722</v>
          </cell>
          <cell r="AR2203">
            <v>3968</v>
          </cell>
          <cell r="AS2203">
            <v>3509</v>
          </cell>
          <cell r="AT2203">
            <v>308600</v>
          </cell>
        </row>
        <row r="2204">
          <cell r="G2204">
            <v>2505200102</v>
          </cell>
          <cell r="H2204" t="str">
            <v>117동</v>
          </cell>
          <cell r="I2204">
            <v>250520</v>
          </cell>
          <cell r="J2204" t="str">
            <v>117동 20층 바닥</v>
          </cell>
          <cell r="K2204">
            <v>420</v>
          </cell>
          <cell r="L2204">
            <v>420</v>
          </cell>
          <cell r="M2204">
            <v>3018</v>
          </cell>
          <cell r="N2204" t="str">
            <v>용호</v>
          </cell>
          <cell r="O2204" t="str">
            <v>펌프카(1대)</v>
          </cell>
          <cell r="P2204">
            <v>815</v>
          </cell>
          <cell r="Q2204">
            <v>1450</v>
          </cell>
          <cell r="R2204">
            <v>190</v>
          </cell>
          <cell r="S2204">
            <v>47</v>
          </cell>
          <cell r="T2204">
            <v>99</v>
          </cell>
          <cell r="U2204">
            <v>228</v>
          </cell>
          <cell r="V2204"/>
          <cell r="W2204" t="str">
            <v>박순홍</v>
          </cell>
          <cell r="X2204" t="str">
            <v>(인)</v>
          </cell>
          <cell r="Y2204" t="str">
            <v>박순홍</v>
          </cell>
          <cell r="Z2204" t="str">
            <v>(인)</v>
          </cell>
          <cell r="AA2204" t="str">
            <v>박상갑</v>
          </cell>
          <cell r="AB2204" t="str">
            <v>(인)</v>
          </cell>
          <cell r="AC2204" t="str">
            <v>이홍걸</v>
          </cell>
          <cell r="AD2204" t="str">
            <v>(인)</v>
          </cell>
          <cell r="AE2204">
            <v>183.7</v>
          </cell>
          <cell r="AF2204" t="str">
            <v>표준</v>
          </cell>
          <cell r="AG2204">
            <v>2</v>
          </cell>
          <cell r="AH2204">
            <v>0</v>
          </cell>
        </row>
        <row r="2205">
          <cell r="G2205">
            <v>2505200103</v>
          </cell>
          <cell r="H2205" t="str">
            <v>117동</v>
          </cell>
          <cell r="I2205">
            <v>250520</v>
          </cell>
          <cell r="J2205" t="str">
            <v>117동 20층 바닥</v>
          </cell>
          <cell r="K2205">
            <v>420</v>
          </cell>
          <cell r="L2205">
            <v>420</v>
          </cell>
          <cell r="M2205">
            <v>3018</v>
          </cell>
          <cell r="N2205" t="str">
            <v>용호</v>
          </cell>
          <cell r="O2205" t="str">
            <v>펌프카(1대)</v>
          </cell>
          <cell r="P2205">
            <v>815</v>
          </cell>
          <cell r="Q2205">
            <v>1450</v>
          </cell>
          <cell r="R2205">
            <v>180</v>
          </cell>
          <cell r="S2205">
            <v>44</v>
          </cell>
          <cell r="T2205">
            <v>118</v>
          </cell>
          <cell r="U2205">
            <v>234</v>
          </cell>
          <cell r="V2205"/>
          <cell r="W2205" t="str">
            <v>박순홍</v>
          </cell>
          <cell r="X2205" t="str">
            <v>(인)</v>
          </cell>
          <cell r="Y2205" t="str">
            <v>박순홍</v>
          </cell>
          <cell r="Z2205" t="str">
            <v>(인)</v>
          </cell>
          <cell r="AA2205" t="str">
            <v>박상갑</v>
          </cell>
          <cell r="AB2205" t="str">
            <v>(인)</v>
          </cell>
          <cell r="AC2205" t="str">
            <v>이홍걸</v>
          </cell>
          <cell r="AD2205" t="str">
            <v>(인)</v>
          </cell>
          <cell r="AE2205">
            <v>184.1</v>
          </cell>
          <cell r="AF2205" t="str">
            <v>표준</v>
          </cell>
          <cell r="AG2205">
            <v>3</v>
          </cell>
          <cell r="AH2205">
            <v>0</v>
          </cell>
        </row>
        <row r="2206">
          <cell r="G2206">
            <v>2505200104</v>
          </cell>
          <cell r="H2206" t="str">
            <v>117동</v>
          </cell>
          <cell r="I2206">
            <v>250520</v>
          </cell>
          <cell r="J2206" t="str">
            <v>117동 20층 바닥</v>
          </cell>
          <cell r="K2206">
            <v>420</v>
          </cell>
          <cell r="L2206">
            <v>420</v>
          </cell>
          <cell r="M2206">
            <v>3018</v>
          </cell>
          <cell r="N2206" t="str">
            <v>용호</v>
          </cell>
          <cell r="O2206" t="str">
            <v>펌프카(1대)</v>
          </cell>
          <cell r="P2206">
            <v>815</v>
          </cell>
          <cell r="Q2206">
            <v>1450</v>
          </cell>
          <cell r="R2206">
            <v>190</v>
          </cell>
          <cell r="S2206">
            <v>42</v>
          </cell>
          <cell r="T2206">
            <v>26</v>
          </cell>
          <cell r="U2206">
            <v>232</v>
          </cell>
          <cell r="V2206"/>
          <cell r="W2206" t="str">
            <v>박순홍</v>
          </cell>
          <cell r="X2206" t="str">
            <v>(인)</v>
          </cell>
          <cell r="Y2206" t="str">
            <v>박순홍</v>
          </cell>
          <cell r="Z2206" t="str">
            <v>(인)</v>
          </cell>
          <cell r="AA2206" t="str">
            <v>박상갑</v>
          </cell>
          <cell r="AB2206" t="str">
            <v>(인)</v>
          </cell>
          <cell r="AC2206" t="str">
            <v>이홍걸</v>
          </cell>
          <cell r="AD2206" t="str">
            <v>(인)</v>
          </cell>
          <cell r="AE2206">
            <v>186.4</v>
          </cell>
          <cell r="AF2206" t="str">
            <v>표준</v>
          </cell>
          <cell r="AG2206">
            <v>4</v>
          </cell>
          <cell r="AH2206">
            <v>1</v>
          </cell>
          <cell r="AL2206">
            <v>3872</v>
          </cell>
          <cell r="AM2206">
            <v>3962</v>
          </cell>
          <cell r="AN2206">
            <v>3874</v>
          </cell>
          <cell r="AO2206">
            <v>4036</v>
          </cell>
          <cell r="AP2206">
            <v>3937</v>
          </cell>
          <cell r="AQ2206">
            <v>3962</v>
          </cell>
          <cell r="AR2206">
            <v>3888</v>
          </cell>
          <cell r="AS2206">
            <v>4014</v>
          </cell>
          <cell r="AT2206">
            <v>306200</v>
          </cell>
        </row>
        <row r="2207">
          <cell r="G2207">
            <v>2505200201</v>
          </cell>
          <cell r="H2207" t="str">
            <v>계단</v>
          </cell>
          <cell r="I2207">
            <v>250520</v>
          </cell>
          <cell r="J2207" t="str">
            <v>옥외계단 #2 기초</v>
          </cell>
          <cell r="K2207">
            <v>50</v>
          </cell>
          <cell r="L2207">
            <v>50</v>
          </cell>
          <cell r="M2207">
            <v>2715</v>
          </cell>
          <cell r="N2207" t="str">
            <v>용호</v>
          </cell>
          <cell r="O2207" t="str">
            <v>펌프카(1대)</v>
          </cell>
          <cell r="P2207">
            <v>1545</v>
          </cell>
          <cell r="Q2207">
            <v>1727</v>
          </cell>
          <cell r="R2207">
            <v>165</v>
          </cell>
          <cell r="S2207">
            <v>48</v>
          </cell>
          <cell r="T2207">
            <v>16</v>
          </cell>
          <cell r="U2207">
            <v>249</v>
          </cell>
          <cell r="V2207"/>
          <cell r="W2207" t="str">
            <v>박순홍</v>
          </cell>
          <cell r="X2207" t="str">
            <v>(인)</v>
          </cell>
          <cell r="Y2207" t="str">
            <v>박순홍</v>
          </cell>
          <cell r="Z2207" t="str">
            <v>(인)</v>
          </cell>
          <cell r="AA2207" t="str">
            <v>박상갑</v>
          </cell>
          <cell r="AB2207" t="str">
            <v>(인)</v>
          </cell>
          <cell r="AC2207" t="str">
            <v>이홍걸</v>
          </cell>
          <cell r="AD2207" t="str">
            <v>(인)</v>
          </cell>
          <cell r="AE2207">
            <v>172.2</v>
          </cell>
          <cell r="AF2207" t="str">
            <v>표준</v>
          </cell>
          <cell r="AG2207">
            <v>1</v>
          </cell>
          <cell r="AH2207">
            <v>1</v>
          </cell>
          <cell r="AI2207">
            <v>2511</v>
          </cell>
          <cell r="AJ2207">
            <v>2528</v>
          </cell>
          <cell r="AK2207">
            <v>194800</v>
          </cell>
          <cell r="AL2207">
            <v>3488</v>
          </cell>
          <cell r="AM2207">
            <v>3506</v>
          </cell>
          <cell r="AN2207">
            <v>3472</v>
          </cell>
          <cell r="AO2207">
            <v>3502</v>
          </cell>
          <cell r="AP2207">
            <v>3364</v>
          </cell>
          <cell r="AQ2207">
            <v>3392</v>
          </cell>
          <cell r="AR2207">
            <v>3518</v>
          </cell>
          <cell r="AS2207">
            <v>3406</v>
          </cell>
          <cell r="AT2207">
            <v>276000</v>
          </cell>
        </row>
        <row r="2208">
          <cell r="G2208">
            <v>2505210101</v>
          </cell>
          <cell r="H2208" t="str">
            <v>116동</v>
          </cell>
          <cell r="I2208">
            <v>250521</v>
          </cell>
          <cell r="J2208" t="str">
            <v>116동 21층 바닥</v>
          </cell>
          <cell r="K2208">
            <v>310</v>
          </cell>
          <cell r="L2208">
            <v>310</v>
          </cell>
          <cell r="M2208">
            <v>3018</v>
          </cell>
          <cell r="N2208" t="str">
            <v>대원</v>
          </cell>
          <cell r="O2208" t="str">
            <v>펌프카(1대)</v>
          </cell>
          <cell r="P2208">
            <v>817</v>
          </cell>
          <cell r="Q2208">
            <v>1411</v>
          </cell>
          <cell r="R2208">
            <v>200</v>
          </cell>
          <cell r="S2208">
            <v>43</v>
          </cell>
          <cell r="T2208">
            <v>37</v>
          </cell>
          <cell r="U2208">
            <v>246</v>
          </cell>
          <cell r="V2208"/>
          <cell r="W2208" t="str">
            <v>박순홍</v>
          </cell>
          <cell r="X2208" t="str">
            <v>(인)</v>
          </cell>
          <cell r="Y2208" t="str">
            <v>박순홍</v>
          </cell>
          <cell r="Z2208" t="str">
            <v>(인)</v>
          </cell>
          <cell r="AA2208" t="str">
            <v>박상갑</v>
          </cell>
          <cell r="AB2208" t="str">
            <v>(인)</v>
          </cell>
          <cell r="AC2208" t="str">
            <v>이홍걸</v>
          </cell>
          <cell r="AD2208" t="str">
            <v>(인)</v>
          </cell>
          <cell r="AE2208">
            <v>183.2</v>
          </cell>
          <cell r="AF2208" t="str">
            <v>표준</v>
          </cell>
          <cell r="AG2208">
            <v>1</v>
          </cell>
          <cell r="AH2208">
            <v>1</v>
          </cell>
          <cell r="AI2208">
            <v>2882</v>
          </cell>
          <cell r="AJ2208">
            <v>2894</v>
          </cell>
          <cell r="AK2208">
            <v>229000</v>
          </cell>
          <cell r="AL2208">
            <v>3804</v>
          </cell>
          <cell r="AM2208">
            <v>3788</v>
          </cell>
          <cell r="AN2208">
            <v>3629</v>
          </cell>
          <cell r="AO2208">
            <v>3671</v>
          </cell>
          <cell r="AP2208">
            <v>3820</v>
          </cell>
          <cell r="AQ2208">
            <v>3764</v>
          </cell>
          <cell r="AR2208">
            <v>3639</v>
          </cell>
          <cell r="AS2208">
            <v>3828</v>
          </cell>
          <cell r="AT2208">
            <v>295800</v>
          </cell>
        </row>
        <row r="2209">
          <cell r="G2209">
            <v>2505210102</v>
          </cell>
          <cell r="H2209" t="str">
            <v>116동</v>
          </cell>
          <cell r="I2209">
            <v>250521</v>
          </cell>
          <cell r="J2209" t="str">
            <v>116동 21층 바닥</v>
          </cell>
          <cell r="K2209">
            <v>310</v>
          </cell>
          <cell r="L2209">
            <v>310</v>
          </cell>
          <cell r="M2209">
            <v>3018</v>
          </cell>
          <cell r="N2209" t="str">
            <v>대원</v>
          </cell>
          <cell r="O2209" t="str">
            <v>펌프카(1대)</v>
          </cell>
          <cell r="P2209">
            <v>817</v>
          </cell>
          <cell r="Q2209">
            <v>1411</v>
          </cell>
          <cell r="R2209">
            <v>190</v>
          </cell>
          <cell r="S2209">
            <v>42</v>
          </cell>
          <cell r="T2209">
            <v>75</v>
          </cell>
          <cell r="U2209">
            <v>246</v>
          </cell>
          <cell r="V2209"/>
          <cell r="W2209" t="str">
            <v>박순홍</v>
          </cell>
          <cell r="X2209" t="str">
            <v>(인)</v>
          </cell>
          <cell r="Y2209" t="str">
            <v>박순홍</v>
          </cell>
          <cell r="Z2209" t="str">
            <v>(인)</v>
          </cell>
          <cell r="AA2209" t="str">
            <v>박상갑</v>
          </cell>
          <cell r="AB2209" t="str">
            <v>(인)</v>
          </cell>
          <cell r="AC2209" t="str">
            <v>이홍걸</v>
          </cell>
          <cell r="AD2209" t="str">
            <v>(인)</v>
          </cell>
          <cell r="AE2209">
            <v>181.8</v>
          </cell>
          <cell r="AF2209" t="str">
            <v>표준</v>
          </cell>
          <cell r="AG2209">
            <v>2</v>
          </cell>
          <cell r="AH2209">
            <v>0</v>
          </cell>
        </row>
        <row r="2210">
          <cell r="G2210">
            <v>2505210103</v>
          </cell>
          <cell r="H2210" t="str">
            <v>116동</v>
          </cell>
          <cell r="I2210">
            <v>250521</v>
          </cell>
          <cell r="J2210" t="str">
            <v>116동 21층 바닥</v>
          </cell>
          <cell r="K2210">
            <v>310</v>
          </cell>
          <cell r="L2210">
            <v>310</v>
          </cell>
          <cell r="M2210">
            <v>3018</v>
          </cell>
          <cell r="N2210" t="str">
            <v>대원</v>
          </cell>
          <cell r="O2210" t="str">
            <v>펌프카(1대)</v>
          </cell>
          <cell r="P2210">
            <v>817</v>
          </cell>
          <cell r="Q2210">
            <v>1411</v>
          </cell>
          <cell r="R2210">
            <v>170</v>
          </cell>
          <cell r="S2210">
            <v>40</v>
          </cell>
          <cell r="T2210">
            <v>23</v>
          </cell>
          <cell r="U2210">
            <v>232</v>
          </cell>
          <cell r="V2210"/>
          <cell r="W2210" t="str">
            <v>박순홍</v>
          </cell>
          <cell r="X2210" t="str">
            <v>(인)</v>
          </cell>
          <cell r="Y2210" t="str">
            <v>박순홍</v>
          </cell>
          <cell r="Z2210" t="str">
            <v>(인)</v>
          </cell>
          <cell r="AA2210" t="str">
            <v>박상갑</v>
          </cell>
          <cell r="AB2210" t="str">
            <v>(인)</v>
          </cell>
          <cell r="AC2210" t="str">
            <v>이홍걸</v>
          </cell>
          <cell r="AD2210" t="str">
            <v>(인)</v>
          </cell>
          <cell r="AE2210">
            <v>181.9</v>
          </cell>
          <cell r="AF2210" t="str">
            <v>표준</v>
          </cell>
          <cell r="AG2210">
            <v>3</v>
          </cell>
          <cell r="AH2210">
            <v>0</v>
          </cell>
        </row>
        <row r="2211">
          <cell r="G2211">
            <v>2505210201</v>
          </cell>
          <cell r="H2211" t="str">
            <v>주차장</v>
          </cell>
          <cell r="I2211">
            <v>250521</v>
          </cell>
          <cell r="J2211" t="str">
            <v>109동 주변주차장 누름</v>
          </cell>
          <cell r="K2211">
            <v>71</v>
          </cell>
          <cell r="L2211">
            <v>71</v>
          </cell>
          <cell r="M2211">
            <v>1815</v>
          </cell>
          <cell r="N2211" t="str">
            <v>영진</v>
          </cell>
          <cell r="O2211" t="str">
            <v>펌프카(1대)</v>
          </cell>
          <cell r="P2211">
            <v>1500</v>
          </cell>
          <cell r="Q2211">
            <v>1630</v>
          </cell>
          <cell r="R2211">
            <v>145</v>
          </cell>
          <cell r="S2211">
            <v>44</v>
          </cell>
          <cell r="T2211">
            <v>68</v>
          </cell>
          <cell r="U2211">
            <v>245</v>
          </cell>
          <cell r="V2211"/>
          <cell r="W2211" t="str">
            <v>박순홍</v>
          </cell>
          <cell r="X2211" t="str">
            <v>(인)</v>
          </cell>
          <cell r="Y2211" t="str">
            <v>박순홍</v>
          </cell>
          <cell r="Z2211" t="str">
            <v>(인)</v>
          </cell>
          <cell r="AA2211" t="str">
            <v>박상갑</v>
          </cell>
          <cell r="AB2211" t="str">
            <v>(인)</v>
          </cell>
          <cell r="AC2211" t="str">
            <v>이홍걸</v>
          </cell>
          <cell r="AD2211" t="str">
            <v>(인)</v>
          </cell>
          <cell r="AE2211">
            <v>173</v>
          </cell>
          <cell r="AF2211" t="str">
            <v>표준</v>
          </cell>
          <cell r="AG2211">
            <v>1</v>
          </cell>
          <cell r="AH2211">
            <v>1</v>
          </cell>
          <cell r="AI2211">
            <v>1591</v>
          </cell>
          <cell r="AJ2211">
            <v>1570</v>
          </cell>
          <cell r="AK2211">
            <v>120400</v>
          </cell>
          <cell r="AL2211">
            <v>2335</v>
          </cell>
          <cell r="AM2211">
            <v>2376</v>
          </cell>
          <cell r="AN2211">
            <v>2345</v>
          </cell>
          <cell r="AO2211">
            <v>2286</v>
          </cell>
          <cell r="AP2211">
            <v>2483</v>
          </cell>
          <cell r="AQ2211">
            <v>2256</v>
          </cell>
          <cell r="AR2211">
            <v>2473</v>
          </cell>
          <cell r="AS2211">
            <v>2344</v>
          </cell>
          <cell r="AT2211">
            <v>190200</v>
          </cell>
        </row>
        <row r="2212">
          <cell r="G2212">
            <v>2505220101</v>
          </cell>
          <cell r="H2212" t="str">
            <v>115동</v>
          </cell>
          <cell r="I2212">
            <v>250522</v>
          </cell>
          <cell r="J2212" t="str">
            <v>115동 24층 바닥</v>
          </cell>
          <cell r="K2212">
            <v>168</v>
          </cell>
          <cell r="L2212">
            <v>168</v>
          </cell>
          <cell r="M2212">
            <v>3018</v>
          </cell>
          <cell r="N2212" t="str">
            <v>대공</v>
          </cell>
          <cell r="O2212" t="str">
            <v>펌프카(1대)</v>
          </cell>
          <cell r="P2212">
            <v>816</v>
          </cell>
          <cell r="Q2212">
            <v>1327</v>
          </cell>
          <cell r="R2212">
            <v>170</v>
          </cell>
          <cell r="S2212">
            <v>40</v>
          </cell>
          <cell r="T2212">
            <v>32</v>
          </cell>
          <cell r="U2212">
            <v>178</v>
          </cell>
          <cell r="V2212"/>
          <cell r="W2212" t="str">
            <v>김광록</v>
          </cell>
          <cell r="X2212" t="str">
            <v>(인)</v>
          </cell>
          <cell r="Y2212" t="str">
            <v>박순홍</v>
          </cell>
          <cell r="Z2212" t="str">
            <v>(인)</v>
          </cell>
          <cell r="AA2212" t="str">
            <v>박상갑</v>
          </cell>
          <cell r="AB2212" t="str">
            <v>(인)</v>
          </cell>
          <cell r="AC2212" t="str">
            <v>이홍걸</v>
          </cell>
          <cell r="AD2212" t="str">
            <v>(인)</v>
          </cell>
          <cell r="AE2212">
            <v>179.2</v>
          </cell>
          <cell r="AF2212" t="str">
            <v>표준</v>
          </cell>
          <cell r="AG2212">
            <v>1</v>
          </cell>
          <cell r="AH2212">
            <v>1</v>
          </cell>
          <cell r="AI2212">
            <v>2864</v>
          </cell>
          <cell r="AJ2212">
            <v>2810</v>
          </cell>
          <cell r="AK2212">
            <v>217600</v>
          </cell>
          <cell r="AL2212">
            <v>3763</v>
          </cell>
          <cell r="AM2212">
            <v>3820</v>
          </cell>
          <cell r="AN2212">
            <v>3715</v>
          </cell>
          <cell r="AO2212">
            <v>3789</v>
          </cell>
          <cell r="AP2212">
            <v>3694</v>
          </cell>
          <cell r="AQ2212">
            <v>3629</v>
          </cell>
          <cell r="AR2212">
            <v>3818</v>
          </cell>
          <cell r="AS2212">
            <v>3766</v>
          </cell>
          <cell r="AT2212">
            <v>294800</v>
          </cell>
        </row>
        <row r="2213">
          <cell r="G2213">
            <v>2505220102</v>
          </cell>
          <cell r="H2213" t="str">
            <v>115동</v>
          </cell>
          <cell r="I2213">
            <v>250522</v>
          </cell>
          <cell r="J2213" t="str">
            <v>115동 24층 바닥</v>
          </cell>
          <cell r="K2213">
            <v>168</v>
          </cell>
          <cell r="L2213">
            <v>168</v>
          </cell>
          <cell r="M2213">
            <v>3018</v>
          </cell>
          <cell r="N2213" t="str">
            <v>대공</v>
          </cell>
          <cell r="O2213" t="str">
            <v>펌프카(1대)</v>
          </cell>
          <cell r="P2213">
            <v>816</v>
          </cell>
          <cell r="Q2213">
            <v>1327</v>
          </cell>
          <cell r="R2213">
            <v>185</v>
          </cell>
          <cell r="S2213">
            <v>46</v>
          </cell>
          <cell r="T2213">
            <v>101</v>
          </cell>
          <cell r="U2213">
            <v>193</v>
          </cell>
          <cell r="V2213"/>
          <cell r="W2213" t="str">
            <v>김광록</v>
          </cell>
          <cell r="X2213" t="str">
            <v>(인)</v>
          </cell>
          <cell r="Y2213" t="str">
            <v>박순홍</v>
          </cell>
          <cell r="Z2213" t="str">
            <v>(인)</v>
          </cell>
          <cell r="AA2213" t="str">
            <v>박상갑</v>
          </cell>
          <cell r="AB2213" t="str">
            <v>(인)</v>
          </cell>
          <cell r="AC2213" t="str">
            <v>이홍걸</v>
          </cell>
          <cell r="AD2213" t="str">
            <v>(인)</v>
          </cell>
          <cell r="AE2213">
            <v>179.1</v>
          </cell>
          <cell r="AF2213" t="str">
            <v>표준</v>
          </cell>
          <cell r="AG2213">
            <v>2</v>
          </cell>
          <cell r="AH2213">
            <v>0</v>
          </cell>
        </row>
        <row r="2214">
          <cell r="G2214">
            <v>2505220201</v>
          </cell>
          <cell r="H2214" t="str">
            <v>119동</v>
          </cell>
          <cell r="I2214">
            <v>250522</v>
          </cell>
          <cell r="J2214" t="str">
            <v>119동 19층 바닥 108동 옥탑</v>
          </cell>
          <cell r="K2214">
            <v>204</v>
          </cell>
          <cell r="L2214">
            <v>204</v>
          </cell>
          <cell r="M2214">
            <v>3018</v>
          </cell>
          <cell r="N2214" t="str">
            <v>동양</v>
          </cell>
          <cell r="O2214" t="str">
            <v>펌프카(1대)</v>
          </cell>
          <cell r="P2214">
            <v>810</v>
          </cell>
          <cell r="Q2214">
            <v>1255</v>
          </cell>
          <cell r="R2214">
            <v>180</v>
          </cell>
          <cell r="S2214">
            <v>52</v>
          </cell>
          <cell r="T2214">
            <v>27</v>
          </cell>
          <cell r="U2214">
            <v>201</v>
          </cell>
          <cell r="V2214"/>
          <cell r="W2214" t="str">
            <v>김광록</v>
          </cell>
          <cell r="X2214" t="str">
            <v>(인)</v>
          </cell>
          <cell r="Y2214" t="str">
            <v>박순홍</v>
          </cell>
          <cell r="Z2214" t="str">
            <v>(인)</v>
          </cell>
          <cell r="AA2214" t="str">
            <v>박상갑</v>
          </cell>
          <cell r="AB2214" t="str">
            <v>(인)</v>
          </cell>
          <cell r="AC2214" t="str">
            <v>이홍걸</v>
          </cell>
          <cell r="AD2214" t="str">
            <v>(인)</v>
          </cell>
          <cell r="AE2214">
            <v>184</v>
          </cell>
          <cell r="AF2214" t="str">
            <v>표준</v>
          </cell>
          <cell r="AG2214">
            <v>1</v>
          </cell>
          <cell r="AH2214">
            <v>1</v>
          </cell>
          <cell r="AI2214">
            <v>2905</v>
          </cell>
          <cell r="AJ2214">
            <v>2871</v>
          </cell>
          <cell r="AK2214">
            <v>226200</v>
          </cell>
          <cell r="AL2214">
            <v>3765</v>
          </cell>
          <cell r="AM2214">
            <v>3729</v>
          </cell>
          <cell r="AN2214">
            <v>3788</v>
          </cell>
          <cell r="AO2214">
            <v>3596</v>
          </cell>
          <cell r="AP2214">
            <v>3766</v>
          </cell>
          <cell r="AQ2214">
            <v>3684</v>
          </cell>
          <cell r="AR2214">
            <v>3770</v>
          </cell>
          <cell r="AS2214">
            <v>3628</v>
          </cell>
          <cell r="AT2214">
            <v>277400</v>
          </cell>
        </row>
        <row r="2215">
          <cell r="G2215">
            <v>2505220202</v>
          </cell>
          <cell r="H2215" t="str">
            <v>119동</v>
          </cell>
          <cell r="I2215">
            <v>250522</v>
          </cell>
          <cell r="J2215" t="str">
            <v>119동 19층 바닥 108동 옥탑</v>
          </cell>
          <cell r="K2215">
            <v>204</v>
          </cell>
          <cell r="L2215">
            <v>204</v>
          </cell>
          <cell r="M2215">
            <v>3018</v>
          </cell>
          <cell r="N2215" t="str">
            <v>동양</v>
          </cell>
          <cell r="O2215" t="str">
            <v>펌프카(1대)</v>
          </cell>
          <cell r="P2215">
            <v>810</v>
          </cell>
          <cell r="Q2215">
            <v>1255</v>
          </cell>
          <cell r="R2215">
            <v>185</v>
          </cell>
          <cell r="S2215">
            <v>45</v>
          </cell>
          <cell r="T2215">
            <v>21</v>
          </cell>
          <cell r="U2215">
            <v>211</v>
          </cell>
          <cell r="V2215"/>
          <cell r="W2215" t="str">
            <v>김광록</v>
          </cell>
          <cell r="X2215" t="str">
            <v>(인)</v>
          </cell>
          <cell r="Y2215" t="str">
            <v>박순홍</v>
          </cell>
          <cell r="Z2215" t="str">
            <v>(인)</v>
          </cell>
          <cell r="AA2215" t="str">
            <v>박상갑</v>
          </cell>
          <cell r="AB2215" t="str">
            <v>(인)</v>
          </cell>
          <cell r="AC2215" t="str">
            <v>이홍걸</v>
          </cell>
          <cell r="AD2215" t="str">
            <v>(인)</v>
          </cell>
          <cell r="AE2215">
            <v>183.5</v>
          </cell>
          <cell r="AF2215" t="str">
            <v>표준</v>
          </cell>
          <cell r="AG2215">
            <v>2</v>
          </cell>
          <cell r="AH2215">
            <v>0</v>
          </cell>
        </row>
        <row r="2216">
          <cell r="G2216">
            <v>2505220301</v>
          </cell>
          <cell r="H2216" t="str">
            <v>주차장 누름</v>
          </cell>
          <cell r="I2216">
            <v>250522</v>
          </cell>
          <cell r="J2216" t="str">
            <v>118동 주변주차장 누름</v>
          </cell>
          <cell r="K2216">
            <v>94</v>
          </cell>
          <cell r="L2216">
            <v>94</v>
          </cell>
          <cell r="M2216">
            <v>1815</v>
          </cell>
          <cell r="N2216" t="str">
            <v>용호</v>
          </cell>
          <cell r="O2216" t="str">
            <v>펌프카(1대)</v>
          </cell>
          <cell r="P2216">
            <v>1525</v>
          </cell>
          <cell r="Q2216">
            <v>1720</v>
          </cell>
          <cell r="R2216">
            <v>150</v>
          </cell>
          <cell r="S2216">
            <v>48</v>
          </cell>
          <cell r="T2216">
            <v>42</v>
          </cell>
          <cell r="U2216">
            <v>201</v>
          </cell>
          <cell r="V2216"/>
          <cell r="W2216" t="str">
            <v>김광록</v>
          </cell>
          <cell r="X2216" t="str">
            <v>(인)</v>
          </cell>
          <cell r="Y2216" t="str">
            <v>박순홍</v>
          </cell>
          <cell r="Z2216" t="str">
            <v>(인)</v>
          </cell>
          <cell r="AA2216" t="str">
            <v>박상갑</v>
          </cell>
          <cell r="AB2216" t="str">
            <v>(인)</v>
          </cell>
          <cell r="AC2216" t="str">
            <v>이홍걸</v>
          </cell>
          <cell r="AD2216" t="str">
            <v>(인)</v>
          </cell>
          <cell r="AE2216">
            <v>180.5</v>
          </cell>
          <cell r="AF2216" t="str">
            <v>표준</v>
          </cell>
          <cell r="AG2216">
            <v>1</v>
          </cell>
          <cell r="AH2216">
            <v>1</v>
          </cell>
          <cell r="AI2216">
            <v>1538</v>
          </cell>
          <cell r="AJ2216">
            <v>1577</v>
          </cell>
          <cell r="AK2216">
            <v>123000</v>
          </cell>
          <cell r="AL2216">
            <v>2388</v>
          </cell>
          <cell r="AM2216">
            <v>2420</v>
          </cell>
          <cell r="AN2216">
            <v>2480</v>
          </cell>
          <cell r="AO2216">
            <v>2455</v>
          </cell>
          <cell r="AP2216">
            <v>2358</v>
          </cell>
          <cell r="AQ2216">
            <v>2363</v>
          </cell>
          <cell r="AR2216">
            <v>2477</v>
          </cell>
          <cell r="AS2216">
            <v>2469</v>
          </cell>
          <cell r="AT2216">
            <v>190800</v>
          </cell>
        </row>
        <row r="2217">
          <cell r="G2217">
            <v>2505260101</v>
          </cell>
          <cell r="H2217" t="str">
            <v>112동</v>
          </cell>
          <cell r="I2217">
            <v>250526</v>
          </cell>
          <cell r="J2217" t="str">
            <v>112동 21층 바닥 및 107동 1코어 주출입구</v>
          </cell>
          <cell r="K2217">
            <v>226</v>
          </cell>
          <cell r="L2217">
            <v>226</v>
          </cell>
          <cell r="M2217">
            <v>3018</v>
          </cell>
          <cell r="N2217" t="str">
            <v>대원</v>
          </cell>
          <cell r="O2217" t="str">
            <v>펌프카(1대)</v>
          </cell>
          <cell r="P2217">
            <v>810</v>
          </cell>
          <cell r="Q2217">
            <v>1417</v>
          </cell>
          <cell r="R2217">
            <v>200</v>
          </cell>
          <cell r="S2217">
            <v>48</v>
          </cell>
          <cell r="T2217">
            <v>64</v>
          </cell>
          <cell r="U2217">
            <v>203</v>
          </cell>
          <cell r="V2217"/>
          <cell r="W2217" t="str">
            <v>김광록</v>
          </cell>
          <cell r="X2217" t="str">
            <v>(인)</v>
          </cell>
          <cell r="Y2217" t="str">
            <v>박순홍</v>
          </cell>
          <cell r="Z2217" t="str">
            <v>(인)</v>
          </cell>
          <cell r="AA2217" t="str">
            <v>이홍걸</v>
          </cell>
          <cell r="AB2217" t="str">
            <v>(인)</v>
          </cell>
          <cell r="AC2217" t="str">
            <v>박상갑</v>
          </cell>
          <cell r="AD2217" t="str">
            <v>(인)</v>
          </cell>
          <cell r="AE2217">
            <v>185.9</v>
          </cell>
          <cell r="AF2217" t="str">
            <v>표준</v>
          </cell>
          <cell r="AG2217">
            <v>1</v>
          </cell>
          <cell r="AH2217">
            <v>1</v>
          </cell>
          <cell r="AI2217">
            <v>2837</v>
          </cell>
          <cell r="AJ2217">
            <v>2869</v>
          </cell>
          <cell r="AK2217">
            <v>221600</v>
          </cell>
          <cell r="AL2217">
            <v>3875</v>
          </cell>
          <cell r="AM2217">
            <v>3837</v>
          </cell>
          <cell r="AN2217">
            <v>4014</v>
          </cell>
          <cell r="AO2217">
            <v>3988</v>
          </cell>
          <cell r="AP2217">
            <v>4037</v>
          </cell>
          <cell r="AQ2217">
            <v>4062</v>
          </cell>
          <cell r="AR2217">
            <v>3986</v>
          </cell>
          <cell r="AS2217">
            <v>3872</v>
          </cell>
          <cell r="AT2217">
            <v>307800</v>
          </cell>
        </row>
        <row r="2218">
          <cell r="G2218">
            <v>2505260102</v>
          </cell>
          <cell r="H2218" t="str">
            <v>112동</v>
          </cell>
          <cell r="I2218">
            <v>250526</v>
          </cell>
          <cell r="J2218" t="str">
            <v>112동 21층 바닥 및 107동 1코어 주출입구</v>
          </cell>
          <cell r="K2218">
            <v>226</v>
          </cell>
          <cell r="L2218">
            <v>226</v>
          </cell>
          <cell r="M2218">
            <v>3018</v>
          </cell>
          <cell r="N2218" t="str">
            <v>대원</v>
          </cell>
          <cell r="O2218" t="str">
            <v>펌프카(1대)</v>
          </cell>
          <cell r="P2218">
            <v>810</v>
          </cell>
          <cell r="Q2218">
            <v>1417</v>
          </cell>
          <cell r="R2218">
            <v>195</v>
          </cell>
          <cell r="S2218">
            <v>44</v>
          </cell>
          <cell r="T2218">
            <v>140</v>
          </cell>
          <cell r="U2218">
            <v>191</v>
          </cell>
          <cell r="V2218"/>
          <cell r="W2218" t="str">
            <v>김광록</v>
          </cell>
          <cell r="X2218" t="str">
            <v>(인)</v>
          </cell>
          <cell r="Y2218" t="str">
            <v>박순홍</v>
          </cell>
          <cell r="Z2218" t="str">
            <v>(인)</v>
          </cell>
          <cell r="AA2218" t="str">
            <v>이홍걸</v>
          </cell>
          <cell r="AB2218" t="str">
            <v>(인)</v>
          </cell>
          <cell r="AC2218" t="str">
            <v>박상갑</v>
          </cell>
          <cell r="AD2218" t="str">
            <v>(인)</v>
          </cell>
          <cell r="AE2218">
            <v>185.5</v>
          </cell>
          <cell r="AF2218" t="str">
            <v>표준</v>
          </cell>
          <cell r="AG2218">
            <v>2</v>
          </cell>
          <cell r="AH2218">
            <v>0</v>
          </cell>
        </row>
        <row r="2219">
          <cell r="G2219">
            <v>2505260201</v>
          </cell>
          <cell r="H2219" t="str">
            <v>118동</v>
          </cell>
          <cell r="I2219">
            <v>250526</v>
          </cell>
          <cell r="J2219" t="str">
            <v>118동 21층 바닥 및 114동 옥상난간 2차</v>
          </cell>
          <cell r="K2219">
            <v>299</v>
          </cell>
          <cell r="L2219">
            <v>299</v>
          </cell>
          <cell r="M2219">
            <v>3018</v>
          </cell>
          <cell r="N2219" t="str">
            <v>영진</v>
          </cell>
          <cell r="O2219" t="str">
            <v>펌프카(1대)</v>
          </cell>
          <cell r="P2219">
            <v>800</v>
          </cell>
          <cell r="Q2219">
            <v>1700</v>
          </cell>
          <cell r="R2219">
            <v>190</v>
          </cell>
          <cell r="S2219">
            <v>49</v>
          </cell>
          <cell r="T2219">
            <v>107</v>
          </cell>
          <cell r="U2219">
            <v>195</v>
          </cell>
          <cell r="V2219"/>
          <cell r="W2219" t="str">
            <v>김광록</v>
          </cell>
          <cell r="X2219" t="str">
            <v>(인)</v>
          </cell>
          <cell r="Y2219" t="str">
            <v>박순홍</v>
          </cell>
          <cell r="Z2219" t="str">
            <v>(인)</v>
          </cell>
          <cell r="AA2219" t="str">
            <v>이홍걸</v>
          </cell>
          <cell r="AB2219" t="str">
            <v>(인)</v>
          </cell>
          <cell r="AC2219" t="str">
            <v>박상갑</v>
          </cell>
          <cell r="AD2219" t="str">
            <v>(인)</v>
          </cell>
          <cell r="AE2219">
            <v>184.2</v>
          </cell>
          <cell r="AF2219" t="str">
            <v>표준</v>
          </cell>
          <cell r="AG2219">
            <v>1</v>
          </cell>
          <cell r="AH2219">
            <v>1</v>
          </cell>
          <cell r="AI2219">
            <v>2906</v>
          </cell>
          <cell r="AJ2219">
            <v>2836</v>
          </cell>
          <cell r="AK2219">
            <v>225200</v>
          </cell>
          <cell r="AL2219">
            <v>4003</v>
          </cell>
          <cell r="AM2219">
            <v>4089</v>
          </cell>
          <cell r="AN2219">
            <v>4072</v>
          </cell>
          <cell r="AO2219">
            <v>3962</v>
          </cell>
          <cell r="AP2219">
            <v>3972</v>
          </cell>
          <cell r="AQ2219">
            <v>4073</v>
          </cell>
          <cell r="AR2219">
            <v>4112</v>
          </cell>
          <cell r="AS2219">
            <v>4087</v>
          </cell>
          <cell r="AT2219">
            <v>313400</v>
          </cell>
        </row>
        <row r="2220">
          <cell r="G2220">
            <v>2505260202</v>
          </cell>
          <cell r="H2220" t="str">
            <v>118동</v>
          </cell>
          <cell r="I2220">
            <v>250526</v>
          </cell>
          <cell r="J2220" t="str">
            <v>118동 21층 바닥 및 114동 옥상난간 2차</v>
          </cell>
          <cell r="K2220">
            <v>299</v>
          </cell>
          <cell r="L2220">
            <v>299</v>
          </cell>
          <cell r="M2220">
            <v>3018</v>
          </cell>
          <cell r="N2220" t="str">
            <v>영진</v>
          </cell>
          <cell r="O2220" t="str">
            <v>펌프카(1대)</v>
          </cell>
          <cell r="P2220">
            <v>800</v>
          </cell>
          <cell r="Q2220">
            <v>1700</v>
          </cell>
          <cell r="R2220">
            <v>175</v>
          </cell>
          <cell r="S2220">
            <v>44</v>
          </cell>
          <cell r="T2220">
            <v>45</v>
          </cell>
          <cell r="U2220">
            <v>175</v>
          </cell>
          <cell r="V2220"/>
          <cell r="W2220" t="str">
            <v>김광록</v>
          </cell>
          <cell r="X2220" t="str">
            <v>(인)</v>
          </cell>
          <cell r="Y2220" t="str">
            <v>박순홍</v>
          </cell>
          <cell r="Z2220" t="str">
            <v>(인)</v>
          </cell>
          <cell r="AA2220" t="str">
            <v>이홍걸</v>
          </cell>
          <cell r="AB2220" t="str">
            <v>(인)</v>
          </cell>
          <cell r="AC2220" t="str">
            <v>박상갑</v>
          </cell>
          <cell r="AD2220" t="str">
            <v>(인)</v>
          </cell>
          <cell r="AE2220">
            <v>180.5</v>
          </cell>
          <cell r="AF2220" t="str">
            <v>표준</v>
          </cell>
          <cell r="AG2220">
            <v>2</v>
          </cell>
          <cell r="AH2220">
            <v>0</v>
          </cell>
        </row>
        <row r="2221">
          <cell r="G2221">
            <v>2505260203</v>
          </cell>
          <cell r="H2221" t="str">
            <v>118동</v>
          </cell>
          <cell r="I2221">
            <v>250526</v>
          </cell>
          <cell r="J2221" t="str">
            <v>118동 21층 바닥 및 114동 옥상난간 2차</v>
          </cell>
          <cell r="K2221">
            <v>299</v>
          </cell>
          <cell r="L2221">
            <v>299</v>
          </cell>
          <cell r="M2221">
            <v>3018</v>
          </cell>
          <cell r="N2221" t="str">
            <v>영진</v>
          </cell>
          <cell r="O2221" t="str">
            <v>펌프카(1대)</v>
          </cell>
          <cell r="P2221">
            <v>800</v>
          </cell>
          <cell r="Q2221">
            <v>1700</v>
          </cell>
          <cell r="R2221">
            <v>170</v>
          </cell>
          <cell r="S2221">
            <v>41</v>
          </cell>
          <cell r="T2221">
            <v>33</v>
          </cell>
          <cell r="U2221">
            <v>173</v>
          </cell>
          <cell r="V2221"/>
          <cell r="W2221" t="str">
            <v>김광록</v>
          </cell>
          <cell r="X2221" t="str">
            <v>(인)</v>
          </cell>
          <cell r="Y2221" t="str">
            <v>박순홍</v>
          </cell>
          <cell r="Z2221" t="str">
            <v>(인)</v>
          </cell>
          <cell r="AA2221" t="str">
            <v>이홍걸</v>
          </cell>
          <cell r="AB2221" t="str">
            <v>(인)</v>
          </cell>
          <cell r="AC2221" t="str">
            <v>박상갑</v>
          </cell>
          <cell r="AD2221" t="str">
            <v>(인)</v>
          </cell>
          <cell r="AE2221">
            <v>185.5</v>
          </cell>
          <cell r="AF2221" t="str">
            <v>표준</v>
          </cell>
          <cell r="AG2221">
            <v>3</v>
          </cell>
          <cell r="AH2221">
            <v>0</v>
          </cell>
        </row>
        <row r="2222">
          <cell r="G2222">
            <v>2505270101</v>
          </cell>
          <cell r="H2222" t="str">
            <v>115동</v>
          </cell>
          <cell r="I2222">
            <v>250527</v>
          </cell>
          <cell r="J2222" t="str">
            <v>115동 1코어 옥탑</v>
          </cell>
          <cell r="K2222">
            <v>39</v>
          </cell>
          <cell r="L2222">
            <v>39</v>
          </cell>
          <cell r="M2222">
            <v>3018</v>
          </cell>
          <cell r="N2222" t="str">
            <v>용호</v>
          </cell>
          <cell r="O2222" t="str">
            <v>호퍼</v>
          </cell>
          <cell r="P2222">
            <v>808</v>
          </cell>
          <cell r="Q2222">
            <v>1213</v>
          </cell>
          <cell r="R2222">
            <v>180</v>
          </cell>
          <cell r="S2222">
            <v>40</v>
          </cell>
          <cell r="T2222">
            <v>108</v>
          </cell>
          <cell r="U2222">
            <v>198</v>
          </cell>
          <cell r="V2222"/>
          <cell r="W2222" t="str">
            <v>김광록</v>
          </cell>
          <cell r="X2222" t="str">
            <v>(인)</v>
          </cell>
          <cell r="Y2222" t="str">
            <v>박순홍</v>
          </cell>
          <cell r="Z2222" t="str">
            <v>(인)</v>
          </cell>
          <cell r="AA2222" t="str">
            <v>이홍걸</v>
          </cell>
          <cell r="AB2222" t="str">
            <v>(인)</v>
          </cell>
          <cell r="AC2222" t="str">
            <v>박상갑</v>
          </cell>
          <cell r="AD2222" t="str">
            <v>(인)</v>
          </cell>
          <cell r="AE2222">
            <v>180.5</v>
          </cell>
          <cell r="AF2222" t="str">
            <v>표준</v>
          </cell>
          <cell r="AG2222">
            <v>1</v>
          </cell>
          <cell r="AH2222">
            <v>1</v>
          </cell>
          <cell r="AI2222">
            <v>2806</v>
          </cell>
          <cell r="AJ2222">
            <v>2837</v>
          </cell>
          <cell r="AK2222">
            <v>222400</v>
          </cell>
          <cell r="AL2222">
            <v>3926</v>
          </cell>
          <cell r="AM2222">
            <v>4046</v>
          </cell>
          <cell r="AN2222">
            <v>3876</v>
          </cell>
          <cell r="AO2222">
            <v>3926</v>
          </cell>
          <cell r="AP2222">
            <v>3862</v>
          </cell>
          <cell r="AQ2222">
            <v>3874</v>
          </cell>
          <cell r="AR2222">
            <v>3902</v>
          </cell>
          <cell r="AS2222">
            <v>3916</v>
          </cell>
          <cell r="AT2222">
            <v>298600</v>
          </cell>
        </row>
        <row r="2223">
          <cell r="G2223">
            <v>2505280101</v>
          </cell>
          <cell r="H2223" t="str">
            <v>120동</v>
          </cell>
          <cell r="I2223">
            <v>250528</v>
          </cell>
          <cell r="J2223" t="str">
            <v>120동 18층 바닥</v>
          </cell>
          <cell r="K2223">
            <v>150</v>
          </cell>
          <cell r="L2223">
            <v>150</v>
          </cell>
          <cell r="M2223">
            <v>3018</v>
          </cell>
          <cell r="N2223" t="str">
            <v>대공</v>
          </cell>
          <cell r="O2223" t="str">
            <v>펌프카(1대)</v>
          </cell>
          <cell r="P2223">
            <v>906</v>
          </cell>
          <cell r="Q2223">
            <v>1202</v>
          </cell>
          <cell r="R2223">
            <v>200</v>
          </cell>
          <cell r="S2223">
            <v>35</v>
          </cell>
          <cell r="T2223">
            <v>12</v>
          </cell>
          <cell r="U2223">
            <v>218</v>
          </cell>
          <cell r="V2223"/>
          <cell r="W2223" t="str">
            <v>박순홍</v>
          </cell>
          <cell r="X2223" t="str">
            <v>(인)</v>
          </cell>
          <cell r="Y2223" t="str">
            <v>박순홍</v>
          </cell>
          <cell r="Z2223" t="str">
            <v>(인)</v>
          </cell>
          <cell r="AA2223" t="str">
            <v>이홍걸</v>
          </cell>
          <cell r="AB2223" t="str">
            <v>(인)</v>
          </cell>
          <cell r="AC2223" t="str">
            <v>박상갑</v>
          </cell>
          <cell r="AD2223" t="str">
            <v>(인)</v>
          </cell>
          <cell r="AE2223">
            <v>180.5</v>
          </cell>
          <cell r="AF2223" t="str">
            <v>표준</v>
          </cell>
          <cell r="AG2223">
            <v>1</v>
          </cell>
          <cell r="AH2223">
            <v>1</v>
          </cell>
          <cell r="AI2223">
            <v>2812</v>
          </cell>
          <cell r="AJ2223">
            <v>2797</v>
          </cell>
          <cell r="AK2223">
            <v>216400</v>
          </cell>
          <cell r="AL2223">
            <v>4094</v>
          </cell>
          <cell r="AM2223">
            <v>3936</v>
          </cell>
          <cell r="AN2223">
            <v>4126</v>
          </cell>
          <cell r="AO2223">
            <v>4086</v>
          </cell>
          <cell r="AP2223">
            <v>4127</v>
          </cell>
          <cell r="AQ2223">
            <v>4096</v>
          </cell>
          <cell r="AR2223">
            <v>4164</v>
          </cell>
          <cell r="AS2223">
            <v>4086</v>
          </cell>
          <cell r="AT2223">
            <v>327800</v>
          </cell>
        </row>
        <row r="2224">
          <cell r="G2224">
            <v>2505280102</v>
          </cell>
          <cell r="H2224" t="str">
            <v>120동</v>
          </cell>
          <cell r="I2224">
            <v>250528</v>
          </cell>
          <cell r="J2224" t="str">
            <v>120동 18층 바닥</v>
          </cell>
          <cell r="K2224">
            <v>150</v>
          </cell>
          <cell r="L2224">
            <v>150</v>
          </cell>
          <cell r="M2224">
            <v>3018</v>
          </cell>
          <cell r="N2224" t="str">
            <v>대공</v>
          </cell>
          <cell r="O2224" t="str">
            <v>펌프카(1대)</v>
          </cell>
          <cell r="P2224">
            <v>906</v>
          </cell>
          <cell r="Q2224">
            <v>1202</v>
          </cell>
          <cell r="R2224">
            <v>190</v>
          </cell>
          <cell r="S2224">
            <v>40</v>
          </cell>
          <cell r="T2224">
            <v>16</v>
          </cell>
          <cell r="U2224">
            <v>233</v>
          </cell>
          <cell r="V2224"/>
          <cell r="W2224" t="str">
            <v>박순홍</v>
          </cell>
          <cell r="X2224" t="str">
            <v>(인)</v>
          </cell>
          <cell r="Y2224" t="str">
            <v>박순홍</v>
          </cell>
          <cell r="Z2224" t="str">
            <v>(인)</v>
          </cell>
          <cell r="AA2224" t="str">
            <v>이홍걸</v>
          </cell>
          <cell r="AB2224" t="str">
            <v>(인)</v>
          </cell>
          <cell r="AC2224" t="str">
            <v>박상갑</v>
          </cell>
          <cell r="AD2224" t="str">
            <v>(인)</v>
          </cell>
          <cell r="AE2224">
            <v>185.5</v>
          </cell>
          <cell r="AF2224" t="str">
            <v>표준</v>
          </cell>
          <cell r="AG2224">
            <v>2</v>
          </cell>
          <cell r="AH2224">
            <v>0</v>
          </cell>
        </row>
        <row r="2225">
          <cell r="G2225">
            <v>2505280201</v>
          </cell>
          <cell r="H2225" t="str">
            <v>119동</v>
          </cell>
          <cell r="I2225">
            <v>250528</v>
          </cell>
          <cell r="J2225" t="str">
            <v>119동 1코어 PH1</v>
          </cell>
          <cell r="K2225">
            <v>39</v>
          </cell>
          <cell r="L2225">
            <v>39</v>
          </cell>
          <cell r="M2225">
            <v>3018</v>
          </cell>
          <cell r="N2225" t="str">
            <v>용호</v>
          </cell>
          <cell r="O2225" t="str">
            <v>펌프카(1대)</v>
          </cell>
          <cell r="P2225">
            <v>1151</v>
          </cell>
          <cell r="Q2225">
            <v>1540</v>
          </cell>
          <cell r="R2225">
            <v>180</v>
          </cell>
          <cell r="S2225">
            <v>42</v>
          </cell>
          <cell r="T2225">
            <v>75</v>
          </cell>
          <cell r="U2225">
            <v>238</v>
          </cell>
          <cell r="V2225"/>
          <cell r="W2225" t="str">
            <v>박순홍</v>
          </cell>
          <cell r="X2225" t="str">
            <v>(인)</v>
          </cell>
          <cell r="Y2225" t="str">
            <v>박순홍</v>
          </cell>
          <cell r="Z2225" t="str">
            <v>(인)</v>
          </cell>
          <cell r="AA2225" t="str">
            <v>이홍걸</v>
          </cell>
          <cell r="AB2225" t="str">
            <v>(인)</v>
          </cell>
          <cell r="AC2225" t="str">
            <v>박상갑</v>
          </cell>
          <cell r="AD2225" t="str">
            <v>(인)</v>
          </cell>
          <cell r="AE2225">
            <v>181.3</v>
          </cell>
          <cell r="AF2225" t="str">
            <v>표준</v>
          </cell>
          <cell r="AG2225">
            <v>1</v>
          </cell>
          <cell r="AH2225">
            <v>1</v>
          </cell>
          <cell r="AI2225">
            <v>2902</v>
          </cell>
          <cell r="AJ2225">
            <v>2872</v>
          </cell>
          <cell r="AK2225">
            <v>225000</v>
          </cell>
          <cell r="AL2225">
            <v>4056</v>
          </cell>
          <cell r="AM2225">
            <v>4120</v>
          </cell>
          <cell r="AN2225">
            <v>4087</v>
          </cell>
          <cell r="AO2225">
            <v>4126</v>
          </cell>
          <cell r="AP2225">
            <v>4137</v>
          </cell>
          <cell r="AQ2225">
            <v>4096</v>
          </cell>
          <cell r="AR2225">
            <v>4134</v>
          </cell>
          <cell r="AS2225">
            <v>4084</v>
          </cell>
          <cell r="AT2225">
            <v>329600</v>
          </cell>
        </row>
        <row r="2226">
          <cell r="G2226">
            <v>2505300101</v>
          </cell>
          <cell r="H2226" t="str">
            <v>119동</v>
          </cell>
          <cell r="I2226">
            <v>250530</v>
          </cell>
          <cell r="J2226" t="str">
            <v>119동 20층 바닥</v>
          </cell>
          <cell r="K2226">
            <v>156</v>
          </cell>
          <cell r="L2226">
            <v>156</v>
          </cell>
          <cell r="M2226">
            <v>3018</v>
          </cell>
          <cell r="N2226" t="str">
            <v>용호</v>
          </cell>
          <cell r="O2226" t="str">
            <v>펌프카(1대)</v>
          </cell>
          <cell r="P2226">
            <v>807</v>
          </cell>
          <cell r="Q2226">
            <v>1050</v>
          </cell>
          <cell r="R2226">
            <v>190</v>
          </cell>
          <cell r="S2226">
            <v>44</v>
          </cell>
          <cell r="T2226">
            <v>81</v>
          </cell>
          <cell r="U2226">
            <v>191</v>
          </cell>
          <cell r="V2226"/>
          <cell r="W2226" t="str">
            <v>김광록</v>
          </cell>
          <cell r="X2226" t="str">
            <v>(인)</v>
          </cell>
          <cell r="Y2226" t="str">
            <v>김광록</v>
          </cell>
          <cell r="Z2226" t="str">
            <v>(인)</v>
          </cell>
          <cell r="AA2226" t="str">
            <v>이홍걸</v>
          </cell>
          <cell r="AB2226" t="str">
            <v>(인)</v>
          </cell>
          <cell r="AC2226" t="str">
            <v>박상갑</v>
          </cell>
          <cell r="AD2226" t="str">
            <v>(인)</v>
          </cell>
          <cell r="AE2226">
            <v>185.3</v>
          </cell>
          <cell r="AF2226" t="str">
            <v>표준</v>
          </cell>
          <cell r="AG2226">
            <v>1</v>
          </cell>
          <cell r="AH2226">
            <v>1</v>
          </cell>
          <cell r="AI2226">
            <v>2722</v>
          </cell>
          <cell r="AJ2226">
            <v>2742</v>
          </cell>
          <cell r="AK2226">
            <v>220400</v>
          </cell>
          <cell r="AL2226">
            <v>3707</v>
          </cell>
          <cell r="AM2226">
            <v>3829</v>
          </cell>
          <cell r="AN2226">
            <v>3654</v>
          </cell>
          <cell r="AO2226">
            <v>3770</v>
          </cell>
          <cell r="AP2226">
            <v>3827</v>
          </cell>
          <cell r="AQ2226">
            <v>3688</v>
          </cell>
          <cell r="AR2226">
            <v>3725</v>
          </cell>
          <cell r="AS2226">
            <v>3771</v>
          </cell>
          <cell r="AT2226">
            <v>290800</v>
          </cell>
        </row>
        <row r="2227">
          <cell r="G2227">
            <v>2505300102</v>
          </cell>
          <cell r="H2227" t="str">
            <v>119동</v>
          </cell>
          <cell r="I2227">
            <v>250530</v>
          </cell>
          <cell r="J2227" t="str">
            <v>119동 20층 바닥</v>
          </cell>
          <cell r="K2227">
            <v>156</v>
          </cell>
          <cell r="L2227">
            <v>156</v>
          </cell>
          <cell r="M2227">
            <v>3018</v>
          </cell>
          <cell r="N2227" t="str">
            <v>용호</v>
          </cell>
          <cell r="O2227" t="str">
            <v>펌프카(1대)</v>
          </cell>
          <cell r="P2227">
            <v>807</v>
          </cell>
          <cell r="Q2227">
            <v>1050</v>
          </cell>
          <cell r="R2227">
            <v>200</v>
          </cell>
          <cell r="S2227">
            <v>50</v>
          </cell>
          <cell r="T2227">
            <v>75</v>
          </cell>
          <cell r="U2227">
            <v>201</v>
          </cell>
          <cell r="V2227"/>
          <cell r="W2227" t="str">
            <v>김광록</v>
          </cell>
          <cell r="X2227" t="str">
            <v>(인)</v>
          </cell>
          <cell r="Y2227" t="str">
            <v>김광록</v>
          </cell>
          <cell r="Z2227" t="str">
            <v>(인)</v>
          </cell>
          <cell r="AA2227" t="str">
            <v>이홍걸</v>
          </cell>
          <cell r="AB2227" t="str">
            <v>(인)</v>
          </cell>
          <cell r="AC2227" t="str">
            <v>박상갑</v>
          </cell>
          <cell r="AD2227" t="str">
            <v>(인)</v>
          </cell>
          <cell r="AE2227">
            <v>187.3</v>
          </cell>
          <cell r="AF2227" t="str">
            <v>표준</v>
          </cell>
          <cell r="AG2227">
            <v>2</v>
          </cell>
          <cell r="AH2227">
            <v>0</v>
          </cell>
        </row>
        <row r="2228">
          <cell r="G2228">
            <v>2506020101</v>
          </cell>
          <cell r="H2228" t="str">
            <v>118동</v>
          </cell>
          <cell r="I2228">
            <v>250602</v>
          </cell>
          <cell r="J2228" t="str">
            <v>118동 22층 바닥</v>
          </cell>
          <cell r="K2228">
            <v>285</v>
          </cell>
          <cell r="L2228">
            <v>285</v>
          </cell>
          <cell r="M2228">
            <v>3018</v>
          </cell>
          <cell r="N2228" t="str">
            <v>용호</v>
          </cell>
          <cell r="O2228" t="str">
            <v>펌프카(1대)</v>
          </cell>
          <cell r="P2228">
            <v>828</v>
          </cell>
          <cell r="Q2228">
            <v>1456</v>
          </cell>
          <cell r="R2228">
            <v>190</v>
          </cell>
          <cell r="S2228">
            <v>45</v>
          </cell>
          <cell r="T2228">
            <v>16</v>
          </cell>
          <cell r="U2228">
            <v>201</v>
          </cell>
          <cell r="V2228"/>
          <cell r="W2228" t="str">
            <v>박순홍</v>
          </cell>
          <cell r="X2228" t="str">
            <v>(인)</v>
          </cell>
          <cell r="Y2228" t="str">
            <v>박순홍</v>
          </cell>
          <cell r="Z2228" t="str">
            <v>(인)</v>
          </cell>
          <cell r="AA2228" t="str">
            <v>박상갑</v>
          </cell>
          <cell r="AB2228" t="str">
            <v>(인)</v>
          </cell>
          <cell r="AC2228" t="str">
            <v>이홍걸</v>
          </cell>
          <cell r="AD2228" t="str">
            <v>(인)</v>
          </cell>
          <cell r="AE2228">
            <v>180.9</v>
          </cell>
          <cell r="AF2228" t="str">
            <v>표준</v>
          </cell>
          <cell r="AG2228">
            <v>1</v>
          </cell>
          <cell r="AH2228">
            <v>1</v>
          </cell>
          <cell r="AI2228">
            <v>2834</v>
          </cell>
          <cell r="AJ2228">
            <v>2872</v>
          </cell>
          <cell r="AK2228">
            <v>228000</v>
          </cell>
          <cell r="AL2228">
            <v>3947</v>
          </cell>
          <cell r="AM2228">
            <v>4012</v>
          </cell>
          <cell r="AN2228">
            <v>3962</v>
          </cell>
          <cell r="AO2228">
            <v>4072</v>
          </cell>
          <cell r="AP2228">
            <v>3962</v>
          </cell>
          <cell r="AQ2228">
            <v>4036</v>
          </cell>
          <cell r="AR2228">
            <v>4087</v>
          </cell>
          <cell r="AS2228">
            <v>3972</v>
          </cell>
          <cell r="AT2228">
            <v>310000</v>
          </cell>
        </row>
        <row r="2229">
          <cell r="G2229">
            <v>2506020102</v>
          </cell>
          <cell r="H2229" t="str">
            <v>118동</v>
          </cell>
          <cell r="I2229">
            <v>250602</v>
          </cell>
          <cell r="J2229" t="str">
            <v>118동 22층 바닥</v>
          </cell>
          <cell r="K2229">
            <v>285</v>
          </cell>
          <cell r="L2229">
            <v>285</v>
          </cell>
          <cell r="M2229">
            <v>3018</v>
          </cell>
          <cell r="N2229" t="str">
            <v>용호</v>
          </cell>
          <cell r="O2229" t="str">
            <v>펌프카(1대)</v>
          </cell>
          <cell r="P2229">
            <v>828</v>
          </cell>
          <cell r="Q2229">
            <v>1456</v>
          </cell>
          <cell r="R2229">
            <v>185</v>
          </cell>
          <cell r="S2229">
            <v>46</v>
          </cell>
          <cell r="T2229">
            <v>86</v>
          </cell>
          <cell r="U2229">
            <v>207</v>
          </cell>
          <cell r="V2229"/>
          <cell r="W2229" t="str">
            <v>박순홍</v>
          </cell>
          <cell r="X2229" t="str">
            <v>(인)</v>
          </cell>
          <cell r="Y2229" t="str">
            <v>박순홍</v>
          </cell>
          <cell r="Z2229" t="str">
            <v>(인)</v>
          </cell>
          <cell r="AA2229" t="str">
            <v>박상갑</v>
          </cell>
          <cell r="AB2229" t="str">
            <v>(인)</v>
          </cell>
          <cell r="AC2229" t="str">
            <v>이홍걸</v>
          </cell>
          <cell r="AD2229" t="str">
            <v>(인)</v>
          </cell>
          <cell r="AE2229">
            <v>185</v>
          </cell>
          <cell r="AF2229" t="str">
            <v>표준</v>
          </cell>
          <cell r="AG2229">
            <v>2</v>
          </cell>
          <cell r="AH2229">
            <v>0</v>
          </cell>
        </row>
        <row r="2230">
          <cell r="G2230">
            <v>2506020103</v>
          </cell>
          <cell r="H2230" t="str">
            <v>118동</v>
          </cell>
          <cell r="I2230">
            <v>250602</v>
          </cell>
          <cell r="J2230" t="str">
            <v>118동 22층 바닥</v>
          </cell>
          <cell r="K2230">
            <v>285</v>
          </cell>
          <cell r="L2230">
            <v>285</v>
          </cell>
          <cell r="M2230">
            <v>3018</v>
          </cell>
          <cell r="N2230" t="str">
            <v>용호</v>
          </cell>
          <cell r="O2230" t="str">
            <v>펌프카(1대)</v>
          </cell>
          <cell r="P2230">
            <v>828</v>
          </cell>
          <cell r="Q2230">
            <v>1456</v>
          </cell>
          <cell r="R2230">
            <v>180</v>
          </cell>
          <cell r="S2230">
            <v>45</v>
          </cell>
          <cell r="T2230">
            <v>35</v>
          </cell>
          <cell r="U2230">
            <v>190</v>
          </cell>
          <cell r="V2230"/>
          <cell r="W2230" t="str">
            <v>박순홍</v>
          </cell>
          <cell r="X2230" t="str">
            <v>(인)</v>
          </cell>
          <cell r="Y2230" t="str">
            <v>박순홍</v>
          </cell>
          <cell r="Z2230" t="str">
            <v>(인)</v>
          </cell>
          <cell r="AA2230" t="str">
            <v>박상갑</v>
          </cell>
          <cell r="AB2230" t="str">
            <v>(인)</v>
          </cell>
          <cell r="AC2230" t="str">
            <v>이홍걸</v>
          </cell>
          <cell r="AD2230" t="str">
            <v>(인)</v>
          </cell>
          <cell r="AE2230">
            <v>188</v>
          </cell>
          <cell r="AF2230" t="str">
            <v>표준</v>
          </cell>
          <cell r="AG2230">
            <v>3</v>
          </cell>
          <cell r="AH2230">
            <v>0</v>
          </cell>
        </row>
        <row r="2231">
          <cell r="G2231">
            <v>2506020201</v>
          </cell>
          <cell r="H2231" t="str">
            <v>120동</v>
          </cell>
          <cell r="I2231">
            <v>250602</v>
          </cell>
          <cell r="J2231" t="str">
            <v>120동 옥탑</v>
          </cell>
          <cell r="K2231">
            <v>36</v>
          </cell>
          <cell r="L2231">
            <v>36</v>
          </cell>
          <cell r="M2231">
            <v>3018</v>
          </cell>
          <cell r="N2231" t="str">
            <v>영진</v>
          </cell>
          <cell r="O2231" t="str">
            <v>호퍼</v>
          </cell>
          <cell r="P2231">
            <v>903</v>
          </cell>
          <cell r="Q2231">
            <v>125</v>
          </cell>
          <cell r="R2231">
            <v>185</v>
          </cell>
          <cell r="S2231">
            <v>47</v>
          </cell>
          <cell r="T2231">
            <v>41</v>
          </cell>
          <cell r="U2231">
            <v>208</v>
          </cell>
          <cell r="V2231"/>
          <cell r="W2231" t="str">
            <v>박순홍</v>
          </cell>
          <cell r="X2231" t="str">
            <v>(인)</v>
          </cell>
          <cell r="Y2231" t="str">
            <v>박순홍</v>
          </cell>
          <cell r="Z2231" t="str">
            <v>(인)</v>
          </cell>
          <cell r="AA2231" t="str">
            <v>박상갑</v>
          </cell>
          <cell r="AB2231" t="str">
            <v>(인)</v>
          </cell>
          <cell r="AC2231" t="str">
            <v>이홍걸</v>
          </cell>
          <cell r="AD2231" t="str">
            <v>(인)</v>
          </cell>
          <cell r="AE2231">
            <v>181.4</v>
          </cell>
          <cell r="AF2231" t="str">
            <v>표준</v>
          </cell>
          <cell r="AG2231">
            <v>1</v>
          </cell>
          <cell r="AH2231">
            <v>1</v>
          </cell>
          <cell r="AI2231">
            <v>2643</v>
          </cell>
          <cell r="AJ2231">
            <v>2730</v>
          </cell>
          <cell r="AK2231">
            <v>217400</v>
          </cell>
          <cell r="AL2231">
            <v>3942</v>
          </cell>
          <cell r="AM2231">
            <v>3867</v>
          </cell>
          <cell r="AN2231">
            <v>3902</v>
          </cell>
          <cell r="AO2231">
            <v>3872</v>
          </cell>
          <cell r="AP2231">
            <v>3967</v>
          </cell>
          <cell r="AQ2231">
            <v>3874</v>
          </cell>
          <cell r="AR2231">
            <v>3924</v>
          </cell>
          <cell r="AS2231">
            <v>3862</v>
          </cell>
          <cell r="AT2231">
            <v>299600</v>
          </cell>
        </row>
        <row r="2232">
          <cell r="G2232">
            <v>2506020301</v>
          </cell>
          <cell r="H2232" t="str">
            <v>계단</v>
          </cell>
          <cell r="I2232">
            <v>250602</v>
          </cell>
          <cell r="J2232" t="str">
            <v>#8 옥외계단 지붕층</v>
          </cell>
          <cell r="K2232">
            <v>46</v>
          </cell>
          <cell r="L2232">
            <v>46</v>
          </cell>
          <cell r="M2232">
            <v>2715</v>
          </cell>
          <cell r="N2232" t="str">
            <v>용호</v>
          </cell>
          <cell r="O2232" t="str">
            <v>펌프카(1대)</v>
          </cell>
          <cell r="P2232">
            <v>1115</v>
          </cell>
          <cell r="Q2232">
            <v>1642</v>
          </cell>
          <cell r="R2232">
            <v>170</v>
          </cell>
          <cell r="S2232">
            <v>55</v>
          </cell>
          <cell r="T2232">
            <v>44</v>
          </cell>
          <cell r="U2232">
            <v>214</v>
          </cell>
          <cell r="V2232"/>
          <cell r="W2232" t="str">
            <v>박순홍</v>
          </cell>
          <cell r="X2232" t="str">
            <v>(인)</v>
          </cell>
          <cell r="Y2232" t="str">
            <v>박순홍</v>
          </cell>
          <cell r="Z2232" t="str">
            <v>(인)</v>
          </cell>
          <cell r="AA2232" t="str">
            <v>박상갑</v>
          </cell>
          <cell r="AB2232" t="str">
            <v>(인)</v>
          </cell>
          <cell r="AC2232" t="str">
            <v>이홍걸</v>
          </cell>
          <cell r="AD2232" t="str">
            <v>(인)</v>
          </cell>
          <cell r="AE2232">
            <v>183</v>
          </cell>
          <cell r="AF2232" t="str">
            <v>표준</v>
          </cell>
          <cell r="AG2232">
            <v>1</v>
          </cell>
          <cell r="AH2232">
            <v>1</v>
          </cell>
          <cell r="AI2232">
            <v>2482</v>
          </cell>
          <cell r="AJ2232">
            <v>2514</v>
          </cell>
          <cell r="AK2232">
            <v>196600</v>
          </cell>
          <cell r="AL2232">
            <v>3426</v>
          </cell>
          <cell r="AM2232">
            <v>3588</v>
          </cell>
          <cell r="AN2232">
            <v>3429</v>
          </cell>
          <cell r="AO2232">
            <v>3530</v>
          </cell>
          <cell r="AP2232">
            <v>3429</v>
          </cell>
          <cell r="AQ2232">
            <v>3486</v>
          </cell>
          <cell r="AR2232">
            <v>3472</v>
          </cell>
          <cell r="AS2232">
            <v>3502</v>
          </cell>
          <cell r="AT2232">
            <v>277800</v>
          </cell>
        </row>
        <row r="2233">
          <cell r="G2233">
            <v>2506020401</v>
          </cell>
          <cell r="H2233" t="str">
            <v>주차장 누름</v>
          </cell>
          <cell r="I2233">
            <v>250602</v>
          </cell>
          <cell r="J2233" t="str">
            <v>118동 주변주차장 누름</v>
          </cell>
          <cell r="K2233">
            <v>190</v>
          </cell>
          <cell r="L2233">
            <v>190</v>
          </cell>
          <cell r="M2233">
            <v>1815</v>
          </cell>
          <cell r="N2233" t="str">
            <v>용호</v>
          </cell>
          <cell r="O2233" t="str">
            <v>펌프카(1대)</v>
          </cell>
          <cell r="P2233">
            <v>1242</v>
          </cell>
          <cell r="Q2233">
            <v>1547</v>
          </cell>
          <cell r="R2233">
            <v>150</v>
          </cell>
          <cell r="S2233">
            <v>50</v>
          </cell>
          <cell r="T2233">
            <v>18</v>
          </cell>
          <cell r="U2233">
            <v>210</v>
          </cell>
          <cell r="V2233"/>
          <cell r="W2233" t="str">
            <v>박순홍</v>
          </cell>
          <cell r="X2233" t="str">
            <v>(인)</v>
          </cell>
          <cell r="Y2233" t="str">
            <v>박순홍</v>
          </cell>
          <cell r="Z2233" t="str">
            <v>(인)</v>
          </cell>
          <cell r="AA2233" t="str">
            <v>박상갑</v>
          </cell>
          <cell r="AB2233" t="str">
            <v>(인)</v>
          </cell>
          <cell r="AC2233" t="str">
            <v>이홍걸</v>
          </cell>
          <cell r="AD2233" t="str">
            <v>(인)</v>
          </cell>
          <cell r="AE2233">
            <v>181.4</v>
          </cell>
          <cell r="AF2233" t="str">
            <v>표준</v>
          </cell>
          <cell r="AG2233">
            <v>1</v>
          </cell>
          <cell r="AH2233">
            <v>1</v>
          </cell>
          <cell r="AI2233">
            <v>1484</v>
          </cell>
          <cell r="AJ2233">
            <v>1502</v>
          </cell>
          <cell r="AK2233">
            <v>114600</v>
          </cell>
          <cell r="AL2233">
            <v>2489</v>
          </cell>
          <cell r="AM2233">
            <v>2578</v>
          </cell>
          <cell r="AN2233">
            <v>2487</v>
          </cell>
          <cell r="AO2233">
            <v>2536</v>
          </cell>
          <cell r="AP2233">
            <v>2572</v>
          </cell>
          <cell r="AQ2233">
            <v>2602</v>
          </cell>
          <cell r="AR2233">
            <v>2586</v>
          </cell>
          <cell r="AS2233">
            <v>2572</v>
          </cell>
          <cell r="AT2233">
            <v>202200</v>
          </cell>
        </row>
        <row r="2234">
          <cell r="G2234">
            <v>2506020402</v>
          </cell>
          <cell r="H2234" t="str">
            <v>주차장 누름</v>
          </cell>
          <cell r="I2234">
            <v>250602</v>
          </cell>
          <cell r="J2234" t="str">
            <v>118동 주변주차장 누름</v>
          </cell>
          <cell r="K2234">
            <v>190</v>
          </cell>
          <cell r="L2234">
            <v>190</v>
          </cell>
          <cell r="M2234">
            <v>1815</v>
          </cell>
          <cell r="N2234" t="str">
            <v>용호</v>
          </cell>
          <cell r="O2234" t="str">
            <v>펌프카(1대)</v>
          </cell>
          <cell r="P2234">
            <v>1242</v>
          </cell>
          <cell r="Q2234">
            <v>1547</v>
          </cell>
          <cell r="R2234">
            <v>160</v>
          </cell>
          <cell r="S2234">
            <v>52</v>
          </cell>
          <cell r="T2234">
            <v>74</v>
          </cell>
          <cell r="U2234">
            <v>202</v>
          </cell>
          <cell r="V2234"/>
          <cell r="W2234" t="str">
            <v>박순홍</v>
          </cell>
          <cell r="X2234" t="str">
            <v>(인)</v>
          </cell>
          <cell r="Y2234" t="str">
            <v>박순홍</v>
          </cell>
          <cell r="Z2234" t="str">
            <v>(인)</v>
          </cell>
          <cell r="AA2234" t="str">
            <v>박상갑</v>
          </cell>
          <cell r="AB2234" t="str">
            <v>(인)</v>
          </cell>
          <cell r="AC2234" t="str">
            <v>이홍걸</v>
          </cell>
          <cell r="AD2234" t="str">
            <v>(인)</v>
          </cell>
          <cell r="AE2234">
            <v>178.4</v>
          </cell>
          <cell r="AF2234" t="str">
            <v>표준</v>
          </cell>
          <cell r="AG2234">
            <v>2</v>
          </cell>
          <cell r="AH2234">
            <v>0</v>
          </cell>
        </row>
        <row r="2235">
          <cell r="G2235">
            <v>2506040101</v>
          </cell>
          <cell r="H2235" t="str">
            <v>116동</v>
          </cell>
          <cell r="I2235">
            <v>250604</v>
          </cell>
          <cell r="J2235" t="str">
            <v>116동 지붕층 및 114동 PH2, 115동 지붕층</v>
          </cell>
          <cell r="K2235">
            <v>234</v>
          </cell>
          <cell r="L2235">
            <v>234</v>
          </cell>
          <cell r="M2235">
            <v>3018</v>
          </cell>
          <cell r="N2235" t="str">
            <v>대공</v>
          </cell>
          <cell r="O2235" t="str">
            <v>펌프카(1대)</v>
          </cell>
          <cell r="P2235">
            <v>854</v>
          </cell>
          <cell r="Q2235">
            <v>1632</v>
          </cell>
          <cell r="R2235">
            <v>180</v>
          </cell>
          <cell r="S2235">
            <v>45</v>
          </cell>
          <cell r="T2235">
            <v>39</v>
          </cell>
          <cell r="U2235">
            <v>259</v>
          </cell>
          <cell r="V2235"/>
          <cell r="W2235" t="str">
            <v>박순홍</v>
          </cell>
          <cell r="X2235" t="str">
            <v>(인)</v>
          </cell>
          <cell r="Y2235" t="str">
            <v>박순홍</v>
          </cell>
          <cell r="Z2235" t="str">
            <v>(인)</v>
          </cell>
          <cell r="AA2235" t="str">
            <v>이루비</v>
          </cell>
          <cell r="AB2235" t="str">
            <v>(인)</v>
          </cell>
          <cell r="AC2235" t="str">
            <v>이홍걸</v>
          </cell>
          <cell r="AD2235" t="str">
            <v>(인)</v>
          </cell>
          <cell r="AE2235">
            <v>179.8</v>
          </cell>
          <cell r="AF2235" t="str">
            <v>표준</v>
          </cell>
          <cell r="AG2235">
            <v>1</v>
          </cell>
          <cell r="AH2235">
            <v>1</v>
          </cell>
          <cell r="AI2235">
            <v>2729</v>
          </cell>
          <cell r="AJ2235">
            <v>2830</v>
          </cell>
          <cell r="AK2235">
            <v>220800</v>
          </cell>
          <cell r="AL2235">
            <v>4076</v>
          </cell>
          <cell r="AM2235">
            <v>4123</v>
          </cell>
          <cell r="AN2235">
            <v>4086</v>
          </cell>
          <cell r="AO2235">
            <v>4136</v>
          </cell>
          <cell r="AP2235">
            <v>4087</v>
          </cell>
          <cell r="AQ2235">
            <v>4126</v>
          </cell>
          <cell r="AR2235">
            <v>4133</v>
          </cell>
          <cell r="AS2235">
            <v>4087</v>
          </cell>
          <cell r="AT2235">
            <v>317400</v>
          </cell>
        </row>
        <row r="2236">
          <cell r="G2236">
            <v>2506040102</v>
          </cell>
          <cell r="H2236" t="str">
            <v>116동</v>
          </cell>
          <cell r="I2236">
            <v>250604</v>
          </cell>
          <cell r="J2236" t="str">
            <v>116동 지붕층 및 114동 PH2, 115동 지붕층</v>
          </cell>
          <cell r="K2236">
            <v>234</v>
          </cell>
          <cell r="L2236">
            <v>234</v>
          </cell>
          <cell r="M2236">
            <v>3018</v>
          </cell>
          <cell r="N2236" t="str">
            <v>대공</v>
          </cell>
          <cell r="O2236" t="str">
            <v>펌프카(1대)</v>
          </cell>
          <cell r="P2236">
            <v>854</v>
          </cell>
          <cell r="Q2236">
            <v>1632</v>
          </cell>
          <cell r="R2236">
            <v>190</v>
          </cell>
          <cell r="S2236">
            <v>50</v>
          </cell>
          <cell r="T2236">
            <v>31</v>
          </cell>
          <cell r="U2236">
            <v>248</v>
          </cell>
          <cell r="V2236"/>
          <cell r="W2236" t="str">
            <v>박순홍</v>
          </cell>
          <cell r="X2236" t="str">
            <v>(인)</v>
          </cell>
          <cell r="Y2236" t="str">
            <v>박순홍</v>
          </cell>
          <cell r="Z2236" t="str">
            <v>(인)</v>
          </cell>
          <cell r="AA2236" t="str">
            <v>이루비</v>
          </cell>
          <cell r="AB2236" t="str">
            <v>(인)</v>
          </cell>
          <cell r="AC2236" t="str">
            <v>이홍걸</v>
          </cell>
          <cell r="AD2236" t="str">
            <v>(인)</v>
          </cell>
          <cell r="AE2236">
            <v>183.4</v>
          </cell>
          <cell r="AF2236" t="str">
            <v>표준</v>
          </cell>
          <cell r="AG2236">
            <v>2</v>
          </cell>
          <cell r="AH2236">
            <v>0</v>
          </cell>
        </row>
        <row r="2237">
          <cell r="G2237">
            <v>2506040201</v>
          </cell>
          <cell r="H2237" t="str">
            <v>115동</v>
          </cell>
          <cell r="I2237">
            <v>250604</v>
          </cell>
          <cell r="J2237" t="str">
            <v>115동 지붕층</v>
          </cell>
          <cell r="K2237">
            <v>156</v>
          </cell>
          <cell r="L2237">
            <v>156</v>
          </cell>
          <cell r="M2237">
            <v>3018</v>
          </cell>
          <cell r="N2237" t="str">
            <v>영진</v>
          </cell>
          <cell r="O2237" t="str">
            <v>펌프카(1대)</v>
          </cell>
          <cell r="P2237">
            <v>818</v>
          </cell>
          <cell r="Q2237">
            <v>1110</v>
          </cell>
          <cell r="R2237">
            <v>180</v>
          </cell>
          <cell r="S2237">
            <v>42</v>
          </cell>
          <cell r="T2237">
            <v>18</v>
          </cell>
          <cell r="U2237">
            <v>202</v>
          </cell>
          <cell r="V2237"/>
          <cell r="W2237" t="str">
            <v>박순홍</v>
          </cell>
          <cell r="X2237" t="str">
            <v>(인)</v>
          </cell>
          <cell r="Y2237" t="str">
            <v>박순홍</v>
          </cell>
          <cell r="Z2237" t="str">
            <v>(인)</v>
          </cell>
          <cell r="AA2237" t="str">
            <v>이홍걸</v>
          </cell>
          <cell r="AB2237" t="str">
            <v>(인)</v>
          </cell>
          <cell r="AC2237" t="str">
            <v>이홍걸</v>
          </cell>
          <cell r="AD2237" t="str">
            <v>(인)</v>
          </cell>
          <cell r="AE2237">
            <v>182.3</v>
          </cell>
          <cell r="AF2237" t="str">
            <v>표준</v>
          </cell>
          <cell r="AG2237">
            <v>1</v>
          </cell>
          <cell r="AH2237">
            <v>1</v>
          </cell>
          <cell r="AI2237">
            <v>2801</v>
          </cell>
          <cell r="AJ2237">
            <v>2872</v>
          </cell>
          <cell r="AK2237">
            <v>225200</v>
          </cell>
          <cell r="AL2237">
            <v>4076</v>
          </cell>
          <cell r="AM2237">
            <v>4186</v>
          </cell>
          <cell r="AN2237">
            <v>4072</v>
          </cell>
          <cell r="AO2237">
            <v>4136</v>
          </cell>
          <cell r="AP2237">
            <v>4072</v>
          </cell>
          <cell r="AQ2237">
            <v>4133</v>
          </cell>
          <cell r="AR2237">
            <v>4107</v>
          </cell>
          <cell r="AS2237">
            <v>4086</v>
          </cell>
          <cell r="AT2237">
            <v>325200</v>
          </cell>
        </row>
        <row r="2238">
          <cell r="G2238">
            <v>2506040202</v>
          </cell>
          <cell r="H2238" t="str">
            <v>115동</v>
          </cell>
          <cell r="I2238">
            <v>250604</v>
          </cell>
          <cell r="J2238" t="str">
            <v>115동 지붕층</v>
          </cell>
          <cell r="K2238">
            <v>156</v>
          </cell>
          <cell r="L2238">
            <v>156</v>
          </cell>
          <cell r="M2238">
            <v>3018</v>
          </cell>
          <cell r="N2238" t="str">
            <v>영진</v>
          </cell>
          <cell r="O2238" t="str">
            <v>펌프카(1대)</v>
          </cell>
          <cell r="P2238">
            <v>818</v>
          </cell>
          <cell r="Q2238">
            <v>1110</v>
          </cell>
          <cell r="R2238">
            <v>180</v>
          </cell>
          <cell r="S2238">
            <v>48</v>
          </cell>
          <cell r="T2238">
            <v>67</v>
          </cell>
          <cell r="U2238">
            <v>224</v>
          </cell>
          <cell r="V2238"/>
          <cell r="W2238" t="str">
            <v>박순홍</v>
          </cell>
          <cell r="X2238" t="str">
            <v>(인)</v>
          </cell>
          <cell r="Y2238" t="str">
            <v>박순홍</v>
          </cell>
          <cell r="Z2238" t="str">
            <v>(인)</v>
          </cell>
          <cell r="AA2238" t="str">
            <v>이홍걸</v>
          </cell>
          <cell r="AB2238" t="str">
            <v>(인)</v>
          </cell>
          <cell r="AC2238" t="str">
            <v>이홍걸</v>
          </cell>
          <cell r="AD2238" t="str">
            <v>(인)</v>
          </cell>
          <cell r="AE2238">
            <v>186.6</v>
          </cell>
          <cell r="AF2238" t="str">
            <v>표준</v>
          </cell>
          <cell r="AG2238">
            <v>2</v>
          </cell>
          <cell r="AH2238">
            <v>0</v>
          </cell>
        </row>
        <row r="2239">
          <cell r="G2239">
            <v>2506050101</v>
          </cell>
          <cell r="H2239" t="str">
            <v>112동 지붕층</v>
          </cell>
          <cell r="I2239">
            <v>250605</v>
          </cell>
          <cell r="J2239" t="str">
            <v>112동 지붕층</v>
          </cell>
          <cell r="K2239">
            <v>264</v>
          </cell>
          <cell r="L2239">
            <v>264</v>
          </cell>
          <cell r="M2239">
            <v>3018</v>
          </cell>
          <cell r="N2239" t="str">
            <v>대원</v>
          </cell>
          <cell r="O2239" t="str">
            <v>펌프카(1대)</v>
          </cell>
          <cell r="P2239">
            <v>828</v>
          </cell>
          <cell r="Q2239">
            <v>1338</v>
          </cell>
          <cell r="R2239">
            <v>195</v>
          </cell>
          <cell r="S2239">
            <v>40</v>
          </cell>
          <cell r="T2239">
            <v>35</v>
          </cell>
          <cell r="U2239">
            <v>246</v>
          </cell>
          <cell r="V2239"/>
          <cell r="W2239" t="str">
            <v>박순홍</v>
          </cell>
          <cell r="X2239" t="str">
            <v>(인)</v>
          </cell>
          <cell r="Y2239" t="str">
            <v>박순홍</v>
          </cell>
          <cell r="Z2239" t="str">
            <v>(인)</v>
          </cell>
          <cell r="AA2239" t="str">
            <v>이홍걸</v>
          </cell>
          <cell r="AB2239" t="str">
            <v>(인)</v>
          </cell>
          <cell r="AC2239" t="str">
            <v>이홍걸</v>
          </cell>
          <cell r="AD2239" t="str">
            <v>(인)</v>
          </cell>
          <cell r="AE2239">
            <v>178.3</v>
          </cell>
          <cell r="AF2239" t="str">
            <v>표준</v>
          </cell>
          <cell r="AG2239">
            <v>1</v>
          </cell>
          <cell r="AH2239">
            <v>1</v>
          </cell>
          <cell r="AI2239">
            <v>2729</v>
          </cell>
          <cell r="AJ2239">
            <v>2772</v>
          </cell>
          <cell r="AK2239">
            <v>227000</v>
          </cell>
          <cell r="AL2239">
            <v>4016</v>
          </cell>
          <cell r="AM2239">
            <v>3972</v>
          </cell>
          <cell r="AN2239">
            <v>3986</v>
          </cell>
          <cell r="AO2239">
            <v>3974</v>
          </cell>
          <cell r="AP2239">
            <v>4074</v>
          </cell>
          <cell r="AQ2239">
            <v>4088</v>
          </cell>
          <cell r="AR2239">
            <v>3924</v>
          </cell>
          <cell r="AS2239">
            <v>3836</v>
          </cell>
          <cell r="AT2239">
            <v>309200</v>
          </cell>
        </row>
        <row r="2240">
          <cell r="G2240">
            <v>2506050102</v>
          </cell>
          <cell r="H2240" t="str">
            <v>112동 지붕층</v>
          </cell>
          <cell r="I2240">
            <v>250605</v>
          </cell>
          <cell r="J2240" t="str">
            <v>112동 지붕층</v>
          </cell>
          <cell r="K2240">
            <v>264</v>
          </cell>
          <cell r="L2240">
            <v>264</v>
          </cell>
          <cell r="M2240">
            <v>3018</v>
          </cell>
          <cell r="N2240" t="str">
            <v>대원</v>
          </cell>
          <cell r="O2240" t="str">
            <v>펌프카(1대)</v>
          </cell>
          <cell r="P2240">
            <v>828</v>
          </cell>
          <cell r="Q2240">
            <v>1338</v>
          </cell>
          <cell r="R2240">
            <v>200</v>
          </cell>
          <cell r="S2240">
            <v>48</v>
          </cell>
          <cell r="T2240">
            <v>99</v>
          </cell>
          <cell r="U2240">
            <v>243</v>
          </cell>
          <cell r="V2240"/>
          <cell r="W2240" t="str">
            <v>박순홍</v>
          </cell>
          <cell r="X2240" t="str">
            <v>(인)</v>
          </cell>
          <cell r="Y2240" t="str">
            <v>박순홍</v>
          </cell>
          <cell r="Z2240" t="str">
            <v>(인)</v>
          </cell>
          <cell r="AA2240" t="str">
            <v>이홍걸</v>
          </cell>
          <cell r="AB2240" t="str">
            <v>(인)</v>
          </cell>
          <cell r="AC2240" t="str">
            <v>이홍걸</v>
          </cell>
          <cell r="AD2240" t="str">
            <v>(인)</v>
          </cell>
          <cell r="AE2240">
            <v>185.7</v>
          </cell>
          <cell r="AF2240" t="str">
            <v>표준</v>
          </cell>
          <cell r="AG2240">
            <v>2</v>
          </cell>
          <cell r="AH2240">
            <v>0</v>
          </cell>
        </row>
        <row r="2241">
          <cell r="G2241">
            <v>2506050103</v>
          </cell>
          <cell r="H2241" t="str">
            <v>112동 지붕층</v>
          </cell>
          <cell r="I2241">
            <v>250605</v>
          </cell>
          <cell r="J2241" t="str">
            <v>112동 지붕층</v>
          </cell>
          <cell r="K2241">
            <v>264</v>
          </cell>
          <cell r="L2241">
            <v>264</v>
          </cell>
          <cell r="M2241">
            <v>3018</v>
          </cell>
          <cell r="N2241" t="str">
            <v>대원</v>
          </cell>
          <cell r="O2241" t="str">
            <v>펌프카(1대)</v>
          </cell>
          <cell r="P2241">
            <v>828</v>
          </cell>
          <cell r="Q2241">
            <v>1338</v>
          </cell>
          <cell r="R2241">
            <v>200</v>
          </cell>
          <cell r="S2241">
            <v>50</v>
          </cell>
          <cell r="T2241">
            <v>74</v>
          </cell>
          <cell r="U2241">
            <v>251</v>
          </cell>
          <cell r="V2241"/>
          <cell r="W2241" t="str">
            <v>박순홍</v>
          </cell>
          <cell r="X2241" t="str">
            <v>(인)</v>
          </cell>
          <cell r="Y2241" t="str">
            <v>박순홍</v>
          </cell>
          <cell r="Z2241" t="str">
            <v>(인)</v>
          </cell>
          <cell r="AA2241" t="str">
            <v>이홍걸</v>
          </cell>
          <cell r="AB2241" t="str">
            <v>(인)</v>
          </cell>
          <cell r="AC2241" t="str">
            <v>이홍걸</v>
          </cell>
          <cell r="AD2241" t="str">
            <v>(인)</v>
          </cell>
          <cell r="AE2241">
            <v>183.5</v>
          </cell>
          <cell r="AF2241" t="str">
            <v>표준</v>
          </cell>
          <cell r="AG2241">
            <v>3</v>
          </cell>
          <cell r="AH2241">
            <v>0</v>
          </cell>
        </row>
        <row r="2242">
          <cell r="G2242">
            <v>2506090101</v>
          </cell>
          <cell r="H2242" t="str">
            <v>118동</v>
          </cell>
          <cell r="I2242">
            <v>250609</v>
          </cell>
          <cell r="J2242" t="str">
            <v>118동 23층 바닥 외</v>
          </cell>
          <cell r="K2242">
            <v>384</v>
          </cell>
          <cell r="L2242">
            <v>384</v>
          </cell>
          <cell r="M2242">
            <v>3018</v>
          </cell>
          <cell r="N2242" t="str">
            <v>영진</v>
          </cell>
          <cell r="O2242" t="str">
            <v>펌프카(1대)</v>
          </cell>
          <cell r="P2242">
            <v>823</v>
          </cell>
          <cell r="Q2242">
            <v>1725</v>
          </cell>
          <cell r="R2242">
            <v>185</v>
          </cell>
          <cell r="S2242">
            <v>44</v>
          </cell>
          <cell r="T2242">
            <v>38</v>
          </cell>
          <cell r="U2242">
            <v>235</v>
          </cell>
          <cell r="V2242"/>
          <cell r="W2242" t="str">
            <v>박순홍</v>
          </cell>
          <cell r="X2242" t="str">
            <v>(인)</v>
          </cell>
          <cell r="Y2242" t="str">
            <v>김광록</v>
          </cell>
          <cell r="Z2242" t="str">
            <v>(인)</v>
          </cell>
          <cell r="AA2242" t="str">
            <v>이홍걸</v>
          </cell>
          <cell r="AB2242" t="str">
            <v>(인)</v>
          </cell>
          <cell r="AC2242" t="str">
            <v>박상갑</v>
          </cell>
          <cell r="AD2242" t="str">
            <v>(인)</v>
          </cell>
          <cell r="AE2242">
            <v>183.4</v>
          </cell>
          <cell r="AF2242" t="str">
            <v>표준</v>
          </cell>
          <cell r="AG2242">
            <v>1</v>
          </cell>
          <cell r="AH2242">
            <v>1</v>
          </cell>
          <cell r="AI2242">
            <v>2802</v>
          </cell>
          <cell r="AJ2242">
            <v>2772</v>
          </cell>
          <cell r="AK2242">
            <v>215600</v>
          </cell>
          <cell r="AL2242">
            <v>3666</v>
          </cell>
          <cell r="AM2242">
            <v>3769</v>
          </cell>
          <cell r="AN2242">
            <v>3892</v>
          </cell>
          <cell r="AO2242">
            <v>3770</v>
          </cell>
          <cell r="AP2242">
            <v>3758</v>
          </cell>
          <cell r="AQ2242">
            <v>3687</v>
          </cell>
          <cell r="AR2242">
            <v>3945</v>
          </cell>
          <cell r="AS2242">
            <v>3857</v>
          </cell>
          <cell r="AT2242">
            <v>301400</v>
          </cell>
        </row>
        <row r="2243">
          <cell r="G2243">
            <v>2506090102</v>
          </cell>
          <cell r="H2243" t="str">
            <v>118동</v>
          </cell>
          <cell r="I2243">
            <v>250609</v>
          </cell>
          <cell r="J2243" t="str">
            <v>118동 23층 바닥 외</v>
          </cell>
          <cell r="K2243">
            <v>384</v>
          </cell>
          <cell r="L2243">
            <v>384</v>
          </cell>
          <cell r="M2243">
            <v>3018</v>
          </cell>
          <cell r="N2243" t="str">
            <v>영진</v>
          </cell>
          <cell r="O2243" t="str">
            <v>펌프카(1대)</v>
          </cell>
          <cell r="P2243">
            <v>823</v>
          </cell>
          <cell r="Q2243">
            <v>1725</v>
          </cell>
          <cell r="R2243">
            <v>185</v>
          </cell>
          <cell r="S2243">
            <v>50</v>
          </cell>
          <cell r="T2243">
            <v>42</v>
          </cell>
          <cell r="U2243">
            <v>229</v>
          </cell>
          <cell r="V2243"/>
          <cell r="W2243" t="str">
            <v>박순홍</v>
          </cell>
          <cell r="X2243" t="str">
            <v>(인)</v>
          </cell>
          <cell r="Y2243" t="str">
            <v>김광록</v>
          </cell>
          <cell r="Z2243" t="str">
            <v>(인)</v>
          </cell>
          <cell r="AA2243" t="str">
            <v>이홍걸</v>
          </cell>
          <cell r="AB2243" t="str">
            <v>(인)</v>
          </cell>
          <cell r="AC2243" t="str">
            <v>박상갑</v>
          </cell>
          <cell r="AD2243" t="str">
            <v>(인)</v>
          </cell>
          <cell r="AE2243">
            <v>187</v>
          </cell>
          <cell r="AF2243" t="str">
            <v>표준</v>
          </cell>
          <cell r="AG2243">
            <v>2</v>
          </cell>
          <cell r="AH2243">
            <v>0</v>
          </cell>
        </row>
        <row r="2244">
          <cell r="G2244">
            <v>2506090103</v>
          </cell>
          <cell r="H2244" t="str">
            <v>118동</v>
          </cell>
          <cell r="I2244">
            <v>250609</v>
          </cell>
          <cell r="J2244" t="str">
            <v>118동 23층 바닥 외</v>
          </cell>
          <cell r="K2244">
            <v>384</v>
          </cell>
          <cell r="L2244">
            <v>384</v>
          </cell>
          <cell r="M2244">
            <v>3018</v>
          </cell>
          <cell r="N2244" t="str">
            <v>영진</v>
          </cell>
          <cell r="O2244" t="str">
            <v>펌프카(1대)</v>
          </cell>
          <cell r="P2244">
            <v>823</v>
          </cell>
          <cell r="Q2244">
            <v>1725</v>
          </cell>
          <cell r="R2244">
            <v>180</v>
          </cell>
          <cell r="S2244">
            <v>39</v>
          </cell>
          <cell r="T2244">
            <v>40</v>
          </cell>
          <cell r="U2244">
            <v>233</v>
          </cell>
          <cell r="V2244"/>
          <cell r="W2244" t="str">
            <v>박순홍</v>
          </cell>
          <cell r="X2244" t="str">
            <v>(인)</v>
          </cell>
          <cell r="Y2244" t="str">
            <v>김광록</v>
          </cell>
          <cell r="Z2244" t="str">
            <v>(인)</v>
          </cell>
          <cell r="AA2244" t="str">
            <v>이홍걸</v>
          </cell>
          <cell r="AB2244" t="str">
            <v>(인)</v>
          </cell>
          <cell r="AC2244" t="str">
            <v>박상갑</v>
          </cell>
          <cell r="AD2244" t="str">
            <v>(인)</v>
          </cell>
          <cell r="AE2244">
            <v>184.5</v>
          </cell>
          <cell r="AF2244" t="str">
            <v>표준</v>
          </cell>
          <cell r="AG2244">
            <v>3</v>
          </cell>
          <cell r="AH2244">
            <v>0</v>
          </cell>
        </row>
        <row r="2245">
          <cell r="G2245">
            <v>2506090104</v>
          </cell>
          <cell r="H2245" t="str">
            <v>118동</v>
          </cell>
          <cell r="I2245">
            <v>250609</v>
          </cell>
          <cell r="J2245" t="str">
            <v>118동 23층 바닥 외</v>
          </cell>
          <cell r="K2245">
            <v>384</v>
          </cell>
          <cell r="L2245">
            <v>384</v>
          </cell>
          <cell r="M2245">
            <v>3018</v>
          </cell>
          <cell r="N2245" t="str">
            <v>영진</v>
          </cell>
          <cell r="O2245" t="str">
            <v>펌프카(1대)</v>
          </cell>
          <cell r="P2245">
            <v>823</v>
          </cell>
          <cell r="Q2245">
            <v>1725</v>
          </cell>
          <cell r="R2245">
            <v>185</v>
          </cell>
          <cell r="S2245">
            <v>40</v>
          </cell>
          <cell r="T2245">
            <v>45</v>
          </cell>
          <cell r="U2245">
            <v>252</v>
          </cell>
          <cell r="V2245"/>
          <cell r="W2245" t="str">
            <v>박순홍</v>
          </cell>
          <cell r="X2245" t="str">
            <v>(인)</v>
          </cell>
          <cell r="Y2245" t="str">
            <v>김광록</v>
          </cell>
          <cell r="Z2245" t="str">
            <v>(인)</v>
          </cell>
          <cell r="AA2245" t="str">
            <v>이홍걸</v>
          </cell>
          <cell r="AB2245" t="str">
            <v>(인)</v>
          </cell>
          <cell r="AC2245" t="str">
            <v>박상갑</v>
          </cell>
          <cell r="AD2245" t="str">
            <v>(인)</v>
          </cell>
          <cell r="AE2245">
            <v>182.7</v>
          </cell>
          <cell r="AF2245" t="str">
            <v>표준</v>
          </cell>
          <cell r="AG2245">
            <v>4</v>
          </cell>
          <cell r="AH2245">
            <v>1</v>
          </cell>
          <cell r="AL2245">
            <v>3920</v>
          </cell>
          <cell r="AM2245">
            <v>3820</v>
          </cell>
          <cell r="AN2245">
            <v>3940</v>
          </cell>
          <cell r="AO2245">
            <v>3877</v>
          </cell>
          <cell r="AP2245">
            <v>3894</v>
          </cell>
          <cell r="AQ2245">
            <v>3927</v>
          </cell>
          <cell r="AR2245">
            <v>3957</v>
          </cell>
          <cell r="AS2245">
            <v>3947</v>
          </cell>
          <cell r="AT2245">
            <v>308600</v>
          </cell>
        </row>
        <row r="2246">
          <cell r="G2246">
            <v>2506100101</v>
          </cell>
          <cell r="H2246" t="str">
            <v>120동</v>
          </cell>
          <cell r="I2246">
            <v>250610</v>
          </cell>
          <cell r="J2246" t="str">
            <v>120동 19층 바닥, 115동 PH 및 114동 주출입구</v>
          </cell>
          <cell r="K2246">
            <v>198</v>
          </cell>
          <cell r="L2246">
            <v>198</v>
          </cell>
          <cell r="M2246">
            <v>3018</v>
          </cell>
          <cell r="N2246" t="str">
            <v>대원</v>
          </cell>
          <cell r="O2246" t="str">
            <v>펌프카(1대)</v>
          </cell>
          <cell r="P2246">
            <v>805</v>
          </cell>
          <cell r="Q2246">
            <v>1543</v>
          </cell>
          <cell r="R2246">
            <v>190</v>
          </cell>
          <cell r="S2246">
            <v>50</v>
          </cell>
          <cell r="T2246">
            <v>33</v>
          </cell>
          <cell r="U2246">
            <v>214</v>
          </cell>
          <cell r="V2246"/>
          <cell r="W2246" t="str">
            <v>박순홍</v>
          </cell>
          <cell r="X2246" t="str">
            <v>(인)</v>
          </cell>
          <cell r="Y2246" t="str">
            <v>박순홍</v>
          </cell>
          <cell r="Z2246" t="str">
            <v>(인)</v>
          </cell>
          <cell r="AA2246" t="str">
            <v>이홍걸</v>
          </cell>
          <cell r="AB2246" t="str">
            <v>(인)</v>
          </cell>
          <cell r="AC2246" t="str">
            <v>박상갑</v>
          </cell>
          <cell r="AD2246" t="str">
            <v>(인)</v>
          </cell>
          <cell r="AE2246">
            <v>189.6</v>
          </cell>
          <cell r="AF2246" t="str">
            <v>표준</v>
          </cell>
          <cell r="AG2246">
            <v>1</v>
          </cell>
          <cell r="AH2246">
            <v>1</v>
          </cell>
          <cell r="AI2246">
            <v>2812</v>
          </cell>
          <cell r="AJ2246">
            <v>2830</v>
          </cell>
          <cell r="AK2246">
            <v>213800</v>
          </cell>
          <cell r="AL2246">
            <v>3455</v>
          </cell>
          <cell r="AM2246">
            <v>3496</v>
          </cell>
          <cell r="AN2246">
            <v>3472</v>
          </cell>
          <cell r="AO2246">
            <v>3536</v>
          </cell>
          <cell r="AP2246">
            <v>3572</v>
          </cell>
          <cell r="AQ2246">
            <v>3542</v>
          </cell>
          <cell r="AR2246">
            <v>3601</v>
          </cell>
          <cell r="AS2246">
            <v>3506</v>
          </cell>
          <cell r="AT2246">
            <v>280400</v>
          </cell>
        </row>
        <row r="2247">
          <cell r="G2247">
            <v>2506100102</v>
          </cell>
          <cell r="H2247" t="str">
            <v>120동</v>
          </cell>
          <cell r="I2247">
            <v>250610</v>
          </cell>
          <cell r="J2247" t="str">
            <v>120동 19층 바닥, 115동 PH 및 114동 주출입구</v>
          </cell>
          <cell r="K2247">
            <v>198</v>
          </cell>
          <cell r="L2247">
            <v>198</v>
          </cell>
          <cell r="M2247">
            <v>3018</v>
          </cell>
          <cell r="N2247" t="str">
            <v>대원</v>
          </cell>
          <cell r="O2247" t="str">
            <v>펌프카(1대)</v>
          </cell>
          <cell r="P2247">
            <v>805</v>
          </cell>
          <cell r="Q2247">
            <v>1543</v>
          </cell>
          <cell r="R2247">
            <v>195</v>
          </cell>
          <cell r="S2247">
            <v>45</v>
          </cell>
          <cell r="T2247">
            <v>12</v>
          </cell>
          <cell r="U2247">
            <v>222</v>
          </cell>
          <cell r="V2247"/>
          <cell r="W2247" t="str">
            <v>박순홍</v>
          </cell>
          <cell r="X2247" t="str">
            <v>(인)</v>
          </cell>
          <cell r="Y2247" t="str">
            <v>박순홍</v>
          </cell>
          <cell r="Z2247" t="str">
            <v>(인)</v>
          </cell>
          <cell r="AA2247" t="str">
            <v>이홍걸</v>
          </cell>
          <cell r="AB2247" t="str">
            <v>(인)</v>
          </cell>
          <cell r="AC2247" t="str">
            <v>박상갑</v>
          </cell>
          <cell r="AD2247" t="str">
            <v>(인)</v>
          </cell>
          <cell r="AE2247">
            <v>181.9</v>
          </cell>
          <cell r="AF2247" t="str">
            <v>표준</v>
          </cell>
          <cell r="AG2247">
            <v>2</v>
          </cell>
          <cell r="AH2247">
            <v>0</v>
          </cell>
        </row>
        <row r="2248">
          <cell r="G2248">
            <v>2506110101</v>
          </cell>
          <cell r="H2248" t="str">
            <v>119동</v>
          </cell>
          <cell r="I2248">
            <v>250611</v>
          </cell>
          <cell r="J2248" t="str">
            <v>119동 지붕층 바닥 외</v>
          </cell>
          <cell r="K2248">
            <v>282</v>
          </cell>
          <cell r="L2248">
            <v>282</v>
          </cell>
          <cell r="M2248">
            <v>3018</v>
          </cell>
          <cell r="N2248" t="str">
            <v>용호</v>
          </cell>
          <cell r="O2248" t="str">
            <v>펌프카(1대)</v>
          </cell>
          <cell r="P2248">
            <v>752</v>
          </cell>
          <cell r="Q2248">
            <v>1530</v>
          </cell>
          <cell r="R2248">
            <v>200</v>
          </cell>
          <cell r="S2248">
            <v>50</v>
          </cell>
          <cell r="T2248">
            <v>39</v>
          </cell>
          <cell r="U2248">
            <v>224</v>
          </cell>
          <cell r="V2248"/>
          <cell r="W2248" t="str">
            <v>박순홍</v>
          </cell>
          <cell r="X2248" t="str">
            <v>(인)</v>
          </cell>
          <cell r="Y2248" t="str">
            <v>박순홍</v>
          </cell>
          <cell r="Z2248" t="str">
            <v>(인)</v>
          </cell>
          <cell r="AA2248" t="str">
            <v>이홍걸</v>
          </cell>
          <cell r="AB2248" t="str">
            <v>(인)</v>
          </cell>
          <cell r="AC2248" t="str">
            <v>박상갑</v>
          </cell>
          <cell r="AD2248" t="str">
            <v>(인)</v>
          </cell>
          <cell r="AE2248">
            <v>184.7</v>
          </cell>
          <cell r="AF2248" t="str">
            <v>표준</v>
          </cell>
          <cell r="AG2248">
            <v>1</v>
          </cell>
          <cell r="AH2248">
            <v>1</v>
          </cell>
          <cell r="AI2248">
            <v>2779</v>
          </cell>
          <cell r="AJ2248">
            <v>2834</v>
          </cell>
          <cell r="AK2248">
            <v>214200</v>
          </cell>
          <cell r="AL2248">
            <v>4003</v>
          </cell>
          <cell r="AM2248">
            <v>3919</v>
          </cell>
          <cell r="AN2248">
            <v>3986</v>
          </cell>
          <cell r="AO2248">
            <v>4112</v>
          </cell>
          <cell r="AP2248">
            <v>4046</v>
          </cell>
          <cell r="AQ2248">
            <v>4076</v>
          </cell>
          <cell r="AR2248">
            <v>4077</v>
          </cell>
          <cell r="AS2248">
            <v>3976</v>
          </cell>
          <cell r="AT2248">
            <v>316600</v>
          </cell>
        </row>
        <row r="2249">
          <cell r="G2249">
            <v>2506110102</v>
          </cell>
          <cell r="H2249" t="str">
            <v>119동</v>
          </cell>
          <cell r="I2249">
            <v>250611</v>
          </cell>
          <cell r="J2249" t="str">
            <v>119동 지붕층 바닥 외</v>
          </cell>
          <cell r="K2249">
            <v>282</v>
          </cell>
          <cell r="L2249">
            <v>282</v>
          </cell>
          <cell r="M2249">
            <v>3018</v>
          </cell>
          <cell r="N2249" t="str">
            <v>용호</v>
          </cell>
          <cell r="O2249" t="str">
            <v>펌프카(1대)</v>
          </cell>
          <cell r="P2249">
            <v>752</v>
          </cell>
          <cell r="Q2249">
            <v>1530</v>
          </cell>
          <cell r="R2249">
            <v>185</v>
          </cell>
          <cell r="S2249">
            <v>42</v>
          </cell>
          <cell r="T2249">
            <v>23</v>
          </cell>
          <cell r="U2249">
            <v>239</v>
          </cell>
          <cell r="V2249"/>
          <cell r="W2249" t="str">
            <v>박순홍</v>
          </cell>
          <cell r="X2249" t="str">
            <v>(인)</v>
          </cell>
          <cell r="Y2249" t="str">
            <v>박순홍</v>
          </cell>
          <cell r="Z2249" t="str">
            <v>(인)</v>
          </cell>
          <cell r="AA2249" t="str">
            <v>이홍걸</v>
          </cell>
          <cell r="AB2249" t="str">
            <v>(인)</v>
          </cell>
          <cell r="AC2249" t="str">
            <v>박상갑</v>
          </cell>
          <cell r="AD2249" t="str">
            <v>(인)</v>
          </cell>
          <cell r="AE2249">
            <v>186.1</v>
          </cell>
          <cell r="AF2249" t="str">
            <v>표준</v>
          </cell>
          <cell r="AG2249">
            <v>2</v>
          </cell>
          <cell r="AH2249">
            <v>0</v>
          </cell>
        </row>
        <row r="2250">
          <cell r="G2250">
            <v>2506110103</v>
          </cell>
          <cell r="H2250" t="str">
            <v>119동</v>
          </cell>
          <cell r="I2250">
            <v>250611</v>
          </cell>
          <cell r="J2250" t="str">
            <v>119동 지붕층 바닥 외</v>
          </cell>
          <cell r="K2250">
            <v>282</v>
          </cell>
          <cell r="L2250">
            <v>282</v>
          </cell>
          <cell r="M2250">
            <v>3018</v>
          </cell>
          <cell r="N2250" t="str">
            <v>용호</v>
          </cell>
          <cell r="O2250" t="str">
            <v>펌프카(1대)</v>
          </cell>
          <cell r="P2250">
            <v>752</v>
          </cell>
          <cell r="Q2250">
            <v>1530</v>
          </cell>
          <cell r="R2250">
            <v>190</v>
          </cell>
          <cell r="S2250">
            <v>38</v>
          </cell>
          <cell r="T2250">
            <v>41</v>
          </cell>
          <cell r="U2250">
            <v>224</v>
          </cell>
          <cell r="V2250"/>
          <cell r="W2250" t="str">
            <v>박순홍</v>
          </cell>
          <cell r="X2250" t="str">
            <v>(인)</v>
          </cell>
          <cell r="Y2250" t="str">
            <v>박순홍</v>
          </cell>
          <cell r="Z2250" t="str">
            <v>(인)</v>
          </cell>
          <cell r="AA2250" t="str">
            <v>이홍걸</v>
          </cell>
          <cell r="AB2250" t="str">
            <v>(인)</v>
          </cell>
          <cell r="AC2250" t="str">
            <v>박상갑</v>
          </cell>
          <cell r="AD2250" t="str">
            <v>(인)</v>
          </cell>
          <cell r="AE2250">
            <v>182.9</v>
          </cell>
          <cell r="AF2250" t="str">
            <v>표준</v>
          </cell>
          <cell r="AG2250">
            <v>3</v>
          </cell>
          <cell r="AH2250">
            <v>0</v>
          </cell>
        </row>
        <row r="2251">
          <cell r="G2251">
            <v>2506130101</v>
          </cell>
          <cell r="H2251" t="str">
            <v>118동</v>
          </cell>
          <cell r="I2251">
            <v>250613</v>
          </cell>
          <cell r="J2251" t="str">
            <v>118동 24층 바닥, 117동 주출입구 기초</v>
          </cell>
          <cell r="K2251">
            <v>306</v>
          </cell>
          <cell r="L2251">
            <v>306</v>
          </cell>
          <cell r="M2251">
            <v>3018</v>
          </cell>
          <cell r="N2251" t="str">
            <v>대공</v>
          </cell>
          <cell r="O2251" t="str">
            <v>펌프카(1대)</v>
          </cell>
          <cell r="P2251">
            <v>816</v>
          </cell>
          <cell r="Q2251">
            <v>1541</v>
          </cell>
          <cell r="R2251">
            <v>170</v>
          </cell>
          <cell r="S2251">
            <v>54</v>
          </cell>
          <cell r="T2251">
            <v>24</v>
          </cell>
          <cell r="U2251">
            <v>228</v>
          </cell>
          <cell r="V2251"/>
          <cell r="W2251" t="str">
            <v>박순홍</v>
          </cell>
          <cell r="X2251" t="str">
            <v>(인)</v>
          </cell>
          <cell r="Y2251" t="str">
            <v>박순홍</v>
          </cell>
          <cell r="Z2251" t="str">
            <v>(인)</v>
          </cell>
          <cell r="AA2251" t="str">
            <v>이홍걸</v>
          </cell>
          <cell r="AB2251" t="str">
            <v>(인)</v>
          </cell>
          <cell r="AC2251" t="str">
            <v>박상갑</v>
          </cell>
          <cell r="AD2251" t="str">
            <v>(인)</v>
          </cell>
          <cell r="AE2251">
            <v>182.9</v>
          </cell>
          <cell r="AF2251" t="str">
            <v>표준</v>
          </cell>
          <cell r="AG2251">
            <v>1</v>
          </cell>
          <cell r="AH2251">
            <v>1</v>
          </cell>
          <cell r="AI2251">
            <v>2701</v>
          </cell>
          <cell r="AJ2251">
            <v>2688</v>
          </cell>
          <cell r="AK2251">
            <v>205800</v>
          </cell>
          <cell r="AL2251">
            <v>3962</v>
          </cell>
          <cell r="AM2251">
            <v>4079</v>
          </cell>
          <cell r="AN2251">
            <v>4086</v>
          </cell>
          <cell r="AO2251">
            <v>3974</v>
          </cell>
          <cell r="AP2251">
            <v>4062</v>
          </cell>
          <cell r="AQ2251">
            <v>3988</v>
          </cell>
          <cell r="AR2251">
            <v>3874</v>
          </cell>
          <cell r="AS2251">
            <v>3962</v>
          </cell>
          <cell r="AT2251">
            <v>315000</v>
          </cell>
        </row>
        <row r="2252">
          <cell r="G2252">
            <v>2506130102</v>
          </cell>
          <cell r="H2252" t="str">
            <v>118동</v>
          </cell>
          <cell r="I2252">
            <v>250613</v>
          </cell>
          <cell r="J2252" t="str">
            <v>118동 24층 바닥, 117동 주출입구 기초</v>
          </cell>
          <cell r="K2252">
            <v>306</v>
          </cell>
          <cell r="L2252">
            <v>306</v>
          </cell>
          <cell r="M2252">
            <v>3018</v>
          </cell>
          <cell r="N2252" t="str">
            <v>대공</v>
          </cell>
          <cell r="O2252" t="str">
            <v>펌프카(1대)</v>
          </cell>
          <cell r="P2252">
            <v>816</v>
          </cell>
          <cell r="Q2252">
            <v>1541</v>
          </cell>
          <cell r="R2252">
            <v>185</v>
          </cell>
          <cell r="S2252">
            <v>50</v>
          </cell>
          <cell r="T2252">
            <v>35</v>
          </cell>
          <cell r="U2252">
            <v>19.7</v>
          </cell>
          <cell r="V2252"/>
          <cell r="W2252" t="str">
            <v>박순홍</v>
          </cell>
          <cell r="X2252" t="str">
            <v>(인)</v>
          </cell>
          <cell r="Y2252" t="str">
            <v>박순홍</v>
          </cell>
          <cell r="Z2252" t="str">
            <v>(인)</v>
          </cell>
          <cell r="AA2252" t="str">
            <v>이홍걸</v>
          </cell>
          <cell r="AB2252" t="str">
            <v>(인)</v>
          </cell>
          <cell r="AC2252" t="str">
            <v>박상갑</v>
          </cell>
          <cell r="AD2252" t="str">
            <v>(인)</v>
          </cell>
          <cell r="AE2252">
            <v>183.2</v>
          </cell>
          <cell r="AF2252" t="str">
            <v>표준</v>
          </cell>
          <cell r="AG2252">
            <v>2</v>
          </cell>
          <cell r="AH2252">
            <v>0</v>
          </cell>
        </row>
        <row r="2253">
          <cell r="G2253">
            <v>2506130103</v>
          </cell>
          <cell r="H2253" t="str">
            <v>118동</v>
          </cell>
          <cell r="I2253">
            <v>250613</v>
          </cell>
          <cell r="J2253" t="str">
            <v>118동 24층 바닥, 117동 주출입구 기초</v>
          </cell>
          <cell r="K2253">
            <v>306</v>
          </cell>
          <cell r="L2253">
            <v>306</v>
          </cell>
          <cell r="M2253">
            <v>3018</v>
          </cell>
          <cell r="N2253" t="str">
            <v>대공</v>
          </cell>
          <cell r="O2253" t="str">
            <v>펌프카(1대)</v>
          </cell>
          <cell r="P2253">
            <v>816</v>
          </cell>
          <cell r="Q2253">
            <v>1541</v>
          </cell>
          <cell r="R2253">
            <v>200</v>
          </cell>
          <cell r="S2253">
            <v>44</v>
          </cell>
          <cell r="T2253">
            <v>37</v>
          </cell>
          <cell r="U2253">
            <v>226</v>
          </cell>
          <cell r="V2253"/>
          <cell r="W2253" t="str">
            <v>박순홍</v>
          </cell>
          <cell r="X2253" t="str">
            <v>(인)</v>
          </cell>
          <cell r="Y2253" t="str">
            <v>박순홍</v>
          </cell>
          <cell r="Z2253" t="str">
            <v>(인)</v>
          </cell>
          <cell r="AA2253" t="str">
            <v>이홍걸</v>
          </cell>
          <cell r="AB2253" t="str">
            <v>(인)</v>
          </cell>
          <cell r="AC2253" t="str">
            <v>박상갑</v>
          </cell>
          <cell r="AD2253" t="str">
            <v>(인)</v>
          </cell>
          <cell r="AE2253">
            <v>184.4</v>
          </cell>
          <cell r="AF2253" t="str">
            <v>표준</v>
          </cell>
          <cell r="AG2253">
            <v>3</v>
          </cell>
          <cell r="AH2253">
            <v>0</v>
          </cell>
        </row>
        <row r="2254">
          <cell r="G2254">
            <v>2506160101</v>
          </cell>
          <cell r="H2254" t="str">
            <v>115동</v>
          </cell>
          <cell r="I2254">
            <v>250616</v>
          </cell>
          <cell r="J2254" t="str">
            <v>115동 2코어 PH1, 116동 2코어 PH1 및 옥상난간</v>
          </cell>
          <cell r="K2254">
            <v>78</v>
          </cell>
          <cell r="L2254">
            <v>78</v>
          </cell>
          <cell r="M2254">
            <v>3018</v>
          </cell>
          <cell r="N2254" t="str">
            <v>영진</v>
          </cell>
          <cell r="O2254" t="str">
            <v>호퍼</v>
          </cell>
          <cell r="P2254">
            <v>838</v>
          </cell>
          <cell r="Q2254">
            <v>1135</v>
          </cell>
          <cell r="R2254">
            <v>170</v>
          </cell>
          <cell r="S2254">
            <v>42</v>
          </cell>
          <cell r="T2254">
            <v>39</v>
          </cell>
          <cell r="U2254">
            <v>254</v>
          </cell>
          <cell r="V2254"/>
          <cell r="W2254" t="str">
            <v>박순홍</v>
          </cell>
          <cell r="X2254" t="str">
            <v>(인)</v>
          </cell>
          <cell r="Y2254" t="str">
            <v>박순홍</v>
          </cell>
          <cell r="Z2254" t="str">
            <v>(인)</v>
          </cell>
          <cell r="AA2254" t="str">
            <v>박상갑</v>
          </cell>
          <cell r="AB2254" t="str">
            <v>(인)</v>
          </cell>
          <cell r="AC2254" t="str">
            <v>이홍걸</v>
          </cell>
          <cell r="AD2254" t="str">
            <v>(인)</v>
          </cell>
          <cell r="AE2254">
            <v>191.9</v>
          </cell>
          <cell r="AF2254" t="str">
            <v>표준</v>
          </cell>
          <cell r="AG2254">
            <v>1</v>
          </cell>
          <cell r="AH2254">
            <v>1</v>
          </cell>
          <cell r="AI2254">
            <v>2887</v>
          </cell>
          <cell r="AJ2254">
            <v>2902</v>
          </cell>
          <cell r="AK2254">
            <v>224800</v>
          </cell>
          <cell r="AL2254">
            <v>3972</v>
          </cell>
          <cell r="AM2254">
            <v>4026</v>
          </cell>
          <cell r="AN2254">
            <v>3862</v>
          </cell>
          <cell r="AO2254">
            <v>4037</v>
          </cell>
          <cell r="AP2254">
            <v>4162</v>
          </cell>
          <cell r="AQ2254">
            <v>3972</v>
          </cell>
          <cell r="AR2254">
            <v>4036</v>
          </cell>
          <cell r="AS2254">
            <v>4082</v>
          </cell>
          <cell r="AT2254">
            <v>315200</v>
          </cell>
        </row>
        <row r="2255">
          <cell r="G2255">
            <v>2506170101</v>
          </cell>
          <cell r="H2255" t="str">
            <v>120동</v>
          </cell>
          <cell r="I2255">
            <v>250617</v>
          </cell>
          <cell r="J2255" t="str">
            <v>120동 2코어 PH2</v>
          </cell>
          <cell r="K2255">
            <v>30</v>
          </cell>
          <cell r="L2255">
            <v>30</v>
          </cell>
          <cell r="M2255">
            <v>3018</v>
          </cell>
          <cell r="N2255" t="str">
            <v>영진</v>
          </cell>
          <cell r="O2255" t="str">
            <v>호퍼</v>
          </cell>
          <cell r="P2255">
            <v>1020</v>
          </cell>
          <cell r="Q2255">
            <v>1257</v>
          </cell>
          <cell r="R2255">
            <v>180</v>
          </cell>
          <cell r="S2255">
            <v>57</v>
          </cell>
          <cell r="T2255">
            <v>33</v>
          </cell>
          <cell r="U2255">
            <v>275</v>
          </cell>
          <cell r="V2255"/>
          <cell r="W2255" t="str">
            <v>박순홍</v>
          </cell>
          <cell r="X2255" t="str">
            <v>(인)</v>
          </cell>
          <cell r="Y2255" t="str">
            <v>박순홍</v>
          </cell>
          <cell r="Z2255" t="str">
            <v>(인)</v>
          </cell>
          <cell r="AA2255" t="str">
            <v>박상갑</v>
          </cell>
          <cell r="AB2255" t="str">
            <v>(인)</v>
          </cell>
          <cell r="AC2255" t="str">
            <v>이홍걸</v>
          </cell>
          <cell r="AD2255" t="str">
            <v>(인)</v>
          </cell>
          <cell r="AE2255">
            <v>178.6</v>
          </cell>
          <cell r="AF2255" t="str">
            <v>표준</v>
          </cell>
          <cell r="AG2255">
            <v>1</v>
          </cell>
          <cell r="AH2255">
            <v>1</v>
          </cell>
          <cell r="AI2255">
            <v>2813</v>
          </cell>
          <cell r="AJ2255">
            <v>2827</v>
          </cell>
          <cell r="AK2255">
            <v>227000</v>
          </cell>
          <cell r="AL2255">
            <v>3972</v>
          </cell>
          <cell r="AM2255">
            <v>4086</v>
          </cell>
          <cell r="AN2255">
            <v>4062</v>
          </cell>
          <cell r="AO2255">
            <v>3962</v>
          </cell>
          <cell r="AP2255">
            <v>3988</v>
          </cell>
          <cell r="AQ2255">
            <v>3926</v>
          </cell>
          <cell r="AR2255">
            <v>4084</v>
          </cell>
          <cell r="AS2255">
            <v>4012</v>
          </cell>
          <cell r="AT2255">
            <v>319400</v>
          </cell>
        </row>
        <row r="2256">
          <cell r="G2256">
            <v>2506190101</v>
          </cell>
          <cell r="H2256" t="str">
            <v>120동</v>
          </cell>
          <cell r="I2256">
            <v>250619</v>
          </cell>
          <cell r="J2256" t="str">
            <v>120동 옥상 117동 PH1 및 옥상난간</v>
          </cell>
          <cell r="K2256">
            <v>256</v>
          </cell>
          <cell r="L2256">
            <v>256</v>
          </cell>
          <cell r="M2256">
            <v>3018</v>
          </cell>
          <cell r="N2256" t="str">
            <v>대원</v>
          </cell>
          <cell r="O2256" t="str">
            <v>펌프카(1대)</v>
          </cell>
          <cell r="P2256">
            <v>903</v>
          </cell>
          <cell r="Q2256">
            <v>1650</v>
          </cell>
          <cell r="R2256">
            <v>190</v>
          </cell>
          <cell r="S2256">
            <v>40</v>
          </cell>
          <cell r="T2256">
            <v>21</v>
          </cell>
          <cell r="U2256">
            <v>217</v>
          </cell>
          <cell r="V2256"/>
          <cell r="W2256" t="str">
            <v>김광록</v>
          </cell>
          <cell r="X2256" t="str">
            <v>(인)</v>
          </cell>
          <cell r="Y2256" t="str">
            <v>박순홍</v>
          </cell>
          <cell r="Z2256" t="str">
            <v>(인)</v>
          </cell>
          <cell r="AA2256" t="str">
            <v>박상갑</v>
          </cell>
          <cell r="AB2256" t="str">
            <v>(인)</v>
          </cell>
          <cell r="AC2256" t="str">
            <v>이홍걸</v>
          </cell>
          <cell r="AD2256" t="str">
            <v>(인)</v>
          </cell>
          <cell r="AE2256">
            <v>183.4</v>
          </cell>
          <cell r="AF2256" t="str">
            <v>표준</v>
          </cell>
          <cell r="AG2256">
            <v>1</v>
          </cell>
          <cell r="AH2256">
            <v>1</v>
          </cell>
          <cell r="AI2256">
            <v>2783</v>
          </cell>
          <cell r="AJ2256">
            <v>2810</v>
          </cell>
          <cell r="AK2256">
            <v>220200</v>
          </cell>
          <cell r="AL2256">
            <v>3972</v>
          </cell>
          <cell r="AM2256">
            <v>4088</v>
          </cell>
          <cell r="AN2256">
            <v>3962</v>
          </cell>
          <cell r="AO2256">
            <v>4039</v>
          </cell>
          <cell r="AP2256">
            <v>4086</v>
          </cell>
          <cell r="AQ2256">
            <v>3974</v>
          </cell>
          <cell r="AR2256">
            <v>4076</v>
          </cell>
          <cell r="AS2256">
            <v>3926</v>
          </cell>
          <cell r="AT2256">
            <v>318200</v>
          </cell>
        </row>
        <row r="2257">
          <cell r="G2257">
            <v>2506190102</v>
          </cell>
          <cell r="H2257" t="str">
            <v>120동</v>
          </cell>
          <cell r="I2257">
            <v>250619</v>
          </cell>
          <cell r="J2257" t="str">
            <v>120동 옥상 117동 PH2 및 옥상난간</v>
          </cell>
          <cell r="K2257">
            <v>256</v>
          </cell>
          <cell r="L2257">
            <v>256</v>
          </cell>
          <cell r="M2257">
            <v>3018</v>
          </cell>
          <cell r="N2257" t="str">
            <v>대원</v>
          </cell>
          <cell r="O2257" t="str">
            <v>펌프카(1대)</v>
          </cell>
          <cell r="P2257">
            <v>903</v>
          </cell>
          <cell r="Q2257">
            <v>1650</v>
          </cell>
          <cell r="R2257">
            <v>185</v>
          </cell>
          <cell r="S2257">
            <v>35</v>
          </cell>
          <cell r="T2257">
            <v>70</v>
          </cell>
          <cell r="U2257">
            <v>220</v>
          </cell>
          <cell r="V2257"/>
          <cell r="W2257" t="str">
            <v>김광록</v>
          </cell>
          <cell r="X2257" t="str">
            <v>(인)</v>
          </cell>
          <cell r="Y2257" t="str">
            <v>박순홍</v>
          </cell>
          <cell r="Z2257" t="str">
            <v>(인)</v>
          </cell>
          <cell r="AA2257" t="str">
            <v>박상갑</v>
          </cell>
          <cell r="AB2257" t="str">
            <v>(인)</v>
          </cell>
          <cell r="AC2257" t="str">
            <v>이홍걸</v>
          </cell>
          <cell r="AD2257" t="str">
            <v>(인)</v>
          </cell>
          <cell r="AE2257">
            <v>181.6</v>
          </cell>
          <cell r="AF2257" t="str">
            <v>표준</v>
          </cell>
          <cell r="AG2257">
            <v>2</v>
          </cell>
          <cell r="AH2257">
            <v>0</v>
          </cell>
        </row>
        <row r="2258">
          <cell r="G2258">
            <v>2506190103</v>
          </cell>
          <cell r="H2258" t="str">
            <v>120동</v>
          </cell>
          <cell r="I2258">
            <v>250619</v>
          </cell>
          <cell r="J2258" t="str">
            <v>120동 옥상 117동 PH3 및 옥상난간</v>
          </cell>
          <cell r="K2258">
            <v>256</v>
          </cell>
          <cell r="L2258">
            <v>256</v>
          </cell>
          <cell r="M2258">
            <v>3018</v>
          </cell>
          <cell r="N2258" t="str">
            <v>대원</v>
          </cell>
          <cell r="O2258" t="str">
            <v>펌프카(1대)</v>
          </cell>
          <cell r="P2258">
            <v>903</v>
          </cell>
          <cell r="Q2258">
            <v>1650</v>
          </cell>
          <cell r="R2258">
            <v>190</v>
          </cell>
          <cell r="S2258">
            <v>35</v>
          </cell>
          <cell r="T2258">
            <v>60</v>
          </cell>
          <cell r="U2258">
            <v>228</v>
          </cell>
          <cell r="V2258"/>
          <cell r="W2258" t="str">
            <v>김광록</v>
          </cell>
          <cell r="X2258" t="str">
            <v>(인)</v>
          </cell>
          <cell r="Y2258" t="str">
            <v>박순홍</v>
          </cell>
          <cell r="Z2258" t="str">
            <v>(인)</v>
          </cell>
          <cell r="AA2258" t="str">
            <v>박상갑</v>
          </cell>
          <cell r="AB2258" t="str">
            <v>(인)</v>
          </cell>
          <cell r="AC2258" t="str">
            <v>이홍걸</v>
          </cell>
          <cell r="AD2258" t="str">
            <v>(인)</v>
          </cell>
          <cell r="AE2258">
            <v>180.9</v>
          </cell>
          <cell r="AF2258" t="str">
            <v>표준</v>
          </cell>
          <cell r="AG2258">
            <v>3</v>
          </cell>
          <cell r="AH2258">
            <v>0</v>
          </cell>
        </row>
        <row r="2259">
          <cell r="G2259">
            <v>2506200101</v>
          </cell>
          <cell r="H2259" t="str">
            <v>118동</v>
          </cell>
          <cell r="I2259">
            <v>250620</v>
          </cell>
          <cell r="J2259" t="str">
            <v>118동 25층 바닥</v>
          </cell>
          <cell r="K2259">
            <v>303</v>
          </cell>
          <cell r="L2259">
            <v>303</v>
          </cell>
          <cell r="M2259">
            <v>3018</v>
          </cell>
          <cell r="N2259" t="str">
            <v>용호</v>
          </cell>
          <cell r="O2259" t="str">
            <v>펌프카(1대)</v>
          </cell>
          <cell r="P2259">
            <v>810</v>
          </cell>
          <cell r="Q2259">
            <v>1545</v>
          </cell>
          <cell r="R2259">
            <v>180</v>
          </cell>
          <cell r="S2259">
            <v>54</v>
          </cell>
          <cell r="T2259">
            <v>70</v>
          </cell>
          <cell r="U2259">
            <v>248</v>
          </cell>
          <cell r="V2259"/>
          <cell r="W2259" t="str">
            <v>박순홍</v>
          </cell>
          <cell r="X2259" t="str">
            <v>(인)</v>
          </cell>
          <cell r="Y2259" t="str">
            <v>박순홍</v>
          </cell>
          <cell r="Z2259" t="str">
            <v>(인)</v>
          </cell>
          <cell r="AA2259" t="str">
            <v>박상갑</v>
          </cell>
          <cell r="AB2259" t="str">
            <v>(인)</v>
          </cell>
          <cell r="AC2259" t="str">
            <v>이홍걸</v>
          </cell>
          <cell r="AD2259" t="str">
            <v>(인)</v>
          </cell>
          <cell r="AE2259">
            <v>187.4</v>
          </cell>
          <cell r="AF2259" t="str">
            <v>표준</v>
          </cell>
          <cell r="AG2259">
            <v>1</v>
          </cell>
          <cell r="AH2259">
            <v>1</v>
          </cell>
          <cell r="AI2259">
            <v>2798</v>
          </cell>
          <cell r="AJ2259">
            <v>2836</v>
          </cell>
          <cell r="AK2259">
            <v>217800</v>
          </cell>
          <cell r="AL2259">
            <v>3926</v>
          </cell>
          <cell r="AM2259">
            <v>4072</v>
          </cell>
          <cell r="AN2259">
            <v>3964</v>
          </cell>
          <cell r="AO2259">
            <v>3978</v>
          </cell>
          <cell r="AP2259">
            <v>3862</v>
          </cell>
          <cell r="AQ2259">
            <v>3874</v>
          </cell>
          <cell r="AR2259">
            <v>3924</v>
          </cell>
          <cell r="AS2259">
            <v>4033</v>
          </cell>
          <cell r="AT2259">
            <v>320000</v>
          </cell>
        </row>
        <row r="2260">
          <cell r="G2260">
            <v>2506200102</v>
          </cell>
          <cell r="H2260" t="str">
            <v>118동</v>
          </cell>
          <cell r="I2260">
            <v>250620</v>
          </cell>
          <cell r="J2260" t="str">
            <v>118동 25층 바닥</v>
          </cell>
          <cell r="K2260">
            <v>303</v>
          </cell>
          <cell r="L2260">
            <v>303</v>
          </cell>
          <cell r="M2260">
            <v>3018</v>
          </cell>
          <cell r="N2260" t="str">
            <v>용호</v>
          </cell>
          <cell r="O2260" t="str">
            <v>펌프카(1대)</v>
          </cell>
          <cell r="P2260">
            <v>810</v>
          </cell>
          <cell r="Q2260">
            <v>1545</v>
          </cell>
          <cell r="R2260">
            <v>185</v>
          </cell>
          <cell r="S2260">
            <v>51</v>
          </cell>
          <cell r="T2260">
            <v>28</v>
          </cell>
          <cell r="U2260">
            <v>243</v>
          </cell>
          <cell r="V2260"/>
          <cell r="W2260" t="str">
            <v>박순홍</v>
          </cell>
          <cell r="X2260" t="str">
            <v>(인)</v>
          </cell>
          <cell r="Y2260" t="str">
            <v>박순홍</v>
          </cell>
          <cell r="Z2260" t="str">
            <v>(인)</v>
          </cell>
          <cell r="AA2260" t="str">
            <v>박상갑</v>
          </cell>
          <cell r="AB2260" t="str">
            <v>(인)</v>
          </cell>
          <cell r="AC2260" t="str">
            <v>이홍걸</v>
          </cell>
          <cell r="AD2260" t="str">
            <v>(인)</v>
          </cell>
          <cell r="AE2260">
            <v>185.7</v>
          </cell>
          <cell r="AF2260" t="str">
            <v>표준</v>
          </cell>
          <cell r="AG2260">
            <v>2</v>
          </cell>
          <cell r="AH2260">
            <v>0</v>
          </cell>
        </row>
        <row r="2261">
          <cell r="G2261">
            <v>2506200103</v>
          </cell>
          <cell r="H2261" t="str">
            <v>118동</v>
          </cell>
          <cell r="I2261">
            <v>250620</v>
          </cell>
          <cell r="J2261" t="str">
            <v>118동 25층 바닥</v>
          </cell>
          <cell r="K2261">
            <v>303</v>
          </cell>
          <cell r="L2261">
            <v>303</v>
          </cell>
          <cell r="M2261">
            <v>3018</v>
          </cell>
          <cell r="N2261" t="str">
            <v>용호</v>
          </cell>
          <cell r="O2261" t="str">
            <v>펌프카(1대)</v>
          </cell>
          <cell r="P2261">
            <v>810</v>
          </cell>
          <cell r="Q2261">
            <v>1545</v>
          </cell>
          <cell r="R2261">
            <v>195</v>
          </cell>
          <cell r="S2261">
            <v>47</v>
          </cell>
          <cell r="T2261">
            <v>15</v>
          </cell>
          <cell r="U2261">
            <v>251</v>
          </cell>
          <cell r="V2261"/>
          <cell r="W2261" t="str">
            <v>박순홍</v>
          </cell>
          <cell r="X2261" t="str">
            <v>(인)</v>
          </cell>
          <cell r="Y2261" t="str">
            <v>박순홍</v>
          </cell>
          <cell r="Z2261" t="str">
            <v>(인)</v>
          </cell>
          <cell r="AA2261" t="str">
            <v>박상갑</v>
          </cell>
          <cell r="AB2261" t="str">
            <v>(인)</v>
          </cell>
          <cell r="AC2261" t="str">
            <v>이홍걸</v>
          </cell>
          <cell r="AD2261" t="str">
            <v>(인)</v>
          </cell>
          <cell r="AE2261">
            <v>183.6</v>
          </cell>
          <cell r="AF2261" t="str">
            <v>표준</v>
          </cell>
          <cell r="AG2261">
            <v>3</v>
          </cell>
          <cell r="AH2261">
            <v>0</v>
          </cell>
        </row>
        <row r="2262">
          <cell r="G2262">
            <v>2506230101</v>
          </cell>
          <cell r="H2262" t="str">
            <v>116동</v>
          </cell>
          <cell r="I2262">
            <v>250623</v>
          </cell>
          <cell r="J2262" t="str">
            <v>116동 1코어 PH2 112동 PH2</v>
          </cell>
          <cell r="K2262">
            <v>72</v>
          </cell>
          <cell r="L2262">
            <v>72</v>
          </cell>
          <cell r="M2262">
            <v>3018</v>
          </cell>
          <cell r="N2262" t="str">
            <v>영진</v>
          </cell>
          <cell r="O2262" t="str">
            <v>호퍼</v>
          </cell>
          <cell r="P2262">
            <v>845</v>
          </cell>
          <cell r="Q2262">
            <v>1422</v>
          </cell>
          <cell r="R2262">
            <v>180</v>
          </cell>
          <cell r="S2262">
            <v>36</v>
          </cell>
          <cell r="T2262">
            <v>49</v>
          </cell>
          <cell r="U2262">
            <v>244</v>
          </cell>
          <cell r="V2262"/>
          <cell r="W2262" t="str">
            <v>박순홍</v>
          </cell>
          <cell r="X2262" t="str">
            <v>(인)</v>
          </cell>
          <cell r="Y2262" t="str">
            <v>박순홍</v>
          </cell>
          <cell r="Z2262" t="str">
            <v>(인)</v>
          </cell>
          <cell r="AA2262" t="str">
            <v>박상갑</v>
          </cell>
          <cell r="AB2262" t="str">
            <v>(인)</v>
          </cell>
          <cell r="AC2262" t="str">
            <v>박상갑</v>
          </cell>
          <cell r="AD2262" t="str">
            <v>(인)</v>
          </cell>
          <cell r="AE2262">
            <v>186.7</v>
          </cell>
          <cell r="AF2262" t="str">
            <v>표준</v>
          </cell>
          <cell r="AG2262">
            <v>1</v>
          </cell>
          <cell r="AH2262">
            <v>1</v>
          </cell>
          <cell r="AI2262">
            <v>2730</v>
          </cell>
          <cell r="AJ2262">
            <v>2712</v>
          </cell>
          <cell r="AK2262">
            <v>208000</v>
          </cell>
          <cell r="AL2262">
            <v>3674</v>
          </cell>
          <cell r="AM2262">
            <v>3794</v>
          </cell>
          <cell r="AN2262">
            <v>3834</v>
          </cell>
          <cell r="AO2262">
            <v>3626</v>
          </cell>
          <cell r="AP2262">
            <v>3579</v>
          </cell>
          <cell r="AQ2262">
            <v>3862</v>
          </cell>
          <cell r="AR2262">
            <v>4016</v>
          </cell>
          <cell r="AS2262">
            <v>3598</v>
          </cell>
          <cell r="AT2262">
            <v>308000</v>
          </cell>
        </row>
        <row r="2263">
          <cell r="G2263">
            <v>2506260101</v>
          </cell>
          <cell r="H2263" t="str">
            <v>115동</v>
          </cell>
          <cell r="I2263">
            <v>250626</v>
          </cell>
          <cell r="J2263" t="str">
            <v>115동 2코어 PH2</v>
          </cell>
          <cell r="K2263">
            <v>30</v>
          </cell>
          <cell r="L2263">
            <v>30</v>
          </cell>
          <cell r="M2263">
            <v>3018</v>
          </cell>
          <cell r="N2263" t="str">
            <v>용호</v>
          </cell>
          <cell r="O2263" t="str">
            <v>호퍼</v>
          </cell>
          <cell r="P2263">
            <v>805</v>
          </cell>
          <cell r="Q2263">
            <v>1130</v>
          </cell>
          <cell r="R2263">
            <v>190</v>
          </cell>
          <cell r="S2263">
            <v>40</v>
          </cell>
          <cell r="T2263">
            <v>20</v>
          </cell>
          <cell r="U2263">
            <v>242</v>
          </cell>
          <cell r="V2263"/>
          <cell r="W2263" t="str">
            <v>박순홍</v>
          </cell>
          <cell r="X2263" t="str">
            <v>(인)</v>
          </cell>
          <cell r="Y2263" t="str">
            <v>박순홍</v>
          </cell>
          <cell r="Z2263" t="str">
            <v>(인)</v>
          </cell>
          <cell r="AA2263" t="str">
            <v>이홍걸</v>
          </cell>
          <cell r="AB2263" t="str">
            <v>(인)</v>
          </cell>
          <cell r="AC2263" t="str">
            <v>박상갑</v>
          </cell>
          <cell r="AD2263" t="str">
            <v>(인)</v>
          </cell>
          <cell r="AE2263">
            <v>181.6</v>
          </cell>
          <cell r="AF2263" t="str">
            <v>표준</v>
          </cell>
          <cell r="AG2263">
            <v>1</v>
          </cell>
          <cell r="AH2263">
            <v>1</v>
          </cell>
          <cell r="AI2263">
            <v>2902</v>
          </cell>
          <cell r="AJ2263">
            <v>2817</v>
          </cell>
          <cell r="AK2263">
            <v>225400</v>
          </cell>
          <cell r="AL2263">
            <v>3810</v>
          </cell>
          <cell r="AM2263">
            <v>3820</v>
          </cell>
          <cell r="AN2263">
            <v>3780</v>
          </cell>
          <cell r="AO2263">
            <v>3894</v>
          </cell>
          <cell r="AP2263">
            <v>3766</v>
          </cell>
          <cell r="AQ2263">
            <v>3817</v>
          </cell>
          <cell r="AR2263">
            <v>3834</v>
          </cell>
          <cell r="AS2263">
            <v>3847</v>
          </cell>
          <cell r="AT2263">
            <v>301800</v>
          </cell>
        </row>
        <row r="2264">
          <cell r="G2264">
            <v>2506300101</v>
          </cell>
          <cell r="H2264" t="str">
            <v>113동</v>
          </cell>
          <cell r="I2264">
            <v>250630</v>
          </cell>
          <cell r="J2264" t="str">
            <v>113동 주출입구 106동 주출입구 벽체</v>
          </cell>
          <cell r="K2264">
            <v>60</v>
          </cell>
          <cell r="L2264">
            <v>60</v>
          </cell>
          <cell r="M2264">
            <v>3018</v>
          </cell>
          <cell r="N2264" t="str">
            <v>영진</v>
          </cell>
          <cell r="O2264" t="str">
            <v>펌프카(1대)</v>
          </cell>
          <cell r="P2264">
            <v>850</v>
          </cell>
          <cell r="Q2264">
            <v>1440</v>
          </cell>
          <cell r="R2264">
            <v>175</v>
          </cell>
          <cell r="S2264">
            <v>34</v>
          </cell>
          <cell r="T2264">
            <v>31</v>
          </cell>
          <cell r="U2264">
            <v>279</v>
          </cell>
          <cell r="V2264"/>
          <cell r="W2264" t="str">
            <v>박순홍</v>
          </cell>
          <cell r="X2264" t="str">
            <v>(인)</v>
          </cell>
          <cell r="Y2264" t="str">
            <v>박순홍</v>
          </cell>
          <cell r="Z2264" t="str">
            <v>(인)</v>
          </cell>
          <cell r="AA2264" t="str">
            <v>이홍걸</v>
          </cell>
          <cell r="AB2264" t="str">
            <v>(인)</v>
          </cell>
          <cell r="AC2264" t="str">
            <v>이홍걸</v>
          </cell>
          <cell r="AD2264" t="str">
            <v>(인)</v>
          </cell>
          <cell r="AE2264">
            <v>178.3</v>
          </cell>
          <cell r="AF2264" t="str">
            <v>표준</v>
          </cell>
          <cell r="AG2264">
            <v>1</v>
          </cell>
          <cell r="AH2264">
            <v>1</v>
          </cell>
          <cell r="AI2264">
            <v>2779</v>
          </cell>
          <cell r="AJ2264">
            <v>2821</v>
          </cell>
          <cell r="AK2264">
            <v>222200</v>
          </cell>
          <cell r="AL2264">
            <v>3917</v>
          </cell>
          <cell r="AM2264">
            <v>3817</v>
          </cell>
          <cell r="AN2264">
            <v>3909</v>
          </cell>
          <cell r="AO2264">
            <v>3877</v>
          </cell>
          <cell r="AP2264">
            <v>3920</v>
          </cell>
          <cell r="AQ2264">
            <v>3914</v>
          </cell>
          <cell r="AR2264">
            <v>3872</v>
          </cell>
          <cell r="AS2264">
            <v>3972</v>
          </cell>
          <cell r="AT2264">
            <v>303800</v>
          </cell>
        </row>
        <row r="2265">
          <cell r="G2265">
            <v>2506300201</v>
          </cell>
          <cell r="H2265" t="str">
            <v>계단</v>
          </cell>
          <cell r="I2265">
            <v>250630</v>
          </cell>
          <cell r="J2265" t="str">
            <v>104동 앞 외부계단</v>
          </cell>
          <cell r="K2265">
            <v>6</v>
          </cell>
          <cell r="L2265">
            <v>6</v>
          </cell>
          <cell r="M2265">
            <v>2715</v>
          </cell>
          <cell r="N2265" t="str">
            <v>영진</v>
          </cell>
          <cell r="O2265" t="str">
            <v>펌프카(1대)</v>
          </cell>
          <cell r="P2265">
            <v>1150</v>
          </cell>
          <cell r="Q2265">
            <v>1210</v>
          </cell>
          <cell r="R2265">
            <v>165</v>
          </cell>
          <cell r="S2265">
            <v>45</v>
          </cell>
          <cell r="T2265">
            <v>53</v>
          </cell>
          <cell r="U2265">
            <v>292</v>
          </cell>
          <cell r="V2265"/>
          <cell r="W2265" t="str">
            <v>박순홍</v>
          </cell>
          <cell r="X2265" t="str">
            <v>(인)</v>
          </cell>
          <cell r="Y2265" t="str">
            <v>박순홍</v>
          </cell>
          <cell r="Z2265" t="str">
            <v>(인)</v>
          </cell>
          <cell r="AA2265" t="str">
            <v>이홍걸</v>
          </cell>
          <cell r="AB2265" t="str">
            <v>(인)</v>
          </cell>
          <cell r="AC2265" t="str">
            <v>이홍걸</v>
          </cell>
          <cell r="AD2265" t="str">
            <v>(인)</v>
          </cell>
          <cell r="AE2265">
            <v>185.3</v>
          </cell>
          <cell r="AF2265" t="str">
            <v>표준</v>
          </cell>
          <cell r="AG2265">
            <v>1</v>
          </cell>
          <cell r="AH2265">
            <v>1</v>
          </cell>
          <cell r="AI2265">
            <v>2481</v>
          </cell>
          <cell r="AJ2265">
            <v>2543</v>
          </cell>
          <cell r="AK2265">
            <v>190400</v>
          </cell>
          <cell r="AL2265">
            <v>3607</v>
          </cell>
          <cell r="AM2265">
            <v>3582</v>
          </cell>
          <cell r="AN2265">
            <v>3674</v>
          </cell>
          <cell r="AO2265">
            <v>3588</v>
          </cell>
          <cell r="AP2265">
            <v>3602</v>
          </cell>
          <cell r="AQ2265">
            <v>3574</v>
          </cell>
          <cell r="AR2265">
            <v>3560</v>
          </cell>
          <cell r="AS2265">
            <v>3604</v>
          </cell>
          <cell r="AT2265">
            <v>278400</v>
          </cell>
        </row>
        <row r="2266">
          <cell r="G2266">
            <v>2507020101</v>
          </cell>
          <cell r="H2266" t="str">
            <v>118동</v>
          </cell>
          <cell r="I2266">
            <v>250702</v>
          </cell>
          <cell r="J2266" t="str">
            <v>118동 지붕층 119동 PH1</v>
          </cell>
          <cell r="K2266">
            <v>381</v>
          </cell>
          <cell r="L2266">
            <v>381</v>
          </cell>
          <cell r="M2266">
            <v>3018</v>
          </cell>
          <cell r="N2266" t="str">
            <v>용호</v>
          </cell>
          <cell r="O2266" t="str">
            <v>펌프카(1대)</v>
          </cell>
          <cell r="P2266">
            <v>842</v>
          </cell>
          <cell r="Q2266">
            <v>1610</v>
          </cell>
          <cell r="R2266">
            <v>180</v>
          </cell>
          <cell r="S2266">
            <v>47</v>
          </cell>
          <cell r="T2266">
            <v>51</v>
          </cell>
          <cell r="U2266">
            <v>277</v>
          </cell>
          <cell r="V2266"/>
          <cell r="W2266" t="str">
            <v>박순홍</v>
          </cell>
          <cell r="X2266" t="str">
            <v>(인)</v>
          </cell>
          <cell r="Y2266" t="str">
            <v>박순홍</v>
          </cell>
          <cell r="Z2266" t="str">
            <v>(인)</v>
          </cell>
          <cell r="AA2266" t="str">
            <v>이홍걸</v>
          </cell>
          <cell r="AB2266" t="str">
            <v>(인)</v>
          </cell>
          <cell r="AC2266" t="str">
            <v>이홍걸</v>
          </cell>
          <cell r="AD2266" t="str">
            <v>(인)</v>
          </cell>
          <cell r="AE2266">
            <v>182.7</v>
          </cell>
          <cell r="AF2266" t="str">
            <v>표준</v>
          </cell>
          <cell r="AG2266">
            <v>1</v>
          </cell>
          <cell r="AH2266">
            <v>1</v>
          </cell>
          <cell r="AI2266">
            <v>2905</v>
          </cell>
          <cell r="AJ2266">
            <v>2887</v>
          </cell>
          <cell r="AK2266">
            <v>230000</v>
          </cell>
          <cell r="AL2266">
            <v>4176</v>
          </cell>
          <cell r="AM2266">
            <v>4139</v>
          </cell>
          <cell r="AN2266">
            <v>4216</v>
          </cell>
          <cell r="AO2266">
            <v>4138</v>
          </cell>
          <cell r="AP2266">
            <v>4019</v>
          </cell>
          <cell r="AQ2266">
            <v>4124</v>
          </cell>
          <cell r="AR2266">
            <v>4069</v>
          </cell>
          <cell r="AS2266">
            <v>4123</v>
          </cell>
          <cell r="AT2266">
            <v>330000</v>
          </cell>
        </row>
        <row r="2267">
          <cell r="G2267">
            <v>2507020102</v>
          </cell>
          <cell r="H2267" t="str">
            <v>118동</v>
          </cell>
          <cell r="I2267">
            <v>250702</v>
          </cell>
          <cell r="J2267" t="str">
            <v>118동 지붕층 119동 PH1</v>
          </cell>
          <cell r="K2267">
            <v>381</v>
          </cell>
          <cell r="L2267">
            <v>381</v>
          </cell>
          <cell r="M2267">
            <v>3018</v>
          </cell>
          <cell r="N2267" t="str">
            <v>용호</v>
          </cell>
          <cell r="O2267" t="str">
            <v>펌프카(1대)</v>
          </cell>
          <cell r="P2267">
            <v>842</v>
          </cell>
          <cell r="Q2267">
            <v>1610</v>
          </cell>
          <cell r="R2267">
            <v>190</v>
          </cell>
          <cell r="S2267">
            <v>36</v>
          </cell>
          <cell r="T2267">
            <v>33</v>
          </cell>
          <cell r="U2267">
            <v>284</v>
          </cell>
          <cell r="V2267"/>
          <cell r="W2267" t="str">
            <v>박순홍</v>
          </cell>
          <cell r="X2267" t="str">
            <v>(인)</v>
          </cell>
          <cell r="Y2267" t="str">
            <v>박순홍</v>
          </cell>
          <cell r="Z2267" t="str">
            <v>(인)</v>
          </cell>
          <cell r="AA2267" t="str">
            <v>이홍걸</v>
          </cell>
          <cell r="AB2267" t="str">
            <v>(인)</v>
          </cell>
          <cell r="AC2267" t="str">
            <v>이홍걸</v>
          </cell>
          <cell r="AD2267" t="str">
            <v>(인)</v>
          </cell>
          <cell r="AE2267">
            <v>184.5</v>
          </cell>
          <cell r="AF2267" t="str">
            <v>표준</v>
          </cell>
          <cell r="AG2267">
            <v>2</v>
          </cell>
          <cell r="AH2267">
            <v>0</v>
          </cell>
        </row>
        <row r="2268">
          <cell r="G2268">
            <v>2507020103</v>
          </cell>
          <cell r="H2268" t="str">
            <v>118동</v>
          </cell>
          <cell r="I2268">
            <v>250702</v>
          </cell>
          <cell r="J2268" t="str">
            <v>118동 지붕층 119동 PH1</v>
          </cell>
          <cell r="K2268">
            <v>381</v>
          </cell>
          <cell r="L2268">
            <v>381</v>
          </cell>
          <cell r="M2268">
            <v>3018</v>
          </cell>
          <cell r="N2268" t="str">
            <v>용호</v>
          </cell>
          <cell r="O2268" t="str">
            <v>펌프카(1대)</v>
          </cell>
          <cell r="P2268">
            <v>842</v>
          </cell>
          <cell r="Q2268">
            <v>1610</v>
          </cell>
          <cell r="R2268">
            <v>195</v>
          </cell>
          <cell r="S2268">
            <v>41</v>
          </cell>
          <cell r="T2268">
            <v>44</v>
          </cell>
          <cell r="U2268">
            <v>274</v>
          </cell>
          <cell r="V2268"/>
          <cell r="W2268" t="str">
            <v>박순홍</v>
          </cell>
          <cell r="X2268" t="str">
            <v>(인)</v>
          </cell>
          <cell r="Y2268" t="str">
            <v>박순홍</v>
          </cell>
          <cell r="Z2268" t="str">
            <v>(인)</v>
          </cell>
          <cell r="AA2268" t="str">
            <v>이홍걸</v>
          </cell>
          <cell r="AB2268" t="str">
            <v>(인)</v>
          </cell>
          <cell r="AC2268" t="str">
            <v>이홍걸</v>
          </cell>
          <cell r="AD2268" t="str">
            <v>(인)</v>
          </cell>
          <cell r="AE2268">
            <v>187.3</v>
          </cell>
          <cell r="AF2268" t="str">
            <v>표준</v>
          </cell>
          <cell r="AG2268">
            <v>3</v>
          </cell>
          <cell r="AH2268">
            <v>0</v>
          </cell>
        </row>
        <row r="2269">
          <cell r="G2269">
            <v>2507020104</v>
          </cell>
          <cell r="H2269" t="str">
            <v>118동</v>
          </cell>
          <cell r="I2269">
            <v>250702</v>
          </cell>
          <cell r="J2269" t="str">
            <v>118동 지붕층 119동 PH1</v>
          </cell>
          <cell r="K2269">
            <v>381</v>
          </cell>
          <cell r="L2269">
            <v>381</v>
          </cell>
          <cell r="M2269">
            <v>3018</v>
          </cell>
          <cell r="N2269" t="str">
            <v>용호</v>
          </cell>
          <cell r="O2269" t="str">
            <v>펌프카(1대)</v>
          </cell>
          <cell r="P2269">
            <v>842</v>
          </cell>
          <cell r="Q2269">
            <v>1610</v>
          </cell>
          <cell r="R2269">
            <v>175</v>
          </cell>
          <cell r="S2269">
            <v>39</v>
          </cell>
          <cell r="T2269">
            <v>59</v>
          </cell>
          <cell r="U2269">
            <v>256</v>
          </cell>
          <cell r="V2269"/>
          <cell r="W2269" t="str">
            <v>박순홍</v>
          </cell>
          <cell r="X2269" t="str">
            <v>(인)</v>
          </cell>
          <cell r="Y2269" t="str">
            <v>박순홍</v>
          </cell>
          <cell r="Z2269" t="str">
            <v>(인)</v>
          </cell>
          <cell r="AA2269" t="str">
            <v>이홍걸</v>
          </cell>
          <cell r="AB2269" t="str">
            <v>(인)</v>
          </cell>
          <cell r="AC2269" t="str">
            <v>이홍걸</v>
          </cell>
          <cell r="AD2269" t="str">
            <v>(인)</v>
          </cell>
          <cell r="AE2269">
            <v>181.1</v>
          </cell>
          <cell r="AF2269" t="str">
            <v>표준</v>
          </cell>
          <cell r="AG2269">
            <v>4</v>
          </cell>
          <cell r="AH2269">
            <v>1</v>
          </cell>
          <cell r="AL2269">
            <v>3926</v>
          </cell>
          <cell r="AM2269">
            <v>3874</v>
          </cell>
          <cell r="AN2269">
            <v>3978</v>
          </cell>
          <cell r="AO2269">
            <v>4014</v>
          </cell>
          <cell r="AP2269">
            <v>4007</v>
          </cell>
          <cell r="AQ2269">
            <v>3929</v>
          </cell>
          <cell r="AR2269">
            <v>4006</v>
          </cell>
          <cell r="AS2269">
            <v>4037</v>
          </cell>
          <cell r="AT2269">
            <v>314400</v>
          </cell>
        </row>
        <row r="2270">
          <cell r="G2270">
            <v>2507020201</v>
          </cell>
          <cell r="H2270" t="str">
            <v>보강토</v>
          </cell>
          <cell r="I2270">
            <v>250702</v>
          </cell>
          <cell r="J2270" t="str">
            <v>보강토 기초</v>
          </cell>
          <cell r="K2270">
            <v>3</v>
          </cell>
          <cell r="L2270">
            <v>3</v>
          </cell>
          <cell r="M2270">
            <v>2115</v>
          </cell>
          <cell r="N2270" t="str">
            <v>영진</v>
          </cell>
          <cell r="O2270" t="str">
            <v>펌프카(1대)</v>
          </cell>
          <cell r="P2270">
            <v>1258</v>
          </cell>
          <cell r="Q2270">
            <v>1320</v>
          </cell>
          <cell r="R2270">
            <v>160</v>
          </cell>
          <cell r="S2270">
            <v>37</v>
          </cell>
          <cell r="T2270">
            <v>97</v>
          </cell>
          <cell r="U2270">
            <v>249</v>
          </cell>
          <cell r="V2270"/>
          <cell r="W2270" t="str">
            <v>박순홍</v>
          </cell>
          <cell r="X2270" t="str">
            <v>(인)</v>
          </cell>
          <cell r="Y2270" t="str">
            <v>박순홍</v>
          </cell>
          <cell r="Z2270" t="str">
            <v>(인)</v>
          </cell>
          <cell r="AA2270" t="str">
            <v>박상갑</v>
          </cell>
          <cell r="AB2270" t="str">
            <v>(인)</v>
          </cell>
          <cell r="AC2270" t="str">
            <v>이홍걸</v>
          </cell>
          <cell r="AD2270" t="str">
            <v>(인)</v>
          </cell>
          <cell r="AE2270">
            <v>178.4</v>
          </cell>
          <cell r="AF2270" t="str">
            <v>표준</v>
          </cell>
          <cell r="AG2270">
            <v>1</v>
          </cell>
          <cell r="AH2270">
            <v>1</v>
          </cell>
          <cell r="AI2270">
            <v>1899</v>
          </cell>
          <cell r="AJ2270">
            <v>1877</v>
          </cell>
          <cell r="AK2270">
            <v>151800</v>
          </cell>
          <cell r="AL2270">
            <v>2706</v>
          </cell>
          <cell r="AM2270">
            <v>2686</v>
          </cell>
          <cell r="AN2270">
            <v>2639</v>
          </cell>
          <cell r="AO2270">
            <v>2738</v>
          </cell>
          <cell r="AP2270">
            <v>2614</v>
          </cell>
          <cell r="AQ2270">
            <v>2674</v>
          </cell>
          <cell r="AR2270">
            <v>2707</v>
          </cell>
          <cell r="AS2270">
            <v>2736</v>
          </cell>
          <cell r="AT2270">
            <v>216600</v>
          </cell>
        </row>
        <row r="2271">
          <cell r="G2271">
            <v>2507040101</v>
          </cell>
          <cell r="H2271" t="str">
            <v>112동</v>
          </cell>
          <cell r="I2271">
            <v>250704</v>
          </cell>
          <cell r="J2271" t="str">
            <v>112동 PH2 116동 PH2</v>
          </cell>
          <cell r="K2271">
            <v>66</v>
          </cell>
          <cell r="L2271">
            <v>66</v>
          </cell>
          <cell r="M2271">
            <v>3018</v>
          </cell>
          <cell r="N2271" t="str">
            <v>대원</v>
          </cell>
          <cell r="O2271" t="str">
            <v>펌프카(1대)</v>
          </cell>
          <cell r="P2271">
            <v>736</v>
          </cell>
          <cell r="Q2271">
            <v>1521</v>
          </cell>
          <cell r="R2271">
            <v>200</v>
          </cell>
          <cell r="S2271">
            <v>48</v>
          </cell>
          <cell r="T2271">
            <v>55</v>
          </cell>
          <cell r="U2271">
            <v>230</v>
          </cell>
          <cell r="V2271"/>
          <cell r="W2271" t="str">
            <v>박순홍</v>
          </cell>
          <cell r="X2271" t="str">
            <v>(인)</v>
          </cell>
          <cell r="Y2271" t="str">
            <v>김광록</v>
          </cell>
          <cell r="Z2271" t="str">
            <v>(인)</v>
          </cell>
          <cell r="AA2271" t="str">
            <v>박상갑</v>
          </cell>
          <cell r="AB2271" t="str">
            <v>(인)</v>
          </cell>
          <cell r="AC2271" t="str">
            <v>박상갑</v>
          </cell>
          <cell r="AD2271" t="str">
            <v>(인)</v>
          </cell>
          <cell r="AE2271">
            <v>181.8</v>
          </cell>
          <cell r="AF2271" t="str">
            <v>표준</v>
          </cell>
          <cell r="AG2271">
            <v>1</v>
          </cell>
          <cell r="AH2271">
            <v>1</v>
          </cell>
          <cell r="AI2271">
            <v>2872</v>
          </cell>
          <cell r="AJ2271">
            <v>2807</v>
          </cell>
          <cell r="AK2271">
            <v>233000</v>
          </cell>
          <cell r="AL2271">
            <v>4016</v>
          </cell>
          <cell r="AM2271">
            <v>3972</v>
          </cell>
          <cell r="AN2271">
            <v>4039</v>
          </cell>
          <cell r="AO2271">
            <v>4088</v>
          </cell>
          <cell r="AP2271">
            <v>3962</v>
          </cell>
          <cell r="AQ2271">
            <v>4072</v>
          </cell>
          <cell r="AR2271">
            <v>3962</v>
          </cell>
          <cell r="AS2271">
            <v>3988</v>
          </cell>
          <cell r="AT2271">
            <v>316800</v>
          </cell>
        </row>
        <row r="2272">
          <cell r="G2272">
            <v>2507070101</v>
          </cell>
          <cell r="H2272" t="str">
            <v>120동</v>
          </cell>
          <cell r="I2272">
            <v>250707</v>
          </cell>
          <cell r="J2272" t="str">
            <v>120동 PH1및 주변 난간</v>
          </cell>
          <cell r="K2272">
            <v>36</v>
          </cell>
          <cell r="L2272">
            <v>36</v>
          </cell>
          <cell r="M2272">
            <v>3018</v>
          </cell>
          <cell r="N2272" t="str">
            <v>영진</v>
          </cell>
          <cell r="O2272" t="str">
            <v>펌프카(1대)</v>
          </cell>
          <cell r="P2272">
            <v>904</v>
          </cell>
          <cell r="Q2272">
            <v>1120</v>
          </cell>
          <cell r="R2272">
            <v>180</v>
          </cell>
          <cell r="S2272">
            <v>40</v>
          </cell>
          <cell r="T2272">
            <v>41</v>
          </cell>
          <cell r="U2272">
            <v>25.1</v>
          </cell>
          <cell r="V2272"/>
          <cell r="W2272" t="str">
            <v>박순홍</v>
          </cell>
          <cell r="X2272" t="str">
            <v>(인)</v>
          </cell>
          <cell r="Y2272" t="str">
            <v>김광록</v>
          </cell>
          <cell r="Z2272" t="str">
            <v>(인)</v>
          </cell>
          <cell r="AA2272" t="str">
            <v>이홍걸</v>
          </cell>
          <cell r="AB2272" t="str">
            <v>(인)</v>
          </cell>
          <cell r="AC2272" t="str">
            <v>박상갑</v>
          </cell>
          <cell r="AD2272" t="str">
            <v>(인)</v>
          </cell>
          <cell r="AE2272">
            <v>184.3</v>
          </cell>
          <cell r="AF2272" t="str">
            <v>표준</v>
          </cell>
          <cell r="AG2272">
            <v>1</v>
          </cell>
          <cell r="AH2272">
            <v>1</v>
          </cell>
          <cell r="AI2272">
            <v>2816</v>
          </cell>
          <cell r="AJ2272">
            <v>2872</v>
          </cell>
          <cell r="AK2272">
            <v>214400</v>
          </cell>
          <cell r="AL2272">
            <v>3857</v>
          </cell>
          <cell r="AM2272">
            <v>3976</v>
          </cell>
          <cell r="AN2272">
            <v>3804</v>
          </cell>
          <cell r="AO2272">
            <v>3864</v>
          </cell>
          <cell r="AP2272">
            <v>3810</v>
          </cell>
          <cell r="AQ2272">
            <v>3784</v>
          </cell>
          <cell r="AR2272">
            <v>3728</v>
          </cell>
          <cell r="AS2272">
            <v>3936</v>
          </cell>
          <cell r="AT2272">
            <v>300200</v>
          </cell>
        </row>
        <row r="2273">
          <cell r="G2273">
            <v>2507070201</v>
          </cell>
          <cell r="H2273" t="str">
            <v>104동</v>
          </cell>
          <cell r="I2273">
            <v>250707</v>
          </cell>
          <cell r="J2273" t="str">
            <v>104동 외부계단</v>
          </cell>
          <cell r="K2273">
            <v>26</v>
          </cell>
          <cell r="L2273">
            <v>26</v>
          </cell>
          <cell r="M2273">
            <v>2715</v>
          </cell>
          <cell r="N2273" t="str">
            <v>용호</v>
          </cell>
          <cell r="O2273" t="str">
            <v>펌프카(1대)</v>
          </cell>
          <cell r="P2273">
            <v>852</v>
          </cell>
          <cell r="Q2273">
            <v>1243</v>
          </cell>
          <cell r="R2273">
            <v>155</v>
          </cell>
          <cell r="S2273">
            <v>47</v>
          </cell>
          <cell r="T2273">
            <v>29</v>
          </cell>
          <cell r="U2273">
            <v>231</v>
          </cell>
          <cell r="V2273"/>
          <cell r="W2273" t="str">
            <v>박순홍</v>
          </cell>
          <cell r="X2273" t="str">
            <v>(인)</v>
          </cell>
          <cell r="Y2273" t="str">
            <v>김광록</v>
          </cell>
          <cell r="Z2273" t="str">
            <v>(인)</v>
          </cell>
          <cell r="AA2273" t="str">
            <v>이홍걸</v>
          </cell>
          <cell r="AB2273" t="str">
            <v>(인)</v>
          </cell>
          <cell r="AC2273" t="str">
            <v>박상갑</v>
          </cell>
          <cell r="AD2273" t="str">
            <v>(인)</v>
          </cell>
          <cell r="AE2273">
            <v>181.2</v>
          </cell>
          <cell r="AF2273" t="str">
            <v>표준</v>
          </cell>
          <cell r="AG2273">
            <v>1</v>
          </cell>
          <cell r="AH2273">
            <v>1</v>
          </cell>
          <cell r="AI2273">
            <v>2472</v>
          </cell>
          <cell r="AJ2273">
            <v>2409</v>
          </cell>
          <cell r="AK2273">
            <v>193800</v>
          </cell>
          <cell r="AL2273">
            <v>3360</v>
          </cell>
          <cell r="AM2273">
            <v>3567</v>
          </cell>
          <cell r="AN2273">
            <v>3340</v>
          </cell>
          <cell r="AO2273">
            <v>3453</v>
          </cell>
          <cell r="AP2273">
            <v>3328</v>
          </cell>
          <cell r="AQ2273">
            <v>3409</v>
          </cell>
          <cell r="AR2273">
            <v>3521</v>
          </cell>
          <cell r="AS2273">
            <v>3370</v>
          </cell>
          <cell r="AT2273">
            <v>272600</v>
          </cell>
        </row>
        <row r="2274">
          <cell r="G2274">
            <v>2507070301</v>
          </cell>
          <cell r="H2274" t="str">
            <v>주차장 누름</v>
          </cell>
          <cell r="I2274">
            <v>250707</v>
          </cell>
          <cell r="J2274" t="str">
            <v>2공구 필로티 누름</v>
          </cell>
          <cell r="K2274">
            <v>36</v>
          </cell>
          <cell r="L2274">
            <v>36</v>
          </cell>
          <cell r="M2274">
            <v>1815</v>
          </cell>
          <cell r="N2274" t="str">
            <v>영진</v>
          </cell>
          <cell r="O2274" t="str">
            <v>펌프카(1대)</v>
          </cell>
          <cell r="P2274">
            <v>1325</v>
          </cell>
          <cell r="Q2274">
            <v>1540</v>
          </cell>
          <cell r="R2274">
            <v>140</v>
          </cell>
          <cell r="S2274">
            <v>43</v>
          </cell>
          <cell r="T2274">
            <v>78</v>
          </cell>
          <cell r="U2274">
            <v>250</v>
          </cell>
          <cell r="V2274"/>
          <cell r="W2274" t="str">
            <v>박순홍</v>
          </cell>
          <cell r="X2274" t="str">
            <v>(인)</v>
          </cell>
          <cell r="Y2274" t="str">
            <v>김광록</v>
          </cell>
          <cell r="Z2274" t="str">
            <v>(인)</v>
          </cell>
          <cell r="AA2274" t="str">
            <v>이홍걸</v>
          </cell>
          <cell r="AB2274" t="str">
            <v>(인)</v>
          </cell>
          <cell r="AC2274" t="str">
            <v>박상갑</v>
          </cell>
          <cell r="AD2274" t="str">
            <v>(인)</v>
          </cell>
          <cell r="AE2274">
            <v>180.1</v>
          </cell>
          <cell r="AF2274" t="str">
            <v>표준</v>
          </cell>
          <cell r="AG2274">
            <v>1</v>
          </cell>
          <cell r="AH2274">
            <v>1</v>
          </cell>
          <cell r="AI2274">
            <v>1607</v>
          </cell>
          <cell r="AJ2274">
            <v>1562</v>
          </cell>
          <cell r="AK2274">
            <v>118200</v>
          </cell>
          <cell r="AL2274">
            <v>2454</v>
          </cell>
          <cell r="AM2274">
            <v>2430</v>
          </cell>
          <cell r="AN2274">
            <v>2439</v>
          </cell>
          <cell r="AO2274">
            <v>2376</v>
          </cell>
          <cell r="AP2274">
            <v>2477</v>
          </cell>
          <cell r="AQ2274">
            <v>2380</v>
          </cell>
          <cell r="AR2274">
            <v>2398</v>
          </cell>
          <cell r="AS2274">
            <v>2515</v>
          </cell>
          <cell r="AT2274">
            <v>189200</v>
          </cell>
        </row>
        <row r="2275">
          <cell r="G2275">
            <v>2507080101</v>
          </cell>
          <cell r="H2275" t="str">
            <v>106동 114동</v>
          </cell>
          <cell r="I2275">
            <v>250708</v>
          </cell>
          <cell r="J2275" t="str">
            <v>106동 114동 주출입구 바닥타설</v>
          </cell>
          <cell r="K2275">
            <v>48</v>
          </cell>
          <cell r="L2275">
            <v>48</v>
          </cell>
          <cell r="M2275">
            <v>3018</v>
          </cell>
          <cell r="N2275" t="str">
            <v>용호</v>
          </cell>
          <cell r="O2275" t="str">
            <v>펌프카(1대)</v>
          </cell>
          <cell r="P2275">
            <v>759</v>
          </cell>
          <cell r="Q2275">
            <v>1054</v>
          </cell>
          <cell r="R2275">
            <v>180</v>
          </cell>
          <cell r="S2275">
            <v>40</v>
          </cell>
          <cell r="T2275">
            <v>76</v>
          </cell>
          <cell r="U2275">
            <v>243</v>
          </cell>
          <cell r="V2275"/>
          <cell r="W2275" t="str">
            <v>박순홍</v>
          </cell>
          <cell r="X2275" t="str">
            <v>(인)</v>
          </cell>
          <cell r="Y2275" t="str">
            <v>김광록</v>
          </cell>
          <cell r="Z2275" t="str">
            <v>(인)</v>
          </cell>
          <cell r="AA2275" t="str">
            <v>이홍걸</v>
          </cell>
          <cell r="AB2275" t="str">
            <v>(인)</v>
          </cell>
          <cell r="AC2275" t="str">
            <v>박상갑</v>
          </cell>
          <cell r="AD2275" t="str">
            <v>(인)</v>
          </cell>
          <cell r="AE2275">
            <v>186.3</v>
          </cell>
          <cell r="AF2275" t="str">
            <v>표준</v>
          </cell>
          <cell r="AG2275">
            <v>1</v>
          </cell>
          <cell r="AH2275">
            <v>1</v>
          </cell>
          <cell r="AI2275">
            <v>2876</v>
          </cell>
          <cell r="AJ2275">
            <v>2906</v>
          </cell>
          <cell r="AK2275">
            <v>228600</v>
          </cell>
          <cell r="AL2275">
            <v>3822</v>
          </cell>
          <cell r="AM2275">
            <v>3784</v>
          </cell>
          <cell r="AN2275">
            <v>3852</v>
          </cell>
          <cell r="AO2275">
            <v>3960</v>
          </cell>
          <cell r="AP2275">
            <v>3921</v>
          </cell>
          <cell r="AQ2275">
            <v>3801</v>
          </cell>
          <cell r="AR2275">
            <v>3844</v>
          </cell>
          <cell r="AS2275">
            <v>3769</v>
          </cell>
          <cell r="AT2275">
            <v>302200</v>
          </cell>
        </row>
        <row r="2276">
          <cell r="G2276">
            <v>2507080201</v>
          </cell>
          <cell r="H2276" t="str">
            <v>계단</v>
          </cell>
          <cell r="I2276">
            <v>250708</v>
          </cell>
          <cell r="J2276" t="str">
            <v>옥외계단 #3 1차타설</v>
          </cell>
          <cell r="K2276">
            <v>84</v>
          </cell>
          <cell r="L2276">
            <v>84</v>
          </cell>
          <cell r="M2276">
            <v>2715</v>
          </cell>
          <cell r="N2276" t="str">
            <v>대원</v>
          </cell>
          <cell r="O2276" t="str">
            <v>펌프카(1대)</v>
          </cell>
          <cell r="P2276">
            <v>1051</v>
          </cell>
          <cell r="Q2276">
            <v>1426</v>
          </cell>
          <cell r="R2276">
            <v>160</v>
          </cell>
          <cell r="S2276">
            <v>44</v>
          </cell>
          <cell r="T2276">
            <v>33</v>
          </cell>
          <cell r="U2276">
            <v>252</v>
          </cell>
          <cell r="V2276"/>
          <cell r="W2276" t="str">
            <v>박순홍</v>
          </cell>
          <cell r="X2276" t="str">
            <v>(인)</v>
          </cell>
          <cell r="Y2276" t="str">
            <v>김광록</v>
          </cell>
          <cell r="Z2276" t="str">
            <v>(인)</v>
          </cell>
          <cell r="AA2276" t="str">
            <v>이홍걸</v>
          </cell>
          <cell r="AB2276" t="str">
            <v>(인)</v>
          </cell>
          <cell r="AC2276" t="str">
            <v>박상갑</v>
          </cell>
          <cell r="AD2276" t="str">
            <v>(인)</v>
          </cell>
          <cell r="AE2276">
            <v>181.4</v>
          </cell>
          <cell r="AF2276" t="str">
            <v>표준</v>
          </cell>
          <cell r="AG2276">
            <v>1</v>
          </cell>
          <cell r="AH2276">
            <v>1</v>
          </cell>
          <cell r="AI2276">
            <v>2418</v>
          </cell>
          <cell r="AJ2276">
            <v>2402</v>
          </cell>
          <cell r="AK2276">
            <v>187800</v>
          </cell>
          <cell r="AL2276">
            <v>3356</v>
          </cell>
          <cell r="AM2276">
            <v>3456</v>
          </cell>
          <cell r="AN2276">
            <v>3368</v>
          </cell>
          <cell r="AO2276">
            <v>3286</v>
          </cell>
          <cell r="AP2276">
            <v>3357</v>
          </cell>
          <cell r="AQ2276">
            <v>3437</v>
          </cell>
          <cell r="AR2276">
            <v>3427</v>
          </cell>
          <cell r="AS2276">
            <v>3418</v>
          </cell>
          <cell r="AT2276">
            <v>265200</v>
          </cell>
        </row>
        <row r="2277">
          <cell r="G2277">
            <v>2507110101</v>
          </cell>
          <cell r="H2277" t="str">
            <v>주출입구</v>
          </cell>
          <cell r="I2277">
            <v>250711</v>
          </cell>
          <cell r="J2277" t="str">
            <v>117동, 118동 주출입구</v>
          </cell>
          <cell r="K2277">
            <v>30</v>
          </cell>
          <cell r="L2277">
            <v>30</v>
          </cell>
          <cell r="M2277">
            <v>3018</v>
          </cell>
          <cell r="N2277" t="str">
            <v>대원</v>
          </cell>
          <cell r="O2277" t="str">
            <v>펌프카(1대)</v>
          </cell>
          <cell r="P2277">
            <v>827</v>
          </cell>
          <cell r="Q2277">
            <v>1040</v>
          </cell>
          <cell r="R2277">
            <v>190</v>
          </cell>
          <cell r="S2277">
            <v>45</v>
          </cell>
          <cell r="T2277">
            <v>23</v>
          </cell>
          <cell r="U2277">
            <v>254</v>
          </cell>
          <cell r="V2277"/>
          <cell r="W2277" t="str">
            <v>박순홍</v>
          </cell>
          <cell r="X2277" t="str">
            <v>(인)</v>
          </cell>
          <cell r="Y2277" t="str">
            <v>김광록</v>
          </cell>
          <cell r="Z2277" t="str">
            <v>(인)</v>
          </cell>
          <cell r="AA2277" t="str">
            <v>이홍걸</v>
          </cell>
          <cell r="AB2277" t="str">
            <v>(인)</v>
          </cell>
          <cell r="AC2277" t="str">
            <v>박상갑</v>
          </cell>
          <cell r="AD2277" t="str">
            <v>(인)</v>
          </cell>
          <cell r="AE2277">
            <v>184.1</v>
          </cell>
          <cell r="AF2277" t="str">
            <v>표준</v>
          </cell>
          <cell r="AG2277">
            <v>1</v>
          </cell>
          <cell r="AH2277">
            <v>1</v>
          </cell>
          <cell r="AI2277">
            <v>2862</v>
          </cell>
          <cell r="AJ2277">
            <v>2972</v>
          </cell>
          <cell r="AK2277">
            <v>223400</v>
          </cell>
          <cell r="AL2277">
            <v>3827</v>
          </cell>
          <cell r="AM2277">
            <v>3768</v>
          </cell>
          <cell r="AN2277">
            <v>3927</v>
          </cell>
          <cell r="AO2277">
            <v>3911</v>
          </cell>
          <cell r="AP2277">
            <v>3829</v>
          </cell>
          <cell r="AQ2277">
            <v>3855</v>
          </cell>
          <cell r="AR2277">
            <v>3875</v>
          </cell>
          <cell r="AS2277">
            <v>3936</v>
          </cell>
          <cell r="AT2277">
            <v>299600</v>
          </cell>
        </row>
        <row r="2278">
          <cell r="G2278">
            <v>2507110201</v>
          </cell>
          <cell r="H2278" t="str">
            <v>외부계단</v>
          </cell>
          <cell r="I2278">
            <v>250711</v>
          </cell>
          <cell r="J2278" t="str">
            <v>107동, 108동 주변 외부계단</v>
          </cell>
          <cell r="K2278">
            <v>54</v>
          </cell>
          <cell r="L2278">
            <v>54</v>
          </cell>
          <cell r="M2278">
            <v>2715</v>
          </cell>
          <cell r="N2278" t="str">
            <v>대원</v>
          </cell>
          <cell r="O2278" t="str">
            <v>펌프카(1대)</v>
          </cell>
          <cell r="P2278">
            <v>1252</v>
          </cell>
          <cell r="Q2278">
            <v>1542</v>
          </cell>
          <cell r="R2278">
            <v>170</v>
          </cell>
          <cell r="S2278">
            <v>34</v>
          </cell>
          <cell r="T2278">
            <v>47</v>
          </cell>
          <cell r="U2278">
            <v>264</v>
          </cell>
          <cell r="V2278"/>
          <cell r="W2278" t="str">
            <v>박순홍</v>
          </cell>
          <cell r="X2278" t="str">
            <v>(인)</v>
          </cell>
          <cell r="Y2278" t="str">
            <v>김광록</v>
          </cell>
          <cell r="Z2278" t="str">
            <v>(인)</v>
          </cell>
          <cell r="AA2278" t="str">
            <v>이홍걸</v>
          </cell>
          <cell r="AB2278" t="str">
            <v>(인)</v>
          </cell>
          <cell r="AC2278" t="str">
            <v>박상갑</v>
          </cell>
          <cell r="AD2278" t="str">
            <v>(인)</v>
          </cell>
          <cell r="AE2278">
            <v>179.4</v>
          </cell>
          <cell r="AF2278" t="str">
            <v>표준</v>
          </cell>
          <cell r="AG2278">
            <v>1</v>
          </cell>
          <cell r="AH2278">
            <v>1</v>
          </cell>
          <cell r="AI2278">
            <v>2507</v>
          </cell>
          <cell r="AJ2278">
            <v>2487</v>
          </cell>
          <cell r="AK2278">
            <v>193600</v>
          </cell>
          <cell r="AL2278">
            <v>3411</v>
          </cell>
          <cell r="AM2278">
            <v>3518</v>
          </cell>
          <cell r="AN2278">
            <v>3498</v>
          </cell>
          <cell r="AO2278">
            <v>3463</v>
          </cell>
          <cell r="AP2278">
            <v>3468</v>
          </cell>
          <cell r="AQ2278">
            <v>3493</v>
          </cell>
          <cell r="AR2278">
            <v>3527</v>
          </cell>
          <cell r="AS2278">
            <v>3535</v>
          </cell>
          <cell r="AT2278">
            <v>277000</v>
          </cell>
        </row>
        <row r="2279">
          <cell r="G2279">
            <v>2507110301</v>
          </cell>
          <cell r="H2279" t="str">
            <v>주차장 누름</v>
          </cell>
          <cell r="I2279">
            <v>250711</v>
          </cell>
          <cell r="J2279" t="str">
            <v>118동 주변주차장 누름</v>
          </cell>
          <cell r="K2279">
            <v>81</v>
          </cell>
          <cell r="L2279">
            <v>81</v>
          </cell>
          <cell r="M2279">
            <v>1815</v>
          </cell>
          <cell r="N2279" t="str">
            <v>대원</v>
          </cell>
          <cell r="O2279" t="str">
            <v>펌프카(1대)</v>
          </cell>
          <cell r="P2279">
            <v>1045</v>
          </cell>
          <cell r="Q2279">
            <v>1510</v>
          </cell>
          <cell r="R2279">
            <v>165</v>
          </cell>
          <cell r="S2279">
            <v>42</v>
          </cell>
          <cell r="T2279">
            <v>68</v>
          </cell>
          <cell r="U2279">
            <v>269</v>
          </cell>
          <cell r="V2279"/>
          <cell r="W2279" t="str">
            <v>박순홍</v>
          </cell>
          <cell r="X2279" t="str">
            <v>(인)</v>
          </cell>
          <cell r="Y2279" t="str">
            <v>김광록</v>
          </cell>
          <cell r="Z2279" t="str">
            <v>(인)</v>
          </cell>
          <cell r="AA2279" t="str">
            <v>이홍걸</v>
          </cell>
          <cell r="AB2279" t="str">
            <v>(인)</v>
          </cell>
          <cell r="AC2279" t="str">
            <v>박상갑</v>
          </cell>
          <cell r="AD2279" t="str">
            <v>(인)</v>
          </cell>
          <cell r="AE2279">
            <v>180.4</v>
          </cell>
          <cell r="AF2279" t="str">
            <v>표준</v>
          </cell>
          <cell r="AG2279">
            <v>1</v>
          </cell>
          <cell r="AH2279">
            <v>1</v>
          </cell>
          <cell r="AI2279">
            <v>1392</v>
          </cell>
          <cell r="AJ2279">
            <v>1426</v>
          </cell>
          <cell r="AK2279">
            <v>111200</v>
          </cell>
          <cell r="AL2279">
            <v>2470</v>
          </cell>
          <cell r="AM2279">
            <v>2487</v>
          </cell>
          <cell r="AN2279">
            <v>2327</v>
          </cell>
          <cell r="AO2279">
            <v>2342</v>
          </cell>
          <cell r="AP2279">
            <v>2447</v>
          </cell>
          <cell r="AQ2279">
            <v>2462</v>
          </cell>
          <cell r="AR2279">
            <v>2363</v>
          </cell>
          <cell r="AS2279">
            <v>2453</v>
          </cell>
          <cell r="AT2279">
            <v>182400</v>
          </cell>
        </row>
        <row r="2280">
          <cell r="G2280">
            <v>2507140101</v>
          </cell>
          <cell r="H2280" t="str">
            <v>118동</v>
          </cell>
          <cell r="I2280">
            <v>250714</v>
          </cell>
          <cell r="J2280" t="str">
            <v>118동 옥상난간 및 PH1</v>
          </cell>
          <cell r="K2280">
            <v>78</v>
          </cell>
          <cell r="L2280">
            <v>78</v>
          </cell>
          <cell r="M2280">
            <v>3018</v>
          </cell>
          <cell r="N2280" t="str">
            <v>대공</v>
          </cell>
          <cell r="O2280" t="str">
            <v>호퍼</v>
          </cell>
          <cell r="P2280">
            <v>845</v>
          </cell>
          <cell r="Q2280">
            <v>1709</v>
          </cell>
          <cell r="R2280">
            <v>180</v>
          </cell>
          <cell r="S2280">
            <v>52</v>
          </cell>
          <cell r="T2280">
            <v>57</v>
          </cell>
          <cell r="U2280">
            <v>248</v>
          </cell>
          <cell r="V2280"/>
          <cell r="W2280" t="str">
            <v>박순홍</v>
          </cell>
          <cell r="X2280" t="str">
            <v>(인)</v>
          </cell>
          <cell r="Y2280" t="str">
            <v>박순홍</v>
          </cell>
          <cell r="Z2280" t="str">
            <v>(인)</v>
          </cell>
          <cell r="AA2280" t="str">
            <v>박상갑</v>
          </cell>
          <cell r="AB2280" t="str">
            <v>(인)</v>
          </cell>
          <cell r="AC2280" t="str">
            <v>이홍걸</v>
          </cell>
          <cell r="AD2280" t="str">
            <v>(인)</v>
          </cell>
          <cell r="AE2280">
            <v>187.2</v>
          </cell>
          <cell r="AF2280" t="str">
            <v>표준</v>
          </cell>
          <cell r="AG2280">
            <v>1</v>
          </cell>
          <cell r="AH2280">
            <v>1</v>
          </cell>
          <cell r="AI2280">
            <v>2839</v>
          </cell>
          <cell r="AJ2280">
            <v>2869</v>
          </cell>
          <cell r="AK2280">
            <v>230200</v>
          </cell>
          <cell r="AL2280">
            <v>3689</v>
          </cell>
          <cell r="AM2280">
            <v>3688</v>
          </cell>
          <cell r="AN2280">
            <v>3592</v>
          </cell>
          <cell r="AO2280">
            <v>3713</v>
          </cell>
          <cell r="AP2280">
            <v>3802</v>
          </cell>
          <cell r="AQ2280">
            <v>3694</v>
          </cell>
          <cell r="AR2280">
            <v>3672</v>
          </cell>
          <cell r="AS2280">
            <v>3684</v>
          </cell>
          <cell r="AT2280">
            <v>280600</v>
          </cell>
        </row>
        <row r="2281">
          <cell r="G2281">
            <v>2507160101</v>
          </cell>
          <cell r="H2281" t="str">
            <v>119동</v>
          </cell>
          <cell r="I2281">
            <v>250716</v>
          </cell>
          <cell r="J2281" t="str">
            <v>119동 2코어 PH2</v>
          </cell>
          <cell r="K2281">
            <v>30</v>
          </cell>
          <cell r="L2281">
            <v>30</v>
          </cell>
          <cell r="M2281">
            <v>3018</v>
          </cell>
          <cell r="N2281" t="str">
            <v>용호</v>
          </cell>
          <cell r="O2281" t="str">
            <v>호퍼</v>
          </cell>
          <cell r="P2281">
            <v>740</v>
          </cell>
          <cell r="Q2281">
            <v>1132</v>
          </cell>
          <cell r="R2281">
            <v>180</v>
          </cell>
          <cell r="S2281">
            <v>37</v>
          </cell>
          <cell r="T2281">
            <v>66</v>
          </cell>
          <cell r="U2281">
            <v>25</v>
          </cell>
          <cell r="V2281"/>
          <cell r="W2281" t="str">
            <v>박순홍</v>
          </cell>
          <cell r="X2281" t="str">
            <v>(인)</v>
          </cell>
          <cell r="Y2281" t="str">
            <v>박순홍</v>
          </cell>
          <cell r="Z2281" t="str">
            <v>(인)</v>
          </cell>
          <cell r="AA2281" t="str">
            <v>박상갑</v>
          </cell>
          <cell r="AB2281" t="str">
            <v>(인)</v>
          </cell>
          <cell r="AC2281" t="str">
            <v>이홍걸</v>
          </cell>
          <cell r="AD2281" t="str">
            <v>(인)</v>
          </cell>
          <cell r="AE2281">
            <v>185.3</v>
          </cell>
          <cell r="AF2281" t="str">
            <v>표준</v>
          </cell>
          <cell r="AG2281">
            <v>1</v>
          </cell>
          <cell r="AH2281">
            <v>1</v>
          </cell>
          <cell r="AI2281">
            <v>2816</v>
          </cell>
          <cell r="AJ2281">
            <v>2862</v>
          </cell>
          <cell r="AK2281">
            <v>222100</v>
          </cell>
          <cell r="AL2281">
            <v>3926</v>
          </cell>
          <cell r="AM2281">
            <v>3972</v>
          </cell>
          <cell r="AN2281">
            <v>3862</v>
          </cell>
          <cell r="AO2281">
            <v>3862</v>
          </cell>
          <cell r="AP2281">
            <v>3872</v>
          </cell>
          <cell r="AQ2281">
            <v>3940</v>
          </cell>
          <cell r="AR2281">
            <v>4016</v>
          </cell>
          <cell r="AS2281">
            <v>3974</v>
          </cell>
          <cell r="AT2281">
            <v>321000</v>
          </cell>
        </row>
        <row r="2282">
          <cell r="G2282">
            <v>2507160201</v>
          </cell>
          <cell r="H2282" t="str">
            <v>120동</v>
          </cell>
          <cell r="I2282">
            <v>250716</v>
          </cell>
          <cell r="J2282" t="str">
            <v>120동 1코어 PH2</v>
          </cell>
          <cell r="K2282">
            <v>28</v>
          </cell>
          <cell r="L2282">
            <v>28</v>
          </cell>
          <cell r="M2282">
            <v>3018</v>
          </cell>
          <cell r="N2282" t="str">
            <v>동양</v>
          </cell>
          <cell r="O2282" t="str">
            <v>호퍼</v>
          </cell>
          <cell r="P2282">
            <v>1130</v>
          </cell>
          <cell r="Q2282">
            <v>1415</v>
          </cell>
          <cell r="R2282">
            <v>190</v>
          </cell>
          <cell r="S2282">
            <v>38</v>
          </cell>
          <cell r="T2282">
            <v>39</v>
          </cell>
          <cell r="U2282">
            <v>243</v>
          </cell>
          <cell r="V2282"/>
          <cell r="W2282" t="str">
            <v>박순홍</v>
          </cell>
          <cell r="X2282" t="str">
            <v>(인)</v>
          </cell>
          <cell r="Y2282" t="str">
            <v>박순홍</v>
          </cell>
          <cell r="Z2282" t="str">
            <v>(인)</v>
          </cell>
          <cell r="AA2282" t="str">
            <v>박상갑</v>
          </cell>
          <cell r="AB2282" t="str">
            <v>(인)</v>
          </cell>
          <cell r="AC2282" t="str">
            <v>이홍걸</v>
          </cell>
          <cell r="AD2282" t="str">
            <v>(인)</v>
          </cell>
          <cell r="AE2282">
            <v>183.6</v>
          </cell>
          <cell r="AF2282" t="str">
            <v>표준</v>
          </cell>
          <cell r="AG2282">
            <v>1</v>
          </cell>
          <cell r="AH2282">
            <v>1</v>
          </cell>
          <cell r="AI2282">
            <v>2938</v>
          </cell>
          <cell r="AJ2282">
            <v>2921</v>
          </cell>
          <cell r="AK2282">
            <v>229000</v>
          </cell>
          <cell r="AL2282">
            <v>3942</v>
          </cell>
          <cell r="AM2282">
            <v>4036</v>
          </cell>
          <cell r="AN2282">
            <v>3972</v>
          </cell>
          <cell r="AO2282">
            <v>4072</v>
          </cell>
          <cell r="AP2282">
            <v>4036</v>
          </cell>
          <cell r="AQ2282">
            <v>3926</v>
          </cell>
          <cell r="AR2282">
            <v>3937</v>
          </cell>
          <cell r="AS2282">
            <v>3862</v>
          </cell>
          <cell r="AT2282">
            <v>310200</v>
          </cell>
        </row>
        <row r="2283">
          <cell r="G2283">
            <v>2507210101</v>
          </cell>
          <cell r="H2283" t="str">
            <v>주출입구</v>
          </cell>
          <cell r="I2283">
            <v>250721</v>
          </cell>
          <cell r="J2283" t="str">
            <v>117동 118동 주출입구 1층 바닥</v>
          </cell>
          <cell r="K2283">
            <v>30</v>
          </cell>
          <cell r="L2283">
            <v>30</v>
          </cell>
          <cell r="M2283">
            <v>3018</v>
          </cell>
          <cell r="N2283" t="str">
            <v>대원</v>
          </cell>
          <cell r="O2283" t="str">
            <v>펌프카(1대)</v>
          </cell>
          <cell r="P2283">
            <v>815</v>
          </cell>
          <cell r="Q2283">
            <v>1051</v>
          </cell>
          <cell r="R2283">
            <v>190</v>
          </cell>
          <cell r="S2283">
            <v>49</v>
          </cell>
          <cell r="T2283">
            <v>55</v>
          </cell>
          <cell r="U2283">
            <v>251</v>
          </cell>
          <cell r="V2283"/>
          <cell r="W2283" t="str">
            <v>박순홍</v>
          </cell>
          <cell r="X2283" t="str">
            <v>(인)</v>
          </cell>
          <cell r="Y2283" t="str">
            <v>박순홍</v>
          </cell>
          <cell r="Z2283" t="str">
            <v>(인)</v>
          </cell>
          <cell r="AA2283" t="str">
            <v>이홍걸</v>
          </cell>
          <cell r="AB2283" t="str">
            <v>(인)</v>
          </cell>
          <cell r="AC2283" t="str">
            <v>박상갑</v>
          </cell>
          <cell r="AD2283" t="str">
            <v>(인)</v>
          </cell>
          <cell r="AE2283">
            <v>188.7</v>
          </cell>
          <cell r="AF2283" t="str">
            <v>표준</v>
          </cell>
          <cell r="AG2283">
            <v>1</v>
          </cell>
          <cell r="AH2283">
            <v>1</v>
          </cell>
          <cell r="AI2283">
            <v>2962</v>
          </cell>
          <cell r="AJ2283">
            <v>2974</v>
          </cell>
          <cell r="AK2283">
            <v>227200</v>
          </cell>
          <cell r="AL2283">
            <v>3959</v>
          </cell>
          <cell r="AM2283">
            <v>3786</v>
          </cell>
          <cell r="AN2283">
            <v>3862</v>
          </cell>
          <cell r="AO2283">
            <v>3936</v>
          </cell>
          <cell r="AP2283">
            <v>4030</v>
          </cell>
          <cell r="AQ2283">
            <v>3929</v>
          </cell>
          <cell r="AR2283">
            <v>3914</v>
          </cell>
          <cell r="AS2283">
            <v>3814</v>
          </cell>
          <cell r="AT2283">
            <v>317200</v>
          </cell>
        </row>
        <row r="2284">
          <cell r="G2284">
            <v>2507210201</v>
          </cell>
          <cell r="H2284" t="str">
            <v>누름</v>
          </cell>
          <cell r="I2284">
            <v>250721</v>
          </cell>
          <cell r="J2284" t="str">
            <v>119동 120동 필로티 누름</v>
          </cell>
          <cell r="K2284">
            <v>36</v>
          </cell>
          <cell r="L2284">
            <v>36</v>
          </cell>
          <cell r="M2284">
            <v>1815</v>
          </cell>
          <cell r="N2284" t="str">
            <v>대원</v>
          </cell>
          <cell r="O2284" t="str">
            <v>펌프카(1대)</v>
          </cell>
          <cell r="P2284">
            <v>1335</v>
          </cell>
          <cell r="Q2284">
            <v>1526</v>
          </cell>
          <cell r="R2284">
            <v>155</v>
          </cell>
          <cell r="S2284">
            <v>50</v>
          </cell>
          <cell r="T2284">
            <v>63</v>
          </cell>
          <cell r="U2284">
            <v>271</v>
          </cell>
          <cell r="V2284"/>
          <cell r="W2284" t="str">
            <v>박순홍</v>
          </cell>
          <cell r="X2284" t="str">
            <v>(인)</v>
          </cell>
          <cell r="Y2284" t="str">
            <v>박순홍</v>
          </cell>
          <cell r="Z2284" t="str">
            <v>(인)</v>
          </cell>
          <cell r="AA2284" t="str">
            <v>이홍걸</v>
          </cell>
          <cell r="AB2284" t="str">
            <v>(인)</v>
          </cell>
          <cell r="AC2284" t="str">
            <v>박상갑</v>
          </cell>
          <cell r="AD2284" t="str">
            <v>(인)</v>
          </cell>
          <cell r="AE2284">
            <v>180.4</v>
          </cell>
          <cell r="AF2284" t="str">
            <v>표준</v>
          </cell>
          <cell r="AG2284">
            <v>1</v>
          </cell>
          <cell r="AH2284">
            <v>1</v>
          </cell>
          <cell r="AI2284">
            <v>1588</v>
          </cell>
          <cell r="AJ2284">
            <v>1614</v>
          </cell>
          <cell r="AK2284">
            <v>128400</v>
          </cell>
          <cell r="AL2284">
            <v>2489</v>
          </cell>
          <cell r="AM2284">
            <v>2518</v>
          </cell>
          <cell r="AN2284">
            <v>2510</v>
          </cell>
          <cell r="AO2284">
            <v>2318</v>
          </cell>
          <cell r="AP2284">
            <v>2407</v>
          </cell>
          <cell r="AQ2284">
            <v>2516</v>
          </cell>
          <cell r="AR2284">
            <v>2510</v>
          </cell>
          <cell r="AS2284">
            <v>2419</v>
          </cell>
          <cell r="AT2284">
            <v>193200</v>
          </cell>
        </row>
        <row r="2285">
          <cell r="G2285">
            <v>2507230101</v>
          </cell>
          <cell r="H2285" t="str">
            <v>118동</v>
          </cell>
          <cell r="I2285">
            <v>250723</v>
          </cell>
          <cell r="J2285" t="str">
            <v>118동 PH2</v>
          </cell>
          <cell r="K2285">
            <v>66</v>
          </cell>
          <cell r="L2285">
            <v>66</v>
          </cell>
          <cell r="M2285">
            <v>3018</v>
          </cell>
          <cell r="N2285" t="str">
            <v>영진</v>
          </cell>
          <cell r="O2285" t="str">
            <v>펌프카(1대)</v>
          </cell>
          <cell r="P2285">
            <v>763</v>
          </cell>
          <cell r="Q2285">
            <v>1447</v>
          </cell>
          <cell r="R2285">
            <v>180</v>
          </cell>
          <cell r="S2285">
            <v>46</v>
          </cell>
          <cell r="T2285">
            <v>25</v>
          </cell>
          <cell r="U2285">
            <v>242</v>
          </cell>
          <cell r="V2285"/>
          <cell r="W2285" t="str">
            <v>박순홍</v>
          </cell>
          <cell r="X2285" t="str">
            <v>(인)</v>
          </cell>
          <cell r="Y2285" t="str">
            <v>박순홍</v>
          </cell>
          <cell r="Z2285" t="str">
            <v>(인)</v>
          </cell>
          <cell r="AA2285" t="str">
            <v>이홍걸</v>
          </cell>
          <cell r="AB2285" t="str">
            <v>(인)</v>
          </cell>
          <cell r="AC2285" t="str">
            <v>박상갑</v>
          </cell>
          <cell r="AD2285" t="str">
            <v>(인)</v>
          </cell>
          <cell r="AE2285">
            <v>183.4</v>
          </cell>
          <cell r="AF2285" t="str">
            <v>표준</v>
          </cell>
          <cell r="AG2285">
            <v>1</v>
          </cell>
          <cell r="AH2285">
            <v>1</v>
          </cell>
          <cell r="AI2285">
            <v>2910</v>
          </cell>
          <cell r="AJ2285">
            <v>2862</v>
          </cell>
          <cell r="AK2285">
            <v>221600</v>
          </cell>
          <cell r="AL2285">
            <v>3554</v>
          </cell>
          <cell r="AM2285">
            <v>3615</v>
          </cell>
          <cell r="AN2285">
            <v>3716</v>
          </cell>
          <cell r="AO2285">
            <v>3804</v>
          </cell>
          <cell r="AP2285">
            <v>3716</v>
          </cell>
          <cell r="AQ2285">
            <v>3724</v>
          </cell>
          <cell r="AR2285">
            <v>3706</v>
          </cell>
          <cell r="AS2285">
            <v>3814</v>
          </cell>
          <cell r="AT2285">
            <v>307000</v>
          </cell>
        </row>
        <row r="2286">
          <cell r="G2286">
            <v>2507280101</v>
          </cell>
          <cell r="H2286" t="str">
            <v>계단</v>
          </cell>
          <cell r="I2286">
            <v>250728</v>
          </cell>
          <cell r="J2286" t="str">
            <v>외부계단 #2 기초 2차 외 2개소</v>
          </cell>
          <cell r="K2286">
            <v>90</v>
          </cell>
          <cell r="L2286">
            <v>87</v>
          </cell>
          <cell r="M2286">
            <v>2715</v>
          </cell>
          <cell r="N2286" t="str">
            <v>용호</v>
          </cell>
          <cell r="O2286" t="str">
            <v>펌프카(1대)</v>
          </cell>
          <cell r="P2286">
            <v>920</v>
          </cell>
          <cell r="Q2286">
            <v>1657</v>
          </cell>
          <cell r="R2286">
            <v>160</v>
          </cell>
          <cell r="S2286">
            <v>53</v>
          </cell>
          <cell r="T2286">
            <v>42</v>
          </cell>
          <cell r="U2286">
            <v>281</v>
          </cell>
          <cell r="V2286"/>
          <cell r="W2286" t="str">
            <v>박순홍</v>
          </cell>
          <cell r="X2286" t="str">
            <v>(인)</v>
          </cell>
          <cell r="Y2286" t="str">
            <v>박순홍</v>
          </cell>
          <cell r="Z2286" t="str">
            <v>(인)</v>
          </cell>
          <cell r="AA2286" t="str">
            <v>박상갑</v>
          </cell>
          <cell r="AB2286" t="str">
            <v>(인)</v>
          </cell>
          <cell r="AC2286" t="str">
            <v>이홍걸</v>
          </cell>
          <cell r="AD2286" t="str">
            <v>(인)</v>
          </cell>
          <cell r="AE2286">
            <v>181.4</v>
          </cell>
          <cell r="AF2286" t="str">
            <v>표준</v>
          </cell>
          <cell r="AG2286">
            <v>1</v>
          </cell>
          <cell r="AH2286">
            <v>1</v>
          </cell>
          <cell r="AI2286">
            <v>2476</v>
          </cell>
          <cell r="AJ2286">
            <v>2453</v>
          </cell>
          <cell r="AK2286">
            <v>193200</v>
          </cell>
          <cell r="AL2286">
            <v>3402</v>
          </cell>
          <cell r="AM2286">
            <v>3392</v>
          </cell>
          <cell r="AN2286">
            <v>3276</v>
          </cell>
          <cell r="AO2286">
            <v>3306</v>
          </cell>
          <cell r="AP2286">
            <v>3214</v>
          </cell>
          <cell r="AQ2286">
            <v>3342</v>
          </cell>
          <cell r="AR2286">
            <v>3406</v>
          </cell>
          <cell r="AS2286">
            <v>3394</v>
          </cell>
          <cell r="AT2286">
            <v>268400</v>
          </cell>
        </row>
        <row r="2287">
          <cell r="G2287">
            <v>2507280201</v>
          </cell>
          <cell r="H2287" t="str">
            <v>106동</v>
          </cell>
          <cell r="I2287">
            <v>250728</v>
          </cell>
          <cell r="J2287" t="str">
            <v>106동 주출입구 지붕층</v>
          </cell>
          <cell r="K2287">
            <v>30</v>
          </cell>
          <cell r="L2287">
            <v>30</v>
          </cell>
          <cell r="M2287">
            <v>3018</v>
          </cell>
          <cell r="N2287" t="str">
            <v>용호</v>
          </cell>
          <cell r="O2287" t="str">
            <v>펌프카(1대)</v>
          </cell>
          <cell r="P2287">
            <v>1303</v>
          </cell>
          <cell r="Q2287">
            <v>1500</v>
          </cell>
          <cell r="R2287">
            <v>180</v>
          </cell>
          <cell r="S2287">
            <v>49</v>
          </cell>
          <cell r="T2287">
            <v>30</v>
          </cell>
          <cell r="U2287">
            <v>284</v>
          </cell>
          <cell r="V2287"/>
          <cell r="W2287" t="str">
            <v>박순홍</v>
          </cell>
          <cell r="X2287" t="str">
            <v>(인)</v>
          </cell>
          <cell r="Y2287" t="str">
            <v>박순홍</v>
          </cell>
          <cell r="Z2287" t="str">
            <v>(인)</v>
          </cell>
          <cell r="AA2287" t="str">
            <v>박상갑</v>
          </cell>
          <cell r="AB2287" t="str">
            <v>(인)</v>
          </cell>
          <cell r="AC2287" t="str">
            <v>이홍걸</v>
          </cell>
          <cell r="AD2287" t="str">
            <v>(인)</v>
          </cell>
          <cell r="AE2287">
            <v>189.4</v>
          </cell>
          <cell r="AF2287" t="str">
            <v>표준</v>
          </cell>
          <cell r="AG2287">
            <v>1</v>
          </cell>
          <cell r="AH2287">
            <v>1</v>
          </cell>
          <cell r="AI2287">
            <v>2796</v>
          </cell>
          <cell r="AJ2287">
            <v>2787</v>
          </cell>
          <cell r="AK2287">
            <v>223000</v>
          </cell>
          <cell r="AL2287">
            <v>3979</v>
          </cell>
          <cell r="AM2287">
            <v>4072</v>
          </cell>
          <cell r="AN2287">
            <v>3987</v>
          </cell>
          <cell r="AO2287">
            <v>3979</v>
          </cell>
          <cell r="AP2287">
            <v>3876</v>
          </cell>
          <cell r="AQ2287">
            <v>3976</v>
          </cell>
          <cell r="AR2287">
            <v>4032</v>
          </cell>
          <cell r="AS2287">
            <v>4014</v>
          </cell>
          <cell r="AT2287">
            <v>317600</v>
          </cell>
        </row>
        <row r="2288">
          <cell r="G2288">
            <v>2508010101</v>
          </cell>
          <cell r="H2288" t="str">
            <v>기계실</v>
          </cell>
          <cell r="I2288">
            <v>250801</v>
          </cell>
          <cell r="J2288" t="str">
            <v>기계실 발전기실 소화전수조 지하3층 무근콘크치트</v>
          </cell>
          <cell r="K2288">
            <v>108</v>
          </cell>
          <cell r="L2288">
            <v>108</v>
          </cell>
          <cell r="M2288">
            <v>2118</v>
          </cell>
          <cell r="N2288" t="str">
            <v>대원</v>
          </cell>
          <cell r="O2288" t="str">
            <v>펌프카(1대)</v>
          </cell>
          <cell r="P2288">
            <v>809</v>
          </cell>
          <cell r="Q2288">
            <v>1351</v>
          </cell>
          <cell r="R2288">
            <v>185</v>
          </cell>
          <cell r="S2288">
            <v>42</v>
          </cell>
          <cell r="T2288">
            <v>46</v>
          </cell>
          <cell r="U2288">
            <v>258</v>
          </cell>
          <cell r="V2288"/>
          <cell r="W2288" t="str">
            <v>박순홍</v>
          </cell>
          <cell r="X2288" t="str">
            <v>(인)</v>
          </cell>
          <cell r="Y2288" t="str">
            <v>박순홍</v>
          </cell>
          <cell r="Z2288" t="str">
            <v>(인)</v>
          </cell>
          <cell r="AA2288" t="str">
            <v>박상갑</v>
          </cell>
          <cell r="AB2288" t="str">
            <v>(인)</v>
          </cell>
          <cell r="AC2288" t="str">
            <v>이홍걸</v>
          </cell>
          <cell r="AD2288" t="str">
            <v>(인)</v>
          </cell>
          <cell r="AE2288">
            <v>180.4</v>
          </cell>
          <cell r="AF2288" t="str">
            <v>표준</v>
          </cell>
          <cell r="AG2288">
            <v>1</v>
          </cell>
          <cell r="AH2288">
            <v>1</v>
          </cell>
          <cell r="AI2288">
            <v>1955</v>
          </cell>
          <cell r="AJ2288">
            <v>1976</v>
          </cell>
          <cell r="AK2288">
            <v>148800</v>
          </cell>
          <cell r="AL2288">
            <v>2804</v>
          </cell>
          <cell r="AM2288">
            <v>2772</v>
          </cell>
          <cell r="AN2288">
            <v>2816</v>
          </cell>
          <cell r="AO2288">
            <v>2739</v>
          </cell>
          <cell r="AP2288">
            <v>2806</v>
          </cell>
          <cell r="AQ2288">
            <v>2739</v>
          </cell>
          <cell r="AR2288">
            <v>2772</v>
          </cell>
          <cell r="AS2288">
            <v>2694</v>
          </cell>
          <cell r="AT2288">
            <v>213600</v>
          </cell>
        </row>
        <row r="2289">
          <cell r="G2289">
            <v>2508070101</v>
          </cell>
          <cell r="H2289" t="str">
            <v>주출입구</v>
          </cell>
          <cell r="I2289">
            <v>250807</v>
          </cell>
          <cell r="J2289" t="str">
            <v>117동 118동 주출입구 지붕</v>
          </cell>
          <cell r="K2289">
            <v>42</v>
          </cell>
          <cell r="L2289">
            <v>42</v>
          </cell>
          <cell r="M2289">
            <v>3018</v>
          </cell>
          <cell r="N2289" t="str">
            <v>용호</v>
          </cell>
          <cell r="O2289" t="str">
            <v>펌프카(1대)</v>
          </cell>
          <cell r="P2289">
            <v>740</v>
          </cell>
          <cell r="Q2289">
            <v>940</v>
          </cell>
          <cell r="R2289">
            <v>190</v>
          </cell>
          <cell r="S2289">
            <v>41</v>
          </cell>
          <cell r="T2289">
            <v>82</v>
          </cell>
          <cell r="U2289">
            <v>241</v>
          </cell>
          <cell r="V2289"/>
          <cell r="W2289" t="str">
            <v>김광록</v>
          </cell>
          <cell r="X2289" t="str">
            <v>(인)</v>
          </cell>
          <cell r="Y2289" t="str">
            <v>박순홍</v>
          </cell>
          <cell r="Z2289" t="str">
            <v>(인)</v>
          </cell>
          <cell r="AA2289" t="str">
            <v>이홍걸</v>
          </cell>
          <cell r="AB2289" t="str">
            <v>(인)</v>
          </cell>
          <cell r="AC2289" t="str">
            <v>박상갑</v>
          </cell>
          <cell r="AD2289" t="str">
            <v>(인)</v>
          </cell>
          <cell r="AE2289">
            <v>183.4</v>
          </cell>
          <cell r="AF2289" t="str">
            <v>표준</v>
          </cell>
          <cell r="AG2289">
            <v>1</v>
          </cell>
          <cell r="AH2289">
            <v>1</v>
          </cell>
          <cell r="AI2289">
            <v>2986</v>
          </cell>
          <cell r="AJ2289">
            <v>2897</v>
          </cell>
          <cell r="AK2289">
            <v>235000</v>
          </cell>
          <cell r="AL2289">
            <v>3972</v>
          </cell>
          <cell r="AM2289">
            <v>3903</v>
          </cell>
          <cell r="AN2289">
            <v>3914</v>
          </cell>
          <cell r="AO2289">
            <v>3869</v>
          </cell>
          <cell r="AP2289">
            <v>3914</v>
          </cell>
          <cell r="AQ2289">
            <v>4031</v>
          </cell>
          <cell r="AR2289">
            <v>3862</v>
          </cell>
          <cell r="AS2289">
            <v>3916</v>
          </cell>
          <cell r="AT2289">
            <v>304800</v>
          </cell>
        </row>
        <row r="2290">
          <cell r="G2290">
            <v>2508070201</v>
          </cell>
          <cell r="H2290" t="str">
            <v>외부계단</v>
          </cell>
          <cell r="I2290">
            <v>250807</v>
          </cell>
          <cell r="J2290" t="str">
            <v>117동 주변 옥외계단</v>
          </cell>
          <cell r="K2290">
            <v>18</v>
          </cell>
          <cell r="L2290">
            <v>18</v>
          </cell>
          <cell r="M2290">
            <v>2715</v>
          </cell>
          <cell r="N2290" t="str">
            <v>용호</v>
          </cell>
          <cell r="O2290" t="str">
            <v>펌프카(1대)</v>
          </cell>
          <cell r="P2290">
            <v>955</v>
          </cell>
          <cell r="Q2290">
            <v>1100</v>
          </cell>
          <cell r="R2290">
            <v>160</v>
          </cell>
          <cell r="S2290">
            <v>39</v>
          </cell>
          <cell r="T2290">
            <v>129</v>
          </cell>
          <cell r="U2290">
            <v>246</v>
          </cell>
          <cell r="V2290"/>
          <cell r="W2290" t="str">
            <v>김광록</v>
          </cell>
          <cell r="X2290" t="str">
            <v>(인)</v>
          </cell>
          <cell r="Y2290" t="str">
            <v>박순홍</v>
          </cell>
          <cell r="Z2290" t="str">
            <v>(인)</v>
          </cell>
          <cell r="AA2290" t="str">
            <v>이홍걸</v>
          </cell>
          <cell r="AB2290" t="str">
            <v>(인)</v>
          </cell>
          <cell r="AC2290" t="str">
            <v>박상갑</v>
          </cell>
          <cell r="AD2290" t="str">
            <v>(인)</v>
          </cell>
          <cell r="AE2290">
            <v>182.9</v>
          </cell>
          <cell r="AF2290" t="str">
            <v>표준</v>
          </cell>
          <cell r="AG2290">
            <v>1</v>
          </cell>
          <cell r="AH2290">
            <v>1</v>
          </cell>
          <cell r="AI2290">
            <v>2410</v>
          </cell>
          <cell r="AJ2290">
            <v>2476</v>
          </cell>
          <cell r="AK2290">
            <v>185800</v>
          </cell>
          <cell r="AL2290">
            <v>3437</v>
          </cell>
          <cell r="AM2290">
            <v>3328</v>
          </cell>
          <cell r="AN2290">
            <v>3406</v>
          </cell>
          <cell r="AO2290">
            <v>3372</v>
          </cell>
          <cell r="AP2290">
            <v>3362</v>
          </cell>
          <cell r="AQ2290">
            <v>3387</v>
          </cell>
          <cell r="AR2290">
            <v>3401</v>
          </cell>
          <cell r="AS2290">
            <v>3418</v>
          </cell>
          <cell r="AT2290">
            <v>267000</v>
          </cell>
        </row>
        <row r="2291">
          <cell r="G2291">
            <v>2508080101</v>
          </cell>
          <cell r="H2291" t="str">
            <v>외부계단</v>
          </cell>
          <cell r="I2291">
            <v>250808</v>
          </cell>
          <cell r="J2291" t="str">
            <v>106동 주변 옥외계단</v>
          </cell>
          <cell r="K2291">
            <v>102</v>
          </cell>
          <cell r="L2291">
            <v>102</v>
          </cell>
          <cell r="M2291">
            <v>2715</v>
          </cell>
          <cell r="N2291" t="str">
            <v>용호</v>
          </cell>
          <cell r="O2291" t="str">
            <v>펌프카(1대)</v>
          </cell>
          <cell r="P2291">
            <v>750</v>
          </cell>
          <cell r="Q2291">
            <v>1327</v>
          </cell>
          <cell r="R2291">
            <v>160</v>
          </cell>
          <cell r="S2291">
            <v>50</v>
          </cell>
          <cell r="T2291">
            <v>77</v>
          </cell>
          <cell r="U2291">
            <v>236</v>
          </cell>
          <cell r="V2291"/>
          <cell r="W2291" t="str">
            <v>김광록</v>
          </cell>
          <cell r="X2291" t="str">
            <v>(인)</v>
          </cell>
          <cell r="Y2291" t="str">
            <v>김광록</v>
          </cell>
          <cell r="Z2291" t="str">
            <v>(인)</v>
          </cell>
          <cell r="AA2291" t="str">
            <v>이홍걸</v>
          </cell>
          <cell r="AB2291" t="str">
            <v>(인)</v>
          </cell>
          <cell r="AC2291" t="str">
            <v>박상갑</v>
          </cell>
          <cell r="AD2291" t="str">
            <v>(인)</v>
          </cell>
          <cell r="AE2291">
            <v>181.9</v>
          </cell>
          <cell r="AF2291" t="str">
            <v>표준</v>
          </cell>
          <cell r="AG2291">
            <v>1</v>
          </cell>
          <cell r="AH2291">
            <v>1</v>
          </cell>
          <cell r="AI2291">
            <v>2629</v>
          </cell>
          <cell r="AJ2291">
            <v>2680</v>
          </cell>
          <cell r="AK2291">
            <v>206000</v>
          </cell>
          <cell r="AL2291">
            <v>3470</v>
          </cell>
          <cell r="AM2291">
            <v>3429</v>
          </cell>
          <cell r="AN2291">
            <v>3468</v>
          </cell>
          <cell r="AO2291">
            <v>3396</v>
          </cell>
          <cell r="AP2291">
            <v>3482</v>
          </cell>
          <cell r="AQ2291">
            <v>3477</v>
          </cell>
          <cell r="AR2291">
            <v>3360</v>
          </cell>
          <cell r="AS2291">
            <v>3421</v>
          </cell>
          <cell r="AT2291">
            <v>253400</v>
          </cell>
        </row>
        <row r="2292">
          <cell r="G2292">
            <v>2508110101</v>
          </cell>
          <cell r="H2292" t="str">
            <v>외부계단</v>
          </cell>
          <cell r="I2292">
            <v>250811</v>
          </cell>
          <cell r="J2292" t="str">
            <v>외부계단 #2 2차 타설</v>
          </cell>
          <cell r="K2292">
            <v>44</v>
          </cell>
          <cell r="L2292">
            <v>44</v>
          </cell>
          <cell r="M2292">
            <v>2715</v>
          </cell>
          <cell r="N2292" t="str">
            <v>용호</v>
          </cell>
          <cell r="O2292" t="str">
            <v>펌프카(1대)</v>
          </cell>
          <cell r="P2292">
            <v>935</v>
          </cell>
          <cell r="Q2292">
            <v>1304</v>
          </cell>
          <cell r="R2292">
            <v>160</v>
          </cell>
          <cell r="S2292">
            <v>47</v>
          </cell>
          <cell r="T2292">
            <v>68</v>
          </cell>
          <cell r="U2292">
            <v>237</v>
          </cell>
          <cell r="V2292"/>
          <cell r="W2292" t="str">
            <v>박순홍</v>
          </cell>
          <cell r="X2292" t="str">
            <v>(인)</v>
          </cell>
          <cell r="Y2292" t="str">
            <v>박순홍</v>
          </cell>
          <cell r="Z2292" t="str">
            <v>(인)</v>
          </cell>
          <cell r="AA2292" t="str">
            <v>박상갑</v>
          </cell>
          <cell r="AB2292" t="str">
            <v>(인)</v>
          </cell>
          <cell r="AC2292" t="str">
            <v>이홍걸</v>
          </cell>
          <cell r="AD2292" t="str">
            <v>(인)</v>
          </cell>
          <cell r="AE2292">
            <v>181.2</v>
          </cell>
          <cell r="AF2292" t="str">
            <v>표준</v>
          </cell>
          <cell r="AG2292">
            <v>1</v>
          </cell>
          <cell r="AH2292">
            <v>1</v>
          </cell>
          <cell r="AI2292">
            <v>2523</v>
          </cell>
          <cell r="AJ2292">
            <v>2570</v>
          </cell>
          <cell r="AK2292">
            <v>200200</v>
          </cell>
          <cell r="AL2292">
            <v>3062</v>
          </cell>
          <cell r="AM2292">
            <v>3088</v>
          </cell>
          <cell r="AN2292">
            <v>3126</v>
          </cell>
          <cell r="AO2292">
            <v>3084</v>
          </cell>
          <cell r="AP2292">
            <v>3196</v>
          </cell>
          <cell r="AQ2292">
            <v>3097</v>
          </cell>
          <cell r="AR2292">
            <v>3128</v>
          </cell>
          <cell r="AS2292">
            <v>3072</v>
          </cell>
          <cell r="AT2292">
            <v>241800</v>
          </cell>
        </row>
        <row r="2293">
          <cell r="G2293">
            <v>2508190101</v>
          </cell>
          <cell r="H2293" t="str">
            <v>외부계단</v>
          </cell>
          <cell r="I2293">
            <v>250819</v>
          </cell>
          <cell r="J2293" t="str">
            <v>외부계단 #2 3차 타설</v>
          </cell>
          <cell r="K2293">
            <v>31</v>
          </cell>
          <cell r="L2293">
            <v>31</v>
          </cell>
          <cell r="M2293">
            <v>2715</v>
          </cell>
          <cell r="N2293" t="str">
            <v>용호</v>
          </cell>
          <cell r="O2293" t="str">
            <v>펌프카(1대)</v>
          </cell>
          <cell r="P2293">
            <v>833</v>
          </cell>
          <cell r="Q2293">
            <v>1132</v>
          </cell>
          <cell r="R2293">
            <v>160</v>
          </cell>
          <cell r="S2293">
            <v>40</v>
          </cell>
          <cell r="T2293">
            <v>81</v>
          </cell>
          <cell r="U2293">
            <v>235</v>
          </cell>
          <cell r="V2293"/>
          <cell r="W2293" t="str">
            <v>박순홍</v>
          </cell>
          <cell r="X2293" t="str">
            <v>(인)</v>
          </cell>
          <cell r="Y2293" t="str">
            <v>박순홍</v>
          </cell>
          <cell r="Z2293" t="str">
            <v>(인)</v>
          </cell>
          <cell r="AA2293" t="str">
            <v>이홍걸</v>
          </cell>
          <cell r="AB2293" t="str">
            <v>(인)</v>
          </cell>
          <cell r="AC2293" t="str">
            <v>박상갑</v>
          </cell>
          <cell r="AD2293" t="str">
            <v>(인)</v>
          </cell>
          <cell r="AE2293">
            <v>181.9</v>
          </cell>
          <cell r="AF2293" t="str">
            <v>표준</v>
          </cell>
          <cell r="AG2293">
            <v>1</v>
          </cell>
          <cell r="AH2293">
            <v>1</v>
          </cell>
          <cell r="AI2293">
            <v>2589</v>
          </cell>
          <cell r="AJ2293">
            <v>2577</v>
          </cell>
          <cell r="AK2293">
            <v>205200</v>
          </cell>
          <cell r="AL2293">
            <v>3554</v>
          </cell>
          <cell r="AM2293">
            <v>3570</v>
          </cell>
          <cell r="AN2293">
            <v>3502</v>
          </cell>
          <cell r="AO2293">
            <v>3482</v>
          </cell>
          <cell r="AP2293">
            <v>3460</v>
          </cell>
          <cell r="AQ2293">
            <v>3416</v>
          </cell>
          <cell r="AR2293">
            <v>3530</v>
          </cell>
          <cell r="AS2293">
            <v>3502</v>
          </cell>
          <cell r="AT2293">
            <v>276000</v>
          </cell>
        </row>
        <row r="2294">
          <cell r="G2294">
            <v>2508270101</v>
          </cell>
          <cell r="H2294" t="str">
            <v>문주, 타워자리</v>
          </cell>
          <cell r="I2294">
            <v>250827</v>
          </cell>
          <cell r="J2294" t="str">
            <v>타워 바닥타설, 102동 문주 기초</v>
          </cell>
          <cell r="K2294">
            <v>54</v>
          </cell>
          <cell r="L2294">
            <v>54</v>
          </cell>
          <cell r="M2294">
            <v>2715</v>
          </cell>
          <cell r="N2294" t="str">
            <v>영진</v>
          </cell>
          <cell r="O2294" t="str">
            <v>펌프카(1대)</v>
          </cell>
          <cell r="P2294">
            <v>830</v>
          </cell>
          <cell r="Q2294">
            <v>1450</v>
          </cell>
          <cell r="R2294">
            <v>150</v>
          </cell>
          <cell r="S2294">
            <v>49</v>
          </cell>
          <cell r="T2294">
            <v>29</v>
          </cell>
          <cell r="U2294">
            <v>265</v>
          </cell>
          <cell r="V2294"/>
          <cell r="W2294" t="str">
            <v>박순홍</v>
          </cell>
          <cell r="X2294" t="str">
            <v>(인)</v>
          </cell>
          <cell r="Y2294" t="str">
            <v>박순홍</v>
          </cell>
          <cell r="Z2294" t="str">
            <v>(인)</v>
          </cell>
          <cell r="AA2294" t="str">
            <v>박상갑</v>
          </cell>
          <cell r="AB2294" t="str">
            <v>(인)</v>
          </cell>
          <cell r="AC2294" t="str">
            <v>이홍걸</v>
          </cell>
          <cell r="AD2294" t="str">
            <v>(인)</v>
          </cell>
          <cell r="AE2294">
            <v>184.5</v>
          </cell>
          <cell r="AF2294" t="str">
            <v>표준</v>
          </cell>
          <cell r="AG2294">
            <v>1</v>
          </cell>
          <cell r="AH2294">
            <v>1</v>
          </cell>
          <cell r="AI2294">
            <v>2434</v>
          </cell>
          <cell r="AJ2294">
            <v>2426</v>
          </cell>
          <cell r="AK2294">
            <v>204000</v>
          </cell>
          <cell r="AL2294">
            <v>3421</v>
          </cell>
          <cell r="AM2294">
            <v>3349</v>
          </cell>
          <cell r="AN2294">
            <v>3402</v>
          </cell>
          <cell r="AO2294">
            <v>3416</v>
          </cell>
          <cell r="AP2294">
            <v>3318</v>
          </cell>
          <cell r="AQ2294">
            <v>3406</v>
          </cell>
          <cell r="AR2294">
            <v>3446</v>
          </cell>
          <cell r="AS2294">
            <v>3480</v>
          </cell>
          <cell r="AT2294">
            <v>270200</v>
          </cell>
        </row>
        <row r="2295">
          <cell r="G2295">
            <v>2509080101</v>
          </cell>
          <cell r="H2295" t="str">
            <v>지하누름</v>
          </cell>
          <cell r="I2295">
            <v>250908</v>
          </cell>
          <cell r="J2295" t="str">
            <v>101동 주출입구 기초 113동 주출입구 램프</v>
          </cell>
          <cell r="K2295">
            <v>90</v>
          </cell>
          <cell r="L2295">
            <v>90</v>
          </cell>
          <cell r="M2295">
            <v>2715</v>
          </cell>
          <cell r="N2295" t="str">
            <v>용호</v>
          </cell>
          <cell r="O2295" t="str">
            <v>펌프카(1대)</v>
          </cell>
          <cell r="P2295">
            <v>900</v>
          </cell>
          <cell r="Q2295">
            <v>1203</v>
          </cell>
          <cell r="R2295">
            <v>160</v>
          </cell>
          <cell r="S2295">
            <v>35</v>
          </cell>
          <cell r="T2295">
            <v>29</v>
          </cell>
          <cell r="U2295">
            <v>236</v>
          </cell>
          <cell r="V2295"/>
          <cell r="W2295" t="str">
            <v>김광록</v>
          </cell>
          <cell r="X2295" t="str">
            <v>(인)</v>
          </cell>
          <cell r="Y2295" t="str">
            <v>김광록</v>
          </cell>
          <cell r="Z2295" t="str">
            <v>(인)</v>
          </cell>
          <cell r="AA2295" t="str">
            <v>박상갑</v>
          </cell>
          <cell r="AB2295" t="str">
            <v>(인)</v>
          </cell>
          <cell r="AC2295" t="str">
            <v>박상갑</v>
          </cell>
          <cell r="AD2295" t="str">
            <v>(인)</v>
          </cell>
          <cell r="AE2295">
            <v>183</v>
          </cell>
          <cell r="AF2295" t="str">
            <v>표준</v>
          </cell>
          <cell r="AG2295">
            <v>1</v>
          </cell>
          <cell r="AH2295">
            <v>1</v>
          </cell>
          <cell r="AI2295">
            <v>2528</v>
          </cell>
          <cell r="AJ2295">
            <v>2470</v>
          </cell>
          <cell r="AK2295">
            <v>193800</v>
          </cell>
          <cell r="AL2295">
            <v>3200</v>
          </cell>
          <cell r="AM2295">
            <v>3144</v>
          </cell>
          <cell r="AN2295">
            <v>3127</v>
          </cell>
          <cell r="AO2295">
            <v>3069</v>
          </cell>
          <cell r="AP2295">
            <v>3068</v>
          </cell>
          <cell r="AQ2295">
            <v>3084</v>
          </cell>
          <cell r="AR2295">
            <v>3149</v>
          </cell>
          <cell r="AS2295">
            <v>3259</v>
          </cell>
          <cell r="AT2295">
            <v>248200</v>
          </cell>
        </row>
        <row r="2296">
          <cell r="G2296">
            <v>2509090101</v>
          </cell>
          <cell r="H2296" t="str">
            <v>지하누름</v>
          </cell>
          <cell r="I2296">
            <v>250909</v>
          </cell>
          <cell r="J2296" t="str">
            <v>B3 102동~103동 지하주차장 누름</v>
          </cell>
          <cell r="K2296">
            <v>420</v>
          </cell>
          <cell r="L2296">
            <v>420</v>
          </cell>
          <cell r="M2296">
            <v>2118</v>
          </cell>
          <cell r="N2296" t="str">
            <v>대공</v>
          </cell>
          <cell r="O2296" t="str">
            <v>펌프카(1대)</v>
          </cell>
          <cell r="P2296">
            <v>820</v>
          </cell>
          <cell r="Q2296">
            <v>1603</v>
          </cell>
          <cell r="R2296">
            <v>170</v>
          </cell>
          <cell r="S2296">
            <v>50</v>
          </cell>
          <cell r="T2296">
            <v>49</v>
          </cell>
          <cell r="U2296">
            <v>166</v>
          </cell>
          <cell r="V2296"/>
          <cell r="W2296" t="str">
            <v>김광록</v>
          </cell>
          <cell r="X2296" t="str">
            <v>(인)</v>
          </cell>
          <cell r="Y2296" t="str">
            <v>김광록</v>
          </cell>
          <cell r="Z2296" t="str">
            <v>(인)</v>
          </cell>
          <cell r="AA2296" t="str">
            <v>박상갑</v>
          </cell>
          <cell r="AB2296" t="str">
            <v>(인)</v>
          </cell>
          <cell r="AC2296" t="str">
            <v>박상갑</v>
          </cell>
          <cell r="AD2296" t="str">
            <v>(인)</v>
          </cell>
          <cell r="AE2296">
            <v>184.2</v>
          </cell>
          <cell r="AF2296" t="str">
            <v>표준</v>
          </cell>
          <cell r="AG2296">
            <v>1</v>
          </cell>
          <cell r="AH2296">
            <v>1</v>
          </cell>
          <cell r="AI2296">
            <v>2019</v>
          </cell>
          <cell r="AJ2296">
            <v>2102</v>
          </cell>
          <cell r="AK2296">
            <v>168200</v>
          </cell>
          <cell r="AL2296">
            <v>2544</v>
          </cell>
          <cell r="AM2296">
            <v>2517</v>
          </cell>
          <cell r="AN2296">
            <v>2549</v>
          </cell>
          <cell r="AO2296">
            <v>2486</v>
          </cell>
          <cell r="AP2296">
            <v>2638</v>
          </cell>
          <cell r="AQ2296">
            <v>2612</v>
          </cell>
          <cell r="AR2296">
            <v>2481</v>
          </cell>
          <cell r="AS2296">
            <v>2508</v>
          </cell>
          <cell r="AT2296">
            <v>207000</v>
          </cell>
        </row>
        <row r="2297">
          <cell r="G2297">
            <v>2509090102</v>
          </cell>
          <cell r="H2297" t="str">
            <v>지하누름</v>
          </cell>
          <cell r="I2297">
            <v>250909</v>
          </cell>
          <cell r="J2297" t="str">
            <v>B3 102동~103동 지하주차장 누름</v>
          </cell>
          <cell r="K2297">
            <v>420</v>
          </cell>
          <cell r="L2297">
            <v>420</v>
          </cell>
          <cell r="M2297">
            <v>2118</v>
          </cell>
          <cell r="N2297" t="str">
            <v>대공</v>
          </cell>
          <cell r="O2297" t="str">
            <v>펌프카(1대)</v>
          </cell>
          <cell r="P2297">
            <v>820</v>
          </cell>
          <cell r="Q2297">
            <v>1603</v>
          </cell>
          <cell r="R2297">
            <v>180</v>
          </cell>
          <cell r="S2297">
            <v>52</v>
          </cell>
          <cell r="T2297">
            <v>18</v>
          </cell>
          <cell r="U2297">
            <v>264</v>
          </cell>
          <cell r="V2297"/>
          <cell r="W2297" t="str">
            <v>김광록</v>
          </cell>
          <cell r="X2297" t="str">
            <v>(인)</v>
          </cell>
          <cell r="Y2297" t="str">
            <v>김광록</v>
          </cell>
          <cell r="Z2297" t="str">
            <v>(인)</v>
          </cell>
          <cell r="AA2297" t="str">
            <v>박상갑</v>
          </cell>
          <cell r="AB2297" t="str">
            <v>(인)</v>
          </cell>
          <cell r="AC2297" t="str">
            <v>박상갑</v>
          </cell>
          <cell r="AD2297" t="str">
            <v>(인)</v>
          </cell>
          <cell r="AE2297">
            <v>183.5</v>
          </cell>
          <cell r="AF2297" t="str">
            <v>표준</v>
          </cell>
          <cell r="AG2297">
            <v>2</v>
          </cell>
          <cell r="AH2297">
            <v>0</v>
          </cell>
        </row>
        <row r="2298">
          <cell r="G2298">
            <v>2509090103</v>
          </cell>
          <cell r="H2298" t="str">
            <v>지하누름</v>
          </cell>
          <cell r="I2298">
            <v>250909</v>
          </cell>
          <cell r="J2298" t="str">
            <v>B3 102동~103동 지하주차장 누름</v>
          </cell>
          <cell r="K2298">
            <v>420</v>
          </cell>
          <cell r="L2298">
            <v>420</v>
          </cell>
          <cell r="M2298">
            <v>2118</v>
          </cell>
          <cell r="N2298" t="str">
            <v>대공</v>
          </cell>
          <cell r="O2298" t="str">
            <v>펌프카(1대)</v>
          </cell>
          <cell r="P2298">
            <v>820</v>
          </cell>
          <cell r="Q2298">
            <v>1603</v>
          </cell>
          <cell r="R2298">
            <v>200</v>
          </cell>
          <cell r="S2298">
            <v>45</v>
          </cell>
          <cell r="T2298">
            <v>98</v>
          </cell>
          <cell r="U2298">
            <v>206</v>
          </cell>
          <cell r="V2298"/>
          <cell r="W2298" t="str">
            <v>김광록</v>
          </cell>
          <cell r="X2298" t="str">
            <v>(인)</v>
          </cell>
          <cell r="Y2298" t="str">
            <v>김광록</v>
          </cell>
          <cell r="Z2298" t="str">
            <v>(인)</v>
          </cell>
          <cell r="AA2298" t="str">
            <v>박상갑</v>
          </cell>
          <cell r="AB2298" t="str">
            <v>(인)</v>
          </cell>
          <cell r="AC2298" t="str">
            <v>박상갑</v>
          </cell>
          <cell r="AD2298" t="str">
            <v>(인)</v>
          </cell>
          <cell r="AE2298">
            <v>184.2</v>
          </cell>
          <cell r="AF2298" t="str">
            <v>표준</v>
          </cell>
          <cell r="AG2298">
            <v>3</v>
          </cell>
          <cell r="AH2298">
            <v>0</v>
          </cell>
        </row>
        <row r="2299">
          <cell r="G2299">
            <v>2509090104</v>
          </cell>
          <cell r="H2299" t="str">
            <v>지하누름</v>
          </cell>
          <cell r="I2299">
            <v>250909</v>
          </cell>
          <cell r="J2299" t="str">
            <v>B3 102동~103동 지하주차장 누름</v>
          </cell>
          <cell r="K2299">
            <v>420</v>
          </cell>
          <cell r="L2299">
            <v>420</v>
          </cell>
          <cell r="M2299">
            <v>2118</v>
          </cell>
          <cell r="N2299" t="str">
            <v>대공</v>
          </cell>
          <cell r="O2299" t="str">
            <v>펌프카(1대)</v>
          </cell>
          <cell r="P2299">
            <v>820</v>
          </cell>
          <cell r="Q2299">
            <v>1603</v>
          </cell>
          <cell r="R2299">
            <v>185</v>
          </cell>
          <cell r="S2299">
            <v>39</v>
          </cell>
          <cell r="T2299">
            <v>82</v>
          </cell>
          <cell r="U2299">
            <v>192</v>
          </cell>
          <cell r="V2299"/>
          <cell r="W2299" t="str">
            <v>김광록</v>
          </cell>
          <cell r="X2299" t="str">
            <v>(인)</v>
          </cell>
          <cell r="Y2299" t="str">
            <v>김광록</v>
          </cell>
          <cell r="Z2299" t="str">
            <v>(인)</v>
          </cell>
          <cell r="AA2299" t="str">
            <v>박상갑</v>
          </cell>
          <cell r="AB2299" t="str">
            <v>(인)</v>
          </cell>
          <cell r="AC2299" t="str">
            <v>박상갑</v>
          </cell>
          <cell r="AD2299" t="str">
            <v>(인)</v>
          </cell>
          <cell r="AE2299">
            <v>186.6</v>
          </cell>
          <cell r="AF2299" t="str">
            <v>표준</v>
          </cell>
          <cell r="AG2299">
            <v>4</v>
          </cell>
          <cell r="AH2299">
            <v>1</v>
          </cell>
          <cell r="AL2299">
            <v>2536</v>
          </cell>
          <cell r="AM2299">
            <v>2611</v>
          </cell>
          <cell r="AN2299">
            <v>2580</v>
          </cell>
          <cell r="AO2299">
            <v>2644</v>
          </cell>
          <cell r="AP2299">
            <v>2619</v>
          </cell>
          <cell r="AQ2299">
            <v>2478</v>
          </cell>
          <cell r="AR2299">
            <v>2633</v>
          </cell>
          <cell r="AS2299">
            <v>2541</v>
          </cell>
          <cell r="AT2299">
            <v>198600</v>
          </cell>
        </row>
        <row r="2300">
          <cell r="G2300">
            <v>2509100101</v>
          </cell>
          <cell r="H2300" t="str">
            <v>지하누름</v>
          </cell>
          <cell r="I2300">
            <v>250910</v>
          </cell>
          <cell r="J2300" t="str">
            <v>B3 105동~106동 지하주차장 누름</v>
          </cell>
          <cell r="K2300">
            <v>372</v>
          </cell>
          <cell r="L2300">
            <v>372</v>
          </cell>
          <cell r="M2300">
            <v>2118</v>
          </cell>
          <cell r="N2300" t="str">
            <v>용호</v>
          </cell>
          <cell r="O2300" t="str">
            <v>펌프카(1대)</v>
          </cell>
          <cell r="P2300">
            <v>840</v>
          </cell>
          <cell r="Q2300">
            <v>1633</v>
          </cell>
          <cell r="R2300">
            <v>185</v>
          </cell>
          <cell r="S2300">
            <v>38</v>
          </cell>
          <cell r="T2300">
            <v>61</v>
          </cell>
          <cell r="U2300">
            <v>202</v>
          </cell>
          <cell r="V2300"/>
          <cell r="W2300" t="str">
            <v>김광록</v>
          </cell>
          <cell r="X2300" t="str">
            <v>(인)</v>
          </cell>
          <cell r="Y2300" t="str">
            <v>김광록</v>
          </cell>
          <cell r="Z2300" t="str">
            <v>(인)</v>
          </cell>
          <cell r="AA2300" t="str">
            <v>박상갑</v>
          </cell>
          <cell r="AB2300" t="str">
            <v>(인)</v>
          </cell>
          <cell r="AC2300" t="str">
            <v>박상갑</v>
          </cell>
          <cell r="AD2300" t="str">
            <v>(인)</v>
          </cell>
          <cell r="AE2300">
            <v>185.3</v>
          </cell>
          <cell r="AF2300" t="str">
            <v>표준</v>
          </cell>
          <cell r="AG2300">
            <v>1</v>
          </cell>
          <cell r="AH2300">
            <v>1</v>
          </cell>
          <cell r="AI2300">
            <v>2120</v>
          </cell>
          <cell r="AJ2300">
            <v>2016</v>
          </cell>
          <cell r="AK2300">
            <v>159000</v>
          </cell>
          <cell r="AL2300">
            <v>2419</v>
          </cell>
          <cell r="AM2300">
            <v>2560</v>
          </cell>
          <cell r="AN2300">
            <v>2518</v>
          </cell>
          <cell r="AO2300">
            <v>2420</v>
          </cell>
          <cell r="AP2300">
            <v>2534</v>
          </cell>
          <cell r="AQ2300">
            <v>2436</v>
          </cell>
          <cell r="AR2300">
            <v>2503</v>
          </cell>
          <cell r="AS2300">
            <v>2538</v>
          </cell>
          <cell r="AT2300">
            <v>192600</v>
          </cell>
        </row>
        <row r="2301">
          <cell r="G2301">
            <v>2509100102</v>
          </cell>
          <cell r="H2301" t="str">
            <v>지하누름</v>
          </cell>
          <cell r="I2301">
            <v>250910</v>
          </cell>
          <cell r="J2301" t="str">
            <v>B3 105동~106동 지하주차장 누름</v>
          </cell>
          <cell r="K2301">
            <v>372</v>
          </cell>
          <cell r="L2301">
            <v>372</v>
          </cell>
          <cell r="M2301">
            <v>2118</v>
          </cell>
          <cell r="N2301" t="str">
            <v>용호</v>
          </cell>
          <cell r="O2301" t="str">
            <v>펌프카(1대)</v>
          </cell>
          <cell r="P2301">
            <v>840</v>
          </cell>
          <cell r="Q2301">
            <v>1633</v>
          </cell>
          <cell r="R2301">
            <v>180</v>
          </cell>
          <cell r="S2301">
            <v>40</v>
          </cell>
          <cell r="T2301">
            <v>36</v>
          </cell>
          <cell r="U2301">
            <v>194</v>
          </cell>
          <cell r="V2301"/>
          <cell r="W2301" t="str">
            <v>김광록</v>
          </cell>
          <cell r="X2301" t="str">
            <v>(인)</v>
          </cell>
          <cell r="Y2301" t="str">
            <v>김광록</v>
          </cell>
          <cell r="Z2301" t="str">
            <v>(인)</v>
          </cell>
          <cell r="AA2301" t="str">
            <v>박상갑</v>
          </cell>
          <cell r="AB2301" t="str">
            <v>(인)</v>
          </cell>
          <cell r="AC2301" t="str">
            <v>박상갑</v>
          </cell>
          <cell r="AD2301" t="str">
            <v>(인)</v>
          </cell>
          <cell r="AE2301">
            <v>184.5</v>
          </cell>
          <cell r="AF2301" t="str">
            <v>표준</v>
          </cell>
          <cell r="AG2301">
            <v>2</v>
          </cell>
          <cell r="AH2301">
            <v>0</v>
          </cell>
        </row>
        <row r="2302">
          <cell r="G2302">
            <v>2509100103</v>
          </cell>
          <cell r="H2302" t="str">
            <v>지하누름</v>
          </cell>
          <cell r="I2302">
            <v>250910</v>
          </cell>
          <cell r="J2302" t="str">
            <v>B3 105동~106동 지하주차장 누름</v>
          </cell>
          <cell r="K2302">
            <v>372</v>
          </cell>
          <cell r="L2302">
            <v>372</v>
          </cell>
          <cell r="M2302">
            <v>2118</v>
          </cell>
          <cell r="N2302" t="str">
            <v>용호</v>
          </cell>
          <cell r="O2302" t="str">
            <v>펌프카(1대)</v>
          </cell>
          <cell r="P2302">
            <v>840</v>
          </cell>
          <cell r="Q2302">
            <v>1633</v>
          </cell>
          <cell r="R2302">
            <v>195</v>
          </cell>
          <cell r="S2302">
            <v>48</v>
          </cell>
          <cell r="T2302">
            <v>25</v>
          </cell>
          <cell r="U2302">
            <v>197</v>
          </cell>
          <cell r="V2302"/>
          <cell r="W2302" t="str">
            <v>김광록</v>
          </cell>
          <cell r="X2302" t="str">
            <v>(인)</v>
          </cell>
          <cell r="Y2302" t="str">
            <v>김광록</v>
          </cell>
          <cell r="Z2302" t="str">
            <v>(인)</v>
          </cell>
          <cell r="AA2302" t="str">
            <v>박상갑</v>
          </cell>
          <cell r="AB2302" t="str">
            <v>(인)</v>
          </cell>
          <cell r="AC2302" t="str">
            <v>박상갑</v>
          </cell>
          <cell r="AD2302" t="str">
            <v>(인)</v>
          </cell>
          <cell r="AE2302">
            <v>181.2</v>
          </cell>
          <cell r="AF2302" t="str">
            <v>표준</v>
          </cell>
          <cell r="AG2302">
            <v>3</v>
          </cell>
          <cell r="AH2302">
            <v>0</v>
          </cell>
        </row>
        <row r="2303">
          <cell r="G2303">
            <v>2509100104</v>
          </cell>
          <cell r="H2303" t="str">
            <v>지하누름</v>
          </cell>
          <cell r="I2303">
            <v>250910</v>
          </cell>
          <cell r="J2303" t="str">
            <v>B3 105동~106동 지하주차장 누름</v>
          </cell>
          <cell r="K2303">
            <v>372</v>
          </cell>
          <cell r="L2303">
            <v>372</v>
          </cell>
          <cell r="M2303">
            <v>2118</v>
          </cell>
          <cell r="N2303" t="str">
            <v>용호</v>
          </cell>
          <cell r="O2303" t="str">
            <v>펌프카(1대)</v>
          </cell>
          <cell r="P2303">
            <v>840</v>
          </cell>
          <cell r="Q2303">
            <v>1633</v>
          </cell>
          <cell r="R2303">
            <v>180</v>
          </cell>
          <cell r="S2303">
            <v>47</v>
          </cell>
          <cell r="T2303">
            <v>22</v>
          </cell>
          <cell r="U2303">
            <v>224</v>
          </cell>
          <cell r="V2303"/>
          <cell r="W2303" t="str">
            <v>김광록</v>
          </cell>
          <cell r="X2303" t="str">
            <v>(인)</v>
          </cell>
          <cell r="Y2303" t="str">
            <v>김광록</v>
          </cell>
          <cell r="Z2303" t="str">
            <v>(인)</v>
          </cell>
          <cell r="AA2303" t="str">
            <v>박상갑</v>
          </cell>
          <cell r="AB2303" t="str">
            <v>(인)</v>
          </cell>
          <cell r="AC2303" t="str">
            <v>박상갑</v>
          </cell>
          <cell r="AD2303" t="str">
            <v>(인)</v>
          </cell>
          <cell r="AE2303">
            <v>189.6</v>
          </cell>
          <cell r="AF2303" t="str">
            <v>표준</v>
          </cell>
          <cell r="AG2303">
            <v>4</v>
          </cell>
          <cell r="AH2303">
            <v>1</v>
          </cell>
          <cell r="AL2303">
            <v>2430</v>
          </cell>
          <cell r="AM2303">
            <v>2450</v>
          </cell>
          <cell r="AN2303">
            <v>2430</v>
          </cell>
          <cell r="AO2303">
            <v>2440</v>
          </cell>
          <cell r="AP2303">
            <v>2382</v>
          </cell>
          <cell r="AQ2303">
            <v>2510</v>
          </cell>
          <cell r="AR2303">
            <v>2396</v>
          </cell>
          <cell r="AS2303">
            <v>2510</v>
          </cell>
          <cell r="AT2303">
            <v>192000</v>
          </cell>
        </row>
        <row r="2304">
          <cell r="G2304">
            <v>2509150101</v>
          </cell>
          <cell r="H2304" t="str">
            <v>지하누름</v>
          </cell>
          <cell r="I2304">
            <v>250915</v>
          </cell>
          <cell r="J2304" t="str">
            <v>B3 102동 주변 지하주차장 누름</v>
          </cell>
          <cell r="K2304">
            <v>290</v>
          </cell>
          <cell r="L2304">
            <v>290</v>
          </cell>
          <cell r="M2304">
            <v>2118</v>
          </cell>
          <cell r="N2304" t="str">
            <v>용호</v>
          </cell>
          <cell r="O2304" t="str">
            <v>펌프카(1대)</v>
          </cell>
          <cell r="P2304">
            <v>800</v>
          </cell>
          <cell r="Q2304">
            <v>1350</v>
          </cell>
          <cell r="R2304">
            <v>185</v>
          </cell>
          <cell r="S2304">
            <v>46</v>
          </cell>
          <cell r="T2304">
            <v>34</v>
          </cell>
          <cell r="U2304">
            <v>227</v>
          </cell>
          <cell r="V2304"/>
          <cell r="W2304" t="str">
            <v>김광록</v>
          </cell>
          <cell r="X2304" t="str">
            <v>(인)</v>
          </cell>
          <cell r="Y2304" t="str">
            <v>김광록</v>
          </cell>
          <cell r="Z2304" t="str">
            <v>(인)</v>
          </cell>
          <cell r="AA2304" t="str">
            <v>박상갑</v>
          </cell>
          <cell r="AB2304" t="str">
            <v>(인)</v>
          </cell>
          <cell r="AC2304" t="str">
            <v>이홍걸</v>
          </cell>
          <cell r="AD2304" t="str">
            <v>(인)</v>
          </cell>
          <cell r="AE2304">
            <v>181.9</v>
          </cell>
          <cell r="AF2304" t="str">
            <v>표준</v>
          </cell>
          <cell r="AG2304">
            <v>1</v>
          </cell>
          <cell r="AH2304">
            <v>1</v>
          </cell>
          <cell r="AI2304">
            <v>2102</v>
          </cell>
          <cell r="AJ2304">
            <v>2092</v>
          </cell>
          <cell r="AK2304">
            <v>161800</v>
          </cell>
          <cell r="AL2304">
            <v>2633</v>
          </cell>
          <cell r="AM2304">
            <v>2557</v>
          </cell>
          <cell r="AN2304">
            <v>2642</v>
          </cell>
          <cell r="AO2304">
            <v>2421</v>
          </cell>
          <cell r="AP2304">
            <v>2534</v>
          </cell>
          <cell r="AQ2304">
            <v>3583</v>
          </cell>
          <cell r="AR2304">
            <v>2651</v>
          </cell>
          <cell r="AS2304">
            <v>2617</v>
          </cell>
          <cell r="AT2304">
            <v>198800</v>
          </cell>
        </row>
        <row r="2305">
          <cell r="G2305">
            <v>2509150102</v>
          </cell>
          <cell r="H2305" t="str">
            <v>지하누름</v>
          </cell>
          <cell r="I2305">
            <v>250915</v>
          </cell>
          <cell r="J2305" t="str">
            <v>B3 102동 주변 지하주차장 누름</v>
          </cell>
          <cell r="K2305">
            <v>290</v>
          </cell>
          <cell r="L2305">
            <v>290</v>
          </cell>
          <cell r="M2305">
            <v>2118</v>
          </cell>
          <cell r="N2305" t="str">
            <v>용호</v>
          </cell>
          <cell r="O2305" t="str">
            <v>펌프카(1대)</v>
          </cell>
          <cell r="P2305">
            <v>800</v>
          </cell>
          <cell r="Q2305">
            <v>1350</v>
          </cell>
          <cell r="R2305">
            <v>190</v>
          </cell>
          <cell r="S2305">
            <v>50</v>
          </cell>
          <cell r="T2305">
            <v>44</v>
          </cell>
          <cell r="U2305">
            <v>232</v>
          </cell>
          <cell r="V2305"/>
          <cell r="W2305" t="str">
            <v>김광록</v>
          </cell>
          <cell r="X2305" t="str">
            <v>(인)</v>
          </cell>
          <cell r="Y2305" t="str">
            <v>김광록</v>
          </cell>
          <cell r="Z2305" t="str">
            <v>(인)</v>
          </cell>
          <cell r="AA2305" t="str">
            <v>박상갑</v>
          </cell>
          <cell r="AB2305" t="str">
            <v>(인)</v>
          </cell>
          <cell r="AC2305" t="str">
            <v>이홍걸</v>
          </cell>
          <cell r="AD2305" t="str">
            <v>(인)</v>
          </cell>
          <cell r="AE2305">
            <v>182.9</v>
          </cell>
          <cell r="AF2305" t="str">
            <v>표준</v>
          </cell>
          <cell r="AG2305">
            <v>2</v>
          </cell>
          <cell r="AH2305">
            <v>0</v>
          </cell>
        </row>
        <row r="2306">
          <cell r="G2306">
            <v>2509150103</v>
          </cell>
          <cell r="H2306" t="str">
            <v>지하누름</v>
          </cell>
          <cell r="I2306">
            <v>250915</v>
          </cell>
          <cell r="J2306" t="str">
            <v>B3 102동 주변 지하주차장 누름</v>
          </cell>
          <cell r="K2306">
            <v>290</v>
          </cell>
          <cell r="L2306">
            <v>290</v>
          </cell>
          <cell r="M2306">
            <v>2118</v>
          </cell>
          <cell r="N2306" t="str">
            <v>용호</v>
          </cell>
          <cell r="O2306" t="str">
            <v>펌프카(1대)</v>
          </cell>
          <cell r="P2306">
            <v>800</v>
          </cell>
          <cell r="Q2306">
            <v>1350</v>
          </cell>
          <cell r="R2306">
            <v>195</v>
          </cell>
          <cell r="S2306">
            <v>48</v>
          </cell>
          <cell r="T2306">
            <v>68</v>
          </cell>
          <cell r="U2306">
            <v>237</v>
          </cell>
          <cell r="V2306"/>
          <cell r="W2306" t="str">
            <v>김광록</v>
          </cell>
          <cell r="X2306" t="str">
            <v>(인)</v>
          </cell>
          <cell r="Y2306" t="str">
            <v>김광록</v>
          </cell>
          <cell r="Z2306" t="str">
            <v>(인)</v>
          </cell>
          <cell r="AA2306" t="str">
            <v>박상갑</v>
          </cell>
          <cell r="AB2306" t="str">
            <v>(인)</v>
          </cell>
          <cell r="AC2306" t="str">
            <v>이홍걸</v>
          </cell>
          <cell r="AD2306" t="str">
            <v>(인)</v>
          </cell>
          <cell r="AE2306">
            <v>183.2</v>
          </cell>
          <cell r="AF2306" t="str">
            <v>표준</v>
          </cell>
          <cell r="AG2306">
            <v>3</v>
          </cell>
          <cell r="AH2306">
            <v>0</v>
          </cell>
        </row>
        <row r="2307">
          <cell r="G2307">
            <v>2509170101</v>
          </cell>
          <cell r="H2307" t="str">
            <v>지하누름</v>
          </cell>
          <cell r="I2307">
            <v>250917</v>
          </cell>
          <cell r="J2307" t="str">
            <v>B3 101동 주변 지하주차장 누름</v>
          </cell>
          <cell r="K2307">
            <v>261</v>
          </cell>
          <cell r="L2307">
            <v>261</v>
          </cell>
          <cell r="M2307">
            <v>2118</v>
          </cell>
          <cell r="N2307" t="str">
            <v>대원</v>
          </cell>
          <cell r="O2307" t="str">
            <v>펌프카(1대)</v>
          </cell>
          <cell r="P2307">
            <v>743</v>
          </cell>
          <cell r="Q2307">
            <v>1247</v>
          </cell>
          <cell r="R2307">
            <v>200</v>
          </cell>
          <cell r="S2307">
            <v>44</v>
          </cell>
          <cell r="T2307">
            <v>47</v>
          </cell>
          <cell r="U2307">
            <v>241</v>
          </cell>
          <cell r="V2307"/>
          <cell r="W2307" t="str">
            <v>김광록</v>
          </cell>
          <cell r="X2307" t="str">
            <v>(인)</v>
          </cell>
          <cell r="Y2307" t="str">
            <v>김광록</v>
          </cell>
          <cell r="Z2307" t="str">
            <v>(인)</v>
          </cell>
          <cell r="AA2307" t="str">
            <v>이홍걸</v>
          </cell>
          <cell r="AB2307" t="str">
            <v>(인)</v>
          </cell>
          <cell r="AC2307" t="str">
            <v>이홍걸</v>
          </cell>
          <cell r="AD2307" t="str">
            <v>(인)</v>
          </cell>
          <cell r="AE2307">
            <v>183.2</v>
          </cell>
          <cell r="AF2307" t="str">
            <v>표준</v>
          </cell>
          <cell r="AG2307">
            <v>1</v>
          </cell>
          <cell r="AH2307">
            <v>1</v>
          </cell>
          <cell r="AI2307">
            <v>1985</v>
          </cell>
          <cell r="AJ2307">
            <v>1947</v>
          </cell>
          <cell r="AK2307">
            <v>150800</v>
          </cell>
          <cell r="AL2307">
            <v>2649</v>
          </cell>
          <cell r="AM2307">
            <v>2512</v>
          </cell>
          <cell r="AN2307">
            <v>2597</v>
          </cell>
          <cell r="AO2307">
            <v>2622</v>
          </cell>
          <cell r="AP2307">
            <v>2537</v>
          </cell>
          <cell r="AQ2307">
            <v>2566</v>
          </cell>
          <cell r="AR2307">
            <v>2543</v>
          </cell>
          <cell r="AS2307">
            <v>2648</v>
          </cell>
          <cell r="AT2307">
            <v>20700</v>
          </cell>
        </row>
        <row r="2308">
          <cell r="G2308">
            <v>2509170102</v>
          </cell>
          <cell r="H2308" t="str">
            <v>지하누름</v>
          </cell>
          <cell r="I2308">
            <v>250917</v>
          </cell>
          <cell r="J2308" t="str">
            <v>B3 101동 주변 지하주차장 누름</v>
          </cell>
          <cell r="K2308">
            <v>261</v>
          </cell>
          <cell r="L2308">
            <v>261</v>
          </cell>
          <cell r="M2308">
            <v>2118</v>
          </cell>
          <cell r="N2308" t="str">
            <v>대원</v>
          </cell>
          <cell r="O2308" t="str">
            <v>펌프카(1대)</v>
          </cell>
          <cell r="P2308">
            <v>743</v>
          </cell>
          <cell r="Q2308">
            <v>1248</v>
          </cell>
          <cell r="R2308">
            <v>190</v>
          </cell>
          <cell r="S2308">
            <v>48</v>
          </cell>
          <cell r="T2308">
            <v>84</v>
          </cell>
          <cell r="U2308">
            <v>240</v>
          </cell>
          <cell r="V2308"/>
          <cell r="W2308" t="str">
            <v>김광록</v>
          </cell>
          <cell r="X2308" t="str">
            <v>(인)</v>
          </cell>
          <cell r="Y2308" t="str">
            <v>김광록</v>
          </cell>
          <cell r="Z2308" t="str">
            <v>(인)</v>
          </cell>
          <cell r="AA2308" t="str">
            <v>이홍걸</v>
          </cell>
          <cell r="AB2308" t="str">
            <v>(인)</v>
          </cell>
          <cell r="AC2308" t="str">
            <v>이홍걸</v>
          </cell>
          <cell r="AD2308" t="str">
            <v>(인)</v>
          </cell>
          <cell r="AE2308">
            <v>181.8</v>
          </cell>
          <cell r="AF2308" t="str">
            <v>표준</v>
          </cell>
          <cell r="AG2308">
            <v>2</v>
          </cell>
          <cell r="AH2308">
            <v>0</v>
          </cell>
        </row>
        <row r="2309">
          <cell r="G2309">
            <v>2509170103</v>
          </cell>
          <cell r="H2309" t="str">
            <v>지하누름</v>
          </cell>
          <cell r="I2309">
            <v>250917</v>
          </cell>
          <cell r="J2309" t="str">
            <v>B3 101동 주변 지하주차장 누름</v>
          </cell>
          <cell r="K2309">
            <v>261</v>
          </cell>
          <cell r="L2309">
            <v>261</v>
          </cell>
          <cell r="M2309">
            <v>2118</v>
          </cell>
          <cell r="N2309" t="str">
            <v>대원</v>
          </cell>
          <cell r="O2309" t="str">
            <v>펌프카(1대)</v>
          </cell>
          <cell r="P2309">
            <v>743</v>
          </cell>
          <cell r="Q2309">
            <v>1249</v>
          </cell>
          <cell r="R2309">
            <v>190</v>
          </cell>
          <cell r="S2309">
            <v>40</v>
          </cell>
          <cell r="T2309">
            <v>166</v>
          </cell>
          <cell r="U2309">
            <v>245</v>
          </cell>
          <cell r="V2309"/>
          <cell r="W2309" t="str">
            <v>김광록</v>
          </cell>
          <cell r="X2309" t="str">
            <v>(인)</v>
          </cell>
          <cell r="Y2309" t="str">
            <v>김광록</v>
          </cell>
          <cell r="Z2309" t="str">
            <v>(인)</v>
          </cell>
          <cell r="AA2309" t="str">
            <v>이홍걸</v>
          </cell>
          <cell r="AB2309" t="str">
            <v>(인)</v>
          </cell>
          <cell r="AC2309" t="str">
            <v>이홍걸</v>
          </cell>
          <cell r="AD2309" t="str">
            <v>(인)</v>
          </cell>
          <cell r="AE2309">
            <v>185.5</v>
          </cell>
          <cell r="AF2309" t="str">
            <v>표준</v>
          </cell>
          <cell r="AG2309">
            <v>3</v>
          </cell>
          <cell r="AH2309">
            <v>0</v>
          </cell>
        </row>
        <row r="2310">
          <cell r="G2310">
            <v>2509180101</v>
          </cell>
          <cell r="H2310" t="str">
            <v>주출입구</v>
          </cell>
          <cell r="I2310">
            <v>250918</v>
          </cell>
          <cell r="J2310" t="str">
            <v>101동 주출입구 벽체 타설</v>
          </cell>
          <cell r="K2310">
            <v>70</v>
          </cell>
          <cell r="L2310">
            <v>70</v>
          </cell>
          <cell r="M2310">
            <v>3018</v>
          </cell>
          <cell r="N2310" t="str">
            <v>용호</v>
          </cell>
          <cell r="O2310" t="str">
            <v>펌프카(1대)</v>
          </cell>
          <cell r="P2310">
            <v>835</v>
          </cell>
          <cell r="Q2310">
            <v>1540</v>
          </cell>
          <cell r="R2310">
            <v>185</v>
          </cell>
          <cell r="S2310">
            <v>45</v>
          </cell>
          <cell r="T2310">
            <v>31</v>
          </cell>
          <cell r="U2310">
            <v>224</v>
          </cell>
          <cell r="V2310"/>
          <cell r="W2310" t="str">
            <v>김광록</v>
          </cell>
          <cell r="X2310" t="str">
            <v>(인)</v>
          </cell>
          <cell r="Y2310" t="str">
            <v>김광록</v>
          </cell>
          <cell r="Z2310" t="str">
            <v>(인)</v>
          </cell>
          <cell r="AA2310" t="str">
            <v>이홍걸</v>
          </cell>
          <cell r="AB2310" t="str">
            <v>(인)</v>
          </cell>
          <cell r="AC2310" t="str">
            <v>이홍걸</v>
          </cell>
          <cell r="AD2310" t="str">
            <v>(인)</v>
          </cell>
          <cell r="AE2310">
            <v>182.7</v>
          </cell>
          <cell r="AF2310" t="str">
            <v>표준</v>
          </cell>
          <cell r="AG2310">
            <v>1</v>
          </cell>
          <cell r="AH2310">
            <v>1</v>
          </cell>
          <cell r="AI2310">
            <v>2867</v>
          </cell>
          <cell r="AJ2310">
            <v>2912</v>
          </cell>
          <cell r="AK2310">
            <v>227800</v>
          </cell>
          <cell r="AL2310">
            <v>3768</v>
          </cell>
          <cell r="AM2310">
            <v>3813</v>
          </cell>
          <cell r="AN2310">
            <v>3751</v>
          </cell>
          <cell r="AO2310">
            <v>3872</v>
          </cell>
          <cell r="AP2310">
            <v>3753</v>
          </cell>
          <cell r="AQ2310">
            <v>3766</v>
          </cell>
          <cell r="AR2310">
            <v>3794</v>
          </cell>
          <cell r="AS2310">
            <v>3641</v>
          </cell>
          <cell r="AT2310">
            <v>299200</v>
          </cell>
        </row>
        <row r="2311">
          <cell r="G2311">
            <v>2509190101</v>
          </cell>
          <cell r="H2311" t="str">
            <v>지하누름</v>
          </cell>
          <cell r="I2311">
            <v>250919</v>
          </cell>
          <cell r="J2311" t="str">
            <v>111동 지하주차장 누름</v>
          </cell>
          <cell r="K2311">
            <v>300</v>
          </cell>
          <cell r="L2311">
            <v>300</v>
          </cell>
          <cell r="M2311">
            <v>2118</v>
          </cell>
          <cell r="N2311" t="str">
            <v>용호</v>
          </cell>
          <cell r="O2311" t="str">
            <v>펌프카(1대)</v>
          </cell>
          <cell r="P2311">
            <v>800</v>
          </cell>
          <cell r="Q2311">
            <v>1325</v>
          </cell>
          <cell r="R2311">
            <v>170</v>
          </cell>
          <cell r="S2311">
            <v>39</v>
          </cell>
          <cell r="T2311">
            <v>34</v>
          </cell>
          <cell r="U2311">
            <v>199</v>
          </cell>
          <cell r="V2311"/>
          <cell r="W2311" t="str">
            <v>김광록</v>
          </cell>
          <cell r="X2311" t="str">
            <v>(인)</v>
          </cell>
          <cell r="Y2311" t="str">
            <v>김광록</v>
          </cell>
          <cell r="Z2311" t="str">
            <v>(인)</v>
          </cell>
          <cell r="AA2311" t="str">
            <v>이홍걸</v>
          </cell>
          <cell r="AB2311" t="str">
            <v>(인)</v>
          </cell>
          <cell r="AC2311" t="str">
            <v>이홍걸</v>
          </cell>
          <cell r="AD2311" t="str">
            <v>(인)</v>
          </cell>
          <cell r="AE2311">
            <v>184.4</v>
          </cell>
          <cell r="AF2311" t="str">
            <v>표준</v>
          </cell>
          <cell r="AG2311">
            <v>1</v>
          </cell>
          <cell r="AH2311">
            <v>1</v>
          </cell>
          <cell r="AI2311">
            <v>1921</v>
          </cell>
          <cell r="AJ2311">
            <v>1997</v>
          </cell>
          <cell r="AK2311">
            <v>148200</v>
          </cell>
          <cell r="AL2311">
            <v>2608</v>
          </cell>
          <cell r="AM2311">
            <v>2618</v>
          </cell>
          <cell r="AN2311">
            <v>2549</v>
          </cell>
          <cell r="AO2311">
            <v>2592</v>
          </cell>
          <cell r="AP2311">
            <v>2532</v>
          </cell>
          <cell r="AQ2311">
            <v>2631</v>
          </cell>
          <cell r="AR2311">
            <v>2570</v>
          </cell>
          <cell r="AS2311">
            <v>2571</v>
          </cell>
          <cell r="AT2311">
            <v>210000</v>
          </cell>
        </row>
        <row r="2312">
          <cell r="G2312">
            <v>2509190102</v>
          </cell>
          <cell r="H2312" t="str">
            <v>지하누름</v>
          </cell>
          <cell r="I2312">
            <v>250919</v>
          </cell>
          <cell r="J2312" t="str">
            <v>111동 지하주차장 누름</v>
          </cell>
          <cell r="K2312">
            <v>300</v>
          </cell>
          <cell r="L2312">
            <v>300</v>
          </cell>
          <cell r="M2312">
            <v>2118</v>
          </cell>
          <cell r="N2312" t="str">
            <v>용호</v>
          </cell>
          <cell r="O2312" t="str">
            <v>펌프카(1대)</v>
          </cell>
          <cell r="P2312">
            <v>800</v>
          </cell>
          <cell r="Q2312">
            <v>1325</v>
          </cell>
          <cell r="R2312">
            <v>185</v>
          </cell>
          <cell r="S2312">
            <v>48</v>
          </cell>
          <cell r="T2312">
            <v>10</v>
          </cell>
          <cell r="U2312">
            <v>213</v>
          </cell>
          <cell r="V2312"/>
          <cell r="W2312" t="str">
            <v>김광록</v>
          </cell>
          <cell r="X2312" t="str">
            <v>(인)</v>
          </cell>
          <cell r="Y2312" t="str">
            <v>김광록</v>
          </cell>
          <cell r="Z2312" t="str">
            <v>(인)</v>
          </cell>
          <cell r="AA2312" t="str">
            <v>이홍걸</v>
          </cell>
          <cell r="AB2312" t="str">
            <v>(인)</v>
          </cell>
          <cell r="AC2312" t="str">
            <v>이홍걸</v>
          </cell>
          <cell r="AD2312" t="str">
            <v>(인)</v>
          </cell>
          <cell r="AE2312">
            <v>182.9</v>
          </cell>
          <cell r="AF2312" t="str">
            <v>표준</v>
          </cell>
          <cell r="AG2312">
            <v>2</v>
          </cell>
          <cell r="AH2312">
            <v>0</v>
          </cell>
        </row>
        <row r="2313">
          <cell r="G2313">
            <v>2509190103</v>
          </cell>
          <cell r="H2313" t="str">
            <v>지하누름</v>
          </cell>
          <cell r="I2313">
            <v>250919</v>
          </cell>
          <cell r="J2313" t="str">
            <v>111동 지하주차장 누름</v>
          </cell>
          <cell r="K2313">
            <v>300</v>
          </cell>
          <cell r="L2313">
            <v>300</v>
          </cell>
          <cell r="M2313">
            <v>2118</v>
          </cell>
          <cell r="N2313" t="str">
            <v>용호</v>
          </cell>
          <cell r="O2313" t="str">
            <v>펌프카(1대)</v>
          </cell>
          <cell r="P2313">
            <v>800</v>
          </cell>
          <cell r="Q2313">
            <v>1325</v>
          </cell>
          <cell r="R2313">
            <v>190</v>
          </cell>
          <cell r="S2313">
            <v>49</v>
          </cell>
          <cell r="T2313">
            <v>77</v>
          </cell>
          <cell r="U2313">
            <v>198</v>
          </cell>
          <cell r="V2313"/>
          <cell r="W2313" t="str">
            <v>김광록</v>
          </cell>
          <cell r="X2313" t="str">
            <v>(인)</v>
          </cell>
          <cell r="Y2313" t="str">
            <v>김광록</v>
          </cell>
          <cell r="Z2313" t="str">
            <v>(인)</v>
          </cell>
          <cell r="AA2313" t="str">
            <v>이홍걸</v>
          </cell>
          <cell r="AB2313" t="str">
            <v>(인)</v>
          </cell>
          <cell r="AC2313" t="str">
            <v>이홍걸</v>
          </cell>
          <cell r="AD2313" t="str">
            <v>(인)</v>
          </cell>
          <cell r="AE2313">
            <v>183.2</v>
          </cell>
          <cell r="AF2313" t="str">
            <v>표준</v>
          </cell>
          <cell r="AG2313">
            <v>3</v>
          </cell>
          <cell r="AH2313">
            <v>0</v>
          </cell>
        </row>
        <row r="2314">
          <cell r="G2314">
            <v>2509220101</v>
          </cell>
          <cell r="H2314" t="str">
            <v>지하누름</v>
          </cell>
          <cell r="I2314">
            <v>250922</v>
          </cell>
          <cell r="J2314" t="str">
            <v>109~110동 지하주차장 누름</v>
          </cell>
          <cell r="K2314">
            <v>283</v>
          </cell>
          <cell r="L2314">
            <v>283</v>
          </cell>
          <cell r="M2314">
            <v>2118</v>
          </cell>
          <cell r="N2314" t="str">
            <v>영진</v>
          </cell>
          <cell r="O2314" t="str">
            <v>펌프카(1대)</v>
          </cell>
          <cell r="P2314">
            <v>957</v>
          </cell>
          <cell r="Q2314">
            <v>1415</v>
          </cell>
          <cell r="R2314">
            <v>180</v>
          </cell>
          <cell r="S2314">
            <v>42</v>
          </cell>
          <cell r="T2314">
            <v>41</v>
          </cell>
          <cell r="U2314">
            <v>180</v>
          </cell>
          <cell r="V2314"/>
          <cell r="W2314" t="str">
            <v>김광록</v>
          </cell>
          <cell r="X2314" t="str">
            <v>(인)</v>
          </cell>
          <cell r="Y2314" t="str">
            <v>김광록</v>
          </cell>
          <cell r="Z2314" t="str">
            <v>(인)</v>
          </cell>
          <cell r="AA2314" t="str">
            <v>박상갑</v>
          </cell>
          <cell r="AB2314" t="str">
            <v>(인)</v>
          </cell>
          <cell r="AC2314" t="str">
            <v>이홍걸</v>
          </cell>
          <cell r="AD2314" t="str">
            <v>(인)</v>
          </cell>
          <cell r="AE2314">
            <v>183.9</v>
          </cell>
          <cell r="AF2314" t="str">
            <v>표준</v>
          </cell>
          <cell r="AG2314">
            <v>1</v>
          </cell>
          <cell r="AH2314">
            <v>1</v>
          </cell>
          <cell r="AI2314">
            <v>1988</v>
          </cell>
          <cell r="AJ2314">
            <v>1924</v>
          </cell>
          <cell r="AK2314">
            <v>147000</v>
          </cell>
          <cell r="AL2314">
            <v>2484</v>
          </cell>
          <cell r="AM2314">
            <v>2574</v>
          </cell>
          <cell r="AN2314">
            <v>2562</v>
          </cell>
          <cell r="AO2314">
            <v>2627</v>
          </cell>
          <cell r="AP2314">
            <v>2555</v>
          </cell>
          <cell r="AQ2314">
            <v>2584</v>
          </cell>
          <cell r="AR2314">
            <v>2548</v>
          </cell>
          <cell r="AS2314">
            <v>2427</v>
          </cell>
          <cell r="AT2314">
            <v>199000</v>
          </cell>
        </row>
        <row r="2315">
          <cell r="G2315">
            <v>2509220102</v>
          </cell>
          <cell r="H2315" t="str">
            <v>지하누름</v>
          </cell>
          <cell r="I2315">
            <v>250922</v>
          </cell>
          <cell r="J2315" t="str">
            <v>109~110동 지하주차장 누름</v>
          </cell>
          <cell r="K2315">
            <v>283</v>
          </cell>
          <cell r="L2315">
            <v>283</v>
          </cell>
          <cell r="M2315">
            <v>2118</v>
          </cell>
          <cell r="N2315" t="str">
            <v>영진</v>
          </cell>
          <cell r="O2315" t="str">
            <v>펌프카(1대)</v>
          </cell>
          <cell r="P2315">
            <v>957</v>
          </cell>
          <cell r="Q2315">
            <v>1415</v>
          </cell>
          <cell r="R2315">
            <v>185</v>
          </cell>
          <cell r="S2315">
            <v>49</v>
          </cell>
          <cell r="T2315">
            <v>39</v>
          </cell>
          <cell r="U2315">
            <v>206</v>
          </cell>
          <cell r="V2315"/>
          <cell r="W2315" t="str">
            <v>김광록</v>
          </cell>
          <cell r="X2315" t="str">
            <v>(인)</v>
          </cell>
          <cell r="Y2315" t="str">
            <v>김광록</v>
          </cell>
          <cell r="Z2315" t="str">
            <v>(인)</v>
          </cell>
          <cell r="AA2315" t="str">
            <v>박상갑</v>
          </cell>
          <cell r="AB2315" t="str">
            <v>(인)</v>
          </cell>
          <cell r="AC2315" t="str">
            <v>이홍걸</v>
          </cell>
          <cell r="AD2315" t="str">
            <v>(인)</v>
          </cell>
          <cell r="AE2315">
            <v>180</v>
          </cell>
          <cell r="AF2315" t="str">
            <v>표준</v>
          </cell>
          <cell r="AG2315">
            <v>2</v>
          </cell>
          <cell r="AH2315">
            <v>0</v>
          </cell>
        </row>
        <row r="2316">
          <cell r="G2316">
            <v>2509220103</v>
          </cell>
          <cell r="H2316" t="str">
            <v>지하누름</v>
          </cell>
          <cell r="I2316">
            <v>250922</v>
          </cell>
          <cell r="J2316" t="str">
            <v>109~110동 지하주차장 누름</v>
          </cell>
          <cell r="K2316">
            <v>283</v>
          </cell>
          <cell r="L2316">
            <v>283</v>
          </cell>
          <cell r="M2316">
            <v>2118</v>
          </cell>
          <cell r="N2316" t="str">
            <v>영진</v>
          </cell>
          <cell r="O2316" t="str">
            <v>펌프카(1대)</v>
          </cell>
          <cell r="P2316">
            <v>957</v>
          </cell>
          <cell r="Q2316">
            <v>1415</v>
          </cell>
          <cell r="R2316">
            <v>195</v>
          </cell>
          <cell r="S2316">
            <v>42</v>
          </cell>
          <cell r="T2316">
            <v>38</v>
          </cell>
          <cell r="U2316">
            <v>208</v>
          </cell>
          <cell r="V2316"/>
          <cell r="W2316" t="str">
            <v>김광록</v>
          </cell>
          <cell r="X2316" t="str">
            <v>(인)</v>
          </cell>
          <cell r="Y2316" t="str">
            <v>김광록</v>
          </cell>
          <cell r="Z2316" t="str">
            <v>(인)</v>
          </cell>
          <cell r="AA2316" t="str">
            <v>박상갑</v>
          </cell>
          <cell r="AB2316" t="str">
            <v>(인)</v>
          </cell>
          <cell r="AC2316" t="str">
            <v>이홍걸</v>
          </cell>
          <cell r="AD2316" t="str">
            <v>(인)</v>
          </cell>
          <cell r="AE2316">
            <v>181.1</v>
          </cell>
          <cell r="AF2316" t="str">
            <v>표준</v>
          </cell>
          <cell r="AG2316">
            <v>3</v>
          </cell>
          <cell r="AH2316">
            <v>0</v>
          </cell>
        </row>
        <row r="2317">
          <cell r="G2317">
            <v>2509240101</v>
          </cell>
          <cell r="H2317" t="str">
            <v>지하누름</v>
          </cell>
          <cell r="I2317">
            <v>250924</v>
          </cell>
          <cell r="J2317" t="str">
            <v>107~108동 지하주차장 누름</v>
          </cell>
          <cell r="K2317">
            <v>276</v>
          </cell>
          <cell r="L2317">
            <v>276</v>
          </cell>
          <cell r="M2317">
            <v>2118</v>
          </cell>
          <cell r="N2317" t="str">
            <v>대공</v>
          </cell>
          <cell r="O2317" t="str">
            <v>펌프카(1대)</v>
          </cell>
          <cell r="P2317">
            <v>804</v>
          </cell>
          <cell r="Q2317">
            <v>1327</v>
          </cell>
          <cell r="R2317">
            <v>190</v>
          </cell>
          <cell r="S2317">
            <v>46</v>
          </cell>
          <cell r="T2317">
            <v>48</v>
          </cell>
          <cell r="U2317">
            <v>215</v>
          </cell>
          <cell r="V2317"/>
          <cell r="W2317" t="str">
            <v>김광록</v>
          </cell>
          <cell r="X2317" t="str">
            <v>(인)</v>
          </cell>
          <cell r="Y2317" t="str">
            <v>김광록</v>
          </cell>
          <cell r="Z2317" t="str">
            <v>(인)</v>
          </cell>
          <cell r="AA2317" t="str">
            <v>이홍걸</v>
          </cell>
          <cell r="AB2317" t="str">
            <v>(인)</v>
          </cell>
          <cell r="AC2317" t="str">
            <v>박상갑</v>
          </cell>
          <cell r="AD2317" t="str">
            <v>(인)</v>
          </cell>
          <cell r="AE2317">
            <v>185.9</v>
          </cell>
          <cell r="AF2317" t="str">
            <v>표준</v>
          </cell>
          <cell r="AG2317">
            <v>1</v>
          </cell>
          <cell r="AH2317">
            <v>1</v>
          </cell>
          <cell r="AI2317">
            <v>1897</v>
          </cell>
          <cell r="AJ2317">
            <v>1853</v>
          </cell>
          <cell r="AK2317">
            <v>150400</v>
          </cell>
          <cell r="AL2317">
            <v>2815</v>
          </cell>
          <cell r="AM2317">
            <v>2696</v>
          </cell>
          <cell r="AN2317">
            <v>2788</v>
          </cell>
          <cell r="AO2317">
            <v>2682</v>
          </cell>
          <cell r="AP2317">
            <v>2811</v>
          </cell>
          <cell r="AQ2317">
            <v>2722</v>
          </cell>
          <cell r="AR2317">
            <v>2831</v>
          </cell>
          <cell r="AS2317">
            <v>2776</v>
          </cell>
          <cell r="AT2317">
            <v>221200</v>
          </cell>
        </row>
        <row r="2318">
          <cell r="G2318">
            <v>2509240102</v>
          </cell>
          <cell r="H2318" t="str">
            <v>지하누름</v>
          </cell>
          <cell r="I2318">
            <v>250924</v>
          </cell>
          <cell r="J2318" t="str">
            <v>107~108동 지하주차장 누름</v>
          </cell>
          <cell r="K2318">
            <v>276</v>
          </cell>
          <cell r="L2318">
            <v>276</v>
          </cell>
          <cell r="M2318">
            <v>2118</v>
          </cell>
          <cell r="N2318" t="str">
            <v>대공</v>
          </cell>
          <cell r="O2318" t="str">
            <v>펌프카(1대)</v>
          </cell>
          <cell r="P2318">
            <v>804</v>
          </cell>
          <cell r="Q2318">
            <v>1327</v>
          </cell>
          <cell r="R2318">
            <v>195</v>
          </cell>
          <cell r="S2318">
            <v>53</v>
          </cell>
          <cell r="T2318">
            <v>70</v>
          </cell>
          <cell r="U2318">
            <v>242</v>
          </cell>
          <cell r="V2318"/>
          <cell r="W2318" t="str">
            <v>김광록</v>
          </cell>
          <cell r="X2318" t="str">
            <v>(인)</v>
          </cell>
          <cell r="Y2318" t="str">
            <v>김광록</v>
          </cell>
          <cell r="Z2318" t="str">
            <v>(인)</v>
          </cell>
          <cell r="AA2318" t="str">
            <v>이홍걸</v>
          </cell>
          <cell r="AB2318" t="str">
            <v>(인)</v>
          </cell>
          <cell r="AC2318" t="str">
            <v>박상갑</v>
          </cell>
          <cell r="AD2318" t="str">
            <v>(인)</v>
          </cell>
          <cell r="AE2318">
            <v>183.4</v>
          </cell>
          <cell r="AF2318" t="str">
            <v>표준</v>
          </cell>
          <cell r="AG2318">
            <v>2</v>
          </cell>
          <cell r="AH2318">
            <v>0</v>
          </cell>
        </row>
        <row r="2319">
          <cell r="G2319">
            <v>2509240103</v>
          </cell>
          <cell r="H2319" t="str">
            <v>지하누름</v>
          </cell>
          <cell r="I2319">
            <v>250924</v>
          </cell>
          <cell r="J2319" t="str">
            <v>107~108동 지하주차장 누름</v>
          </cell>
          <cell r="K2319">
            <v>276</v>
          </cell>
          <cell r="L2319">
            <v>276</v>
          </cell>
          <cell r="M2319">
            <v>2118</v>
          </cell>
          <cell r="N2319" t="str">
            <v>대공</v>
          </cell>
          <cell r="O2319" t="str">
            <v>펌프카(1대)</v>
          </cell>
          <cell r="P2319">
            <v>804</v>
          </cell>
          <cell r="Q2319">
            <v>1327</v>
          </cell>
          <cell r="R2319">
            <v>200</v>
          </cell>
          <cell r="S2319">
            <v>40</v>
          </cell>
          <cell r="T2319">
            <v>43</v>
          </cell>
          <cell r="U2319">
            <v>225</v>
          </cell>
          <cell r="V2319"/>
          <cell r="W2319" t="str">
            <v>김광록</v>
          </cell>
          <cell r="X2319" t="str">
            <v>(인)</v>
          </cell>
          <cell r="Y2319" t="str">
            <v>김광록</v>
          </cell>
          <cell r="Z2319" t="str">
            <v>(인)</v>
          </cell>
          <cell r="AA2319" t="str">
            <v>이홍걸</v>
          </cell>
          <cell r="AB2319" t="str">
            <v>(인)</v>
          </cell>
          <cell r="AC2319" t="str">
            <v>박상갑</v>
          </cell>
          <cell r="AD2319" t="str">
            <v>(인)</v>
          </cell>
          <cell r="AE2319">
            <v>184.7</v>
          </cell>
          <cell r="AF2319" t="str">
            <v>표준</v>
          </cell>
          <cell r="AG2319">
            <v>3</v>
          </cell>
          <cell r="AH2319">
            <v>0</v>
          </cell>
          <cell r="AL2319">
            <v>3815</v>
          </cell>
          <cell r="AM2319">
            <v>3748</v>
          </cell>
          <cell r="AN2319">
            <v>3631</v>
          </cell>
          <cell r="AO2319">
            <v>3797</v>
          </cell>
          <cell r="AP2319">
            <v>3821</v>
          </cell>
          <cell r="AQ2319">
            <v>3847</v>
          </cell>
          <cell r="AR2319">
            <v>3813</v>
          </cell>
          <cell r="AS2319">
            <v>3711</v>
          </cell>
          <cell r="AT2319">
            <v>302000</v>
          </cell>
        </row>
        <row r="2320">
          <cell r="G2320">
            <v>2509260101</v>
          </cell>
          <cell r="H2320" t="str">
            <v>주출입구</v>
          </cell>
          <cell r="I2320">
            <v>250926</v>
          </cell>
          <cell r="J2320" t="str">
            <v>2번게이트 경비실 기초</v>
          </cell>
          <cell r="K2320">
            <v>30</v>
          </cell>
          <cell r="L2320">
            <v>30</v>
          </cell>
          <cell r="M2320">
            <v>3018</v>
          </cell>
          <cell r="N2320" t="str">
            <v>대원</v>
          </cell>
          <cell r="O2320" t="str">
            <v>펌프카(1대)</v>
          </cell>
          <cell r="P2320">
            <v>1152</v>
          </cell>
          <cell r="Q2320">
            <v>1455</v>
          </cell>
          <cell r="R2320">
            <v>175</v>
          </cell>
          <cell r="S2320">
            <v>40</v>
          </cell>
          <cell r="T2320">
            <v>59</v>
          </cell>
          <cell r="U2320">
            <v>242</v>
          </cell>
          <cell r="V2320"/>
          <cell r="W2320" t="str">
            <v>김광록</v>
          </cell>
          <cell r="X2320" t="str">
            <v>(인)</v>
          </cell>
          <cell r="Y2320" t="str">
            <v>김광록</v>
          </cell>
          <cell r="Z2320" t="str">
            <v>(인)</v>
          </cell>
          <cell r="AA2320" t="str">
            <v>이홍걸</v>
          </cell>
          <cell r="AB2320" t="str">
            <v>(인)</v>
          </cell>
          <cell r="AC2320" t="str">
            <v>박상갑</v>
          </cell>
          <cell r="AD2320" t="str">
            <v>(인)</v>
          </cell>
          <cell r="AE2320">
            <v>184.3</v>
          </cell>
          <cell r="AF2320" t="str">
            <v>표준</v>
          </cell>
          <cell r="AG2320">
            <v>1</v>
          </cell>
          <cell r="AH2320">
            <v>1</v>
          </cell>
          <cell r="AI2320" t="str">
            <v>*</v>
          </cell>
          <cell r="AJ2320" t="str">
            <v>*</v>
          </cell>
          <cell r="AK2320" t="str">
            <v>*</v>
          </cell>
          <cell r="AL2320">
            <v>3815</v>
          </cell>
          <cell r="AM2320">
            <v>3748</v>
          </cell>
          <cell r="AN2320">
            <v>3631</v>
          </cell>
          <cell r="AO2320">
            <v>3797</v>
          </cell>
          <cell r="AP2320">
            <v>3821</v>
          </cell>
          <cell r="AQ2320">
            <v>3847</v>
          </cell>
          <cell r="AR2320">
            <v>3813</v>
          </cell>
          <cell r="AS2320">
            <v>3711</v>
          </cell>
          <cell r="AT2320">
            <v>302000</v>
          </cell>
        </row>
        <row r="2321">
          <cell r="G2321">
            <v>2509260201</v>
          </cell>
          <cell r="H2321" t="str">
            <v>지하누름</v>
          </cell>
          <cell r="I2321">
            <v>250926</v>
          </cell>
          <cell r="J2321" t="str">
            <v>107동~113동 지하주차장 누름</v>
          </cell>
          <cell r="K2321">
            <v>179</v>
          </cell>
          <cell r="L2321">
            <v>179</v>
          </cell>
          <cell r="M2321">
            <v>2118</v>
          </cell>
          <cell r="N2321" t="str">
            <v>대원</v>
          </cell>
          <cell r="O2321" t="str">
            <v>펌프카(1대)</v>
          </cell>
          <cell r="P2321">
            <v>805</v>
          </cell>
          <cell r="Q2321">
            <v>1137</v>
          </cell>
          <cell r="R2321">
            <v>185</v>
          </cell>
          <cell r="S2321">
            <v>40</v>
          </cell>
          <cell r="T2321">
            <v>114</v>
          </cell>
          <cell r="U2321">
            <v>237</v>
          </cell>
          <cell r="V2321"/>
          <cell r="W2321" t="str">
            <v>김광록</v>
          </cell>
          <cell r="X2321" t="str">
            <v>(인)</v>
          </cell>
          <cell r="Y2321" t="str">
            <v>김광록</v>
          </cell>
          <cell r="Z2321" t="str">
            <v>(인)</v>
          </cell>
          <cell r="AA2321" t="str">
            <v>이홍걸</v>
          </cell>
          <cell r="AB2321" t="str">
            <v>(인)</v>
          </cell>
          <cell r="AC2321" t="str">
            <v>박상갑</v>
          </cell>
          <cell r="AD2321" t="str">
            <v>(인)</v>
          </cell>
          <cell r="AE2321">
            <v>181.4</v>
          </cell>
          <cell r="AF2321" t="str">
            <v>표준</v>
          </cell>
          <cell r="AG2321">
            <v>1</v>
          </cell>
          <cell r="AH2321">
            <v>1</v>
          </cell>
          <cell r="AI2321" t="str">
            <v>*</v>
          </cell>
          <cell r="AJ2321" t="str">
            <v>*</v>
          </cell>
          <cell r="AK2321" t="str">
            <v>*</v>
          </cell>
          <cell r="AL2321">
            <v>2587</v>
          </cell>
          <cell r="AM2321">
            <v>2632</v>
          </cell>
          <cell r="AN2321">
            <v>2559</v>
          </cell>
          <cell r="AO2321">
            <v>2581</v>
          </cell>
          <cell r="AP2321">
            <v>2523</v>
          </cell>
          <cell r="AQ2321">
            <v>2612</v>
          </cell>
          <cell r="AR2321">
            <v>2658</v>
          </cell>
          <cell r="AS2321">
            <v>2625</v>
          </cell>
          <cell r="AT2321">
            <v>206600</v>
          </cell>
        </row>
        <row r="2322">
          <cell r="G2322">
            <v>2509260202</v>
          </cell>
          <cell r="H2322" t="str">
            <v>지하누름</v>
          </cell>
          <cell r="I2322">
            <v>250926</v>
          </cell>
          <cell r="J2322" t="str">
            <v>107동~113동 지하주차장 누름</v>
          </cell>
          <cell r="K2322">
            <v>179</v>
          </cell>
          <cell r="L2322">
            <v>179</v>
          </cell>
          <cell r="M2322">
            <v>2118</v>
          </cell>
          <cell r="N2322" t="str">
            <v>대원</v>
          </cell>
          <cell r="O2322" t="str">
            <v>펌프카(1대)</v>
          </cell>
          <cell r="P2322">
            <v>805</v>
          </cell>
          <cell r="Q2322">
            <v>1137</v>
          </cell>
          <cell r="R2322">
            <v>180</v>
          </cell>
          <cell r="S2322">
            <v>50</v>
          </cell>
          <cell r="T2322">
            <v>41</v>
          </cell>
          <cell r="U2322">
            <v>229</v>
          </cell>
          <cell r="V2322"/>
          <cell r="W2322" t="str">
            <v>김광록</v>
          </cell>
          <cell r="X2322" t="str">
            <v>(인)</v>
          </cell>
          <cell r="Y2322" t="str">
            <v>김광록</v>
          </cell>
          <cell r="Z2322" t="str">
            <v>(인)</v>
          </cell>
          <cell r="AA2322" t="str">
            <v>이홍걸</v>
          </cell>
          <cell r="AB2322" t="str">
            <v>(인)</v>
          </cell>
          <cell r="AC2322" t="str">
            <v>이홍걸</v>
          </cell>
          <cell r="AD2322" t="str">
            <v>(인)</v>
          </cell>
          <cell r="AE2322">
            <v>180.4</v>
          </cell>
          <cell r="AF2322" t="str">
            <v>표준</v>
          </cell>
          <cell r="AG2322">
            <v>2</v>
          </cell>
          <cell r="AH2322">
            <v>0</v>
          </cell>
        </row>
        <row r="2323">
          <cell r="G2323">
            <v>2509290101</v>
          </cell>
          <cell r="H2323" t="str">
            <v>주출입구</v>
          </cell>
          <cell r="I2323">
            <v>250929</v>
          </cell>
          <cell r="J2323" t="str">
            <v>101동 주출입구</v>
          </cell>
          <cell r="K2323">
            <v>40</v>
          </cell>
          <cell r="L2323">
            <v>40</v>
          </cell>
          <cell r="M2323">
            <v>3018</v>
          </cell>
          <cell r="N2323" t="str">
            <v>용호</v>
          </cell>
          <cell r="O2323" t="str">
            <v>펌프카(1대)</v>
          </cell>
          <cell r="P2323">
            <v>1515</v>
          </cell>
          <cell r="Q2323">
            <v>1543</v>
          </cell>
          <cell r="R2323">
            <v>200</v>
          </cell>
          <cell r="S2323">
            <v>51</v>
          </cell>
          <cell r="T2323">
            <v>8</v>
          </cell>
          <cell r="U2323">
            <v>251</v>
          </cell>
          <cell r="V2323"/>
          <cell r="W2323" t="str">
            <v>김광록</v>
          </cell>
          <cell r="X2323" t="str">
            <v>(인)</v>
          </cell>
          <cell r="Y2323" t="str">
            <v>김광록</v>
          </cell>
          <cell r="Z2323" t="str">
            <v>(인)</v>
          </cell>
          <cell r="AA2323" t="str">
            <v>이홍걸</v>
          </cell>
          <cell r="AB2323" t="str">
            <v>(인)</v>
          </cell>
          <cell r="AC2323" t="str">
            <v>이홍걸</v>
          </cell>
          <cell r="AD2323" t="str">
            <v>(인)</v>
          </cell>
          <cell r="AE2323">
            <v>182.7</v>
          </cell>
          <cell r="AF2323" t="str">
            <v>표준</v>
          </cell>
          <cell r="AG2323">
            <v>1</v>
          </cell>
          <cell r="AH2323">
            <v>1</v>
          </cell>
          <cell r="AI2323" t="str">
            <v>*</v>
          </cell>
          <cell r="AJ2323" t="str">
            <v>*</v>
          </cell>
          <cell r="AK2323" t="str">
            <v>*</v>
          </cell>
          <cell r="AL2323">
            <v>3953</v>
          </cell>
          <cell r="AM2323">
            <v>4002</v>
          </cell>
          <cell r="AN2323">
            <v>3976</v>
          </cell>
          <cell r="AO2323">
            <v>4033</v>
          </cell>
          <cell r="AP2323">
            <v>4018</v>
          </cell>
          <cell r="AQ2323">
            <v>3927</v>
          </cell>
          <cell r="AR2323">
            <v>3972</v>
          </cell>
          <cell r="AS2323">
            <v>3938</v>
          </cell>
          <cell r="AT2323">
            <v>319600</v>
          </cell>
        </row>
        <row r="2324">
          <cell r="G2324">
            <v>2509290201</v>
          </cell>
          <cell r="H2324" t="str">
            <v>지하누름</v>
          </cell>
          <cell r="I2324">
            <v>250929</v>
          </cell>
          <cell r="J2324" t="str">
            <v>109동 지하주차장 누름</v>
          </cell>
          <cell r="K2324">
            <v>197</v>
          </cell>
          <cell r="L2324">
            <v>197</v>
          </cell>
          <cell r="M2324">
            <v>2118</v>
          </cell>
          <cell r="N2324" t="str">
            <v>용호</v>
          </cell>
          <cell r="O2324" t="str">
            <v>펌프카(1대)</v>
          </cell>
          <cell r="P2324">
            <v>957</v>
          </cell>
          <cell r="Q2324">
            <v>1400</v>
          </cell>
          <cell r="R2324">
            <v>180</v>
          </cell>
          <cell r="S2324">
            <v>40</v>
          </cell>
          <cell r="T2324">
            <v>46</v>
          </cell>
          <cell r="U2324">
            <v>251</v>
          </cell>
          <cell r="V2324"/>
          <cell r="W2324" t="str">
            <v>김광록</v>
          </cell>
          <cell r="X2324" t="str">
            <v>(인)</v>
          </cell>
          <cell r="Y2324" t="str">
            <v>김광록</v>
          </cell>
          <cell r="Z2324" t="str">
            <v>(인)</v>
          </cell>
          <cell r="AA2324" t="str">
            <v>이홍걸</v>
          </cell>
          <cell r="AB2324" t="str">
            <v>(인)</v>
          </cell>
          <cell r="AC2324" t="str">
            <v>이홍걸</v>
          </cell>
          <cell r="AD2324" t="str">
            <v>(인)</v>
          </cell>
          <cell r="AE2324">
            <v>180.7</v>
          </cell>
          <cell r="AF2324" t="str">
            <v>표준</v>
          </cell>
          <cell r="AG2324">
            <v>1</v>
          </cell>
          <cell r="AH2324">
            <v>1</v>
          </cell>
          <cell r="AI2324" t="str">
            <v>*</v>
          </cell>
          <cell r="AJ2324" t="str">
            <v>*</v>
          </cell>
          <cell r="AK2324" t="str">
            <v>*</v>
          </cell>
          <cell r="AL2324">
            <v>2691</v>
          </cell>
          <cell r="AM2324">
            <v>2608</v>
          </cell>
          <cell r="AN2324">
            <v>2764</v>
          </cell>
          <cell r="AO2324">
            <v>2745</v>
          </cell>
          <cell r="AP2324">
            <v>2706</v>
          </cell>
          <cell r="AQ2324">
            <v>2688</v>
          </cell>
          <cell r="AR2324">
            <v>2631</v>
          </cell>
          <cell r="AS2324">
            <v>2749</v>
          </cell>
          <cell r="AT2324">
            <v>214800</v>
          </cell>
        </row>
        <row r="2325">
          <cell r="G2325">
            <v>2509290202</v>
          </cell>
          <cell r="H2325" t="str">
            <v>지하누름</v>
          </cell>
          <cell r="I2325">
            <v>250929</v>
          </cell>
          <cell r="J2325" t="str">
            <v>109동 지하주차장 누름</v>
          </cell>
          <cell r="K2325">
            <v>197</v>
          </cell>
          <cell r="L2325">
            <v>197</v>
          </cell>
          <cell r="M2325">
            <v>2118</v>
          </cell>
          <cell r="N2325" t="str">
            <v>용호</v>
          </cell>
          <cell r="O2325" t="str">
            <v>펌프카(1대)</v>
          </cell>
          <cell r="P2325">
            <v>957</v>
          </cell>
          <cell r="Q2325">
            <v>1400</v>
          </cell>
          <cell r="R2325">
            <v>180</v>
          </cell>
          <cell r="S2325">
            <v>44</v>
          </cell>
          <cell r="T2325">
            <v>78</v>
          </cell>
          <cell r="U2325">
            <v>256</v>
          </cell>
          <cell r="V2325"/>
          <cell r="W2325" t="str">
            <v>김광록</v>
          </cell>
          <cell r="X2325" t="str">
            <v>(인)</v>
          </cell>
          <cell r="Y2325" t="str">
            <v>김광록</v>
          </cell>
          <cell r="Z2325" t="str">
            <v>(인)</v>
          </cell>
          <cell r="AA2325" t="str">
            <v>이홍걸</v>
          </cell>
          <cell r="AB2325" t="str">
            <v>(인)</v>
          </cell>
          <cell r="AC2325" t="str">
            <v>이홍걸</v>
          </cell>
          <cell r="AD2325" t="str">
            <v>(인)</v>
          </cell>
          <cell r="AE2325">
            <v>179.6</v>
          </cell>
          <cell r="AF2325" t="str">
            <v>표준</v>
          </cell>
          <cell r="AG2325">
            <v>2</v>
          </cell>
          <cell r="AH2325">
            <v>0</v>
          </cell>
        </row>
        <row r="2326">
          <cell r="G2326">
            <v>2510020101</v>
          </cell>
          <cell r="H2326" t="str">
            <v>지하누름</v>
          </cell>
          <cell r="I2326">
            <v>251002</v>
          </cell>
          <cell r="J2326" t="str">
            <v>115동~117동 지하주차장 누름</v>
          </cell>
          <cell r="K2326">
            <v>354</v>
          </cell>
          <cell r="L2326">
            <v>354</v>
          </cell>
          <cell r="M2326">
            <v>2118</v>
          </cell>
          <cell r="N2326" t="str">
            <v>영진</v>
          </cell>
          <cell r="O2326" t="str">
            <v>펌프카(1대)</v>
          </cell>
          <cell r="P2326">
            <v>808</v>
          </cell>
          <cell r="Q2326">
            <v>1444</v>
          </cell>
          <cell r="R2326">
            <v>180</v>
          </cell>
          <cell r="S2326">
            <v>39</v>
          </cell>
          <cell r="T2326">
            <v>93</v>
          </cell>
          <cell r="U2326">
            <v>229</v>
          </cell>
          <cell r="V2326"/>
          <cell r="W2326" t="str">
            <v>김광록</v>
          </cell>
          <cell r="X2326" t="str">
            <v>(인)</v>
          </cell>
          <cell r="Y2326" t="str">
            <v>김광록</v>
          </cell>
          <cell r="Z2326" t="str">
            <v>(인)</v>
          </cell>
          <cell r="AA2326" t="str">
            <v>박상갑</v>
          </cell>
          <cell r="AB2326" t="str">
            <v>(인)</v>
          </cell>
          <cell r="AC2326" t="str">
            <v>이홍걸</v>
          </cell>
          <cell r="AD2326" t="str">
            <v>(인)</v>
          </cell>
          <cell r="AE2326">
            <v>172.6</v>
          </cell>
          <cell r="AF2326" t="str">
            <v>표준</v>
          </cell>
          <cell r="AG2326">
            <v>1</v>
          </cell>
          <cell r="AH2326">
            <v>1</v>
          </cell>
          <cell r="AI2326" t="str">
            <v>*</v>
          </cell>
          <cell r="AJ2326" t="str">
            <v>*</v>
          </cell>
          <cell r="AK2326" t="str">
            <v>*</v>
          </cell>
          <cell r="AL2326">
            <v>2751</v>
          </cell>
          <cell r="AM2326">
            <v>2772</v>
          </cell>
          <cell r="AN2326">
            <v>2616</v>
          </cell>
          <cell r="AO2326">
            <v>2658</v>
          </cell>
          <cell r="AP2326">
            <v>2782</v>
          </cell>
          <cell r="AQ2326">
            <v>2730</v>
          </cell>
          <cell r="AR2326">
            <v>2755</v>
          </cell>
          <cell r="AS2326">
            <v>2636</v>
          </cell>
          <cell r="AT2326">
            <v>214000</v>
          </cell>
        </row>
        <row r="2327">
          <cell r="G2327">
            <v>2510020102</v>
          </cell>
          <cell r="H2327" t="str">
            <v>지하누름</v>
          </cell>
          <cell r="I2327">
            <v>251002</v>
          </cell>
          <cell r="J2327" t="str">
            <v>115동~117동 지하주차장 누름</v>
          </cell>
          <cell r="K2327">
            <v>354</v>
          </cell>
          <cell r="L2327">
            <v>354</v>
          </cell>
          <cell r="M2327">
            <v>2118</v>
          </cell>
          <cell r="N2327" t="str">
            <v>영진</v>
          </cell>
          <cell r="O2327" t="str">
            <v>펌프카(1대)</v>
          </cell>
          <cell r="P2327">
            <v>808</v>
          </cell>
          <cell r="Q2327">
            <v>1444</v>
          </cell>
          <cell r="R2327">
            <v>180</v>
          </cell>
          <cell r="S2327">
            <v>38</v>
          </cell>
          <cell r="T2327">
            <v>37</v>
          </cell>
          <cell r="U2327">
            <v>237</v>
          </cell>
          <cell r="V2327"/>
          <cell r="W2327" t="str">
            <v>김광록</v>
          </cell>
          <cell r="X2327" t="str">
            <v>(인)</v>
          </cell>
          <cell r="Y2327" t="str">
            <v>김광록</v>
          </cell>
          <cell r="Z2327" t="str">
            <v>(인)</v>
          </cell>
          <cell r="AA2327" t="str">
            <v>박상갑</v>
          </cell>
          <cell r="AB2327" t="str">
            <v>(인)</v>
          </cell>
          <cell r="AC2327" t="str">
            <v>이홍걸</v>
          </cell>
          <cell r="AD2327" t="str">
            <v>(인)</v>
          </cell>
          <cell r="AE2327">
            <v>170.2</v>
          </cell>
          <cell r="AF2327" t="str">
            <v>표준</v>
          </cell>
          <cell r="AG2327">
            <v>2</v>
          </cell>
          <cell r="AH2327">
            <v>0</v>
          </cell>
        </row>
        <row r="2328">
          <cell r="G2328">
            <v>2510020103</v>
          </cell>
          <cell r="H2328" t="str">
            <v>지하누름</v>
          </cell>
          <cell r="I2328">
            <v>251002</v>
          </cell>
          <cell r="J2328" t="str">
            <v>115동~117동 지하주차장 누름</v>
          </cell>
          <cell r="K2328">
            <v>354</v>
          </cell>
          <cell r="L2328">
            <v>354</v>
          </cell>
          <cell r="M2328">
            <v>2118</v>
          </cell>
          <cell r="N2328" t="str">
            <v>영진</v>
          </cell>
          <cell r="O2328" t="str">
            <v>펌프카(1대)</v>
          </cell>
          <cell r="P2328">
            <v>808</v>
          </cell>
          <cell r="Q2328">
            <v>1444</v>
          </cell>
          <cell r="R2328">
            <v>195</v>
          </cell>
          <cell r="S2328">
            <v>46</v>
          </cell>
          <cell r="T2328">
            <v>141</v>
          </cell>
          <cell r="U2328">
            <v>241</v>
          </cell>
          <cell r="V2328"/>
          <cell r="W2328" t="str">
            <v>김광록</v>
          </cell>
          <cell r="X2328" t="str">
            <v>(인)</v>
          </cell>
          <cell r="Y2328" t="str">
            <v>김광록</v>
          </cell>
          <cell r="Z2328" t="str">
            <v>(인)</v>
          </cell>
          <cell r="AA2328" t="str">
            <v>박상갑</v>
          </cell>
          <cell r="AB2328" t="str">
            <v>(인)</v>
          </cell>
          <cell r="AC2328" t="str">
            <v>이홍걸</v>
          </cell>
          <cell r="AD2328" t="str">
            <v>(인)</v>
          </cell>
          <cell r="AE2328">
            <v>178.6</v>
          </cell>
          <cell r="AF2328" t="str">
            <v>표준</v>
          </cell>
          <cell r="AG2328">
            <v>3</v>
          </cell>
          <cell r="AH2328">
            <v>0</v>
          </cell>
        </row>
        <row r="2329">
          <cell r="G2329">
            <v>2510150101</v>
          </cell>
          <cell r="H2329" t="str">
            <v>지하누름</v>
          </cell>
          <cell r="I2329">
            <v>251015</v>
          </cell>
          <cell r="J2329" t="str">
            <v>113동 지하주차장 누름</v>
          </cell>
          <cell r="K2329">
            <v>372</v>
          </cell>
          <cell r="L2329">
            <v>372</v>
          </cell>
          <cell r="M2329">
            <v>2118</v>
          </cell>
          <cell r="N2329" t="str">
            <v>대원</v>
          </cell>
          <cell r="O2329" t="str">
            <v>펌프카(1대)</v>
          </cell>
          <cell r="P2329">
            <v>825</v>
          </cell>
          <cell r="Q2329">
            <v>1743</v>
          </cell>
          <cell r="R2329">
            <v>180</v>
          </cell>
          <cell r="S2329">
            <v>56</v>
          </cell>
          <cell r="T2329">
            <v>124</v>
          </cell>
          <cell r="U2329">
            <v>239</v>
          </cell>
          <cell r="V2329"/>
          <cell r="W2329" t="str">
            <v>김광록</v>
          </cell>
          <cell r="X2329" t="str">
            <v>(인)</v>
          </cell>
          <cell r="Y2329" t="str">
            <v>김광록</v>
          </cell>
          <cell r="Z2329" t="str">
            <v>(인)</v>
          </cell>
          <cell r="AA2329" t="str">
            <v>박상갑</v>
          </cell>
          <cell r="AB2329" t="str">
            <v>(인)</v>
          </cell>
          <cell r="AC2329" t="str">
            <v>이홍걸</v>
          </cell>
          <cell r="AD2329" t="str">
            <v>(인)</v>
          </cell>
          <cell r="AE2329">
            <v>176</v>
          </cell>
          <cell r="AF2329" t="str">
            <v>표준</v>
          </cell>
          <cell r="AG2329">
            <v>1</v>
          </cell>
          <cell r="AH2329">
            <v>1</v>
          </cell>
          <cell r="AI2329" t="str">
            <v>*</v>
          </cell>
          <cell r="AJ2329" t="str">
            <v>*</v>
          </cell>
          <cell r="AK2329" t="str">
            <v>*</v>
          </cell>
          <cell r="AL2329">
            <v>2776</v>
          </cell>
          <cell r="AM2329">
            <v>2801</v>
          </cell>
          <cell r="AN2329">
            <v>2743</v>
          </cell>
          <cell r="AO2329">
            <v>2766</v>
          </cell>
          <cell r="AP2329">
            <v>2812</v>
          </cell>
          <cell r="AQ2329">
            <v>2782</v>
          </cell>
          <cell r="AR2329">
            <v>2730</v>
          </cell>
          <cell r="AS2329">
            <v>2698</v>
          </cell>
          <cell r="AT2329">
            <v>216600</v>
          </cell>
        </row>
        <row r="2330">
          <cell r="G2330">
            <v>2510150102</v>
          </cell>
          <cell r="H2330" t="str">
            <v>지하누름</v>
          </cell>
          <cell r="I2330">
            <v>251015</v>
          </cell>
          <cell r="J2330" t="str">
            <v>113동 지하주차장 누름</v>
          </cell>
          <cell r="K2330">
            <v>372</v>
          </cell>
          <cell r="L2330">
            <v>372</v>
          </cell>
          <cell r="M2330">
            <v>2118</v>
          </cell>
          <cell r="N2330" t="str">
            <v>대원</v>
          </cell>
          <cell r="O2330" t="str">
            <v>펌프카(1대)</v>
          </cell>
          <cell r="P2330">
            <v>825</v>
          </cell>
          <cell r="Q2330">
            <v>1743</v>
          </cell>
          <cell r="R2330">
            <v>190</v>
          </cell>
          <cell r="S2330">
            <v>38</v>
          </cell>
          <cell r="T2330">
            <v>42</v>
          </cell>
          <cell r="U2330">
            <v>244</v>
          </cell>
          <cell r="V2330"/>
          <cell r="W2330" t="str">
            <v>김광록</v>
          </cell>
          <cell r="X2330" t="str">
            <v>(인)</v>
          </cell>
          <cell r="Y2330" t="str">
            <v>김광록</v>
          </cell>
          <cell r="Z2330" t="str">
            <v>(인)</v>
          </cell>
          <cell r="AA2330" t="str">
            <v>박상갑</v>
          </cell>
          <cell r="AB2330" t="str">
            <v>(인)</v>
          </cell>
          <cell r="AC2330" t="str">
            <v>이홍걸</v>
          </cell>
          <cell r="AD2330" t="str">
            <v>(인)</v>
          </cell>
          <cell r="AE2330">
            <v>176.6</v>
          </cell>
          <cell r="AF2330" t="str">
            <v>표준</v>
          </cell>
          <cell r="AG2330">
            <v>2</v>
          </cell>
          <cell r="AH2330">
            <v>0</v>
          </cell>
        </row>
        <row r="2331">
          <cell r="G2331">
            <v>2510150103</v>
          </cell>
          <cell r="H2331" t="str">
            <v>지하누름</v>
          </cell>
          <cell r="I2331">
            <v>251015</v>
          </cell>
          <cell r="J2331" t="str">
            <v>113동 지하주차장 누름</v>
          </cell>
          <cell r="K2331">
            <v>372</v>
          </cell>
          <cell r="L2331">
            <v>372</v>
          </cell>
          <cell r="M2331">
            <v>2118</v>
          </cell>
          <cell r="N2331" t="str">
            <v>대원</v>
          </cell>
          <cell r="O2331" t="str">
            <v>펌프카(1대)</v>
          </cell>
          <cell r="P2331">
            <v>825</v>
          </cell>
          <cell r="Q2331">
            <v>1743</v>
          </cell>
          <cell r="R2331">
            <v>185</v>
          </cell>
          <cell r="S2331">
            <v>40</v>
          </cell>
          <cell r="T2331">
            <v>24</v>
          </cell>
          <cell r="U2331">
            <v>192</v>
          </cell>
          <cell r="V2331"/>
          <cell r="W2331" t="str">
            <v>김광록</v>
          </cell>
          <cell r="X2331" t="str">
            <v>(인)</v>
          </cell>
          <cell r="Y2331" t="str">
            <v>김광록</v>
          </cell>
          <cell r="Z2331" t="str">
            <v>(인)</v>
          </cell>
          <cell r="AA2331" t="str">
            <v>박상갑</v>
          </cell>
          <cell r="AB2331" t="str">
            <v>(인)</v>
          </cell>
          <cell r="AC2331" t="str">
            <v>이홍걸</v>
          </cell>
          <cell r="AD2331" t="str">
            <v>(인)</v>
          </cell>
          <cell r="AE2331">
            <v>179.2</v>
          </cell>
          <cell r="AF2331" t="str">
            <v>표준</v>
          </cell>
          <cell r="AG2331">
            <v>3</v>
          </cell>
          <cell r="AH2331">
            <v>0</v>
          </cell>
        </row>
        <row r="2332">
          <cell r="G2332">
            <v>2510150104</v>
          </cell>
          <cell r="H2332" t="str">
            <v>지하누름</v>
          </cell>
          <cell r="I2332">
            <v>251015</v>
          </cell>
          <cell r="J2332" t="str">
            <v>113동 지하주차장 누름</v>
          </cell>
          <cell r="K2332">
            <v>372</v>
          </cell>
          <cell r="L2332">
            <v>372</v>
          </cell>
          <cell r="M2332">
            <v>2118</v>
          </cell>
          <cell r="N2332" t="str">
            <v>대원</v>
          </cell>
          <cell r="O2332" t="str">
            <v>펌프카(1대)</v>
          </cell>
          <cell r="P2332">
            <v>825</v>
          </cell>
          <cell r="Q2332">
            <v>1743</v>
          </cell>
          <cell r="R2332">
            <v>205</v>
          </cell>
          <cell r="S2332">
            <v>45</v>
          </cell>
          <cell r="T2332">
            <v>16</v>
          </cell>
          <cell r="U2332">
            <v>229</v>
          </cell>
          <cell r="V2332"/>
          <cell r="W2332" t="str">
            <v>김광록</v>
          </cell>
          <cell r="X2332" t="str">
            <v>(인)</v>
          </cell>
          <cell r="Y2332" t="str">
            <v>김광록</v>
          </cell>
          <cell r="Z2332" t="str">
            <v>(인)</v>
          </cell>
          <cell r="AA2332" t="str">
            <v>박상갑</v>
          </cell>
          <cell r="AB2332" t="str">
            <v>(인)</v>
          </cell>
          <cell r="AC2332" t="str">
            <v>이홍걸</v>
          </cell>
          <cell r="AD2332" t="str">
            <v>(인)</v>
          </cell>
          <cell r="AE2332">
            <v>178.2</v>
          </cell>
          <cell r="AF2332" t="str">
            <v>표준</v>
          </cell>
          <cell r="AG2332">
            <v>4</v>
          </cell>
          <cell r="AH2332">
            <v>1</v>
          </cell>
          <cell r="AL2332">
            <v>2515</v>
          </cell>
          <cell r="AM2332">
            <v>2632</v>
          </cell>
          <cell r="AN2332">
            <v>2574</v>
          </cell>
          <cell r="AO2332">
            <v>2587</v>
          </cell>
          <cell r="AP2332">
            <v>2611</v>
          </cell>
          <cell r="AQ2332">
            <v>2497</v>
          </cell>
          <cell r="AR2332">
            <v>2566</v>
          </cell>
          <cell r="AS2332">
            <v>2541</v>
          </cell>
          <cell r="AT2332">
            <v>203000</v>
          </cell>
        </row>
        <row r="2333">
          <cell r="G2333">
            <v>2510170101</v>
          </cell>
          <cell r="H2333" t="str">
            <v>지하누름</v>
          </cell>
          <cell r="I2333">
            <v>251017</v>
          </cell>
          <cell r="J2333" t="str">
            <v>116동 지하주차장 누름</v>
          </cell>
          <cell r="K2333">
            <v>348</v>
          </cell>
          <cell r="L2333">
            <v>348</v>
          </cell>
          <cell r="M2333">
            <v>2118</v>
          </cell>
          <cell r="N2333" t="str">
            <v>영진</v>
          </cell>
          <cell r="O2333" t="str">
            <v>펌프카(1대)</v>
          </cell>
          <cell r="P2333">
            <v>744</v>
          </cell>
          <cell r="Q2333">
            <v>1355</v>
          </cell>
          <cell r="R2333">
            <v>185</v>
          </cell>
          <cell r="S2333">
            <v>4</v>
          </cell>
          <cell r="T2333">
            <v>30</v>
          </cell>
          <cell r="U2333">
            <v>214</v>
          </cell>
          <cell r="V2333"/>
          <cell r="W2333" t="str">
            <v>김광록</v>
          </cell>
          <cell r="X2333" t="str">
            <v>(인)</v>
          </cell>
          <cell r="Y2333" t="str">
            <v>김광록</v>
          </cell>
          <cell r="Z2333" t="str">
            <v>(인)</v>
          </cell>
          <cell r="AA2333" t="str">
            <v>박상갑</v>
          </cell>
          <cell r="AB2333" t="str">
            <v>(인)</v>
          </cell>
          <cell r="AC2333" t="str">
            <v>이홍걸</v>
          </cell>
          <cell r="AD2333" t="str">
            <v>(인)</v>
          </cell>
          <cell r="AE2333">
            <v>177.4</v>
          </cell>
          <cell r="AF2333" t="str">
            <v>표준</v>
          </cell>
          <cell r="AG2333">
            <v>1</v>
          </cell>
          <cell r="AH2333">
            <v>1</v>
          </cell>
          <cell r="AI2333">
            <v>1698</v>
          </cell>
          <cell r="AJ2333">
            <v>1726</v>
          </cell>
          <cell r="AK2333">
            <v>134000</v>
          </cell>
          <cell r="AL2333">
            <v>2739</v>
          </cell>
          <cell r="AM2333">
            <v>2744</v>
          </cell>
          <cell r="AN2333">
            <v>2697</v>
          </cell>
          <cell r="AO2333">
            <v>2761</v>
          </cell>
          <cell r="AP2333">
            <v>2749</v>
          </cell>
          <cell r="AQ2333">
            <v>2687</v>
          </cell>
          <cell r="AR2333">
            <v>2792</v>
          </cell>
          <cell r="AS2333">
            <v>2728</v>
          </cell>
          <cell r="AT2333">
            <v>215600</v>
          </cell>
        </row>
        <row r="2334">
          <cell r="G2334">
            <v>2510170102</v>
          </cell>
          <cell r="H2334" t="str">
            <v>지하누름</v>
          </cell>
          <cell r="I2334">
            <v>251017</v>
          </cell>
          <cell r="J2334" t="str">
            <v>116동 지하주차장 누름</v>
          </cell>
          <cell r="K2334">
            <v>348</v>
          </cell>
          <cell r="L2334">
            <v>348</v>
          </cell>
          <cell r="M2334">
            <v>2118</v>
          </cell>
          <cell r="N2334" t="str">
            <v>영진</v>
          </cell>
          <cell r="O2334" t="str">
            <v>펌프카(1대)</v>
          </cell>
          <cell r="P2334">
            <v>744</v>
          </cell>
          <cell r="Q2334">
            <v>1355</v>
          </cell>
          <cell r="R2334">
            <v>200</v>
          </cell>
          <cell r="S2334">
            <v>4.8</v>
          </cell>
          <cell r="T2334">
            <v>74</v>
          </cell>
          <cell r="U2334">
            <v>199</v>
          </cell>
          <cell r="V2334"/>
          <cell r="W2334" t="str">
            <v>김광록</v>
          </cell>
          <cell r="X2334" t="str">
            <v>(인)</v>
          </cell>
          <cell r="Y2334" t="str">
            <v>김광록</v>
          </cell>
          <cell r="Z2334" t="str">
            <v>(인)</v>
          </cell>
          <cell r="AA2334" t="str">
            <v>박상갑</v>
          </cell>
          <cell r="AB2334" t="str">
            <v>(인)</v>
          </cell>
          <cell r="AC2334" t="str">
            <v>이홍걸</v>
          </cell>
          <cell r="AD2334" t="str">
            <v>(인)</v>
          </cell>
          <cell r="AE2334">
            <v>178.6</v>
          </cell>
          <cell r="AF2334" t="str">
            <v>표준</v>
          </cell>
          <cell r="AG2334">
            <v>2</v>
          </cell>
          <cell r="AH2334">
            <v>0</v>
          </cell>
        </row>
        <row r="2335">
          <cell r="G2335">
            <v>2510170103</v>
          </cell>
          <cell r="H2335" t="str">
            <v>지하누름</v>
          </cell>
          <cell r="I2335">
            <v>251017</v>
          </cell>
          <cell r="J2335" t="str">
            <v>116동 지하주차장 누름</v>
          </cell>
          <cell r="K2335">
            <v>348</v>
          </cell>
          <cell r="L2335">
            <v>348</v>
          </cell>
          <cell r="M2335">
            <v>2118</v>
          </cell>
          <cell r="N2335" t="str">
            <v>영진</v>
          </cell>
          <cell r="O2335" t="str">
            <v>펌프카(1대)</v>
          </cell>
          <cell r="P2335">
            <v>744</v>
          </cell>
          <cell r="Q2335">
            <v>1355</v>
          </cell>
          <cell r="R2335">
            <v>195</v>
          </cell>
          <cell r="S2335">
            <v>4.5</v>
          </cell>
          <cell r="T2335">
            <v>20</v>
          </cell>
          <cell r="U2335">
            <v>21</v>
          </cell>
          <cell r="V2335"/>
          <cell r="W2335" t="str">
            <v>김광록</v>
          </cell>
          <cell r="X2335" t="str">
            <v>(인)</v>
          </cell>
          <cell r="Y2335" t="str">
            <v>김광록</v>
          </cell>
          <cell r="Z2335" t="str">
            <v>(인)</v>
          </cell>
          <cell r="AA2335" t="str">
            <v>박상갑</v>
          </cell>
          <cell r="AB2335" t="str">
            <v>(인)</v>
          </cell>
          <cell r="AC2335" t="str">
            <v>이홍걸</v>
          </cell>
          <cell r="AD2335" t="str">
            <v>(인)</v>
          </cell>
          <cell r="AE2335">
            <v>175.4</v>
          </cell>
          <cell r="AF2335" t="str">
            <v>표준</v>
          </cell>
          <cell r="AG2335">
            <v>3</v>
          </cell>
          <cell r="AH2335">
            <v>0</v>
          </cell>
        </row>
        <row r="2336">
          <cell r="G2336">
            <v>2510210101</v>
          </cell>
          <cell r="H2336" t="str">
            <v>주출입구</v>
          </cell>
          <cell r="I2336">
            <v>251021</v>
          </cell>
          <cell r="J2336" t="str">
            <v>경비실2, 1동 주출입고</v>
          </cell>
          <cell r="K2336">
            <v>58</v>
          </cell>
          <cell r="L2336">
            <v>58</v>
          </cell>
          <cell r="M2336">
            <v>3018</v>
          </cell>
          <cell r="N2336" t="str">
            <v>용호</v>
          </cell>
          <cell r="O2336" t="str">
            <v>펌프카(1대)</v>
          </cell>
          <cell r="P2336">
            <v>1113</v>
          </cell>
          <cell r="Q2336">
            <v>1412</v>
          </cell>
          <cell r="R2336">
            <v>195</v>
          </cell>
          <cell r="S2336">
            <v>3.8</v>
          </cell>
          <cell r="T2336">
            <v>33</v>
          </cell>
          <cell r="U2336">
            <v>203</v>
          </cell>
          <cell r="V2336"/>
          <cell r="W2336" t="str">
            <v>김광록</v>
          </cell>
          <cell r="X2336" t="str">
            <v>(인)</v>
          </cell>
          <cell r="Y2336" t="str">
            <v>김광록</v>
          </cell>
          <cell r="Z2336" t="str">
            <v>(인)</v>
          </cell>
          <cell r="AA2336" t="str">
            <v>이홍걸</v>
          </cell>
          <cell r="AB2336" t="str">
            <v>(인)</v>
          </cell>
          <cell r="AC2336" t="str">
            <v>이홍걸</v>
          </cell>
          <cell r="AD2336" t="str">
            <v>(인)</v>
          </cell>
          <cell r="AE2336">
            <v>180.5</v>
          </cell>
          <cell r="AF2336" t="str">
            <v>표준</v>
          </cell>
          <cell r="AG2336">
            <v>1</v>
          </cell>
          <cell r="AH2336">
            <v>1</v>
          </cell>
          <cell r="AI2336">
            <v>2787</v>
          </cell>
          <cell r="AJ2336">
            <v>2832</v>
          </cell>
          <cell r="AK2336">
            <v>215200</v>
          </cell>
          <cell r="AL2336">
            <v>3784</v>
          </cell>
          <cell r="AM2336">
            <v>3820</v>
          </cell>
          <cell r="AN2336">
            <v>3833</v>
          </cell>
          <cell r="AO2336">
            <v>3851</v>
          </cell>
          <cell r="AP2336">
            <v>3823</v>
          </cell>
          <cell r="AQ2336">
            <v>3799</v>
          </cell>
          <cell r="AR2336">
            <v>3828</v>
          </cell>
          <cell r="AS2336">
            <v>3815</v>
          </cell>
          <cell r="AT2336">
            <v>301200</v>
          </cell>
        </row>
        <row r="2337">
          <cell r="G2337">
            <v>2510210201</v>
          </cell>
          <cell r="H2337" t="str">
            <v>지하누름</v>
          </cell>
          <cell r="I2337">
            <v>251021</v>
          </cell>
          <cell r="J2337" t="str">
            <v>지하층 누름 골프연습장</v>
          </cell>
          <cell r="K2337">
            <v>41</v>
          </cell>
          <cell r="L2337">
            <v>41</v>
          </cell>
          <cell r="M2337">
            <v>2118</v>
          </cell>
          <cell r="N2337" t="str">
            <v>용호</v>
          </cell>
          <cell r="O2337" t="str">
            <v>펌프카(1대)</v>
          </cell>
          <cell r="P2337">
            <v>810</v>
          </cell>
          <cell r="Q2337">
            <v>945</v>
          </cell>
          <cell r="R2337">
            <v>190</v>
          </cell>
          <cell r="S2337">
            <v>4.0999999999999996</v>
          </cell>
          <cell r="T2337">
            <v>75</v>
          </cell>
          <cell r="U2337">
            <v>197</v>
          </cell>
          <cell r="V2337"/>
          <cell r="W2337" t="str">
            <v>김광록</v>
          </cell>
          <cell r="X2337" t="str">
            <v>(인)</v>
          </cell>
          <cell r="Y2337" t="str">
            <v>김광록</v>
          </cell>
          <cell r="Z2337" t="str">
            <v>(인)</v>
          </cell>
          <cell r="AA2337" t="str">
            <v>이홍걸</v>
          </cell>
          <cell r="AB2337" t="str">
            <v>(인)</v>
          </cell>
          <cell r="AC2337" t="str">
            <v>이홍걸</v>
          </cell>
          <cell r="AD2337" t="str">
            <v>(인)</v>
          </cell>
          <cell r="AE2337">
            <v>175.7</v>
          </cell>
          <cell r="AF2337" t="str">
            <v>표준</v>
          </cell>
          <cell r="AG2337">
            <v>1</v>
          </cell>
          <cell r="AH2337">
            <v>1</v>
          </cell>
          <cell r="AI2337">
            <v>1876</v>
          </cell>
          <cell r="AJ2337">
            <v>1915</v>
          </cell>
          <cell r="AK2337">
            <v>144600</v>
          </cell>
          <cell r="AL2337">
            <v>2781</v>
          </cell>
          <cell r="AM2337">
            <v>2635</v>
          </cell>
          <cell r="AN2337">
            <v>2697</v>
          </cell>
          <cell r="AO2337">
            <v>2744</v>
          </cell>
          <cell r="AP2337">
            <v>2731</v>
          </cell>
          <cell r="AQ2337">
            <v>2752</v>
          </cell>
          <cell r="AR2337">
            <v>2689</v>
          </cell>
          <cell r="AS2337">
            <v>2714</v>
          </cell>
          <cell r="AT2337">
            <v>214400</v>
          </cell>
        </row>
        <row r="2338">
          <cell r="G2338">
            <v>2510280101</v>
          </cell>
          <cell r="H2338" t="str">
            <v>지하누름</v>
          </cell>
          <cell r="I2338">
            <v>251028</v>
          </cell>
          <cell r="J2338" t="str">
            <v>118동, 119동 지하주차장 누름</v>
          </cell>
          <cell r="K2338">
            <v>377</v>
          </cell>
          <cell r="L2338">
            <v>377</v>
          </cell>
          <cell r="M2338">
            <v>2118</v>
          </cell>
          <cell r="N2338" t="str">
            <v>대원</v>
          </cell>
          <cell r="O2338" t="str">
            <v>펌프카(1대)</v>
          </cell>
          <cell r="P2338">
            <v>755</v>
          </cell>
          <cell r="Q2338">
            <v>1520</v>
          </cell>
          <cell r="R2338">
            <v>185</v>
          </cell>
          <cell r="S2338">
            <v>44</v>
          </cell>
          <cell r="T2338">
            <v>69</v>
          </cell>
          <cell r="U2338">
            <v>173</v>
          </cell>
          <cell r="V2338"/>
          <cell r="W2338" t="str">
            <v>김광록</v>
          </cell>
          <cell r="X2338" t="str">
            <v>(인)</v>
          </cell>
          <cell r="Y2338" t="str">
            <v>김광록</v>
          </cell>
          <cell r="Z2338" t="str">
            <v>(인)</v>
          </cell>
          <cell r="AA2338" t="str">
            <v>박상갑</v>
          </cell>
          <cell r="AB2338" t="str">
            <v>(인)</v>
          </cell>
          <cell r="AC2338" t="str">
            <v>이홍걸</v>
          </cell>
          <cell r="AD2338" t="str">
            <v>(인)</v>
          </cell>
          <cell r="AE2338">
            <v>175.4</v>
          </cell>
          <cell r="AF2338" t="str">
            <v>표준</v>
          </cell>
          <cell r="AG2338">
            <v>1</v>
          </cell>
          <cell r="AH2338">
            <v>1</v>
          </cell>
          <cell r="AI2338">
            <v>1782</v>
          </cell>
          <cell r="AJ2338">
            <v>1864</v>
          </cell>
          <cell r="AK2338">
            <v>144400</v>
          </cell>
          <cell r="AL2338">
            <v>2831</v>
          </cell>
          <cell r="AM2338">
            <v>2819</v>
          </cell>
          <cell r="AN2338">
            <v>2787</v>
          </cell>
          <cell r="AO2338">
            <v>2803</v>
          </cell>
          <cell r="AP2338">
            <v>2856</v>
          </cell>
          <cell r="AQ2338">
            <v>2841</v>
          </cell>
          <cell r="AR2338">
            <v>2797</v>
          </cell>
          <cell r="AS2338">
            <v>2827</v>
          </cell>
          <cell r="AT2338">
            <v>222600</v>
          </cell>
        </row>
        <row r="2339">
          <cell r="G2339">
            <v>2510280102</v>
          </cell>
          <cell r="H2339" t="str">
            <v>지하누름</v>
          </cell>
          <cell r="I2339">
            <v>251028</v>
          </cell>
          <cell r="J2339" t="str">
            <v>118동, 119동 지하주차장 누름</v>
          </cell>
          <cell r="K2339">
            <v>377</v>
          </cell>
          <cell r="L2339">
            <v>377</v>
          </cell>
          <cell r="M2339">
            <v>2118</v>
          </cell>
          <cell r="N2339" t="str">
            <v>대원</v>
          </cell>
          <cell r="O2339" t="str">
            <v>펌프카(1대)</v>
          </cell>
          <cell r="P2339">
            <v>755</v>
          </cell>
          <cell r="Q2339">
            <v>1520</v>
          </cell>
          <cell r="R2339">
            <v>200</v>
          </cell>
          <cell r="S2339">
            <v>50</v>
          </cell>
          <cell r="T2339">
            <v>40</v>
          </cell>
          <cell r="U2339">
            <v>177</v>
          </cell>
          <cell r="V2339"/>
          <cell r="W2339" t="str">
            <v>김광록</v>
          </cell>
          <cell r="X2339" t="str">
            <v>(인)</v>
          </cell>
          <cell r="Y2339" t="str">
            <v>김광록</v>
          </cell>
          <cell r="Z2339" t="str">
            <v>(인)</v>
          </cell>
          <cell r="AA2339" t="str">
            <v>박상갑</v>
          </cell>
          <cell r="AB2339" t="str">
            <v>(인)</v>
          </cell>
          <cell r="AC2339" t="str">
            <v>이홍걸</v>
          </cell>
          <cell r="AD2339" t="str">
            <v>(인)</v>
          </cell>
          <cell r="AE2339">
            <v>178.3</v>
          </cell>
          <cell r="AF2339" t="str">
            <v>표준</v>
          </cell>
          <cell r="AG2339">
            <v>2</v>
          </cell>
          <cell r="AH2339">
            <v>0</v>
          </cell>
        </row>
        <row r="2340">
          <cell r="G2340">
            <v>2510280103</v>
          </cell>
          <cell r="H2340" t="str">
            <v>지하누름</v>
          </cell>
          <cell r="I2340">
            <v>251028</v>
          </cell>
          <cell r="J2340" t="str">
            <v>118동, 119동 지하주차장 누름</v>
          </cell>
          <cell r="K2340">
            <v>377</v>
          </cell>
          <cell r="L2340">
            <v>377</v>
          </cell>
          <cell r="M2340">
            <v>2118</v>
          </cell>
          <cell r="N2340" t="str">
            <v>대원</v>
          </cell>
          <cell r="O2340" t="str">
            <v>펌프카(1대)</v>
          </cell>
          <cell r="P2340">
            <v>755</v>
          </cell>
          <cell r="Q2340">
            <v>1520</v>
          </cell>
          <cell r="R2340">
            <v>195</v>
          </cell>
          <cell r="S2340">
            <v>5.8</v>
          </cell>
          <cell r="T2340">
            <v>112</v>
          </cell>
          <cell r="U2340">
            <v>182</v>
          </cell>
          <cell r="V2340"/>
          <cell r="W2340" t="str">
            <v>김광록</v>
          </cell>
          <cell r="X2340" t="str">
            <v>(인)</v>
          </cell>
          <cell r="Y2340" t="str">
            <v>김광록</v>
          </cell>
          <cell r="Z2340" t="str">
            <v>(인)</v>
          </cell>
          <cell r="AA2340" t="str">
            <v>박상갑</v>
          </cell>
          <cell r="AB2340" t="str">
            <v>(인)</v>
          </cell>
          <cell r="AC2340" t="str">
            <v>이홍걸</v>
          </cell>
          <cell r="AD2340" t="str">
            <v>(인)</v>
          </cell>
          <cell r="AE2340">
            <v>176.7</v>
          </cell>
          <cell r="AF2340" t="str">
            <v>표준</v>
          </cell>
          <cell r="AG2340">
            <v>3</v>
          </cell>
          <cell r="AH2340">
            <v>0</v>
          </cell>
        </row>
        <row r="2341">
          <cell r="G2341">
            <v>2510280104</v>
          </cell>
          <cell r="H2341" t="str">
            <v>지하누름</v>
          </cell>
          <cell r="I2341">
            <v>251028</v>
          </cell>
          <cell r="J2341" t="str">
            <v>118동, 119동 지하주차장 누름</v>
          </cell>
          <cell r="K2341">
            <v>377</v>
          </cell>
          <cell r="L2341">
            <v>377</v>
          </cell>
          <cell r="M2341">
            <v>2118</v>
          </cell>
          <cell r="N2341" t="str">
            <v>대원</v>
          </cell>
          <cell r="O2341" t="str">
            <v>펌프카(1대)</v>
          </cell>
          <cell r="P2341">
            <v>755</v>
          </cell>
          <cell r="Q2341">
            <v>1520</v>
          </cell>
          <cell r="R2341">
            <v>190</v>
          </cell>
          <cell r="S2341">
            <v>4.0999999999999996</v>
          </cell>
          <cell r="T2341">
            <v>55</v>
          </cell>
          <cell r="U2341">
            <v>203</v>
          </cell>
          <cell r="V2341"/>
          <cell r="W2341" t="str">
            <v>김광록</v>
          </cell>
          <cell r="X2341" t="str">
            <v>(인)</v>
          </cell>
          <cell r="Y2341" t="str">
            <v>김광록</v>
          </cell>
          <cell r="Z2341" t="str">
            <v>(인)</v>
          </cell>
          <cell r="AA2341" t="str">
            <v>박상갑</v>
          </cell>
          <cell r="AB2341" t="str">
            <v>(인)</v>
          </cell>
          <cell r="AC2341" t="str">
            <v>이홍걸</v>
          </cell>
          <cell r="AD2341" t="str">
            <v>(인)</v>
          </cell>
          <cell r="AE2341">
            <v>165.7</v>
          </cell>
          <cell r="AF2341" t="str">
            <v>표준</v>
          </cell>
          <cell r="AG2341">
            <v>4</v>
          </cell>
          <cell r="AH2341">
            <v>1</v>
          </cell>
          <cell r="AL2341">
            <v>2808</v>
          </cell>
          <cell r="AM2341">
            <v>2844</v>
          </cell>
          <cell r="AN2341">
            <v>2835</v>
          </cell>
          <cell r="AO2341">
            <v>2792</v>
          </cell>
          <cell r="AP2341">
            <v>2738</v>
          </cell>
          <cell r="AQ2341">
            <v>2873</v>
          </cell>
          <cell r="AR2341">
            <v>2851</v>
          </cell>
          <cell r="AS2341">
            <v>2838</v>
          </cell>
          <cell r="AT2341">
            <v>223800</v>
          </cell>
        </row>
        <row r="2342">
          <cell r="G2342">
            <v>2510300101</v>
          </cell>
          <cell r="H2342" t="str">
            <v>지하누름</v>
          </cell>
          <cell r="I2342">
            <v>251030</v>
          </cell>
          <cell r="J2342" t="str">
            <v>120동 주변 지하주차장 누름</v>
          </cell>
          <cell r="K2342">
            <v>408</v>
          </cell>
          <cell r="L2342">
            <v>408</v>
          </cell>
          <cell r="M2342">
            <v>2118</v>
          </cell>
          <cell r="N2342" t="str">
            <v>대원</v>
          </cell>
          <cell r="O2342" t="str">
            <v>펌프카(1대)</v>
          </cell>
          <cell r="P2342">
            <v>743</v>
          </cell>
          <cell r="Q2342">
            <v>1521</v>
          </cell>
          <cell r="R2342">
            <v>185</v>
          </cell>
          <cell r="S2342">
            <v>54</v>
          </cell>
          <cell r="T2342">
            <v>183</v>
          </cell>
          <cell r="U2342">
            <v>183</v>
          </cell>
          <cell r="V2342"/>
          <cell r="W2342" t="str">
            <v>김광록</v>
          </cell>
          <cell r="X2342" t="str">
            <v>(인)</v>
          </cell>
          <cell r="Y2342" t="str">
            <v>김광록</v>
          </cell>
          <cell r="Z2342" t="str">
            <v>(인)</v>
          </cell>
          <cell r="AA2342" t="str">
            <v>박상갑</v>
          </cell>
          <cell r="AB2342" t="str">
            <v>(인)</v>
          </cell>
          <cell r="AC2342" t="str">
            <v>이홍걸</v>
          </cell>
          <cell r="AD2342" t="str">
            <v>(인)</v>
          </cell>
          <cell r="AE2342">
            <v>175.2</v>
          </cell>
          <cell r="AF2342" t="str">
            <v>표준</v>
          </cell>
          <cell r="AG2342">
            <v>1</v>
          </cell>
          <cell r="AH2342">
            <v>1</v>
          </cell>
          <cell r="AI2342">
            <v>1812</v>
          </cell>
          <cell r="AJ2342">
            <v>1774</v>
          </cell>
          <cell r="AK2342">
            <v>146600</v>
          </cell>
          <cell r="AL2342">
            <v>2787</v>
          </cell>
          <cell r="AM2342">
            <v>2848</v>
          </cell>
          <cell r="AN2342">
            <v>2832</v>
          </cell>
          <cell r="AO2342">
            <v>2817</v>
          </cell>
          <cell r="AP2342">
            <v>2863</v>
          </cell>
          <cell r="AQ2342">
            <v>2871</v>
          </cell>
          <cell r="AR2342">
            <v>2831</v>
          </cell>
          <cell r="AS2342">
            <v>2798</v>
          </cell>
          <cell r="AT2342">
            <v>223400</v>
          </cell>
        </row>
        <row r="2343">
          <cell r="G2343">
            <v>2510300102</v>
          </cell>
          <cell r="H2343" t="str">
            <v>지하누름</v>
          </cell>
          <cell r="I2343">
            <v>251030</v>
          </cell>
          <cell r="J2343" t="str">
            <v>120동 주변 지하주차장 누름</v>
          </cell>
          <cell r="K2343">
            <v>408</v>
          </cell>
          <cell r="L2343">
            <v>408</v>
          </cell>
          <cell r="M2343">
            <v>2118</v>
          </cell>
          <cell r="N2343" t="str">
            <v>대원</v>
          </cell>
          <cell r="O2343" t="str">
            <v>펌프카(1대)</v>
          </cell>
          <cell r="P2343">
            <v>743</v>
          </cell>
          <cell r="Q2343">
            <v>1521</v>
          </cell>
          <cell r="R2343">
            <v>175</v>
          </cell>
          <cell r="S2343">
            <v>47</v>
          </cell>
          <cell r="T2343">
            <v>91</v>
          </cell>
          <cell r="U2343">
            <v>184</v>
          </cell>
          <cell r="V2343"/>
          <cell r="W2343" t="str">
            <v>김광록</v>
          </cell>
          <cell r="X2343" t="str">
            <v>(인)</v>
          </cell>
          <cell r="Y2343" t="str">
            <v>김광록</v>
          </cell>
          <cell r="Z2343" t="str">
            <v>(인)</v>
          </cell>
          <cell r="AA2343" t="str">
            <v>박상갑</v>
          </cell>
          <cell r="AB2343" t="str">
            <v>(인)</v>
          </cell>
          <cell r="AC2343" t="str">
            <v>이홍걸</v>
          </cell>
          <cell r="AD2343" t="str">
            <v>(인)</v>
          </cell>
          <cell r="AE2343">
            <v>173.2</v>
          </cell>
          <cell r="AF2343" t="str">
            <v>표준</v>
          </cell>
          <cell r="AG2343">
            <v>2</v>
          </cell>
          <cell r="AH2343">
            <v>0</v>
          </cell>
        </row>
        <row r="2344">
          <cell r="G2344">
            <v>2510300103</v>
          </cell>
          <cell r="H2344" t="str">
            <v>지하누름</v>
          </cell>
          <cell r="I2344">
            <v>251030</v>
          </cell>
          <cell r="J2344" t="str">
            <v>120동 주변 지하주차장 누름</v>
          </cell>
          <cell r="K2344">
            <v>408</v>
          </cell>
          <cell r="L2344">
            <v>408</v>
          </cell>
          <cell r="M2344">
            <v>2118</v>
          </cell>
          <cell r="N2344" t="str">
            <v>대원</v>
          </cell>
          <cell r="O2344" t="str">
            <v>펌프카(1대)</v>
          </cell>
          <cell r="P2344">
            <v>743</v>
          </cell>
          <cell r="Q2344">
            <v>1521</v>
          </cell>
          <cell r="R2344">
            <v>190</v>
          </cell>
          <cell r="S2344">
            <v>50</v>
          </cell>
          <cell r="T2344">
            <v>63</v>
          </cell>
          <cell r="U2344">
            <v>186</v>
          </cell>
          <cell r="V2344"/>
          <cell r="W2344" t="str">
            <v>김광록</v>
          </cell>
          <cell r="X2344" t="str">
            <v>(인)</v>
          </cell>
          <cell r="Y2344" t="str">
            <v>김광록</v>
          </cell>
          <cell r="Z2344" t="str">
            <v>(인)</v>
          </cell>
          <cell r="AA2344" t="str">
            <v>박상갑</v>
          </cell>
          <cell r="AB2344" t="str">
            <v>(인)</v>
          </cell>
          <cell r="AC2344" t="str">
            <v>이홍걸</v>
          </cell>
          <cell r="AD2344" t="str">
            <v>(인)</v>
          </cell>
          <cell r="AE2344">
            <v>178.1</v>
          </cell>
          <cell r="AF2344" t="str">
            <v>표준</v>
          </cell>
          <cell r="AG2344">
            <v>3</v>
          </cell>
          <cell r="AH2344">
            <v>0</v>
          </cell>
        </row>
        <row r="2345">
          <cell r="G2345">
            <v>2510300104</v>
          </cell>
          <cell r="H2345" t="str">
            <v>지하누름</v>
          </cell>
          <cell r="I2345">
            <v>251030</v>
          </cell>
          <cell r="J2345" t="str">
            <v>120동 주변 지하주차장 누름</v>
          </cell>
          <cell r="K2345">
            <v>408</v>
          </cell>
          <cell r="L2345">
            <v>408</v>
          </cell>
          <cell r="M2345">
            <v>2118</v>
          </cell>
          <cell r="N2345" t="str">
            <v>대원</v>
          </cell>
          <cell r="O2345" t="str">
            <v>펌프카(1대)</v>
          </cell>
          <cell r="P2345">
            <v>743</v>
          </cell>
          <cell r="Q2345">
            <v>1521</v>
          </cell>
          <cell r="R2345">
            <v>185</v>
          </cell>
          <cell r="S2345">
            <v>48</v>
          </cell>
          <cell r="T2345">
            <v>26</v>
          </cell>
          <cell r="U2345">
            <v>223</v>
          </cell>
          <cell r="V2345"/>
          <cell r="W2345" t="str">
            <v>김광록</v>
          </cell>
          <cell r="X2345" t="str">
            <v>(인)</v>
          </cell>
          <cell r="Y2345" t="str">
            <v>김광록</v>
          </cell>
          <cell r="Z2345" t="str">
            <v>(인)</v>
          </cell>
          <cell r="AA2345" t="str">
            <v>박상갑</v>
          </cell>
          <cell r="AB2345" t="str">
            <v>(인)</v>
          </cell>
          <cell r="AC2345" t="str">
            <v>이홍걸</v>
          </cell>
          <cell r="AD2345" t="str">
            <v>(인)</v>
          </cell>
          <cell r="AE2345">
            <v>178.7</v>
          </cell>
          <cell r="AF2345" t="str">
            <v>표준</v>
          </cell>
          <cell r="AG2345">
            <v>4</v>
          </cell>
          <cell r="AH2345">
            <v>1</v>
          </cell>
          <cell r="AL2345">
            <v>2845</v>
          </cell>
          <cell r="AM2345">
            <v>2872</v>
          </cell>
          <cell r="AN2345">
            <v>2893</v>
          </cell>
          <cell r="AO2345">
            <v>2867</v>
          </cell>
          <cell r="AP2345">
            <v>2873</v>
          </cell>
          <cell r="AQ2345">
            <v>2815</v>
          </cell>
          <cell r="AR2345">
            <v>2838</v>
          </cell>
          <cell r="AS2345">
            <v>2775</v>
          </cell>
          <cell r="AT2345">
            <v>223800</v>
          </cell>
        </row>
        <row r="2346">
          <cell r="G2346">
            <v>2511030101</v>
          </cell>
          <cell r="H2346" t="str">
            <v>지하누름</v>
          </cell>
          <cell r="I2346">
            <v>251103</v>
          </cell>
          <cell r="J2346" t="str">
            <v>104~105동 지하주차장 누름</v>
          </cell>
          <cell r="K2346">
            <v>70</v>
          </cell>
          <cell r="L2346">
            <v>70</v>
          </cell>
          <cell r="M2346">
            <v>2118</v>
          </cell>
          <cell r="N2346" t="str">
            <v>용호</v>
          </cell>
          <cell r="O2346" t="str">
            <v>펌프카(1대)</v>
          </cell>
          <cell r="P2346">
            <v>855</v>
          </cell>
          <cell r="Q2346">
            <v>1147</v>
          </cell>
          <cell r="R2346">
            <v>200</v>
          </cell>
          <cell r="S2346">
            <v>33</v>
          </cell>
          <cell r="T2346">
            <v>25</v>
          </cell>
          <cell r="U2346">
            <v>145</v>
          </cell>
          <cell r="V2346"/>
          <cell r="W2346" t="str">
            <v>김광록</v>
          </cell>
          <cell r="X2346" t="str">
            <v>(인)</v>
          </cell>
          <cell r="Y2346" t="str">
            <v>김광록</v>
          </cell>
          <cell r="Z2346" t="str">
            <v>(인)</v>
          </cell>
          <cell r="AA2346" t="str">
            <v>이홍걸</v>
          </cell>
          <cell r="AB2346" t="str">
            <v>(인)</v>
          </cell>
          <cell r="AC2346" t="str">
            <v>박상갑</v>
          </cell>
          <cell r="AD2346" t="str">
            <v>(인)</v>
          </cell>
          <cell r="AE2346">
            <v>178.2</v>
          </cell>
          <cell r="AF2346" t="str">
            <v>동절기</v>
          </cell>
          <cell r="AG2346">
            <v>1</v>
          </cell>
          <cell r="AH2346">
            <v>1</v>
          </cell>
          <cell r="AI2346">
            <v>1797</v>
          </cell>
          <cell r="AJ2346">
            <v>1834</v>
          </cell>
          <cell r="AK2346">
            <v>147800</v>
          </cell>
          <cell r="AL2346">
            <v>2812</v>
          </cell>
          <cell r="AM2346">
            <v>2793</v>
          </cell>
          <cell r="AN2346">
            <v>2839</v>
          </cell>
          <cell r="AO2346">
            <v>2898</v>
          </cell>
          <cell r="AP2346">
            <v>2887</v>
          </cell>
          <cell r="AQ2346">
            <v>2848</v>
          </cell>
          <cell r="AR2346">
            <v>2867</v>
          </cell>
          <cell r="AS2346">
            <v>2831</v>
          </cell>
          <cell r="AT2346">
            <v>223400</v>
          </cell>
        </row>
        <row r="2347">
          <cell r="G2347">
            <v>2511040101</v>
          </cell>
          <cell r="H2347" t="str">
            <v>지하누름</v>
          </cell>
          <cell r="I2347">
            <v>251104</v>
          </cell>
          <cell r="J2347" t="str">
            <v>112동 지하주차장 누름</v>
          </cell>
          <cell r="K2347">
            <v>396</v>
          </cell>
          <cell r="L2347">
            <v>396</v>
          </cell>
          <cell r="M2347">
            <v>2118</v>
          </cell>
          <cell r="N2347" t="str">
            <v>용호</v>
          </cell>
          <cell r="O2347" t="str">
            <v>펌프카(1대)</v>
          </cell>
          <cell r="P2347">
            <v>850</v>
          </cell>
          <cell r="Q2347">
            <v>1650</v>
          </cell>
          <cell r="R2347">
            <v>170</v>
          </cell>
          <cell r="S2347">
            <v>4.5</v>
          </cell>
          <cell r="T2347">
            <v>59</v>
          </cell>
          <cell r="U2347">
            <v>149</v>
          </cell>
          <cell r="V2347"/>
          <cell r="W2347" t="str">
            <v>김광록</v>
          </cell>
          <cell r="X2347" t="str">
            <v>(인)</v>
          </cell>
          <cell r="Y2347" t="str">
            <v>김광록</v>
          </cell>
          <cell r="Z2347" t="str">
            <v>(인)</v>
          </cell>
          <cell r="AA2347" t="str">
            <v>이홍걸</v>
          </cell>
          <cell r="AB2347" t="str">
            <v>(인)</v>
          </cell>
          <cell r="AC2347" t="str">
            <v>박상갑</v>
          </cell>
          <cell r="AD2347" t="str">
            <v>(인)</v>
          </cell>
          <cell r="AE2347">
            <v>178.2</v>
          </cell>
          <cell r="AF2347" t="str">
            <v>동절기</v>
          </cell>
          <cell r="AG2347">
            <v>1</v>
          </cell>
          <cell r="AH2347">
            <v>1</v>
          </cell>
          <cell r="AI2347">
            <v>1832</v>
          </cell>
          <cell r="AJ2347">
            <v>1813</v>
          </cell>
          <cell r="AK2347">
            <v>145000</v>
          </cell>
          <cell r="AL2347">
            <v>2852</v>
          </cell>
          <cell r="AM2347">
            <v>2883</v>
          </cell>
          <cell r="AN2347">
            <v>2818</v>
          </cell>
          <cell r="AO2347">
            <v>2866</v>
          </cell>
          <cell r="AP2347">
            <v>2894</v>
          </cell>
          <cell r="AQ2347">
            <v>2872</v>
          </cell>
          <cell r="AR2347">
            <v>2815</v>
          </cell>
          <cell r="AS2347">
            <v>2831</v>
          </cell>
          <cell r="AT2347">
            <v>223800</v>
          </cell>
        </row>
        <row r="2348">
          <cell r="G2348">
            <v>2511040102</v>
          </cell>
          <cell r="H2348" t="str">
            <v>지하누름</v>
          </cell>
          <cell r="I2348">
            <v>251104</v>
          </cell>
          <cell r="J2348" t="str">
            <v>112동 지하주차장 누름</v>
          </cell>
          <cell r="K2348">
            <v>396</v>
          </cell>
          <cell r="L2348">
            <v>396</v>
          </cell>
          <cell r="M2348">
            <v>2118</v>
          </cell>
          <cell r="N2348" t="str">
            <v>용호</v>
          </cell>
          <cell r="O2348" t="str">
            <v>펌프카(1대)</v>
          </cell>
          <cell r="P2348">
            <v>850</v>
          </cell>
          <cell r="Q2348">
            <v>1650</v>
          </cell>
          <cell r="R2348">
            <v>180</v>
          </cell>
          <cell r="S2348">
            <v>47</v>
          </cell>
          <cell r="T2348">
            <v>42</v>
          </cell>
          <cell r="U2348">
            <v>147</v>
          </cell>
          <cell r="V2348"/>
          <cell r="W2348" t="str">
            <v>김광록</v>
          </cell>
          <cell r="X2348" t="str">
            <v>(인)</v>
          </cell>
          <cell r="Y2348" t="str">
            <v>김광록</v>
          </cell>
          <cell r="Z2348" t="str">
            <v>(인)</v>
          </cell>
          <cell r="AA2348" t="str">
            <v>이홍걸</v>
          </cell>
          <cell r="AB2348" t="str">
            <v>(인)</v>
          </cell>
          <cell r="AC2348" t="str">
            <v>박상갑</v>
          </cell>
          <cell r="AD2348" t="str">
            <v>(인)</v>
          </cell>
          <cell r="AE2348">
            <v>177.9</v>
          </cell>
          <cell r="AF2348" t="str">
            <v>동절기</v>
          </cell>
          <cell r="AG2348">
            <v>2</v>
          </cell>
          <cell r="AH2348">
            <v>0</v>
          </cell>
        </row>
        <row r="2349">
          <cell r="G2349">
            <v>2511040103</v>
          </cell>
          <cell r="H2349" t="str">
            <v>지하누름</v>
          </cell>
          <cell r="I2349">
            <v>251104</v>
          </cell>
          <cell r="J2349" t="str">
            <v>112동 지하주차장 누름</v>
          </cell>
          <cell r="K2349">
            <v>396</v>
          </cell>
          <cell r="L2349">
            <v>396</v>
          </cell>
          <cell r="M2349">
            <v>2118</v>
          </cell>
          <cell r="N2349" t="str">
            <v>용호</v>
          </cell>
          <cell r="O2349" t="str">
            <v>펌프카(1대)</v>
          </cell>
          <cell r="P2349">
            <v>850</v>
          </cell>
          <cell r="Q2349">
            <v>1650</v>
          </cell>
          <cell r="R2349">
            <v>190</v>
          </cell>
          <cell r="S2349">
            <v>43</v>
          </cell>
          <cell r="T2349">
            <v>29</v>
          </cell>
          <cell r="U2349">
            <v>152</v>
          </cell>
          <cell r="V2349"/>
          <cell r="W2349" t="str">
            <v>김광록</v>
          </cell>
          <cell r="X2349" t="str">
            <v>(인)</v>
          </cell>
          <cell r="Y2349" t="str">
            <v>김광록</v>
          </cell>
          <cell r="Z2349" t="str">
            <v>(인)</v>
          </cell>
          <cell r="AA2349" t="str">
            <v>이홍걸</v>
          </cell>
          <cell r="AB2349" t="str">
            <v>(인)</v>
          </cell>
          <cell r="AC2349" t="str">
            <v>박상갑</v>
          </cell>
          <cell r="AD2349" t="str">
            <v>(인)</v>
          </cell>
          <cell r="AE2349">
            <v>178.3</v>
          </cell>
          <cell r="AF2349" t="str">
            <v>동절기</v>
          </cell>
          <cell r="AG2349">
            <v>3</v>
          </cell>
          <cell r="AH2349">
            <v>0</v>
          </cell>
        </row>
        <row r="2350">
          <cell r="G2350">
            <v>2511040104</v>
          </cell>
          <cell r="H2350" t="str">
            <v>지하누름</v>
          </cell>
          <cell r="I2350">
            <v>251104</v>
          </cell>
          <cell r="J2350" t="str">
            <v>112동 지하주차장 누름</v>
          </cell>
          <cell r="K2350">
            <v>396</v>
          </cell>
          <cell r="L2350">
            <v>396</v>
          </cell>
          <cell r="M2350">
            <v>2118</v>
          </cell>
          <cell r="N2350" t="str">
            <v>용호</v>
          </cell>
          <cell r="O2350" t="str">
            <v>펌프카(1대)</v>
          </cell>
          <cell r="P2350">
            <v>850</v>
          </cell>
          <cell r="Q2350">
            <v>1650</v>
          </cell>
          <cell r="R2350">
            <v>200</v>
          </cell>
          <cell r="S2350">
            <v>53</v>
          </cell>
          <cell r="T2350">
            <v>20</v>
          </cell>
          <cell r="U2350">
            <v>142</v>
          </cell>
          <cell r="V2350"/>
          <cell r="W2350" t="str">
            <v>김광록</v>
          </cell>
          <cell r="X2350" t="str">
            <v>(인)</v>
          </cell>
          <cell r="Y2350" t="str">
            <v>김광록</v>
          </cell>
          <cell r="Z2350" t="str">
            <v>(인)</v>
          </cell>
          <cell r="AA2350" t="str">
            <v>이홍걸</v>
          </cell>
          <cell r="AB2350" t="str">
            <v>(인)</v>
          </cell>
          <cell r="AC2350" t="str">
            <v>박상갑</v>
          </cell>
          <cell r="AD2350" t="str">
            <v>(인)</v>
          </cell>
          <cell r="AE2350">
            <v>179.1</v>
          </cell>
          <cell r="AF2350" t="str">
            <v>동절기</v>
          </cell>
          <cell r="AG2350">
            <v>4</v>
          </cell>
          <cell r="AH2350">
            <v>1</v>
          </cell>
          <cell r="AL2350">
            <v>2801</v>
          </cell>
          <cell r="AM2350">
            <v>2833</v>
          </cell>
          <cell r="AN2350">
            <v>2872</v>
          </cell>
          <cell r="AO2350">
            <v>2878</v>
          </cell>
          <cell r="AP2350">
            <v>2831</v>
          </cell>
          <cell r="AQ2350">
            <v>2862</v>
          </cell>
          <cell r="AR2350">
            <v>2894</v>
          </cell>
          <cell r="AS2350">
            <v>2881</v>
          </cell>
          <cell r="AT2350">
            <v>220400</v>
          </cell>
        </row>
        <row r="2351">
          <cell r="G2351">
            <v>2511060101</v>
          </cell>
          <cell r="H2351" t="str">
            <v>지하누름</v>
          </cell>
          <cell r="I2351">
            <v>251106</v>
          </cell>
          <cell r="J2351" t="str">
            <v>108~109동 지하누름</v>
          </cell>
          <cell r="K2351">
            <v>324</v>
          </cell>
          <cell r="L2351">
            <v>324</v>
          </cell>
          <cell r="M2351">
            <v>2118</v>
          </cell>
          <cell r="N2351" t="str">
            <v>용호</v>
          </cell>
          <cell r="O2351" t="str">
            <v>펌프카(1대)</v>
          </cell>
          <cell r="P2351">
            <v>755</v>
          </cell>
          <cell r="Q2351">
            <v>1405</v>
          </cell>
          <cell r="R2351">
            <v>180</v>
          </cell>
          <cell r="S2351">
            <v>50</v>
          </cell>
          <cell r="T2351">
            <v>21</v>
          </cell>
          <cell r="U2351">
            <v>145</v>
          </cell>
          <cell r="V2351"/>
          <cell r="W2351" t="str">
            <v>박대규</v>
          </cell>
          <cell r="X2351" t="str">
            <v>(인)</v>
          </cell>
          <cell r="Y2351" t="str">
            <v>박대규</v>
          </cell>
          <cell r="Z2351" t="str">
            <v>(인)</v>
          </cell>
          <cell r="AA2351" t="str">
            <v>이홍걸</v>
          </cell>
          <cell r="AB2351" t="str">
            <v>(인)</v>
          </cell>
          <cell r="AC2351" t="str">
            <v>박상갑</v>
          </cell>
          <cell r="AD2351" t="str">
            <v>(인)</v>
          </cell>
          <cell r="AE2351">
            <v>181.4</v>
          </cell>
          <cell r="AF2351" t="str">
            <v>동절기</v>
          </cell>
          <cell r="AG2351">
            <v>1</v>
          </cell>
          <cell r="AH2351">
            <v>1</v>
          </cell>
          <cell r="AI2351">
            <v>1697</v>
          </cell>
          <cell r="AJ2351">
            <v>1781</v>
          </cell>
          <cell r="AK2351">
            <v>136600</v>
          </cell>
          <cell r="AL2351">
            <v>2894</v>
          </cell>
          <cell r="AM2351">
            <v>2883</v>
          </cell>
          <cell r="AN2351">
            <v>2829</v>
          </cell>
          <cell r="AO2351">
            <v>2931</v>
          </cell>
          <cell r="AP2351">
            <v>2915</v>
          </cell>
          <cell r="AQ2351">
            <v>2862</v>
          </cell>
          <cell r="AR2351">
            <v>2846</v>
          </cell>
          <cell r="AS2351">
            <v>2873</v>
          </cell>
          <cell r="AT2351">
            <v>229100</v>
          </cell>
        </row>
        <row r="2352">
          <cell r="G2352">
            <v>2511060102</v>
          </cell>
          <cell r="H2352" t="str">
            <v>지하누름</v>
          </cell>
          <cell r="I2352">
            <v>251106</v>
          </cell>
          <cell r="J2352" t="str">
            <v>108~109동 지하누름</v>
          </cell>
          <cell r="K2352">
            <v>324</v>
          </cell>
          <cell r="L2352">
            <v>324</v>
          </cell>
          <cell r="M2352">
            <v>2118</v>
          </cell>
          <cell r="N2352" t="str">
            <v>용호</v>
          </cell>
          <cell r="O2352" t="str">
            <v>펌프카(1대)</v>
          </cell>
          <cell r="P2352">
            <v>755</v>
          </cell>
          <cell r="Q2352">
            <v>1405</v>
          </cell>
          <cell r="R2352">
            <v>185</v>
          </cell>
          <cell r="S2352">
            <v>55</v>
          </cell>
          <cell r="T2352">
            <v>23</v>
          </cell>
          <cell r="U2352">
            <v>152</v>
          </cell>
          <cell r="V2352"/>
          <cell r="W2352" t="str">
            <v>박대규</v>
          </cell>
          <cell r="X2352" t="str">
            <v>(인)</v>
          </cell>
          <cell r="Y2352" t="str">
            <v>박대규</v>
          </cell>
          <cell r="Z2352" t="str">
            <v>(인)</v>
          </cell>
          <cell r="AA2352" t="str">
            <v>이홍걸</v>
          </cell>
          <cell r="AB2352" t="str">
            <v>(인)</v>
          </cell>
          <cell r="AC2352" t="str">
            <v>박상갑</v>
          </cell>
          <cell r="AD2352" t="str">
            <v>(인)</v>
          </cell>
          <cell r="AE2352">
            <v>180.4</v>
          </cell>
          <cell r="AF2352" t="str">
            <v>동절기</v>
          </cell>
          <cell r="AG2352">
            <v>2</v>
          </cell>
          <cell r="AH2352">
            <v>0</v>
          </cell>
        </row>
        <row r="2353">
          <cell r="G2353">
            <v>2511060103</v>
          </cell>
          <cell r="H2353" t="str">
            <v>지하누름</v>
          </cell>
          <cell r="I2353">
            <v>251106</v>
          </cell>
          <cell r="J2353" t="str">
            <v>108~109동 지하누름</v>
          </cell>
          <cell r="K2353">
            <v>324</v>
          </cell>
          <cell r="L2353">
            <v>324</v>
          </cell>
          <cell r="M2353">
            <v>2118</v>
          </cell>
          <cell r="N2353" t="str">
            <v>용호</v>
          </cell>
          <cell r="O2353" t="str">
            <v>펌프카(1대)</v>
          </cell>
          <cell r="P2353">
            <v>755</v>
          </cell>
          <cell r="Q2353">
            <v>1405</v>
          </cell>
          <cell r="R2353">
            <v>185</v>
          </cell>
          <cell r="S2353">
            <v>43</v>
          </cell>
          <cell r="T2353">
            <v>24</v>
          </cell>
          <cell r="U2353">
            <v>162</v>
          </cell>
          <cell r="V2353"/>
          <cell r="W2353" t="str">
            <v>박대규</v>
          </cell>
          <cell r="X2353" t="str">
            <v>(인)</v>
          </cell>
          <cell r="Y2353" t="str">
            <v>박대규</v>
          </cell>
          <cell r="Z2353" t="str">
            <v>(인)</v>
          </cell>
          <cell r="AA2353" t="str">
            <v>이홍걸</v>
          </cell>
          <cell r="AB2353" t="str">
            <v>(인)</v>
          </cell>
          <cell r="AC2353" t="str">
            <v>박상갑</v>
          </cell>
          <cell r="AD2353" t="str">
            <v>(인)</v>
          </cell>
          <cell r="AE2353">
            <v>182.1</v>
          </cell>
          <cell r="AF2353" t="str">
            <v>동절기</v>
          </cell>
          <cell r="AG2353">
            <v>3</v>
          </cell>
          <cell r="AH2353">
            <v>0</v>
          </cell>
        </row>
        <row r="2354">
          <cell r="G2354">
            <v>2511130101</v>
          </cell>
          <cell r="H2354" t="str">
            <v>지하누름</v>
          </cell>
          <cell r="I2354">
            <v>251113</v>
          </cell>
          <cell r="J2354" t="str">
            <v>103동~104동 지하누름</v>
          </cell>
          <cell r="K2354">
            <v>502</v>
          </cell>
          <cell r="L2354">
            <v>502</v>
          </cell>
          <cell r="M2354">
            <v>2118</v>
          </cell>
          <cell r="N2354" t="str">
            <v>용호</v>
          </cell>
          <cell r="O2354" t="str">
            <v>펌프카(1대)</v>
          </cell>
          <cell r="P2354">
            <v>757</v>
          </cell>
          <cell r="Q2354">
            <v>1720</v>
          </cell>
          <cell r="R2354">
            <v>180</v>
          </cell>
          <cell r="S2354">
            <v>38</v>
          </cell>
          <cell r="T2354">
            <v>53</v>
          </cell>
          <cell r="U2354">
            <v>144</v>
          </cell>
          <cell r="V2354"/>
          <cell r="W2354" t="str">
            <v>박대규</v>
          </cell>
          <cell r="X2354" t="str">
            <v>(인)</v>
          </cell>
          <cell r="Y2354" t="str">
            <v>박대규</v>
          </cell>
          <cell r="Z2354" t="str">
            <v>(인)</v>
          </cell>
          <cell r="AA2354" t="str">
            <v>박상갑</v>
          </cell>
          <cell r="AB2354" t="str">
            <v>(인)</v>
          </cell>
          <cell r="AC2354" t="str">
            <v>이홍걸</v>
          </cell>
          <cell r="AD2354" t="str">
            <v>(인)</v>
          </cell>
          <cell r="AE2354">
            <v>180</v>
          </cell>
          <cell r="AF2354" t="str">
            <v>동절기</v>
          </cell>
          <cell r="AG2354">
            <v>1</v>
          </cell>
          <cell r="AH2354">
            <v>1</v>
          </cell>
          <cell r="AI2354">
            <v>1923</v>
          </cell>
          <cell r="AJ2354">
            <v>2016</v>
          </cell>
          <cell r="AK2354">
            <v>149800</v>
          </cell>
          <cell r="AL2354">
            <v>2378</v>
          </cell>
          <cell r="AM2354">
            <v>2492</v>
          </cell>
          <cell r="AN2354">
            <v>2483</v>
          </cell>
          <cell r="AO2354">
            <v>2431</v>
          </cell>
          <cell r="AP2354">
            <v>2449</v>
          </cell>
          <cell r="AQ2354">
            <v>2465</v>
          </cell>
          <cell r="AR2354">
            <v>2432</v>
          </cell>
          <cell r="AS2354">
            <v>2477</v>
          </cell>
          <cell r="AT2354">
            <v>197800</v>
          </cell>
        </row>
        <row r="2355">
          <cell r="G2355">
            <v>2511130102</v>
          </cell>
          <cell r="H2355" t="str">
            <v>지하누름</v>
          </cell>
          <cell r="I2355">
            <v>251113</v>
          </cell>
          <cell r="J2355" t="str">
            <v>103동~104동 지하누름</v>
          </cell>
          <cell r="K2355">
            <v>502</v>
          </cell>
          <cell r="L2355">
            <v>502</v>
          </cell>
          <cell r="M2355">
            <v>2118</v>
          </cell>
          <cell r="N2355" t="str">
            <v>용호</v>
          </cell>
          <cell r="O2355" t="str">
            <v>펌프카(1대)</v>
          </cell>
          <cell r="P2355">
            <v>757</v>
          </cell>
          <cell r="Q2355">
            <v>1720</v>
          </cell>
          <cell r="R2355">
            <v>190</v>
          </cell>
          <cell r="S2355">
            <v>43</v>
          </cell>
          <cell r="T2355">
            <v>40</v>
          </cell>
          <cell r="U2355">
            <v>160</v>
          </cell>
          <cell r="V2355"/>
          <cell r="W2355" t="str">
            <v>박대규</v>
          </cell>
          <cell r="X2355" t="str">
            <v>(인)</v>
          </cell>
          <cell r="Y2355" t="str">
            <v>박대규</v>
          </cell>
          <cell r="Z2355" t="str">
            <v>(인)</v>
          </cell>
          <cell r="AA2355" t="str">
            <v>박상갑</v>
          </cell>
          <cell r="AB2355" t="str">
            <v>(인)</v>
          </cell>
          <cell r="AC2355" t="str">
            <v>이홍걸</v>
          </cell>
          <cell r="AD2355" t="str">
            <v>(인)</v>
          </cell>
          <cell r="AE2355">
            <v>180.5</v>
          </cell>
          <cell r="AF2355" t="str">
            <v>동절기</v>
          </cell>
          <cell r="AG2355">
            <v>2</v>
          </cell>
          <cell r="AH2355">
            <v>0</v>
          </cell>
        </row>
        <row r="2356">
          <cell r="G2356">
            <v>2511130103</v>
          </cell>
          <cell r="H2356" t="str">
            <v>지하누름</v>
          </cell>
          <cell r="I2356">
            <v>251113</v>
          </cell>
          <cell r="J2356" t="str">
            <v>103동~104동 지하누름</v>
          </cell>
          <cell r="K2356">
            <v>502</v>
          </cell>
          <cell r="L2356">
            <v>502</v>
          </cell>
          <cell r="M2356">
            <v>2118</v>
          </cell>
          <cell r="N2356" t="str">
            <v>용호</v>
          </cell>
          <cell r="O2356" t="str">
            <v>펌프카(1대)</v>
          </cell>
          <cell r="P2356">
            <v>757</v>
          </cell>
          <cell r="Q2356">
            <v>1720</v>
          </cell>
          <cell r="R2356">
            <v>195</v>
          </cell>
          <cell r="S2356">
            <v>50</v>
          </cell>
          <cell r="T2356">
            <v>20</v>
          </cell>
          <cell r="U2356">
            <v>176</v>
          </cell>
          <cell r="V2356"/>
          <cell r="W2356" t="str">
            <v>박대규</v>
          </cell>
          <cell r="X2356" t="str">
            <v>(인)</v>
          </cell>
          <cell r="Y2356" t="str">
            <v>박대규</v>
          </cell>
          <cell r="Z2356" t="str">
            <v>(인)</v>
          </cell>
          <cell r="AA2356" t="str">
            <v>박상갑</v>
          </cell>
          <cell r="AB2356" t="str">
            <v>(인)</v>
          </cell>
          <cell r="AC2356" t="str">
            <v>이홍걸</v>
          </cell>
          <cell r="AD2356" t="str">
            <v>(인)</v>
          </cell>
          <cell r="AE2356">
            <v>181.2</v>
          </cell>
          <cell r="AF2356" t="str">
            <v>동절기</v>
          </cell>
          <cell r="AG2356">
            <v>3</v>
          </cell>
          <cell r="AH2356">
            <v>0</v>
          </cell>
        </row>
        <row r="2357">
          <cell r="G2357">
            <v>2511130104</v>
          </cell>
          <cell r="H2357" t="str">
            <v>지하누름</v>
          </cell>
          <cell r="I2357">
            <v>251113</v>
          </cell>
          <cell r="J2357" t="str">
            <v>103동~104동 지하누름</v>
          </cell>
          <cell r="K2357">
            <v>502</v>
          </cell>
          <cell r="L2357">
            <v>502</v>
          </cell>
          <cell r="M2357">
            <v>2118</v>
          </cell>
          <cell r="N2357" t="str">
            <v>용호</v>
          </cell>
          <cell r="O2357" t="str">
            <v>펌프카(1대)</v>
          </cell>
          <cell r="P2357">
            <v>757</v>
          </cell>
          <cell r="Q2357">
            <v>1720</v>
          </cell>
          <cell r="R2357">
            <v>195</v>
          </cell>
          <cell r="S2357">
            <v>37</v>
          </cell>
          <cell r="T2357">
            <v>47</v>
          </cell>
          <cell r="U2357">
            <v>172</v>
          </cell>
          <cell r="V2357"/>
          <cell r="W2357" t="str">
            <v>박대규</v>
          </cell>
          <cell r="X2357" t="str">
            <v>(인)</v>
          </cell>
          <cell r="Y2357" t="str">
            <v>박대규</v>
          </cell>
          <cell r="Z2357" t="str">
            <v>(인)</v>
          </cell>
          <cell r="AA2357" t="str">
            <v>박상갑</v>
          </cell>
          <cell r="AB2357" t="str">
            <v>(인)</v>
          </cell>
          <cell r="AC2357" t="str">
            <v>이홍걸</v>
          </cell>
          <cell r="AD2357" t="str">
            <v>(인)</v>
          </cell>
          <cell r="AE2357">
            <v>170.9</v>
          </cell>
          <cell r="AF2357" t="str">
            <v>동절기</v>
          </cell>
          <cell r="AG2357">
            <v>4</v>
          </cell>
          <cell r="AH2357">
            <v>1</v>
          </cell>
          <cell r="AL2357">
            <v>2518</v>
          </cell>
          <cell r="AM2357">
            <v>2593</v>
          </cell>
          <cell r="AN2357">
            <v>2577</v>
          </cell>
          <cell r="AO2357">
            <v>2548</v>
          </cell>
          <cell r="AP2357">
            <v>2507</v>
          </cell>
          <cell r="AQ2357">
            <v>2486</v>
          </cell>
          <cell r="AR2357">
            <v>2497</v>
          </cell>
          <cell r="AS2357">
            <v>2539</v>
          </cell>
          <cell r="AT2357">
            <v>197800</v>
          </cell>
        </row>
        <row r="2358">
          <cell r="G2358">
            <v>2511130105</v>
          </cell>
          <cell r="H2358" t="str">
            <v>지하누름</v>
          </cell>
          <cell r="I2358">
            <v>251113</v>
          </cell>
          <cell r="J2358" t="str">
            <v>103동~104동 지하누름</v>
          </cell>
          <cell r="K2358">
            <v>502</v>
          </cell>
          <cell r="L2358">
            <v>502</v>
          </cell>
          <cell r="M2358">
            <v>2118</v>
          </cell>
          <cell r="N2358" t="str">
            <v>용호</v>
          </cell>
          <cell r="O2358" t="str">
            <v>펌프카(1대)</v>
          </cell>
          <cell r="P2358">
            <v>757</v>
          </cell>
          <cell r="Q2358">
            <v>1720</v>
          </cell>
          <cell r="R2358">
            <v>200</v>
          </cell>
          <cell r="S2358">
            <v>42</v>
          </cell>
          <cell r="T2358">
            <v>31</v>
          </cell>
          <cell r="U2358">
            <v>177</v>
          </cell>
          <cell r="V2358"/>
          <cell r="W2358" t="str">
            <v>박대규</v>
          </cell>
          <cell r="X2358" t="str">
            <v>(인)</v>
          </cell>
          <cell r="Y2358" t="str">
            <v>박대규</v>
          </cell>
          <cell r="Z2358" t="str">
            <v>(인)</v>
          </cell>
          <cell r="AA2358" t="str">
            <v>박상갑</v>
          </cell>
          <cell r="AB2358" t="str">
            <v>(인)</v>
          </cell>
          <cell r="AC2358" t="str">
            <v>이홍걸</v>
          </cell>
          <cell r="AD2358" t="str">
            <v>(인)</v>
          </cell>
          <cell r="AE2358">
            <v>175</v>
          </cell>
          <cell r="AF2358" t="str">
            <v>동절기</v>
          </cell>
          <cell r="AG2358">
            <v>5</v>
          </cell>
          <cell r="AH2358">
            <v>0</v>
          </cell>
        </row>
        <row r="2359">
          <cell r="G2359">
            <v>2511260101</v>
          </cell>
          <cell r="H2359" t="str">
            <v>지하누름</v>
          </cell>
          <cell r="I2359">
            <v>251126</v>
          </cell>
          <cell r="J2359" t="str">
            <v>104동~105동 지하누름</v>
          </cell>
          <cell r="K2359">
            <v>54</v>
          </cell>
          <cell r="L2359">
            <v>54</v>
          </cell>
          <cell r="M2359">
            <v>2715</v>
          </cell>
          <cell r="N2359" t="str">
            <v>용호</v>
          </cell>
          <cell r="O2359" t="str">
            <v>펌프카(1대)</v>
          </cell>
          <cell r="P2359">
            <v>810</v>
          </cell>
          <cell r="Q2359">
            <v>1243</v>
          </cell>
          <cell r="R2359">
            <v>160</v>
          </cell>
          <cell r="S2359">
            <v>45</v>
          </cell>
          <cell r="T2359">
            <v>27</v>
          </cell>
          <cell r="U2359">
            <v>178</v>
          </cell>
          <cell r="V2359"/>
          <cell r="W2359" t="str">
            <v>박대규</v>
          </cell>
          <cell r="X2359" t="str">
            <v>(인)</v>
          </cell>
          <cell r="Y2359" t="str">
            <v>박대규</v>
          </cell>
          <cell r="Z2359" t="str">
            <v>(인)</v>
          </cell>
          <cell r="AA2359" t="str">
            <v>박상갑</v>
          </cell>
          <cell r="AB2359" t="str">
            <v>(인)</v>
          </cell>
          <cell r="AC2359" t="str">
            <v>이홍걸</v>
          </cell>
          <cell r="AD2359" t="str">
            <v>(인)</v>
          </cell>
          <cell r="AE2359">
            <v>180</v>
          </cell>
          <cell r="AF2359" t="str">
            <v>동절기</v>
          </cell>
          <cell r="AG2359">
            <v>1</v>
          </cell>
          <cell r="AH2359">
            <v>1</v>
          </cell>
          <cell r="AI2359">
            <v>2306</v>
          </cell>
          <cell r="AJ2359">
            <v>2285</v>
          </cell>
          <cell r="AK2359">
            <v>184400</v>
          </cell>
          <cell r="AL2359">
            <v>3564</v>
          </cell>
          <cell r="AM2359">
            <v>3572</v>
          </cell>
          <cell r="AN2359">
            <v>3508</v>
          </cell>
          <cell r="AO2359">
            <v>3486</v>
          </cell>
          <cell r="AP2359">
            <v>3541</v>
          </cell>
          <cell r="AQ2359">
            <v>3562</v>
          </cell>
          <cell r="AR2359">
            <v>3523</v>
          </cell>
          <cell r="AS2359">
            <v>3487</v>
          </cell>
          <cell r="AT2359">
            <v>282600</v>
          </cell>
        </row>
        <row r="2360">
          <cell r="G2360">
            <v>2511260201</v>
          </cell>
          <cell r="H2360" t="str">
            <v>지하누름</v>
          </cell>
          <cell r="I2360">
            <v>251126</v>
          </cell>
          <cell r="J2360" t="str">
            <v>104동~105동 지하누름</v>
          </cell>
          <cell r="K2360">
            <v>120</v>
          </cell>
          <cell r="L2360">
            <v>120</v>
          </cell>
          <cell r="M2360">
            <v>2118</v>
          </cell>
          <cell r="N2360" t="str">
            <v>용호</v>
          </cell>
          <cell r="O2360" t="str">
            <v>펌프카(1대)</v>
          </cell>
          <cell r="P2360">
            <v>841</v>
          </cell>
          <cell r="Q2360">
            <v>1123</v>
          </cell>
          <cell r="R2360">
            <v>180</v>
          </cell>
          <cell r="S2360">
            <v>50</v>
          </cell>
          <cell r="T2360">
            <v>25</v>
          </cell>
          <cell r="U2360">
            <v>170</v>
          </cell>
          <cell r="V2360"/>
          <cell r="W2360" t="str">
            <v>박대규</v>
          </cell>
          <cell r="X2360" t="str">
            <v>(인)</v>
          </cell>
          <cell r="Y2360" t="str">
            <v>박대규</v>
          </cell>
          <cell r="Z2360" t="str">
            <v>(인)</v>
          </cell>
          <cell r="AA2360" t="str">
            <v>박상갑</v>
          </cell>
          <cell r="AB2360" t="str">
            <v>(인)</v>
          </cell>
          <cell r="AC2360" t="str">
            <v>이홍걸</v>
          </cell>
          <cell r="AD2360" t="str">
            <v>(인)</v>
          </cell>
          <cell r="AE2360">
            <v>180.3</v>
          </cell>
          <cell r="AF2360" t="str">
            <v>동절기</v>
          </cell>
          <cell r="AG2360">
            <v>1</v>
          </cell>
          <cell r="AH2360">
            <v>1</v>
          </cell>
          <cell r="AI2360">
            <v>1845</v>
          </cell>
          <cell r="AJ2360">
            <v>1787</v>
          </cell>
          <cell r="AK2360">
            <v>144300</v>
          </cell>
          <cell r="AL2360">
            <v>2659</v>
          </cell>
          <cell r="AM2360">
            <v>2688</v>
          </cell>
          <cell r="AN2360">
            <v>2743</v>
          </cell>
          <cell r="AO2360">
            <v>2738</v>
          </cell>
          <cell r="AP2360">
            <v>2692</v>
          </cell>
          <cell r="AQ2360">
            <v>2745</v>
          </cell>
          <cell r="AR2360">
            <v>2791</v>
          </cell>
          <cell r="AS2360">
            <v>2763</v>
          </cell>
          <cell r="AT2360">
            <v>218200</v>
          </cell>
        </row>
        <row r="2361">
          <cell r="G2361">
            <v>2512020101</v>
          </cell>
          <cell r="H2361" t="str">
            <v>조경시설물</v>
          </cell>
          <cell r="I2361">
            <v>251202</v>
          </cell>
          <cell r="J2361" t="str">
            <v>110동 앞 어린이놀이터2</v>
          </cell>
          <cell r="K2361">
            <v>62</v>
          </cell>
          <cell r="L2361">
            <v>62</v>
          </cell>
          <cell r="M2361">
            <v>1812</v>
          </cell>
          <cell r="N2361" t="str">
            <v>용호</v>
          </cell>
          <cell r="O2361" t="str">
            <v>직접타설</v>
          </cell>
          <cell r="P2361">
            <v>835</v>
          </cell>
          <cell r="Q2361">
            <v>1246</v>
          </cell>
          <cell r="R2361">
            <v>135</v>
          </cell>
          <cell r="S2361">
            <v>38</v>
          </cell>
          <cell r="T2361">
            <v>24</v>
          </cell>
          <cell r="U2361">
            <v>151</v>
          </cell>
          <cell r="V2361"/>
          <cell r="W2361" t="str">
            <v>박대규</v>
          </cell>
          <cell r="X2361" t="str">
            <v>(인)</v>
          </cell>
          <cell r="Y2361" t="str">
            <v>박대규</v>
          </cell>
          <cell r="Z2361" t="str">
            <v>(인)</v>
          </cell>
          <cell r="AA2361" t="str">
            <v>이홍걸</v>
          </cell>
          <cell r="AB2361" t="str">
            <v>(인)</v>
          </cell>
          <cell r="AC2361" t="str">
            <v>이홍걸</v>
          </cell>
          <cell r="AD2361" t="str">
            <v>(인)</v>
          </cell>
          <cell r="AE2361">
            <v>176.1</v>
          </cell>
          <cell r="AF2361" t="str">
            <v>동절기</v>
          </cell>
          <cell r="AG2361">
            <v>1</v>
          </cell>
          <cell r="AH2361">
            <v>1</v>
          </cell>
          <cell r="AI2361">
            <v>1786</v>
          </cell>
          <cell r="AJ2361">
            <v>1742</v>
          </cell>
          <cell r="AK2361">
            <v>136300</v>
          </cell>
          <cell r="AL2361">
            <v>2515</v>
          </cell>
          <cell r="AM2361">
            <v>2577</v>
          </cell>
          <cell r="AN2361">
            <v>2569</v>
          </cell>
          <cell r="AO2361">
            <v>2508</v>
          </cell>
          <cell r="AP2361">
            <v>2594</v>
          </cell>
          <cell r="AQ2361">
            <v>2559</v>
          </cell>
          <cell r="AR2361">
            <v>2584</v>
          </cell>
          <cell r="AS2361">
            <v>2537</v>
          </cell>
          <cell r="AT2361">
            <v>199600</v>
          </cell>
        </row>
        <row r="2362">
          <cell r="G2362">
            <v>2512050101</v>
          </cell>
          <cell r="H2362" t="str">
            <v>조경시설물</v>
          </cell>
          <cell r="I2362">
            <v>251205</v>
          </cell>
          <cell r="J2362" t="str">
            <v>112동 앞 생태연못</v>
          </cell>
          <cell r="K2362">
            <v>12</v>
          </cell>
          <cell r="L2362">
            <v>12</v>
          </cell>
          <cell r="M2362">
            <v>1812</v>
          </cell>
          <cell r="N2362" t="str">
            <v>용호</v>
          </cell>
          <cell r="O2362" t="str">
            <v>직접타설</v>
          </cell>
          <cell r="P2362">
            <v>1331</v>
          </cell>
          <cell r="Q2362">
            <v>1356</v>
          </cell>
          <cell r="R2362">
            <v>135</v>
          </cell>
          <cell r="S2362">
            <v>49</v>
          </cell>
          <cell r="T2362">
            <v>60</v>
          </cell>
          <cell r="U2362">
            <v>119</v>
          </cell>
          <cell r="V2362"/>
          <cell r="W2362" t="str">
            <v>박대규</v>
          </cell>
          <cell r="X2362" t="str">
            <v>(인)</v>
          </cell>
          <cell r="Y2362" t="str">
            <v>박대규</v>
          </cell>
          <cell r="Z2362" t="str">
            <v>(인)</v>
          </cell>
          <cell r="AA2362" t="str">
            <v>이홍걸</v>
          </cell>
          <cell r="AB2362" t="str">
            <v>(인)</v>
          </cell>
          <cell r="AC2362" t="str">
            <v>이홍걸</v>
          </cell>
          <cell r="AD2362" t="str">
            <v>(인)</v>
          </cell>
          <cell r="AE2362">
            <v>177.8</v>
          </cell>
          <cell r="AF2362" t="str">
            <v>동절기</v>
          </cell>
          <cell r="AG2362">
            <v>1</v>
          </cell>
          <cell r="AH2362">
            <v>1</v>
          </cell>
          <cell r="AI2362">
            <v>1754</v>
          </cell>
          <cell r="AJ2362">
            <v>1712</v>
          </cell>
          <cell r="AK2362">
            <v>141000</v>
          </cell>
          <cell r="AL2362">
            <v>2595</v>
          </cell>
          <cell r="AM2362">
            <v>2582</v>
          </cell>
          <cell r="AN2362">
            <v>2561</v>
          </cell>
          <cell r="AO2362">
            <v>2531</v>
          </cell>
          <cell r="AP2362">
            <v>2498</v>
          </cell>
          <cell r="AQ2362">
            <v>2574</v>
          </cell>
          <cell r="AR2362">
            <v>2533</v>
          </cell>
          <cell r="AS2362">
            <v>2547</v>
          </cell>
          <cell r="AT2362">
            <v>198400</v>
          </cell>
        </row>
        <row r="2363">
          <cell r="G2363">
            <v>2512080101</v>
          </cell>
          <cell r="H2363" t="str">
            <v>조경시설물</v>
          </cell>
          <cell r="I2363">
            <v>251208</v>
          </cell>
          <cell r="J2363" t="str">
            <v>어린이집 앞 유아놀이터</v>
          </cell>
          <cell r="K2363">
            <v>21</v>
          </cell>
          <cell r="L2363">
            <v>21</v>
          </cell>
          <cell r="M2363">
            <v>1812</v>
          </cell>
          <cell r="N2363" t="str">
            <v>용호</v>
          </cell>
          <cell r="O2363" t="str">
            <v>직접타설</v>
          </cell>
          <cell r="P2363">
            <v>900</v>
          </cell>
          <cell r="Q2363">
            <v>1535</v>
          </cell>
          <cell r="R2363">
            <v>130</v>
          </cell>
          <cell r="S2363">
            <v>39</v>
          </cell>
          <cell r="T2363">
            <v>49</v>
          </cell>
          <cell r="U2363">
            <v>123</v>
          </cell>
          <cell r="V2363"/>
          <cell r="W2363" t="str">
            <v>김광록</v>
          </cell>
          <cell r="X2363" t="str">
            <v>(인)</v>
          </cell>
          <cell r="Y2363" t="str">
            <v>박대규</v>
          </cell>
          <cell r="Z2363" t="str">
            <v>(인)</v>
          </cell>
          <cell r="AA2363" t="str">
            <v>박상갑</v>
          </cell>
          <cell r="AB2363" t="str">
            <v>(인)</v>
          </cell>
          <cell r="AC2363" t="str">
            <v>이홍걸</v>
          </cell>
          <cell r="AD2363" t="str">
            <v>(인)</v>
          </cell>
          <cell r="AE2363">
            <v>170.8</v>
          </cell>
          <cell r="AF2363" t="str">
            <v>동절기</v>
          </cell>
          <cell r="AG2363">
            <v>1</v>
          </cell>
          <cell r="AH2363">
            <v>1</v>
          </cell>
          <cell r="AI2363">
            <v>1765</v>
          </cell>
          <cell r="AJ2363">
            <v>1685</v>
          </cell>
          <cell r="AK2363">
            <v>141200</v>
          </cell>
          <cell r="AL2363">
            <v>2595</v>
          </cell>
          <cell r="AM2363">
            <v>2585</v>
          </cell>
          <cell r="AN2363">
            <v>2577</v>
          </cell>
          <cell r="AO2363">
            <v>2631</v>
          </cell>
          <cell r="AP2363">
            <v>2478</v>
          </cell>
          <cell r="AQ2363">
            <v>2563</v>
          </cell>
          <cell r="AR2363">
            <v>2511</v>
          </cell>
          <cell r="AS2363">
            <v>2578</v>
          </cell>
          <cell r="AT2363">
            <v>199200</v>
          </cell>
        </row>
        <row r="2364">
          <cell r="G2364">
            <v>2512150101</v>
          </cell>
          <cell r="H2364" t="str">
            <v>조경시설물</v>
          </cell>
          <cell r="I2364">
            <v>251215</v>
          </cell>
          <cell r="J2364" t="str">
            <v>118동 앞 어린이놀이터3</v>
          </cell>
          <cell r="K2364">
            <v>56</v>
          </cell>
          <cell r="L2364">
            <v>56</v>
          </cell>
          <cell r="M2364">
            <v>2412</v>
          </cell>
          <cell r="N2364" t="str">
            <v>용호</v>
          </cell>
          <cell r="O2364" t="str">
            <v>직접타설</v>
          </cell>
          <cell r="P2364">
            <v>857</v>
          </cell>
          <cell r="Q2364">
            <v>1255</v>
          </cell>
          <cell r="R2364">
            <v>125</v>
          </cell>
          <cell r="S2364">
            <v>42</v>
          </cell>
          <cell r="T2364">
            <v>33</v>
          </cell>
          <cell r="U2364">
            <v>121</v>
          </cell>
          <cell r="V2364"/>
          <cell r="W2364" t="str">
            <v>박대규</v>
          </cell>
          <cell r="X2364" t="str">
            <v>(인)</v>
          </cell>
          <cell r="Y2364" t="str">
            <v>박대규</v>
          </cell>
          <cell r="Z2364" t="str">
            <v>(인)</v>
          </cell>
          <cell r="AA2364" t="str">
            <v>박정환</v>
          </cell>
          <cell r="AB2364" t="str">
            <v>(인)</v>
          </cell>
          <cell r="AC2364" t="str">
            <v>이홍걸</v>
          </cell>
          <cell r="AD2364" t="str">
            <v>(인)</v>
          </cell>
          <cell r="AE2364">
            <v>173.8</v>
          </cell>
          <cell r="AF2364" t="str">
            <v>동절기</v>
          </cell>
          <cell r="AG2364">
            <v>1</v>
          </cell>
          <cell r="AH2364">
            <v>1</v>
          </cell>
          <cell r="AI2364">
            <v>2208</v>
          </cell>
          <cell r="AJ2364">
            <v>2197</v>
          </cell>
          <cell r="AK2364">
            <v>176800</v>
          </cell>
        </row>
        <row r="2365">
          <cell r="G2365">
            <v>0</v>
          </cell>
          <cell r="H2365"/>
          <cell r="I2365">
            <v>0</v>
          </cell>
          <cell r="J2365"/>
          <cell r="K2365"/>
          <cell r="L2365"/>
          <cell r="M2365"/>
          <cell r="N2365"/>
          <cell r="O2365"/>
          <cell r="P2365"/>
          <cell r="Q2365"/>
          <cell r="R2365"/>
          <cell r="S2365"/>
          <cell r="T2365"/>
          <cell r="U2365"/>
          <cell r="V2365"/>
          <cell r="W2365"/>
          <cell r="X2365"/>
          <cell r="Y2365"/>
          <cell r="Z2365"/>
          <cell r="AA2365"/>
          <cell r="AB2365"/>
          <cell r="AC2365"/>
          <cell r="AD2365"/>
          <cell r="AF2365" t="str">
            <v>동절기</v>
          </cell>
          <cell r="AG2365">
            <v>0</v>
          </cell>
          <cell r="AH2365">
            <v>0</v>
          </cell>
        </row>
        <row r="2366">
          <cell r="G2366">
            <v>0</v>
          </cell>
          <cell r="H2366"/>
          <cell r="I2366">
            <v>0</v>
          </cell>
          <cell r="J2366"/>
          <cell r="K2366"/>
          <cell r="L2366"/>
          <cell r="M2366"/>
          <cell r="N2366"/>
          <cell r="O2366"/>
          <cell r="P2366"/>
          <cell r="Q2366"/>
          <cell r="R2366"/>
          <cell r="S2366"/>
          <cell r="T2366"/>
          <cell r="U2366"/>
          <cell r="V2366"/>
          <cell r="W2366"/>
          <cell r="X2366"/>
          <cell r="Y2366"/>
          <cell r="Z2366"/>
          <cell r="AA2366"/>
          <cell r="AB2366"/>
          <cell r="AC2366"/>
          <cell r="AD2366"/>
          <cell r="AF2366" t="str">
            <v>동절기</v>
          </cell>
          <cell r="AG2366">
            <v>0</v>
          </cell>
          <cell r="AH2366">
            <v>0</v>
          </cell>
        </row>
        <row r="2367">
          <cell r="G2367">
            <v>0</v>
          </cell>
          <cell r="H2367"/>
          <cell r="I2367">
            <v>0</v>
          </cell>
          <cell r="J2367"/>
          <cell r="K2367"/>
          <cell r="L2367"/>
          <cell r="M2367"/>
          <cell r="N2367"/>
          <cell r="O2367"/>
          <cell r="P2367"/>
          <cell r="Q2367"/>
          <cell r="R2367"/>
          <cell r="S2367"/>
          <cell r="T2367"/>
          <cell r="U2367"/>
          <cell r="V2367"/>
          <cell r="W2367"/>
          <cell r="X2367"/>
          <cell r="Y2367"/>
          <cell r="Z2367"/>
          <cell r="AA2367"/>
          <cell r="AB2367"/>
          <cell r="AC2367"/>
          <cell r="AD2367"/>
          <cell r="AF2367" t="str">
            <v>동절기</v>
          </cell>
          <cell r="AG2367">
            <v>0</v>
          </cell>
          <cell r="AH2367">
            <v>0</v>
          </cell>
        </row>
        <row r="2368">
          <cell r="G2368">
            <v>0</v>
          </cell>
          <cell r="H2368"/>
          <cell r="I2368">
            <v>0</v>
          </cell>
          <cell r="J2368"/>
          <cell r="K2368"/>
          <cell r="L2368"/>
          <cell r="M2368"/>
          <cell r="N2368"/>
          <cell r="O2368"/>
          <cell r="P2368"/>
          <cell r="Q2368"/>
          <cell r="R2368"/>
          <cell r="S2368"/>
          <cell r="T2368"/>
          <cell r="U2368"/>
          <cell r="V2368"/>
          <cell r="W2368"/>
          <cell r="X2368"/>
          <cell r="Y2368"/>
          <cell r="Z2368"/>
          <cell r="AA2368"/>
          <cell r="AB2368"/>
          <cell r="AC2368"/>
          <cell r="AD2368"/>
          <cell r="AF2368" t="str">
            <v>동절기</v>
          </cell>
          <cell r="AG2368">
            <v>0</v>
          </cell>
          <cell r="AH2368">
            <v>0</v>
          </cell>
        </row>
        <row r="2369">
          <cell r="G2369">
            <v>0</v>
          </cell>
          <cell r="H2369"/>
          <cell r="I2369">
            <v>0</v>
          </cell>
          <cell r="J2369"/>
          <cell r="K2369"/>
          <cell r="L2369"/>
          <cell r="M2369"/>
          <cell r="N2369"/>
          <cell r="O2369"/>
          <cell r="P2369"/>
          <cell r="Q2369"/>
          <cell r="R2369"/>
          <cell r="S2369"/>
          <cell r="T2369"/>
          <cell r="U2369"/>
          <cell r="V2369"/>
          <cell r="W2369"/>
          <cell r="X2369"/>
          <cell r="Y2369"/>
          <cell r="Z2369"/>
          <cell r="AA2369"/>
          <cell r="AB2369"/>
          <cell r="AC2369"/>
          <cell r="AD2369"/>
          <cell r="AF2369" t="str">
            <v>동절기</v>
          </cell>
          <cell r="AG2369">
            <v>0</v>
          </cell>
          <cell r="AH2369">
            <v>0</v>
          </cell>
        </row>
        <row r="2370">
          <cell r="G2370">
            <v>0</v>
          </cell>
          <cell r="H2370"/>
          <cell r="I2370">
            <v>0</v>
          </cell>
          <cell r="J2370"/>
          <cell r="K2370"/>
          <cell r="L2370"/>
          <cell r="M2370"/>
          <cell r="N2370"/>
          <cell r="O2370"/>
          <cell r="P2370"/>
          <cell r="Q2370"/>
          <cell r="R2370"/>
          <cell r="S2370"/>
          <cell r="T2370"/>
          <cell r="U2370"/>
          <cell r="V2370"/>
          <cell r="W2370"/>
          <cell r="X2370"/>
          <cell r="Y2370"/>
          <cell r="Z2370"/>
          <cell r="AA2370"/>
          <cell r="AB2370"/>
          <cell r="AC2370"/>
          <cell r="AD2370"/>
          <cell r="AF2370" t="str">
            <v>동절기</v>
          </cell>
          <cell r="AG2370">
            <v>0</v>
          </cell>
          <cell r="AH2370">
            <v>0</v>
          </cell>
        </row>
        <row r="2371">
          <cell r="G2371">
            <v>0</v>
          </cell>
          <cell r="H2371"/>
          <cell r="I2371">
            <v>0</v>
          </cell>
          <cell r="J2371"/>
          <cell r="K2371"/>
          <cell r="L2371"/>
          <cell r="M2371"/>
          <cell r="N2371"/>
          <cell r="O2371"/>
          <cell r="P2371"/>
          <cell r="Q2371"/>
          <cell r="R2371"/>
          <cell r="S2371"/>
          <cell r="T2371"/>
          <cell r="U2371"/>
          <cell r="V2371"/>
          <cell r="W2371"/>
          <cell r="X2371"/>
          <cell r="Y2371"/>
          <cell r="Z2371"/>
          <cell r="AA2371"/>
          <cell r="AB2371"/>
          <cell r="AC2371"/>
          <cell r="AD2371"/>
          <cell r="AF2371" t="str">
            <v>동절기</v>
          </cell>
          <cell r="AG2371">
            <v>0</v>
          </cell>
          <cell r="AH2371">
            <v>0</v>
          </cell>
        </row>
        <row r="2372">
          <cell r="G2372">
            <v>0</v>
          </cell>
          <cell r="H2372"/>
          <cell r="I2372">
            <v>0</v>
          </cell>
          <cell r="J2372"/>
          <cell r="K2372"/>
          <cell r="L2372"/>
          <cell r="M2372"/>
          <cell r="N2372"/>
          <cell r="O2372"/>
          <cell r="P2372"/>
          <cell r="Q2372"/>
          <cell r="R2372"/>
          <cell r="S2372"/>
          <cell r="T2372"/>
          <cell r="U2372"/>
          <cell r="V2372"/>
          <cell r="W2372"/>
          <cell r="X2372"/>
          <cell r="Y2372"/>
          <cell r="Z2372"/>
          <cell r="AA2372"/>
          <cell r="AB2372"/>
          <cell r="AC2372"/>
          <cell r="AD2372"/>
          <cell r="AF2372" t="str">
            <v>동절기</v>
          </cell>
          <cell r="AG2372">
            <v>0</v>
          </cell>
          <cell r="AH2372">
            <v>0</v>
          </cell>
        </row>
        <row r="2373">
          <cell r="G2373">
            <v>0</v>
          </cell>
          <cell r="H2373"/>
          <cell r="I2373">
            <v>0</v>
          </cell>
          <cell r="J2373"/>
          <cell r="K2373"/>
          <cell r="L2373"/>
          <cell r="M2373"/>
          <cell r="N2373"/>
          <cell r="O2373"/>
          <cell r="P2373"/>
          <cell r="Q2373"/>
          <cell r="R2373"/>
          <cell r="S2373"/>
          <cell r="T2373"/>
          <cell r="U2373"/>
          <cell r="V2373"/>
          <cell r="W2373"/>
          <cell r="X2373"/>
          <cell r="Y2373"/>
          <cell r="Z2373"/>
          <cell r="AA2373"/>
          <cell r="AB2373"/>
          <cell r="AC2373"/>
          <cell r="AD2373"/>
          <cell r="AF2373" t="str">
            <v>동절기</v>
          </cell>
          <cell r="AG2373">
            <v>0</v>
          </cell>
          <cell r="AH2373">
            <v>0</v>
          </cell>
        </row>
        <row r="2374">
          <cell r="G2374">
            <v>0</v>
          </cell>
          <cell r="H2374"/>
          <cell r="I2374">
            <v>0</v>
          </cell>
          <cell r="J2374"/>
          <cell r="K2374"/>
          <cell r="L2374"/>
          <cell r="M2374"/>
          <cell r="N2374"/>
          <cell r="O2374"/>
          <cell r="P2374"/>
          <cell r="Q2374"/>
          <cell r="R2374"/>
          <cell r="S2374"/>
          <cell r="T2374"/>
          <cell r="U2374"/>
          <cell r="V2374"/>
          <cell r="W2374"/>
          <cell r="X2374"/>
          <cell r="Y2374"/>
          <cell r="Z2374"/>
          <cell r="AA2374"/>
          <cell r="AB2374"/>
          <cell r="AC2374"/>
          <cell r="AD2374"/>
          <cell r="AF2374" t="str">
            <v>동절기</v>
          </cell>
          <cell r="AG2374">
            <v>0</v>
          </cell>
          <cell r="AH2374">
            <v>0</v>
          </cell>
        </row>
        <row r="2375">
          <cell r="G2375">
            <v>0</v>
          </cell>
          <cell r="H2375"/>
          <cell r="I2375">
            <v>0</v>
          </cell>
          <cell r="J2375"/>
          <cell r="K2375"/>
          <cell r="L2375"/>
          <cell r="M2375"/>
          <cell r="N2375"/>
          <cell r="O2375"/>
          <cell r="P2375"/>
          <cell r="Q2375"/>
          <cell r="R2375"/>
          <cell r="S2375"/>
          <cell r="T2375"/>
          <cell r="U2375"/>
          <cell r="V2375"/>
          <cell r="W2375"/>
          <cell r="X2375"/>
          <cell r="Y2375"/>
          <cell r="Z2375"/>
          <cell r="AA2375"/>
          <cell r="AB2375"/>
          <cell r="AC2375"/>
          <cell r="AD2375"/>
          <cell r="AF2375" t="str">
            <v>동절기</v>
          </cell>
          <cell r="AG2375">
            <v>0</v>
          </cell>
          <cell r="AH2375">
            <v>0</v>
          </cell>
        </row>
        <row r="2376">
          <cell r="G2376">
            <v>0</v>
          </cell>
          <cell r="H2376"/>
          <cell r="I2376">
            <v>0</v>
          </cell>
          <cell r="J2376"/>
          <cell r="K2376"/>
          <cell r="L2376"/>
          <cell r="M2376"/>
          <cell r="N2376"/>
          <cell r="O2376"/>
          <cell r="P2376"/>
          <cell r="Q2376"/>
          <cell r="R2376"/>
          <cell r="S2376"/>
          <cell r="T2376"/>
          <cell r="U2376"/>
          <cell r="V2376"/>
          <cell r="W2376"/>
          <cell r="X2376"/>
          <cell r="Y2376"/>
          <cell r="Z2376"/>
          <cell r="AA2376"/>
          <cell r="AB2376"/>
          <cell r="AC2376"/>
          <cell r="AD2376"/>
          <cell r="AF2376" t="str">
            <v>동절기</v>
          </cell>
          <cell r="AG2376">
            <v>0</v>
          </cell>
          <cell r="AH2376">
            <v>0</v>
          </cell>
        </row>
        <row r="2377">
          <cell r="G2377">
            <v>0</v>
          </cell>
          <cell r="H2377"/>
          <cell r="I2377">
            <v>0</v>
          </cell>
          <cell r="J2377"/>
          <cell r="K2377"/>
          <cell r="L2377"/>
          <cell r="M2377"/>
          <cell r="N2377"/>
          <cell r="O2377"/>
          <cell r="P2377"/>
          <cell r="Q2377"/>
          <cell r="R2377"/>
          <cell r="S2377"/>
          <cell r="T2377"/>
          <cell r="U2377"/>
          <cell r="V2377"/>
          <cell r="W2377"/>
          <cell r="X2377"/>
          <cell r="Y2377"/>
          <cell r="Z2377"/>
          <cell r="AA2377"/>
          <cell r="AB2377"/>
          <cell r="AC2377"/>
          <cell r="AD2377"/>
          <cell r="AF2377" t="str">
            <v>동절기</v>
          </cell>
          <cell r="AG2377">
            <v>0</v>
          </cell>
          <cell r="AH2377">
            <v>0</v>
          </cell>
        </row>
        <row r="2378">
          <cell r="G2378">
            <v>0</v>
          </cell>
          <cell r="H2378"/>
          <cell r="I2378">
            <v>0</v>
          </cell>
          <cell r="J2378"/>
          <cell r="K2378"/>
          <cell r="L2378"/>
          <cell r="M2378"/>
          <cell r="N2378"/>
          <cell r="O2378"/>
          <cell r="P2378"/>
          <cell r="Q2378"/>
          <cell r="R2378"/>
          <cell r="S2378"/>
          <cell r="T2378"/>
          <cell r="U2378"/>
          <cell r="V2378"/>
          <cell r="W2378"/>
          <cell r="X2378"/>
          <cell r="Y2378"/>
          <cell r="Z2378"/>
          <cell r="AA2378"/>
          <cell r="AB2378"/>
          <cell r="AC2378"/>
          <cell r="AD2378"/>
          <cell r="AF2378" t="str">
            <v>동절기</v>
          </cell>
          <cell r="AG2378">
            <v>0</v>
          </cell>
          <cell r="AH2378">
            <v>0</v>
          </cell>
        </row>
        <row r="2379">
          <cell r="G2379">
            <v>0</v>
          </cell>
          <cell r="H2379"/>
          <cell r="I2379">
            <v>0</v>
          </cell>
          <cell r="J2379"/>
          <cell r="K2379"/>
          <cell r="L2379"/>
          <cell r="M2379"/>
          <cell r="N2379"/>
          <cell r="O2379"/>
          <cell r="P2379"/>
          <cell r="Q2379"/>
          <cell r="R2379"/>
          <cell r="S2379"/>
          <cell r="T2379"/>
          <cell r="U2379"/>
          <cell r="V2379"/>
          <cell r="W2379"/>
          <cell r="X2379"/>
          <cell r="Y2379"/>
          <cell r="Z2379"/>
          <cell r="AA2379"/>
          <cell r="AB2379"/>
          <cell r="AC2379"/>
          <cell r="AD2379"/>
          <cell r="AF2379" t="str">
            <v>동절기</v>
          </cell>
          <cell r="AG2379">
            <v>0</v>
          </cell>
          <cell r="AH2379">
            <v>0</v>
          </cell>
        </row>
        <row r="2380">
          <cell r="G2380">
            <v>0</v>
          </cell>
          <cell r="H2380"/>
          <cell r="I2380">
            <v>0</v>
          </cell>
          <cell r="J2380"/>
          <cell r="K2380"/>
          <cell r="L2380"/>
          <cell r="M2380"/>
          <cell r="N2380"/>
          <cell r="O2380"/>
          <cell r="P2380"/>
          <cell r="Q2380"/>
          <cell r="R2380"/>
          <cell r="S2380"/>
          <cell r="T2380"/>
          <cell r="U2380"/>
          <cell r="V2380"/>
          <cell r="W2380"/>
          <cell r="X2380"/>
          <cell r="Y2380"/>
          <cell r="Z2380"/>
          <cell r="AA2380"/>
          <cell r="AB2380"/>
          <cell r="AC2380"/>
          <cell r="AD2380"/>
          <cell r="AF2380" t="str">
            <v>동절기</v>
          </cell>
          <cell r="AG2380">
            <v>0</v>
          </cell>
          <cell r="AH2380">
            <v>0</v>
          </cell>
        </row>
        <row r="2381">
          <cell r="G2381">
            <v>0</v>
          </cell>
          <cell r="H2381"/>
          <cell r="I2381">
            <v>0</v>
          </cell>
          <cell r="J2381"/>
          <cell r="K2381"/>
          <cell r="L2381"/>
          <cell r="M2381"/>
          <cell r="N2381"/>
          <cell r="O2381"/>
          <cell r="P2381"/>
          <cell r="Q2381"/>
          <cell r="R2381"/>
          <cell r="S2381"/>
          <cell r="T2381"/>
          <cell r="U2381"/>
          <cell r="V2381"/>
          <cell r="W2381"/>
          <cell r="X2381"/>
          <cell r="Y2381"/>
          <cell r="Z2381"/>
          <cell r="AA2381"/>
          <cell r="AB2381"/>
          <cell r="AC2381"/>
          <cell r="AD2381"/>
          <cell r="AF2381" t="str">
            <v>동절기</v>
          </cell>
          <cell r="AG2381">
            <v>0</v>
          </cell>
          <cell r="AH2381">
            <v>0</v>
          </cell>
        </row>
        <row r="2382">
          <cell r="G2382">
            <v>0</v>
          </cell>
          <cell r="H2382"/>
          <cell r="I2382">
            <v>0</v>
          </cell>
          <cell r="J2382"/>
          <cell r="K2382"/>
          <cell r="L2382"/>
          <cell r="M2382"/>
          <cell r="N2382"/>
          <cell r="O2382"/>
          <cell r="P2382"/>
          <cell r="Q2382"/>
          <cell r="R2382"/>
          <cell r="S2382"/>
          <cell r="T2382"/>
          <cell r="U2382"/>
          <cell r="V2382"/>
          <cell r="W2382"/>
          <cell r="X2382"/>
          <cell r="Y2382"/>
          <cell r="Z2382"/>
          <cell r="AA2382"/>
          <cell r="AB2382"/>
          <cell r="AC2382"/>
          <cell r="AD2382"/>
          <cell r="AF2382" t="str">
            <v>동절기</v>
          </cell>
          <cell r="AG2382">
            <v>0</v>
          </cell>
          <cell r="AH2382">
            <v>0</v>
          </cell>
        </row>
        <row r="2383">
          <cell r="G2383">
            <v>0</v>
          </cell>
          <cell r="H2383"/>
          <cell r="I2383">
            <v>0</v>
          </cell>
          <cell r="J2383"/>
          <cell r="K2383"/>
          <cell r="L2383"/>
          <cell r="M2383"/>
          <cell r="N2383"/>
          <cell r="O2383"/>
          <cell r="P2383"/>
          <cell r="Q2383"/>
          <cell r="R2383"/>
          <cell r="S2383"/>
          <cell r="T2383"/>
          <cell r="U2383"/>
          <cell r="V2383"/>
          <cell r="W2383"/>
          <cell r="X2383"/>
          <cell r="Y2383"/>
          <cell r="Z2383"/>
          <cell r="AA2383"/>
          <cell r="AB2383"/>
          <cell r="AC2383"/>
          <cell r="AD2383"/>
          <cell r="AF2383" t="str">
            <v>동절기</v>
          </cell>
          <cell r="AG2383">
            <v>0</v>
          </cell>
          <cell r="AH2383">
            <v>0</v>
          </cell>
        </row>
        <row r="2384">
          <cell r="G2384">
            <v>0</v>
          </cell>
          <cell r="H2384"/>
          <cell r="I2384">
            <v>0</v>
          </cell>
          <cell r="J2384"/>
          <cell r="K2384"/>
          <cell r="L2384"/>
          <cell r="M2384"/>
          <cell r="N2384"/>
          <cell r="O2384"/>
          <cell r="P2384"/>
          <cell r="Q2384"/>
          <cell r="R2384"/>
          <cell r="S2384"/>
          <cell r="T2384"/>
          <cell r="U2384"/>
          <cell r="AF2384" t="str">
            <v>동절기</v>
          </cell>
          <cell r="AG2384">
            <v>0</v>
          </cell>
          <cell r="AH2384">
            <v>0</v>
          </cell>
        </row>
        <row r="2385">
          <cell r="G2385">
            <v>0</v>
          </cell>
          <cell r="H2385"/>
          <cell r="I2385">
            <v>0</v>
          </cell>
          <cell r="J2385"/>
          <cell r="K2385"/>
          <cell r="L2385"/>
          <cell r="M2385"/>
          <cell r="N2385"/>
          <cell r="O2385"/>
          <cell r="P2385"/>
          <cell r="Q2385"/>
          <cell r="R2385"/>
          <cell r="S2385"/>
          <cell r="T2385"/>
          <cell r="U2385"/>
          <cell r="AF2385" t="str">
            <v>동절기</v>
          </cell>
          <cell r="AG2385">
            <v>0</v>
          </cell>
          <cell r="AH2385">
            <v>0</v>
          </cell>
        </row>
        <row r="2386">
          <cell r="G2386">
            <v>0</v>
          </cell>
          <cell r="H2386"/>
          <cell r="I2386">
            <v>0</v>
          </cell>
          <cell r="J2386"/>
          <cell r="K2386"/>
          <cell r="L2386"/>
          <cell r="M2386"/>
          <cell r="N2386"/>
          <cell r="O2386"/>
          <cell r="P2386"/>
          <cell r="Q2386"/>
          <cell r="R2386"/>
          <cell r="S2386"/>
          <cell r="T2386"/>
          <cell r="U2386"/>
          <cell r="AF2386" t="str">
            <v>동절기</v>
          </cell>
          <cell r="AG2386">
            <v>0</v>
          </cell>
          <cell r="AH2386">
            <v>0</v>
          </cell>
        </row>
        <row r="2387">
          <cell r="G2387">
            <v>0</v>
          </cell>
          <cell r="H2387"/>
          <cell r="I2387">
            <v>0</v>
          </cell>
          <cell r="J2387"/>
          <cell r="K2387"/>
          <cell r="L2387"/>
          <cell r="M2387"/>
          <cell r="N2387"/>
          <cell r="O2387"/>
          <cell r="P2387"/>
          <cell r="Q2387"/>
          <cell r="R2387"/>
          <cell r="S2387"/>
          <cell r="T2387"/>
          <cell r="U2387"/>
          <cell r="AF2387" t="str">
            <v>동절기</v>
          </cell>
          <cell r="AG2387">
            <v>0</v>
          </cell>
          <cell r="AH2387">
            <v>0</v>
          </cell>
        </row>
        <row r="2388">
          <cell r="G2388">
            <v>0</v>
          </cell>
          <cell r="H2388"/>
          <cell r="I2388">
            <v>0</v>
          </cell>
          <cell r="J2388"/>
          <cell r="K2388"/>
          <cell r="L2388"/>
          <cell r="M2388"/>
          <cell r="N2388"/>
          <cell r="O2388"/>
          <cell r="P2388"/>
          <cell r="Q2388"/>
          <cell r="R2388"/>
          <cell r="S2388"/>
          <cell r="T2388"/>
          <cell r="U2388"/>
          <cell r="AF2388" t="str">
            <v>동절기</v>
          </cell>
          <cell r="AG2388">
            <v>0</v>
          </cell>
          <cell r="AH2388">
            <v>0</v>
          </cell>
        </row>
        <row r="2389">
          <cell r="G2389">
            <v>0</v>
          </cell>
          <cell r="H2389"/>
          <cell r="I2389">
            <v>0</v>
          </cell>
          <cell r="J2389"/>
          <cell r="K2389"/>
          <cell r="L2389"/>
          <cell r="M2389"/>
          <cell r="N2389"/>
          <cell r="O2389"/>
          <cell r="P2389"/>
          <cell r="Q2389"/>
          <cell r="R2389"/>
          <cell r="S2389"/>
          <cell r="T2389"/>
          <cell r="U2389"/>
          <cell r="AF2389" t="str">
            <v>동절기</v>
          </cell>
          <cell r="AG2389">
            <v>0</v>
          </cell>
          <cell r="AH2389">
            <v>0</v>
          </cell>
        </row>
        <row r="2390">
          <cell r="G2390">
            <v>0</v>
          </cell>
          <cell r="H2390"/>
          <cell r="I2390">
            <v>0</v>
          </cell>
          <cell r="J2390"/>
          <cell r="K2390"/>
          <cell r="L2390"/>
          <cell r="M2390"/>
          <cell r="N2390"/>
          <cell r="O2390"/>
          <cell r="P2390"/>
          <cell r="Q2390"/>
          <cell r="R2390"/>
          <cell r="S2390"/>
          <cell r="T2390"/>
          <cell r="U2390"/>
          <cell r="AF2390" t="str">
            <v>동절기</v>
          </cell>
          <cell r="AG2390">
            <v>0</v>
          </cell>
          <cell r="AH2390">
            <v>0</v>
          </cell>
        </row>
        <row r="2391">
          <cell r="G2391">
            <v>0</v>
          </cell>
          <cell r="H2391"/>
          <cell r="I2391">
            <v>0</v>
          </cell>
          <cell r="J2391"/>
          <cell r="K2391"/>
          <cell r="L2391"/>
          <cell r="M2391"/>
          <cell r="N2391"/>
          <cell r="O2391"/>
          <cell r="P2391"/>
          <cell r="Q2391"/>
          <cell r="R2391"/>
          <cell r="S2391"/>
          <cell r="T2391"/>
          <cell r="U2391"/>
          <cell r="AF2391" t="str">
            <v>동절기</v>
          </cell>
          <cell r="AG2391">
            <v>0</v>
          </cell>
          <cell r="AH2391">
            <v>0</v>
          </cell>
        </row>
        <row r="2392">
          <cell r="G2392">
            <v>0</v>
          </cell>
          <cell r="H2392"/>
          <cell r="I2392">
            <v>0</v>
          </cell>
          <cell r="J2392"/>
          <cell r="K2392"/>
          <cell r="L2392"/>
          <cell r="M2392"/>
          <cell r="N2392"/>
          <cell r="O2392"/>
          <cell r="P2392"/>
          <cell r="Q2392"/>
          <cell r="R2392"/>
          <cell r="S2392"/>
          <cell r="T2392"/>
          <cell r="U2392"/>
          <cell r="AF2392" t="str">
            <v>동절기</v>
          </cell>
          <cell r="AG2392">
            <v>0</v>
          </cell>
          <cell r="AH2392">
            <v>0</v>
          </cell>
        </row>
        <row r="2393">
          <cell r="G2393">
            <v>0</v>
          </cell>
          <cell r="H2393"/>
          <cell r="I2393">
            <v>0</v>
          </cell>
          <cell r="J2393"/>
          <cell r="K2393"/>
          <cell r="L2393"/>
          <cell r="M2393"/>
          <cell r="N2393"/>
          <cell r="O2393"/>
          <cell r="P2393"/>
          <cell r="Q2393"/>
          <cell r="R2393"/>
          <cell r="S2393"/>
          <cell r="T2393"/>
          <cell r="U2393"/>
          <cell r="AF2393" t="str">
            <v>동절기</v>
          </cell>
          <cell r="AG2393">
            <v>0</v>
          </cell>
          <cell r="AH2393">
            <v>0</v>
          </cell>
        </row>
        <row r="2394">
          <cell r="G2394">
            <v>0</v>
          </cell>
          <cell r="H2394"/>
          <cell r="I2394">
            <v>0</v>
          </cell>
          <cell r="J2394"/>
          <cell r="K2394"/>
          <cell r="L2394"/>
          <cell r="M2394"/>
          <cell r="N2394"/>
          <cell r="O2394"/>
          <cell r="P2394"/>
          <cell r="Q2394"/>
          <cell r="R2394"/>
          <cell r="S2394"/>
          <cell r="T2394"/>
          <cell r="U2394"/>
          <cell r="AF2394" t="str">
            <v>동절기</v>
          </cell>
          <cell r="AG2394">
            <v>0</v>
          </cell>
          <cell r="AH2394">
            <v>0</v>
          </cell>
        </row>
        <row r="2395">
          <cell r="G2395">
            <v>0</v>
          </cell>
          <cell r="H2395"/>
          <cell r="I2395">
            <v>0</v>
          </cell>
          <cell r="J2395"/>
          <cell r="K2395"/>
          <cell r="L2395"/>
          <cell r="M2395"/>
          <cell r="N2395"/>
          <cell r="O2395"/>
          <cell r="P2395"/>
          <cell r="Q2395"/>
          <cell r="R2395"/>
          <cell r="S2395"/>
          <cell r="T2395"/>
          <cell r="U2395"/>
          <cell r="AF2395" t="str">
            <v>동절기</v>
          </cell>
          <cell r="AG2395">
            <v>0</v>
          </cell>
          <cell r="AH2395">
            <v>0</v>
          </cell>
        </row>
        <row r="2396">
          <cell r="G2396">
            <v>0</v>
          </cell>
          <cell r="H2396"/>
          <cell r="I2396">
            <v>0</v>
          </cell>
          <cell r="J2396"/>
          <cell r="K2396"/>
          <cell r="L2396"/>
          <cell r="M2396"/>
          <cell r="N2396"/>
          <cell r="O2396"/>
          <cell r="P2396"/>
          <cell r="Q2396"/>
          <cell r="R2396"/>
          <cell r="S2396"/>
          <cell r="T2396"/>
          <cell r="U2396"/>
          <cell r="AF2396" t="str">
            <v>동절기</v>
          </cell>
          <cell r="AG2396">
            <v>0</v>
          </cell>
          <cell r="AH2396">
            <v>0</v>
          </cell>
        </row>
        <row r="2397">
          <cell r="G2397">
            <v>0</v>
          </cell>
          <cell r="H2397"/>
          <cell r="I2397">
            <v>0</v>
          </cell>
          <cell r="J2397"/>
          <cell r="K2397"/>
          <cell r="L2397"/>
          <cell r="M2397"/>
          <cell r="N2397"/>
          <cell r="O2397"/>
          <cell r="P2397"/>
          <cell r="Q2397"/>
          <cell r="R2397"/>
          <cell r="S2397"/>
          <cell r="T2397"/>
          <cell r="U2397"/>
          <cell r="AF2397" t="str">
            <v>동절기</v>
          </cell>
          <cell r="AG2397">
            <v>0</v>
          </cell>
          <cell r="AH2397">
            <v>0</v>
          </cell>
        </row>
        <row r="2398">
          <cell r="G2398">
            <v>0</v>
          </cell>
          <cell r="H2398"/>
          <cell r="I2398">
            <v>0</v>
          </cell>
          <cell r="J2398"/>
          <cell r="K2398"/>
          <cell r="L2398"/>
          <cell r="M2398"/>
          <cell r="N2398"/>
          <cell r="O2398"/>
          <cell r="P2398"/>
          <cell r="Q2398"/>
          <cell r="R2398"/>
          <cell r="S2398"/>
          <cell r="T2398"/>
          <cell r="U2398"/>
          <cell r="AF2398" t="str">
            <v>동절기</v>
          </cell>
          <cell r="AG2398">
            <v>0</v>
          </cell>
          <cell r="AH2398">
            <v>0</v>
          </cell>
        </row>
        <row r="2399">
          <cell r="G2399">
            <v>0</v>
          </cell>
          <cell r="H2399"/>
          <cell r="I2399">
            <v>0</v>
          </cell>
          <cell r="J2399"/>
          <cell r="K2399"/>
          <cell r="L2399"/>
          <cell r="M2399"/>
          <cell r="N2399"/>
          <cell r="O2399"/>
          <cell r="P2399"/>
          <cell r="Q2399"/>
          <cell r="R2399"/>
          <cell r="S2399"/>
          <cell r="T2399"/>
          <cell r="U2399"/>
          <cell r="AF2399" t="str">
            <v>동절기</v>
          </cell>
          <cell r="AG2399">
            <v>0</v>
          </cell>
          <cell r="AH2399">
            <v>0</v>
          </cell>
        </row>
        <row r="2400">
          <cell r="G2400">
            <v>0</v>
          </cell>
          <cell r="H2400"/>
          <cell r="I2400">
            <v>0</v>
          </cell>
          <cell r="J2400"/>
          <cell r="K2400"/>
          <cell r="L2400"/>
          <cell r="M2400"/>
          <cell r="N2400"/>
          <cell r="O2400"/>
          <cell r="P2400"/>
          <cell r="Q2400"/>
          <cell r="R2400"/>
          <cell r="S2400"/>
          <cell r="T2400"/>
          <cell r="U2400"/>
          <cell r="AF2400" t="str">
            <v>동절기</v>
          </cell>
          <cell r="AG2400">
            <v>0</v>
          </cell>
          <cell r="AH2400">
            <v>0</v>
          </cell>
        </row>
        <row r="2401">
          <cell r="G2401">
            <v>0</v>
          </cell>
          <cell r="H2401"/>
          <cell r="I2401">
            <v>0</v>
          </cell>
          <cell r="J2401"/>
          <cell r="K2401"/>
          <cell r="L2401"/>
          <cell r="M2401"/>
          <cell r="N2401"/>
          <cell r="O2401"/>
          <cell r="P2401"/>
          <cell r="Q2401"/>
          <cell r="R2401"/>
          <cell r="S2401"/>
          <cell r="T2401"/>
          <cell r="U2401"/>
          <cell r="AF2401" t="str">
            <v>동절기</v>
          </cell>
          <cell r="AG2401">
            <v>0</v>
          </cell>
          <cell r="AH2401">
            <v>0</v>
          </cell>
        </row>
        <row r="2402">
          <cell r="G2402">
            <v>0</v>
          </cell>
          <cell r="H2402"/>
          <cell r="I2402">
            <v>0</v>
          </cell>
          <cell r="J2402"/>
          <cell r="K2402"/>
          <cell r="L2402"/>
          <cell r="M2402"/>
          <cell r="N2402"/>
          <cell r="O2402"/>
          <cell r="P2402"/>
          <cell r="Q2402"/>
          <cell r="R2402"/>
          <cell r="S2402"/>
          <cell r="T2402"/>
          <cell r="U2402"/>
          <cell r="AF2402" t="str">
            <v>동절기</v>
          </cell>
          <cell r="AG2402">
            <v>0</v>
          </cell>
          <cell r="AH2402">
            <v>0</v>
          </cell>
        </row>
        <row r="2403">
          <cell r="G2403">
            <v>0</v>
          </cell>
          <cell r="H2403"/>
          <cell r="I2403">
            <v>0</v>
          </cell>
          <cell r="J2403"/>
          <cell r="K2403"/>
          <cell r="L2403"/>
          <cell r="M2403"/>
          <cell r="N2403"/>
          <cell r="O2403"/>
          <cell r="P2403"/>
          <cell r="Q2403"/>
          <cell r="R2403"/>
          <cell r="S2403"/>
          <cell r="T2403"/>
          <cell r="U2403"/>
          <cell r="AF2403" t="str">
            <v>동절기</v>
          </cell>
          <cell r="AG2403">
            <v>0</v>
          </cell>
          <cell r="AH2403">
            <v>0</v>
          </cell>
        </row>
        <row r="2404">
          <cell r="G2404">
            <v>0</v>
          </cell>
          <cell r="H2404"/>
          <cell r="I2404">
            <v>0</v>
          </cell>
          <cell r="J2404"/>
          <cell r="K2404"/>
          <cell r="L2404"/>
          <cell r="M2404"/>
          <cell r="N2404"/>
          <cell r="O2404"/>
          <cell r="P2404"/>
          <cell r="Q2404"/>
          <cell r="R2404"/>
          <cell r="S2404"/>
          <cell r="T2404"/>
          <cell r="U2404"/>
          <cell r="AF2404" t="str">
            <v>동절기</v>
          </cell>
          <cell r="AG2404">
            <v>0</v>
          </cell>
          <cell r="AH2404">
            <v>0</v>
          </cell>
        </row>
        <row r="2405">
          <cell r="G2405">
            <v>0</v>
          </cell>
          <cell r="H2405"/>
          <cell r="I2405">
            <v>0</v>
          </cell>
          <cell r="J2405"/>
          <cell r="K2405"/>
          <cell r="L2405"/>
          <cell r="M2405"/>
          <cell r="N2405"/>
          <cell r="O2405"/>
          <cell r="P2405"/>
          <cell r="Q2405"/>
          <cell r="R2405"/>
          <cell r="S2405"/>
          <cell r="T2405"/>
          <cell r="U2405"/>
          <cell r="AF2405" t="str">
            <v>동절기</v>
          </cell>
          <cell r="AG2405">
            <v>0</v>
          </cell>
          <cell r="AH2405">
            <v>0</v>
          </cell>
        </row>
        <row r="2406">
          <cell r="G2406">
            <v>0</v>
          </cell>
          <cell r="H2406"/>
          <cell r="I2406">
            <v>0</v>
          </cell>
          <cell r="J2406"/>
          <cell r="K2406"/>
          <cell r="L2406"/>
          <cell r="M2406"/>
          <cell r="N2406"/>
          <cell r="O2406"/>
          <cell r="P2406"/>
          <cell r="Q2406"/>
          <cell r="R2406"/>
          <cell r="S2406"/>
          <cell r="T2406"/>
          <cell r="U2406"/>
          <cell r="AF2406" t="str">
            <v>동절기</v>
          </cell>
          <cell r="AG2406">
            <v>0</v>
          </cell>
          <cell r="AH2406">
            <v>0</v>
          </cell>
        </row>
        <row r="2407">
          <cell r="G2407">
            <v>0</v>
          </cell>
          <cell r="H2407"/>
          <cell r="I2407">
            <v>0</v>
          </cell>
          <cell r="J2407"/>
          <cell r="K2407"/>
          <cell r="L2407"/>
          <cell r="M2407"/>
          <cell r="N2407"/>
          <cell r="O2407"/>
          <cell r="P2407"/>
          <cell r="Q2407"/>
          <cell r="R2407"/>
          <cell r="S2407"/>
          <cell r="T2407"/>
          <cell r="U2407"/>
          <cell r="AF2407" t="str">
            <v>동절기</v>
          </cell>
          <cell r="AG2407">
            <v>0</v>
          </cell>
          <cell r="AH2407">
            <v>0</v>
          </cell>
        </row>
        <row r="2408">
          <cell r="G2408">
            <v>0</v>
          </cell>
          <cell r="H2408"/>
          <cell r="I2408">
            <v>0</v>
          </cell>
          <cell r="J2408"/>
          <cell r="K2408"/>
          <cell r="L2408"/>
          <cell r="M2408"/>
          <cell r="N2408"/>
          <cell r="O2408"/>
          <cell r="P2408"/>
          <cell r="Q2408"/>
          <cell r="R2408"/>
          <cell r="S2408"/>
          <cell r="T2408"/>
          <cell r="U2408"/>
          <cell r="AF2408" t="str">
            <v>동절기</v>
          </cell>
          <cell r="AG2408">
            <v>0</v>
          </cell>
          <cell r="AH2408">
            <v>0</v>
          </cell>
        </row>
        <row r="2409">
          <cell r="G2409">
            <v>0</v>
          </cell>
          <cell r="H2409"/>
          <cell r="I2409">
            <v>0</v>
          </cell>
          <cell r="J2409"/>
          <cell r="K2409"/>
          <cell r="L2409"/>
          <cell r="M2409"/>
          <cell r="N2409"/>
          <cell r="O2409"/>
          <cell r="P2409"/>
          <cell r="Q2409"/>
          <cell r="R2409"/>
          <cell r="S2409"/>
          <cell r="T2409"/>
          <cell r="U2409"/>
          <cell r="AF2409" t="str">
            <v>동절기</v>
          </cell>
          <cell r="AG2409">
            <v>0</v>
          </cell>
          <cell r="AH2409">
            <v>0</v>
          </cell>
        </row>
        <row r="2410">
          <cell r="G2410">
            <v>0</v>
          </cell>
          <cell r="H2410"/>
          <cell r="I2410">
            <v>0</v>
          </cell>
          <cell r="J2410"/>
          <cell r="K2410"/>
          <cell r="L2410"/>
          <cell r="M2410"/>
          <cell r="N2410"/>
          <cell r="O2410"/>
          <cell r="P2410"/>
          <cell r="Q2410"/>
          <cell r="R2410"/>
          <cell r="S2410"/>
          <cell r="T2410"/>
          <cell r="U2410"/>
          <cell r="AF2410" t="str">
            <v>동절기</v>
          </cell>
          <cell r="AG2410">
            <v>0</v>
          </cell>
          <cell r="AH2410">
            <v>0</v>
          </cell>
        </row>
        <row r="2411">
          <cell r="G2411">
            <v>0</v>
          </cell>
          <cell r="H2411"/>
          <cell r="I2411">
            <v>0</v>
          </cell>
          <cell r="J2411"/>
          <cell r="K2411"/>
          <cell r="L2411"/>
          <cell r="M2411"/>
          <cell r="N2411"/>
          <cell r="O2411"/>
          <cell r="P2411"/>
          <cell r="Q2411"/>
          <cell r="R2411"/>
          <cell r="S2411"/>
          <cell r="T2411"/>
          <cell r="U2411"/>
          <cell r="AF2411" t="str">
            <v>동절기</v>
          </cell>
          <cell r="AG2411">
            <v>0</v>
          </cell>
          <cell r="AH2411">
            <v>0</v>
          </cell>
        </row>
        <row r="2412">
          <cell r="G2412">
            <v>0</v>
          </cell>
          <cell r="H2412"/>
          <cell r="I2412">
            <v>0</v>
          </cell>
          <cell r="J2412"/>
          <cell r="K2412"/>
          <cell r="L2412"/>
          <cell r="M2412"/>
          <cell r="N2412"/>
          <cell r="O2412"/>
          <cell r="P2412"/>
          <cell r="Q2412"/>
          <cell r="R2412"/>
          <cell r="S2412"/>
          <cell r="T2412"/>
          <cell r="U2412"/>
          <cell r="AF2412" t="str">
            <v>동절기</v>
          </cell>
          <cell r="AG2412">
            <v>0</v>
          </cell>
          <cell r="AH2412">
            <v>0</v>
          </cell>
        </row>
        <row r="2413">
          <cell r="G2413">
            <v>0</v>
          </cell>
          <cell r="H2413"/>
          <cell r="I2413">
            <v>0</v>
          </cell>
          <cell r="J2413"/>
          <cell r="K2413"/>
          <cell r="L2413"/>
          <cell r="M2413"/>
          <cell r="N2413"/>
          <cell r="O2413"/>
          <cell r="P2413"/>
          <cell r="Q2413"/>
          <cell r="R2413"/>
          <cell r="S2413"/>
          <cell r="T2413"/>
          <cell r="U2413"/>
          <cell r="AF2413" t="str">
            <v>동절기</v>
          </cell>
          <cell r="AG2413">
            <v>0</v>
          </cell>
          <cell r="AH2413">
            <v>0</v>
          </cell>
        </row>
        <row r="2414">
          <cell r="G2414">
            <v>0</v>
          </cell>
          <cell r="H2414"/>
          <cell r="I2414">
            <v>0</v>
          </cell>
          <cell r="J2414"/>
          <cell r="K2414"/>
          <cell r="L2414"/>
          <cell r="M2414"/>
          <cell r="N2414"/>
          <cell r="O2414"/>
          <cell r="P2414"/>
          <cell r="Q2414"/>
          <cell r="R2414"/>
          <cell r="S2414"/>
          <cell r="T2414"/>
          <cell r="U2414"/>
          <cell r="AF2414" t="str">
            <v>동절기</v>
          </cell>
          <cell r="AG2414">
            <v>0</v>
          </cell>
          <cell r="AH2414">
            <v>0</v>
          </cell>
        </row>
        <row r="2415">
          <cell r="G2415">
            <v>0</v>
          </cell>
          <cell r="H2415"/>
          <cell r="I2415">
            <v>0</v>
          </cell>
          <cell r="J2415"/>
          <cell r="K2415"/>
          <cell r="L2415"/>
          <cell r="M2415"/>
          <cell r="N2415"/>
          <cell r="O2415"/>
          <cell r="P2415"/>
          <cell r="Q2415"/>
          <cell r="R2415"/>
          <cell r="S2415"/>
          <cell r="T2415"/>
          <cell r="U2415"/>
          <cell r="AF2415" t="str">
            <v>동절기</v>
          </cell>
          <cell r="AG2415">
            <v>0</v>
          </cell>
          <cell r="AH2415">
            <v>0</v>
          </cell>
        </row>
        <row r="2416">
          <cell r="G2416">
            <v>0</v>
          </cell>
          <cell r="H2416"/>
          <cell r="I2416">
            <v>0</v>
          </cell>
          <cell r="J2416"/>
          <cell r="K2416"/>
          <cell r="L2416"/>
          <cell r="M2416"/>
          <cell r="N2416"/>
          <cell r="O2416"/>
          <cell r="P2416"/>
          <cell r="Q2416"/>
          <cell r="R2416"/>
          <cell r="S2416"/>
          <cell r="T2416"/>
          <cell r="U2416"/>
          <cell r="AF2416" t="str">
            <v>동절기</v>
          </cell>
          <cell r="AG2416">
            <v>0</v>
          </cell>
          <cell r="AH2416">
            <v>0</v>
          </cell>
        </row>
        <row r="2417">
          <cell r="G2417">
            <v>0</v>
          </cell>
          <cell r="H2417"/>
          <cell r="I2417">
            <v>0</v>
          </cell>
          <cell r="J2417"/>
          <cell r="K2417"/>
          <cell r="L2417"/>
          <cell r="M2417"/>
          <cell r="N2417"/>
          <cell r="O2417"/>
          <cell r="P2417"/>
          <cell r="Q2417"/>
          <cell r="R2417"/>
          <cell r="S2417"/>
          <cell r="T2417"/>
          <cell r="U2417"/>
          <cell r="AF2417" t="str">
            <v>동절기</v>
          </cell>
          <cell r="AG2417">
            <v>0</v>
          </cell>
          <cell r="AH2417">
            <v>0</v>
          </cell>
        </row>
        <row r="2418">
          <cell r="G2418">
            <v>0</v>
          </cell>
          <cell r="H2418"/>
          <cell r="I2418">
            <v>0</v>
          </cell>
          <cell r="J2418"/>
          <cell r="K2418"/>
          <cell r="L2418"/>
          <cell r="M2418"/>
          <cell r="N2418"/>
          <cell r="O2418"/>
          <cell r="P2418"/>
          <cell r="Q2418"/>
          <cell r="R2418"/>
          <cell r="S2418"/>
          <cell r="T2418"/>
          <cell r="U2418"/>
          <cell r="AF2418" t="str">
            <v>동절기</v>
          </cell>
          <cell r="AG2418">
            <v>0</v>
          </cell>
          <cell r="AH2418">
            <v>0</v>
          </cell>
        </row>
        <row r="2419">
          <cell r="G2419">
            <v>0</v>
          </cell>
          <cell r="H2419"/>
          <cell r="I2419">
            <v>0</v>
          </cell>
          <cell r="J2419"/>
          <cell r="K2419"/>
          <cell r="L2419"/>
          <cell r="M2419"/>
          <cell r="N2419"/>
          <cell r="O2419"/>
          <cell r="P2419"/>
          <cell r="Q2419"/>
          <cell r="R2419"/>
          <cell r="S2419"/>
          <cell r="T2419"/>
          <cell r="U2419"/>
          <cell r="AF2419" t="str">
            <v>동절기</v>
          </cell>
          <cell r="AG2419">
            <v>0</v>
          </cell>
          <cell r="AH2419">
            <v>0</v>
          </cell>
        </row>
        <row r="2420">
          <cell r="G2420">
            <v>0</v>
          </cell>
          <cell r="H2420"/>
          <cell r="I2420">
            <v>0</v>
          </cell>
          <cell r="J2420"/>
          <cell r="K2420"/>
          <cell r="L2420"/>
          <cell r="M2420"/>
          <cell r="N2420"/>
          <cell r="O2420"/>
          <cell r="P2420"/>
          <cell r="Q2420"/>
          <cell r="R2420"/>
          <cell r="S2420"/>
          <cell r="T2420"/>
          <cell r="U2420"/>
          <cell r="AF2420" t="str">
            <v>동절기</v>
          </cell>
          <cell r="AG2420">
            <v>0</v>
          </cell>
          <cell r="AH2420">
            <v>0</v>
          </cell>
        </row>
        <row r="2421">
          <cell r="G2421">
            <v>0</v>
          </cell>
          <cell r="H2421"/>
          <cell r="I2421">
            <v>0</v>
          </cell>
          <cell r="J2421"/>
          <cell r="K2421"/>
          <cell r="L2421"/>
          <cell r="M2421"/>
          <cell r="N2421"/>
          <cell r="O2421"/>
          <cell r="P2421"/>
          <cell r="Q2421"/>
          <cell r="R2421"/>
          <cell r="S2421"/>
          <cell r="T2421"/>
          <cell r="U2421"/>
          <cell r="AF2421" t="str">
            <v>동절기</v>
          </cell>
          <cell r="AG2421">
            <v>0</v>
          </cell>
          <cell r="AH2421">
            <v>0</v>
          </cell>
        </row>
        <row r="2422">
          <cell r="G2422">
            <v>0</v>
          </cell>
          <cell r="H2422"/>
          <cell r="I2422">
            <v>0</v>
          </cell>
          <cell r="J2422"/>
          <cell r="K2422"/>
          <cell r="L2422"/>
          <cell r="M2422"/>
          <cell r="N2422"/>
          <cell r="O2422"/>
          <cell r="P2422"/>
          <cell r="Q2422"/>
          <cell r="R2422"/>
          <cell r="S2422"/>
          <cell r="T2422"/>
          <cell r="U2422"/>
          <cell r="AF2422" t="str">
            <v>동절기</v>
          </cell>
          <cell r="AG2422">
            <v>0</v>
          </cell>
          <cell r="AH2422">
            <v>0</v>
          </cell>
        </row>
        <row r="2423">
          <cell r="G2423">
            <v>0</v>
          </cell>
          <cell r="H2423"/>
          <cell r="I2423">
            <v>0</v>
          </cell>
          <cell r="J2423"/>
          <cell r="K2423"/>
          <cell r="L2423"/>
          <cell r="M2423"/>
          <cell r="N2423"/>
          <cell r="O2423"/>
          <cell r="P2423"/>
          <cell r="Q2423"/>
          <cell r="R2423"/>
          <cell r="S2423"/>
          <cell r="T2423"/>
          <cell r="U2423"/>
          <cell r="AF2423" t="str">
            <v>동절기</v>
          </cell>
          <cell r="AG2423">
            <v>0</v>
          </cell>
          <cell r="AH2423">
            <v>0</v>
          </cell>
        </row>
        <row r="2424">
          <cell r="G2424">
            <v>0</v>
          </cell>
          <cell r="H2424"/>
          <cell r="I2424">
            <v>0</v>
          </cell>
          <cell r="J2424"/>
          <cell r="K2424"/>
          <cell r="L2424"/>
          <cell r="M2424"/>
          <cell r="N2424"/>
          <cell r="O2424"/>
          <cell r="P2424"/>
          <cell r="Q2424"/>
          <cell r="R2424"/>
          <cell r="S2424"/>
          <cell r="T2424"/>
          <cell r="U2424"/>
          <cell r="AF2424" t="str">
            <v>동절기</v>
          </cell>
          <cell r="AG2424">
            <v>0</v>
          </cell>
          <cell r="AH2424">
            <v>0</v>
          </cell>
        </row>
        <row r="2425">
          <cell r="G2425">
            <v>0</v>
          </cell>
          <cell r="H2425"/>
          <cell r="I2425">
            <v>0</v>
          </cell>
          <cell r="J2425"/>
          <cell r="K2425"/>
          <cell r="L2425"/>
          <cell r="M2425"/>
          <cell r="N2425"/>
          <cell r="O2425"/>
          <cell r="P2425"/>
          <cell r="Q2425"/>
          <cell r="R2425"/>
          <cell r="S2425"/>
          <cell r="T2425"/>
          <cell r="U2425"/>
          <cell r="AF2425" t="str">
            <v>동절기</v>
          </cell>
          <cell r="AG2425">
            <v>0</v>
          </cell>
          <cell r="AH2425">
            <v>0</v>
          </cell>
        </row>
        <row r="2426">
          <cell r="G2426">
            <v>0</v>
          </cell>
          <cell r="H2426"/>
          <cell r="I2426">
            <v>0</v>
          </cell>
          <cell r="J2426"/>
          <cell r="K2426"/>
          <cell r="L2426"/>
          <cell r="M2426"/>
          <cell r="N2426"/>
          <cell r="O2426"/>
          <cell r="P2426"/>
          <cell r="Q2426"/>
          <cell r="R2426"/>
          <cell r="S2426"/>
          <cell r="T2426"/>
          <cell r="U2426"/>
          <cell r="AF2426" t="str">
            <v>동절기</v>
          </cell>
          <cell r="AG2426">
            <v>0</v>
          </cell>
          <cell r="AH2426">
            <v>0</v>
          </cell>
        </row>
        <row r="2427">
          <cell r="G2427">
            <v>0</v>
          </cell>
          <cell r="H2427"/>
          <cell r="I2427">
            <v>0</v>
          </cell>
          <cell r="J2427"/>
          <cell r="K2427"/>
          <cell r="L2427"/>
          <cell r="M2427"/>
          <cell r="N2427"/>
          <cell r="O2427"/>
          <cell r="P2427"/>
          <cell r="Q2427"/>
          <cell r="R2427"/>
          <cell r="S2427"/>
          <cell r="T2427"/>
          <cell r="U2427"/>
          <cell r="AF2427" t="str">
            <v>동절기</v>
          </cell>
          <cell r="AG2427">
            <v>0</v>
          </cell>
          <cell r="AH2427">
            <v>0</v>
          </cell>
        </row>
        <row r="2428">
          <cell r="G2428">
            <v>0</v>
          </cell>
          <cell r="H2428"/>
          <cell r="I2428">
            <v>0</v>
          </cell>
          <cell r="J2428"/>
          <cell r="K2428"/>
          <cell r="L2428"/>
          <cell r="M2428"/>
          <cell r="N2428"/>
          <cell r="O2428"/>
          <cell r="P2428"/>
          <cell r="Q2428"/>
          <cell r="R2428"/>
          <cell r="S2428"/>
          <cell r="T2428"/>
          <cell r="U2428"/>
          <cell r="AF2428" t="str">
            <v>동절기</v>
          </cell>
          <cell r="AG2428">
            <v>0</v>
          </cell>
          <cell r="AH2428">
            <v>0</v>
          </cell>
        </row>
        <row r="2429">
          <cell r="G2429">
            <v>0</v>
          </cell>
          <cell r="H2429"/>
          <cell r="I2429">
            <v>0</v>
          </cell>
          <cell r="J2429"/>
          <cell r="K2429"/>
          <cell r="L2429"/>
          <cell r="M2429"/>
          <cell r="N2429"/>
          <cell r="O2429"/>
          <cell r="P2429"/>
          <cell r="Q2429"/>
          <cell r="R2429"/>
          <cell r="S2429"/>
          <cell r="T2429"/>
          <cell r="U2429"/>
          <cell r="AF2429" t="str">
            <v>동절기</v>
          </cell>
          <cell r="AG2429">
            <v>0</v>
          </cell>
          <cell r="AH2429">
            <v>0</v>
          </cell>
        </row>
        <row r="2430">
          <cell r="G2430">
            <v>0</v>
          </cell>
          <cell r="H2430"/>
          <cell r="I2430">
            <v>0</v>
          </cell>
          <cell r="J2430"/>
          <cell r="K2430"/>
          <cell r="L2430"/>
          <cell r="M2430"/>
          <cell r="N2430"/>
          <cell r="O2430"/>
          <cell r="P2430"/>
          <cell r="Q2430"/>
          <cell r="R2430"/>
          <cell r="S2430"/>
          <cell r="T2430"/>
          <cell r="U2430"/>
          <cell r="AF2430" t="str">
            <v>동절기</v>
          </cell>
          <cell r="AG2430">
            <v>0</v>
          </cell>
          <cell r="AH2430">
            <v>0</v>
          </cell>
        </row>
        <row r="2431">
          <cell r="G2431">
            <v>0</v>
          </cell>
          <cell r="H2431"/>
          <cell r="I2431">
            <v>0</v>
          </cell>
          <cell r="J2431"/>
          <cell r="K2431"/>
          <cell r="L2431"/>
          <cell r="M2431"/>
          <cell r="N2431"/>
          <cell r="O2431"/>
          <cell r="P2431"/>
          <cell r="Q2431"/>
          <cell r="R2431"/>
          <cell r="S2431"/>
          <cell r="T2431"/>
          <cell r="U2431"/>
          <cell r="AF2431" t="str">
            <v>동절기</v>
          </cell>
          <cell r="AG2431">
            <v>0</v>
          </cell>
          <cell r="AH2431">
            <v>0</v>
          </cell>
        </row>
        <row r="2432">
          <cell r="G2432">
            <v>0</v>
          </cell>
          <cell r="H2432"/>
          <cell r="I2432">
            <v>0</v>
          </cell>
          <cell r="J2432"/>
          <cell r="K2432"/>
          <cell r="L2432"/>
          <cell r="M2432"/>
          <cell r="N2432"/>
          <cell r="O2432"/>
          <cell r="P2432"/>
          <cell r="Q2432"/>
          <cell r="R2432"/>
          <cell r="S2432"/>
          <cell r="T2432"/>
          <cell r="U2432"/>
          <cell r="AF2432" t="str">
            <v>동절기</v>
          </cell>
          <cell r="AG2432">
            <v>0</v>
          </cell>
          <cell r="AH2432">
            <v>0</v>
          </cell>
        </row>
        <row r="2433">
          <cell r="G2433">
            <v>0</v>
          </cell>
          <cell r="H2433"/>
          <cell r="I2433">
            <v>0</v>
          </cell>
          <cell r="J2433"/>
          <cell r="K2433"/>
          <cell r="L2433"/>
          <cell r="M2433"/>
          <cell r="N2433"/>
          <cell r="O2433"/>
          <cell r="P2433"/>
          <cell r="Q2433"/>
          <cell r="R2433"/>
          <cell r="S2433"/>
          <cell r="T2433"/>
          <cell r="U2433"/>
          <cell r="AF2433" t="str">
            <v>동절기</v>
          </cell>
          <cell r="AG2433">
            <v>0</v>
          </cell>
          <cell r="AH2433">
            <v>0</v>
          </cell>
        </row>
        <row r="2434">
          <cell r="G2434">
            <v>0</v>
          </cell>
          <cell r="H2434"/>
          <cell r="I2434">
            <v>0</v>
          </cell>
          <cell r="J2434"/>
          <cell r="K2434"/>
          <cell r="L2434"/>
          <cell r="M2434"/>
          <cell r="N2434"/>
          <cell r="O2434"/>
          <cell r="P2434"/>
          <cell r="Q2434"/>
          <cell r="R2434"/>
          <cell r="S2434"/>
          <cell r="T2434"/>
          <cell r="U2434"/>
          <cell r="AF2434" t="str">
            <v>동절기</v>
          </cell>
          <cell r="AG2434">
            <v>0</v>
          </cell>
          <cell r="AH2434">
            <v>0</v>
          </cell>
        </row>
        <row r="2435">
          <cell r="G2435">
            <v>0</v>
          </cell>
          <cell r="H2435"/>
          <cell r="I2435">
            <v>0</v>
          </cell>
          <cell r="J2435"/>
          <cell r="K2435"/>
          <cell r="L2435"/>
          <cell r="M2435"/>
          <cell r="N2435"/>
          <cell r="O2435"/>
          <cell r="P2435"/>
          <cell r="Q2435"/>
          <cell r="R2435"/>
          <cell r="S2435"/>
          <cell r="T2435"/>
          <cell r="U2435"/>
          <cell r="AF2435" t="str">
            <v>동절기</v>
          </cell>
          <cell r="AG2435">
            <v>0</v>
          </cell>
          <cell r="AH2435">
            <v>0</v>
          </cell>
        </row>
        <row r="2436">
          <cell r="G2436">
            <v>0</v>
          </cell>
          <cell r="H2436"/>
          <cell r="I2436">
            <v>0</v>
          </cell>
          <cell r="J2436"/>
          <cell r="K2436"/>
          <cell r="L2436"/>
          <cell r="M2436"/>
          <cell r="N2436"/>
          <cell r="O2436"/>
          <cell r="P2436"/>
          <cell r="Q2436"/>
          <cell r="R2436"/>
          <cell r="S2436"/>
          <cell r="T2436"/>
          <cell r="U2436"/>
          <cell r="AF2436" t="str">
            <v>동절기</v>
          </cell>
          <cell r="AG2436">
            <v>0</v>
          </cell>
          <cell r="AH2436">
            <v>0</v>
          </cell>
        </row>
        <row r="2437">
          <cell r="G2437">
            <v>0</v>
          </cell>
          <cell r="H2437"/>
          <cell r="I2437">
            <v>0</v>
          </cell>
          <cell r="J2437"/>
          <cell r="K2437"/>
          <cell r="L2437"/>
          <cell r="M2437"/>
          <cell r="N2437"/>
          <cell r="O2437"/>
          <cell r="P2437"/>
          <cell r="Q2437"/>
          <cell r="R2437"/>
          <cell r="S2437"/>
          <cell r="T2437"/>
          <cell r="U2437"/>
          <cell r="AF2437" t="str">
            <v>동절기</v>
          </cell>
          <cell r="AG2437">
            <v>0</v>
          </cell>
          <cell r="AH2437">
            <v>0</v>
          </cell>
        </row>
        <row r="2438">
          <cell r="G2438">
            <v>0</v>
          </cell>
          <cell r="H2438"/>
          <cell r="I2438">
            <v>0</v>
          </cell>
          <cell r="J2438"/>
          <cell r="K2438"/>
          <cell r="L2438"/>
          <cell r="M2438"/>
          <cell r="N2438"/>
          <cell r="O2438"/>
          <cell r="P2438"/>
          <cell r="Q2438"/>
          <cell r="R2438"/>
          <cell r="S2438"/>
          <cell r="T2438"/>
          <cell r="U2438"/>
          <cell r="AF2438" t="str">
            <v>동절기</v>
          </cell>
          <cell r="AG2438">
            <v>0</v>
          </cell>
          <cell r="AH2438">
            <v>0</v>
          </cell>
        </row>
        <row r="2439">
          <cell r="G2439">
            <v>0</v>
          </cell>
          <cell r="H2439"/>
          <cell r="I2439">
            <v>0</v>
          </cell>
          <cell r="J2439"/>
          <cell r="K2439"/>
          <cell r="L2439"/>
          <cell r="M2439"/>
          <cell r="N2439"/>
          <cell r="O2439"/>
          <cell r="P2439"/>
          <cell r="Q2439"/>
          <cell r="R2439"/>
          <cell r="S2439"/>
          <cell r="T2439"/>
          <cell r="U2439"/>
          <cell r="AF2439" t="str">
            <v>동절기</v>
          </cell>
          <cell r="AG2439">
            <v>0</v>
          </cell>
          <cell r="AH2439">
            <v>0</v>
          </cell>
        </row>
        <row r="2440">
          <cell r="G2440">
            <v>0</v>
          </cell>
          <cell r="H2440"/>
          <cell r="I2440">
            <v>0</v>
          </cell>
          <cell r="J2440"/>
          <cell r="K2440"/>
          <cell r="L2440"/>
          <cell r="M2440"/>
          <cell r="N2440"/>
          <cell r="O2440"/>
          <cell r="P2440"/>
          <cell r="Q2440"/>
          <cell r="R2440"/>
          <cell r="S2440"/>
          <cell r="T2440"/>
          <cell r="U2440"/>
          <cell r="AF2440" t="str">
            <v>동절기</v>
          </cell>
          <cell r="AG2440">
            <v>0</v>
          </cell>
          <cell r="AH2440">
            <v>0</v>
          </cell>
        </row>
        <row r="2441">
          <cell r="G2441">
            <v>0</v>
          </cell>
          <cell r="H2441"/>
          <cell r="I2441">
            <v>0</v>
          </cell>
          <cell r="J2441"/>
          <cell r="K2441"/>
          <cell r="L2441"/>
          <cell r="M2441"/>
          <cell r="N2441"/>
          <cell r="O2441"/>
          <cell r="P2441"/>
          <cell r="Q2441"/>
          <cell r="R2441"/>
          <cell r="S2441"/>
          <cell r="T2441"/>
          <cell r="U2441"/>
          <cell r="AF2441" t="str">
            <v>동절기</v>
          </cell>
          <cell r="AG2441">
            <v>0</v>
          </cell>
          <cell r="AH2441">
            <v>0</v>
          </cell>
        </row>
        <row r="2442">
          <cell r="G2442">
            <v>0</v>
          </cell>
          <cell r="H2442"/>
          <cell r="I2442">
            <v>0</v>
          </cell>
          <cell r="J2442"/>
          <cell r="K2442"/>
          <cell r="L2442"/>
          <cell r="M2442"/>
          <cell r="N2442"/>
          <cell r="O2442"/>
          <cell r="P2442"/>
          <cell r="Q2442"/>
          <cell r="R2442"/>
          <cell r="S2442"/>
          <cell r="T2442"/>
          <cell r="U2442"/>
          <cell r="AF2442" t="str">
            <v>동절기</v>
          </cell>
          <cell r="AG2442">
            <v>0</v>
          </cell>
          <cell r="AH2442">
            <v>0</v>
          </cell>
        </row>
        <row r="2443">
          <cell r="G2443">
            <v>0</v>
          </cell>
          <cell r="H2443"/>
          <cell r="I2443">
            <v>0</v>
          </cell>
          <cell r="J2443"/>
          <cell r="K2443"/>
          <cell r="L2443"/>
          <cell r="M2443"/>
          <cell r="N2443"/>
          <cell r="O2443"/>
          <cell r="P2443"/>
          <cell r="Q2443"/>
          <cell r="R2443"/>
          <cell r="S2443"/>
          <cell r="T2443"/>
          <cell r="U2443"/>
          <cell r="AF2443" t="str">
            <v>동절기</v>
          </cell>
          <cell r="AG2443">
            <v>0</v>
          </cell>
          <cell r="AH2443">
            <v>0</v>
          </cell>
        </row>
        <row r="2444">
          <cell r="G2444">
            <v>0</v>
          </cell>
          <cell r="H2444"/>
          <cell r="I2444">
            <v>0</v>
          </cell>
          <cell r="J2444"/>
          <cell r="K2444"/>
          <cell r="L2444"/>
          <cell r="M2444"/>
          <cell r="N2444"/>
          <cell r="O2444"/>
          <cell r="P2444"/>
          <cell r="Q2444"/>
          <cell r="R2444"/>
          <cell r="S2444"/>
          <cell r="T2444"/>
          <cell r="U2444"/>
          <cell r="AF2444" t="str">
            <v>동절기</v>
          </cell>
          <cell r="AG2444">
            <v>0</v>
          </cell>
          <cell r="AH2444">
            <v>0</v>
          </cell>
        </row>
        <row r="2445">
          <cell r="G2445">
            <v>0</v>
          </cell>
          <cell r="H2445"/>
          <cell r="I2445">
            <v>0</v>
          </cell>
          <cell r="J2445"/>
          <cell r="K2445"/>
          <cell r="L2445"/>
          <cell r="M2445"/>
          <cell r="N2445"/>
          <cell r="O2445"/>
          <cell r="P2445"/>
          <cell r="Q2445"/>
          <cell r="R2445"/>
          <cell r="S2445"/>
          <cell r="T2445"/>
          <cell r="U2445"/>
          <cell r="AF2445" t="str">
            <v>동절기</v>
          </cell>
          <cell r="AG2445">
            <v>0</v>
          </cell>
          <cell r="AH2445">
            <v>0</v>
          </cell>
        </row>
        <row r="2446">
          <cell r="G2446">
            <v>0</v>
          </cell>
          <cell r="H2446"/>
          <cell r="I2446">
            <v>0</v>
          </cell>
          <cell r="J2446"/>
          <cell r="K2446"/>
          <cell r="L2446"/>
          <cell r="M2446"/>
          <cell r="N2446"/>
          <cell r="O2446"/>
          <cell r="P2446"/>
          <cell r="Q2446"/>
          <cell r="R2446"/>
          <cell r="S2446"/>
          <cell r="T2446"/>
          <cell r="U2446"/>
          <cell r="AF2446" t="str">
            <v>동절기</v>
          </cell>
          <cell r="AG2446">
            <v>0</v>
          </cell>
          <cell r="AH2446">
            <v>0</v>
          </cell>
        </row>
        <row r="2447">
          <cell r="G2447">
            <v>0</v>
          </cell>
          <cell r="H2447"/>
          <cell r="I2447">
            <v>0</v>
          </cell>
          <cell r="J2447"/>
          <cell r="K2447"/>
          <cell r="L2447"/>
          <cell r="M2447"/>
          <cell r="N2447"/>
          <cell r="O2447"/>
          <cell r="P2447"/>
          <cell r="Q2447"/>
          <cell r="R2447"/>
          <cell r="S2447"/>
          <cell r="T2447"/>
          <cell r="U2447"/>
          <cell r="AF2447" t="str">
            <v>동절기</v>
          </cell>
          <cell r="AG2447">
            <v>0</v>
          </cell>
          <cell r="AH2447">
            <v>0</v>
          </cell>
        </row>
        <row r="2448">
          <cell r="G2448">
            <v>0</v>
          </cell>
          <cell r="H2448"/>
          <cell r="I2448">
            <v>0</v>
          </cell>
          <cell r="J2448"/>
          <cell r="K2448"/>
          <cell r="L2448"/>
          <cell r="M2448"/>
          <cell r="N2448"/>
          <cell r="O2448"/>
          <cell r="P2448"/>
          <cell r="Q2448"/>
          <cell r="R2448"/>
          <cell r="S2448"/>
          <cell r="T2448"/>
          <cell r="U2448"/>
          <cell r="AF2448" t="str">
            <v>동절기</v>
          </cell>
          <cell r="AG2448">
            <v>0</v>
          </cell>
          <cell r="AH2448">
            <v>0</v>
          </cell>
        </row>
        <row r="2449">
          <cell r="G2449">
            <v>0</v>
          </cell>
          <cell r="H2449"/>
          <cell r="I2449">
            <v>0</v>
          </cell>
          <cell r="J2449"/>
          <cell r="K2449"/>
          <cell r="L2449"/>
          <cell r="M2449"/>
          <cell r="N2449"/>
          <cell r="O2449"/>
          <cell r="P2449"/>
          <cell r="Q2449"/>
          <cell r="R2449"/>
          <cell r="S2449"/>
          <cell r="T2449"/>
          <cell r="U2449"/>
          <cell r="AF2449" t="str">
            <v>동절기</v>
          </cell>
          <cell r="AG2449">
            <v>0</v>
          </cell>
          <cell r="AH2449">
            <v>0</v>
          </cell>
        </row>
        <row r="2450">
          <cell r="G2450">
            <v>0</v>
          </cell>
          <cell r="H2450"/>
          <cell r="I2450">
            <v>0</v>
          </cell>
          <cell r="J2450"/>
          <cell r="K2450"/>
          <cell r="L2450"/>
          <cell r="M2450"/>
          <cell r="N2450"/>
          <cell r="O2450"/>
          <cell r="P2450"/>
          <cell r="Q2450"/>
          <cell r="R2450"/>
          <cell r="S2450"/>
          <cell r="T2450"/>
          <cell r="U2450"/>
          <cell r="AF2450" t="str">
            <v>동절기</v>
          </cell>
          <cell r="AG2450">
            <v>0</v>
          </cell>
          <cell r="AH2450">
            <v>0</v>
          </cell>
        </row>
        <row r="2451">
          <cell r="G2451">
            <v>0</v>
          </cell>
          <cell r="H2451"/>
          <cell r="I2451">
            <v>0</v>
          </cell>
          <cell r="J2451"/>
          <cell r="K2451"/>
          <cell r="L2451"/>
          <cell r="M2451"/>
          <cell r="N2451"/>
          <cell r="O2451"/>
          <cell r="P2451"/>
          <cell r="Q2451"/>
          <cell r="R2451"/>
          <cell r="S2451"/>
          <cell r="T2451"/>
          <cell r="U2451"/>
          <cell r="AF2451" t="str">
            <v>동절기</v>
          </cell>
          <cell r="AG2451">
            <v>0</v>
          </cell>
          <cell r="AH2451">
            <v>0</v>
          </cell>
        </row>
        <row r="2452">
          <cell r="G2452">
            <v>0</v>
          </cell>
          <cell r="H2452"/>
          <cell r="I2452">
            <v>0</v>
          </cell>
          <cell r="J2452"/>
          <cell r="K2452"/>
          <cell r="L2452"/>
          <cell r="M2452"/>
          <cell r="N2452"/>
          <cell r="O2452"/>
          <cell r="P2452"/>
          <cell r="Q2452"/>
          <cell r="R2452"/>
          <cell r="S2452"/>
          <cell r="T2452"/>
          <cell r="U2452"/>
          <cell r="AF2452" t="str">
            <v>동절기</v>
          </cell>
          <cell r="AG2452">
            <v>0</v>
          </cell>
          <cell r="AH2452">
            <v>0</v>
          </cell>
        </row>
        <row r="2453">
          <cell r="G2453">
            <v>0</v>
          </cell>
          <cell r="H2453"/>
          <cell r="I2453">
            <v>0</v>
          </cell>
          <cell r="J2453"/>
          <cell r="K2453"/>
          <cell r="L2453"/>
          <cell r="M2453"/>
          <cell r="N2453"/>
          <cell r="O2453"/>
          <cell r="P2453"/>
          <cell r="Q2453"/>
          <cell r="R2453"/>
          <cell r="S2453"/>
          <cell r="T2453"/>
          <cell r="U2453"/>
          <cell r="AF2453" t="str">
            <v>동절기</v>
          </cell>
          <cell r="AG2453">
            <v>0</v>
          </cell>
          <cell r="AH2453">
            <v>0</v>
          </cell>
        </row>
        <row r="2454">
          <cell r="G2454">
            <v>0</v>
          </cell>
          <cell r="H2454"/>
          <cell r="I2454">
            <v>0</v>
          </cell>
          <cell r="J2454"/>
          <cell r="K2454"/>
          <cell r="L2454"/>
          <cell r="M2454"/>
          <cell r="N2454"/>
          <cell r="O2454"/>
          <cell r="P2454"/>
          <cell r="Q2454"/>
          <cell r="R2454"/>
          <cell r="S2454"/>
          <cell r="T2454"/>
          <cell r="U2454"/>
          <cell r="AF2454" t="str">
            <v>동절기</v>
          </cell>
          <cell r="AG2454">
            <v>0</v>
          </cell>
          <cell r="AH2454">
            <v>0</v>
          </cell>
        </row>
        <row r="2455">
          <cell r="G2455">
            <v>0</v>
          </cell>
          <cell r="H2455"/>
          <cell r="I2455">
            <v>0</v>
          </cell>
          <cell r="J2455"/>
          <cell r="K2455"/>
          <cell r="L2455"/>
          <cell r="M2455"/>
          <cell r="N2455"/>
          <cell r="O2455"/>
          <cell r="P2455"/>
          <cell r="Q2455"/>
          <cell r="R2455"/>
          <cell r="S2455"/>
          <cell r="T2455"/>
          <cell r="U2455"/>
          <cell r="AF2455" t="str">
            <v>동절기</v>
          </cell>
          <cell r="AG2455">
            <v>0</v>
          </cell>
          <cell r="AH2455">
            <v>0</v>
          </cell>
        </row>
        <row r="2456">
          <cell r="G2456">
            <v>0</v>
          </cell>
          <cell r="H2456"/>
          <cell r="I2456">
            <v>0</v>
          </cell>
          <cell r="J2456"/>
          <cell r="K2456"/>
          <cell r="L2456"/>
          <cell r="M2456"/>
          <cell r="N2456"/>
          <cell r="O2456"/>
          <cell r="P2456"/>
          <cell r="Q2456"/>
          <cell r="R2456"/>
          <cell r="S2456"/>
          <cell r="T2456"/>
          <cell r="U2456"/>
          <cell r="AF2456" t="str">
            <v>동절기</v>
          </cell>
          <cell r="AG2456">
            <v>0</v>
          </cell>
          <cell r="AH2456">
            <v>0</v>
          </cell>
        </row>
        <row r="2457">
          <cell r="G2457">
            <v>0</v>
          </cell>
          <cell r="H2457"/>
          <cell r="I2457">
            <v>0</v>
          </cell>
          <cell r="J2457"/>
          <cell r="K2457"/>
          <cell r="L2457"/>
          <cell r="M2457"/>
          <cell r="N2457"/>
          <cell r="O2457"/>
          <cell r="P2457"/>
          <cell r="Q2457"/>
          <cell r="R2457"/>
          <cell r="S2457"/>
          <cell r="T2457"/>
          <cell r="U2457"/>
          <cell r="AF2457" t="str">
            <v>동절기</v>
          </cell>
          <cell r="AG2457">
            <v>0</v>
          </cell>
          <cell r="AH2457">
            <v>0</v>
          </cell>
        </row>
        <row r="2458">
          <cell r="G2458">
            <v>0</v>
          </cell>
          <cell r="H2458"/>
          <cell r="I2458">
            <v>0</v>
          </cell>
          <cell r="J2458"/>
          <cell r="K2458"/>
          <cell r="L2458"/>
          <cell r="M2458"/>
          <cell r="N2458"/>
          <cell r="O2458"/>
          <cell r="P2458"/>
          <cell r="Q2458"/>
          <cell r="R2458"/>
          <cell r="S2458"/>
          <cell r="T2458"/>
          <cell r="U2458"/>
          <cell r="AF2458" t="str">
            <v>동절기</v>
          </cell>
          <cell r="AG2458">
            <v>0</v>
          </cell>
          <cell r="AH2458">
            <v>0</v>
          </cell>
        </row>
        <row r="2459">
          <cell r="G2459">
            <v>0</v>
          </cell>
          <cell r="H2459"/>
          <cell r="I2459">
            <v>0</v>
          </cell>
          <cell r="J2459"/>
          <cell r="K2459"/>
          <cell r="L2459"/>
          <cell r="M2459"/>
          <cell r="N2459"/>
          <cell r="O2459"/>
          <cell r="P2459"/>
          <cell r="Q2459"/>
          <cell r="R2459"/>
          <cell r="S2459"/>
          <cell r="T2459"/>
          <cell r="U2459"/>
          <cell r="AF2459" t="str">
            <v>동절기</v>
          </cell>
          <cell r="AG2459">
            <v>0</v>
          </cell>
          <cell r="AH2459">
            <v>0</v>
          </cell>
        </row>
        <row r="2460">
          <cell r="G2460">
            <v>0</v>
          </cell>
          <cell r="H2460"/>
          <cell r="I2460">
            <v>0</v>
          </cell>
          <cell r="J2460"/>
          <cell r="K2460"/>
          <cell r="L2460"/>
          <cell r="M2460"/>
          <cell r="N2460"/>
          <cell r="O2460"/>
          <cell r="P2460"/>
          <cell r="Q2460"/>
          <cell r="R2460"/>
          <cell r="S2460"/>
          <cell r="T2460"/>
          <cell r="U2460"/>
          <cell r="AF2460" t="str">
            <v>동절기</v>
          </cell>
          <cell r="AG2460">
            <v>0</v>
          </cell>
          <cell r="AH2460">
            <v>0</v>
          </cell>
        </row>
        <row r="2461">
          <cell r="G2461">
            <v>0</v>
          </cell>
          <cell r="H2461"/>
          <cell r="I2461">
            <v>0</v>
          </cell>
          <cell r="J2461"/>
          <cell r="K2461"/>
          <cell r="L2461"/>
          <cell r="M2461"/>
          <cell r="N2461"/>
          <cell r="O2461"/>
          <cell r="P2461"/>
          <cell r="Q2461"/>
          <cell r="R2461"/>
          <cell r="S2461"/>
          <cell r="T2461"/>
          <cell r="U2461"/>
          <cell r="AF2461" t="str">
            <v>동절기</v>
          </cell>
          <cell r="AG2461">
            <v>0</v>
          </cell>
          <cell r="AH2461">
            <v>0</v>
          </cell>
        </row>
        <row r="2462">
          <cell r="G2462">
            <v>0</v>
          </cell>
          <cell r="H2462"/>
          <cell r="I2462">
            <v>0</v>
          </cell>
          <cell r="J2462"/>
          <cell r="K2462"/>
          <cell r="L2462"/>
          <cell r="M2462"/>
          <cell r="N2462"/>
          <cell r="O2462"/>
          <cell r="P2462"/>
          <cell r="Q2462"/>
          <cell r="R2462"/>
          <cell r="S2462"/>
          <cell r="T2462"/>
          <cell r="U2462"/>
          <cell r="AF2462" t="str">
            <v>동절기</v>
          </cell>
          <cell r="AG2462">
            <v>0</v>
          </cell>
          <cell r="AH2462">
            <v>0</v>
          </cell>
        </row>
        <row r="2463">
          <cell r="G2463">
            <v>0</v>
          </cell>
          <cell r="H2463"/>
          <cell r="I2463">
            <v>0</v>
          </cell>
          <cell r="J2463"/>
          <cell r="K2463"/>
          <cell r="L2463"/>
          <cell r="M2463"/>
          <cell r="N2463"/>
          <cell r="O2463"/>
          <cell r="P2463"/>
          <cell r="Q2463"/>
          <cell r="R2463"/>
          <cell r="S2463"/>
          <cell r="T2463"/>
          <cell r="U2463"/>
          <cell r="AF2463" t="str">
            <v>동절기</v>
          </cell>
          <cell r="AG2463">
            <v>0</v>
          </cell>
          <cell r="AH2463">
            <v>0</v>
          </cell>
        </row>
        <row r="2464">
          <cell r="G2464">
            <v>0</v>
          </cell>
          <cell r="H2464"/>
          <cell r="I2464">
            <v>0</v>
          </cell>
          <cell r="J2464"/>
          <cell r="K2464"/>
          <cell r="L2464"/>
          <cell r="M2464"/>
          <cell r="N2464"/>
          <cell r="O2464"/>
          <cell r="P2464"/>
          <cell r="Q2464"/>
          <cell r="R2464"/>
          <cell r="S2464"/>
          <cell r="T2464"/>
          <cell r="U2464"/>
          <cell r="AF2464" t="str">
            <v>동절기</v>
          </cell>
          <cell r="AG2464">
            <v>0</v>
          </cell>
          <cell r="AH2464">
            <v>0</v>
          </cell>
        </row>
        <row r="2465">
          <cell r="G2465">
            <v>0</v>
          </cell>
          <cell r="H2465"/>
          <cell r="I2465">
            <v>0</v>
          </cell>
          <cell r="J2465"/>
          <cell r="K2465"/>
          <cell r="L2465"/>
          <cell r="M2465"/>
          <cell r="N2465"/>
          <cell r="O2465"/>
          <cell r="P2465"/>
          <cell r="Q2465"/>
          <cell r="R2465"/>
          <cell r="S2465"/>
          <cell r="T2465"/>
          <cell r="U2465"/>
          <cell r="AF2465" t="str">
            <v>동절기</v>
          </cell>
          <cell r="AG2465">
            <v>0</v>
          </cell>
          <cell r="AH2465">
            <v>0</v>
          </cell>
        </row>
        <row r="2466">
          <cell r="G2466">
            <v>0</v>
          </cell>
          <cell r="H2466"/>
          <cell r="I2466">
            <v>0</v>
          </cell>
          <cell r="J2466"/>
          <cell r="K2466"/>
          <cell r="L2466"/>
          <cell r="M2466"/>
          <cell r="N2466"/>
          <cell r="O2466"/>
          <cell r="P2466"/>
          <cell r="Q2466"/>
          <cell r="R2466"/>
          <cell r="S2466"/>
          <cell r="T2466"/>
          <cell r="U2466"/>
          <cell r="AF2466" t="str">
            <v>동절기</v>
          </cell>
          <cell r="AG2466">
            <v>0</v>
          </cell>
          <cell r="AH2466">
            <v>0</v>
          </cell>
        </row>
        <row r="2467">
          <cell r="G2467">
            <v>0</v>
          </cell>
          <cell r="H2467"/>
          <cell r="I2467">
            <v>0</v>
          </cell>
          <cell r="J2467"/>
          <cell r="K2467"/>
          <cell r="L2467"/>
          <cell r="M2467"/>
          <cell r="N2467"/>
          <cell r="O2467"/>
          <cell r="P2467"/>
          <cell r="Q2467"/>
          <cell r="R2467"/>
          <cell r="S2467"/>
          <cell r="T2467"/>
          <cell r="U2467"/>
          <cell r="AF2467" t="str">
            <v>동절기</v>
          </cell>
          <cell r="AG2467">
            <v>0</v>
          </cell>
          <cell r="AH2467">
            <v>0</v>
          </cell>
        </row>
        <row r="2468">
          <cell r="G2468">
            <v>0</v>
          </cell>
          <cell r="H2468"/>
          <cell r="I2468">
            <v>0</v>
          </cell>
          <cell r="J2468"/>
          <cell r="K2468"/>
          <cell r="L2468"/>
          <cell r="M2468"/>
          <cell r="N2468"/>
          <cell r="O2468"/>
          <cell r="P2468"/>
          <cell r="Q2468"/>
          <cell r="R2468"/>
          <cell r="S2468"/>
          <cell r="T2468"/>
          <cell r="U2468"/>
          <cell r="AF2468" t="str">
            <v>동절기</v>
          </cell>
          <cell r="AG2468">
            <v>0</v>
          </cell>
          <cell r="AH2468">
            <v>0</v>
          </cell>
        </row>
        <row r="2469">
          <cell r="G2469">
            <v>0</v>
          </cell>
          <cell r="H2469"/>
          <cell r="I2469">
            <v>0</v>
          </cell>
          <cell r="J2469"/>
          <cell r="K2469"/>
          <cell r="L2469"/>
          <cell r="M2469"/>
          <cell r="N2469"/>
          <cell r="O2469"/>
          <cell r="P2469"/>
          <cell r="Q2469"/>
          <cell r="R2469"/>
          <cell r="S2469"/>
          <cell r="T2469"/>
          <cell r="U2469"/>
          <cell r="AF2469" t="str">
            <v>동절기</v>
          </cell>
          <cell r="AG2469">
            <v>0</v>
          </cell>
          <cell r="AH2469">
            <v>0</v>
          </cell>
        </row>
        <row r="2470">
          <cell r="G2470">
            <v>0</v>
          </cell>
          <cell r="H2470"/>
          <cell r="I2470">
            <v>0</v>
          </cell>
          <cell r="J2470"/>
          <cell r="K2470"/>
          <cell r="L2470"/>
          <cell r="M2470"/>
          <cell r="N2470"/>
          <cell r="O2470"/>
          <cell r="P2470"/>
          <cell r="Q2470"/>
          <cell r="R2470"/>
          <cell r="S2470"/>
          <cell r="T2470"/>
          <cell r="U2470"/>
          <cell r="AF2470" t="str">
            <v>동절기</v>
          </cell>
          <cell r="AG2470">
            <v>0</v>
          </cell>
          <cell r="AH2470">
            <v>0</v>
          </cell>
        </row>
        <row r="2471">
          <cell r="G2471">
            <v>0</v>
          </cell>
          <cell r="H2471"/>
          <cell r="I2471">
            <v>0</v>
          </cell>
          <cell r="J2471"/>
          <cell r="K2471"/>
          <cell r="L2471"/>
          <cell r="M2471"/>
          <cell r="N2471"/>
          <cell r="O2471"/>
          <cell r="P2471"/>
          <cell r="Q2471"/>
          <cell r="R2471"/>
          <cell r="S2471"/>
          <cell r="T2471"/>
          <cell r="U2471"/>
          <cell r="AF2471" t="str">
            <v>동절기</v>
          </cell>
          <cell r="AG2471">
            <v>0</v>
          </cell>
          <cell r="AH2471">
            <v>0</v>
          </cell>
        </row>
        <row r="2472">
          <cell r="G2472">
            <v>0</v>
          </cell>
          <cell r="H2472"/>
          <cell r="I2472">
            <v>0</v>
          </cell>
          <cell r="J2472"/>
          <cell r="K2472"/>
          <cell r="L2472"/>
          <cell r="M2472"/>
          <cell r="N2472"/>
          <cell r="O2472"/>
          <cell r="P2472"/>
          <cell r="Q2472"/>
          <cell r="R2472"/>
          <cell r="S2472"/>
          <cell r="T2472"/>
          <cell r="U2472"/>
          <cell r="AF2472" t="str">
            <v>동절기</v>
          </cell>
          <cell r="AG2472">
            <v>0</v>
          </cell>
          <cell r="AH2472">
            <v>0</v>
          </cell>
        </row>
        <row r="2473">
          <cell r="G2473">
            <v>0</v>
          </cell>
          <cell r="H2473"/>
          <cell r="I2473">
            <v>0</v>
          </cell>
          <cell r="J2473"/>
          <cell r="K2473"/>
          <cell r="L2473"/>
          <cell r="M2473"/>
          <cell r="N2473"/>
          <cell r="O2473"/>
          <cell r="P2473"/>
          <cell r="Q2473"/>
          <cell r="R2473"/>
          <cell r="S2473"/>
          <cell r="T2473"/>
          <cell r="U2473"/>
          <cell r="AF2473" t="str">
            <v>동절기</v>
          </cell>
          <cell r="AG2473">
            <v>0</v>
          </cell>
          <cell r="AH2473">
            <v>0</v>
          </cell>
        </row>
        <row r="2474">
          <cell r="G2474">
            <v>0</v>
          </cell>
          <cell r="H2474"/>
          <cell r="I2474">
            <v>0</v>
          </cell>
          <cell r="J2474"/>
          <cell r="K2474"/>
          <cell r="L2474"/>
          <cell r="M2474"/>
          <cell r="N2474"/>
          <cell r="O2474"/>
          <cell r="P2474"/>
          <cell r="Q2474"/>
          <cell r="R2474"/>
          <cell r="S2474"/>
          <cell r="T2474"/>
          <cell r="U2474"/>
          <cell r="AF2474" t="str">
            <v>동절기</v>
          </cell>
          <cell r="AG2474">
            <v>0</v>
          </cell>
          <cell r="AH2474">
            <v>0</v>
          </cell>
        </row>
        <row r="2475">
          <cell r="G2475">
            <v>0</v>
          </cell>
          <cell r="H2475"/>
          <cell r="I2475">
            <v>0</v>
          </cell>
          <cell r="J2475"/>
          <cell r="K2475"/>
          <cell r="L2475"/>
          <cell r="M2475"/>
          <cell r="N2475"/>
          <cell r="O2475"/>
          <cell r="P2475"/>
          <cell r="Q2475"/>
          <cell r="R2475"/>
          <cell r="S2475"/>
          <cell r="T2475"/>
          <cell r="U2475"/>
          <cell r="AF2475" t="str">
            <v>동절기</v>
          </cell>
          <cell r="AG2475">
            <v>0</v>
          </cell>
          <cell r="AH2475">
            <v>0</v>
          </cell>
        </row>
        <row r="2476">
          <cell r="G2476">
            <v>0</v>
          </cell>
          <cell r="H2476"/>
          <cell r="I2476">
            <v>0</v>
          </cell>
          <cell r="J2476"/>
          <cell r="K2476"/>
          <cell r="L2476"/>
          <cell r="M2476"/>
          <cell r="N2476"/>
          <cell r="O2476"/>
          <cell r="P2476"/>
          <cell r="Q2476"/>
          <cell r="R2476"/>
          <cell r="S2476"/>
          <cell r="T2476"/>
          <cell r="U2476"/>
          <cell r="AF2476" t="str">
            <v>동절기</v>
          </cell>
          <cell r="AG2476">
            <v>0</v>
          </cell>
          <cell r="AH2476">
            <v>0</v>
          </cell>
        </row>
        <row r="2477">
          <cell r="G2477">
            <v>0</v>
          </cell>
          <cell r="H2477"/>
          <cell r="I2477">
            <v>0</v>
          </cell>
          <cell r="J2477"/>
          <cell r="K2477"/>
          <cell r="L2477"/>
          <cell r="M2477"/>
          <cell r="N2477"/>
          <cell r="O2477"/>
          <cell r="P2477"/>
          <cell r="Q2477"/>
          <cell r="R2477"/>
          <cell r="S2477"/>
          <cell r="T2477"/>
          <cell r="U2477"/>
          <cell r="AF2477" t="str">
            <v>동절기</v>
          </cell>
          <cell r="AG2477">
            <v>0</v>
          </cell>
          <cell r="AH2477">
            <v>0</v>
          </cell>
        </row>
        <row r="2478">
          <cell r="G2478">
            <v>0</v>
          </cell>
          <cell r="H2478"/>
          <cell r="I2478">
            <v>0</v>
          </cell>
          <cell r="J2478"/>
          <cell r="K2478"/>
          <cell r="L2478"/>
          <cell r="M2478"/>
          <cell r="N2478"/>
          <cell r="O2478"/>
          <cell r="P2478"/>
          <cell r="Q2478"/>
          <cell r="R2478"/>
          <cell r="S2478"/>
          <cell r="T2478"/>
          <cell r="U2478"/>
          <cell r="AF2478" t="str">
            <v>동절기</v>
          </cell>
          <cell r="AG2478">
            <v>0</v>
          </cell>
          <cell r="AH2478">
            <v>0</v>
          </cell>
        </row>
        <row r="2479">
          <cell r="G2479">
            <v>0</v>
          </cell>
          <cell r="H2479"/>
          <cell r="I2479">
            <v>0</v>
          </cell>
          <cell r="J2479"/>
          <cell r="K2479"/>
          <cell r="L2479"/>
          <cell r="M2479"/>
          <cell r="N2479"/>
          <cell r="O2479"/>
          <cell r="P2479"/>
          <cell r="Q2479"/>
          <cell r="R2479"/>
          <cell r="S2479"/>
          <cell r="T2479"/>
          <cell r="U2479"/>
          <cell r="AF2479" t="str">
            <v>동절기</v>
          </cell>
          <cell r="AG2479">
            <v>0</v>
          </cell>
          <cell r="AH2479">
            <v>0</v>
          </cell>
        </row>
        <row r="2480">
          <cell r="G2480">
            <v>0</v>
          </cell>
          <cell r="H2480"/>
          <cell r="I2480">
            <v>0</v>
          </cell>
          <cell r="J2480"/>
          <cell r="K2480"/>
          <cell r="L2480"/>
          <cell r="M2480"/>
          <cell r="N2480"/>
          <cell r="O2480"/>
          <cell r="P2480"/>
          <cell r="Q2480"/>
          <cell r="R2480"/>
          <cell r="S2480"/>
          <cell r="T2480"/>
          <cell r="U2480"/>
          <cell r="AF2480" t="str">
            <v>동절기</v>
          </cell>
          <cell r="AG2480">
            <v>0</v>
          </cell>
          <cell r="AH2480">
            <v>0</v>
          </cell>
        </row>
        <row r="2481">
          <cell r="G2481">
            <v>0</v>
          </cell>
          <cell r="H2481"/>
          <cell r="I2481">
            <v>0</v>
          </cell>
          <cell r="J2481"/>
          <cell r="K2481"/>
          <cell r="L2481"/>
          <cell r="M2481"/>
          <cell r="N2481"/>
          <cell r="O2481"/>
          <cell r="P2481"/>
          <cell r="Q2481"/>
          <cell r="R2481"/>
          <cell r="S2481"/>
          <cell r="T2481"/>
          <cell r="U2481"/>
          <cell r="AF2481" t="str">
            <v>동절기</v>
          </cell>
          <cell r="AG2481">
            <v>0</v>
          </cell>
          <cell r="AH2481">
            <v>0</v>
          </cell>
        </row>
        <row r="2482">
          <cell r="G2482">
            <v>0</v>
          </cell>
          <cell r="H2482"/>
          <cell r="I2482">
            <v>0</v>
          </cell>
          <cell r="J2482"/>
          <cell r="K2482"/>
          <cell r="L2482"/>
          <cell r="M2482"/>
          <cell r="N2482"/>
          <cell r="O2482"/>
          <cell r="P2482"/>
          <cell r="Q2482"/>
          <cell r="R2482"/>
          <cell r="S2482"/>
          <cell r="T2482"/>
          <cell r="U2482"/>
          <cell r="AF2482" t="str">
            <v>동절기</v>
          </cell>
          <cell r="AG2482">
            <v>0</v>
          </cell>
          <cell r="AH2482">
            <v>0</v>
          </cell>
        </row>
        <row r="2483">
          <cell r="G2483">
            <v>0</v>
          </cell>
          <cell r="H2483"/>
          <cell r="I2483">
            <v>0</v>
          </cell>
          <cell r="J2483"/>
          <cell r="K2483"/>
          <cell r="L2483"/>
          <cell r="M2483"/>
          <cell r="N2483"/>
          <cell r="O2483"/>
          <cell r="P2483"/>
          <cell r="Q2483"/>
          <cell r="R2483"/>
          <cell r="S2483"/>
          <cell r="T2483"/>
          <cell r="U2483"/>
          <cell r="AF2483" t="str">
            <v>동절기</v>
          </cell>
          <cell r="AG2483">
            <v>0</v>
          </cell>
          <cell r="AH2483">
            <v>0</v>
          </cell>
        </row>
        <row r="2484">
          <cell r="G2484">
            <v>0</v>
          </cell>
          <cell r="H2484"/>
          <cell r="I2484">
            <v>0</v>
          </cell>
          <cell r="J2484"/>
          <cell r="K2484"/>
          <cell r="L2484"/>
          <cell r="M2484"/>
          <cell r="N2484"/>
          <cell r="O2484"/>
          <cell r="P2484"/>
          <cell r="Q2484"/>
          <cell r="R2484"/>
          <cell r="S2484"/>
          <cell r="T2484"/>
          <cell r="U2484"/>
          <cell r="AF2484" t="str">
            <v>동절기</v>
          </cell>
          <cell r="AG2484">
            <v>0</v>
          </cell>
          <cell r="AH2484">
            <v>0</v>
          </cell>
        </row>
        <row r="2485">
          <cell r="G2485">
            <v>0</v>
          </cell>
          <cell r="H2485"/>
          <cell r="I2485">
            <v>0</v>
          </cell>
          <cell r="J2485"/>
          <cell r="K2485"/>
          <cell r="L2485"/>
          <cell r="M2485"/>
          <cell r="N2485"/>
          <cell r="O2485"/>
          <cell r="P2485"/>
          <cell r="Q2485"/>
          <cell r="R2485"/>
          <cell r="S2485"/>
          <cell r="T2485"/>
          <cell r="U2485"/>
          <cell r="AF2485" t="str">
            <v>동절기</v>
          </cell>
          <cell r="AG2485">
            <v>0</v>
          </cell>
          <cell r="AH2485">
            <v>0</v>
          </cell>
        </row>
        <row r="2486">
          <cell r="G2486">
            <v>0</v>
          </cell>
          <cell r="H2486"/>
          <cell r="I2486">
            <v>0</v>
          </cell>
          <cell r="J2486"/>
          <cell r="K2486"/>
          <cell r="L2486"/>
          <cell r="M2486"/>
          <cell r="N2486"/>
          <cell r="O2486"/>
          <cell r="P2486"/>
          <cell r="Q2486"/>
          <cell r="R2486"/>
          <cell r="S2486"/>
          <cell r="T2486"/>
          <cell r="U2486"/>
          <cell r="AF2486" t="str">
            <v>동절기</v>
          </cell>
          <cell r="AG2486">
            <v>0</v>
          </cell>
          <cell r="AH2486">
            <v>0</v>
          </cell>
        </row>
        <row r="2487">
          <cell r="G2487">
            <v>0</v>
          </cell>
          <cell r="H2487"/>
          <cell r="I2487">
            <v>0</v>
          </cell>
          <cell r="J2487"/>
          <cell r="K2487"/>
          <cell r="L2487"/>
          <cell r="M2487"/>
          <cell r="N2487"/>
          <cell r="O2487"/>
          <cell r="P2487"/>
          <cell r="Q2487"/>
          <cell r="R2487"/>
          <cell r="S2487"/>
          <cell r="T2487"/>
          <cell r="U2487"/>
          <cell r="AF2487" t="str">
            <v>동절기</v>
          </cell>
          <cell r="AG2487">
            <v>0</v>
          </cell>
          <cell r="AH2487">
            <v>0</v>
          </cell>
        </row>
        <row r="2488">
          <cell r="G2488">
            <v>0</v>
          </cell>
          <cell r="H2488"/>
          <cell r="I2488">
            <v>0</v>
          </cell>
          <cell r="J2488"/>
          <cell r="K2488"/>
          <cell r="L2488"/>
          <cell r="M2488"/>
          <cell r="N2488"/>
          <cell r="O2488"/>
          <cell r="P2488"/>
          <cell r="Q2488"/>
          <cell r="R2488"/>
          <cell r="S2488"/>
          <cell r="T2488"/>
          <cell r="U2488"/>
          <cell r="AF2488" t="str">
            <v>동절기</v>
          </cell>
          <cell r="AG2488">
            <v>0</v>
          </cell>
          <cell r="AH2488">
            <v>0</v>
          </cell>
        </row>
        <row r="2489">
          <cell r="G2489">
            <v>0</v>
          </cell>
          <cell r="H2489"/>
          <cell r="I2489">
            <v>0</v>
          </cell>
          <cell r="J2489"/>
          <cell r="K2489"/>
          <cell r="L2489"/>
          <cell r="M2489"/>
          <cell r="N2489"/>
          <cell r="O2489"/>
          <cell r="P2489"/>
          <cell r="Q2489"/>
          <cell r="R2489"/>
          <cell r="S2489"/>
          <cell r="T2489"/>
          <cell r="U2489"/>
          <cell r="AF2489" t="str">
            <v>동절기</v>
          </cell>
          <cell r="AG2489">
            <v>0</v>
          </cell>
          <cell r="AH2489">
            <v>0</v>
          </cell>
        </row>
        <row r="2490">
          <cell r="G2490">
            <v>0</v>
          </cell>
          <cell r="H2490"/>
          <cell r="I2490">
            <v>0</v>
          </cell>
          <cell r="J2490"/>
          <cell r="K2490"/>
          <cell r="L2490"/>
          <cell r="M2490"/>
          <cell r="N2490"/>
          <cell r="O2490"/>
          <cell r="P2490"/>
          <cell r="Q2490"/>
          <cell r="R2490"/>
          <cell r="S2490"/>
          <cell r="T2490"/>
          <cell r="U2490"/>
          <cell r="AF2490" t="str">
            <v>동절기</v>
          </cell>
          <cell r="AG2490">
            <v>0</v>
          </cell>
          <cell r="AH2490">
            <v>0</v>
          </cell>
        </row>
        <row r="2491">
          <cell r="G2491">
            <v>0</v>
          </cell>
          <cell r="H2491"/>
          <cell r="I2491">
            <v>0</v>
          </cell>
          <cell r="J2491"/>
          <cell r="K2491"/>
          <cell r="L2491"/>
          <cell r="M2491"/>
          <cell r="N2491"/>
          <cell r="O2491"/>
          <cell r="P2491"/>
          <cell r="Q2491"/>
          <cell r="R2491"/>
          <cell r="S2491"/>
          <cell r="T2491"/>
          <cell r="U2491"/>
          <cell r="AF2491" t="str">
            <v>동절기</v>
          </cell>
          <cell r="AG2491">
            <v>0</v>
          </cell>
          <cell r="AH2491">
            <v>0</v>
          </cell>
        </row>
        <row r="2492">
          <cell r="G2492">
            <v>0</v>
          </cell>
          <cell r="H2492"/>
          <cell r="I2492">
            <v>0</v>
          </cell>
          <cell r="J2492"/>
          <cell r="K2492"/>
          <cell r="L2492"/>
          <cell r="M2492"/>
          <cell r="N2492"/>
          <cell r="O2492"/>
          <cell r="P2492"/>
          <cell r="Q2492"/>
          <cell r="R2492"/>
          <cell r="S2492"/>
          <cell r="T2492"/>
          <cell r="U2492"/>
          <cell r="AF2492" t="str">
            <v>동절기</v>
          </cell>
          <cell r="AG2492">
            <v>0</v>
          </cell>
          <cell r="AH2492">
            <v>0</v>
          </cell>
        </row>
        <row r="2493">
          <cell r="G2493">
            <v>0</v>
          </cell>
          <cell r="H2493"/>
          <cell r="I2493">
            <v>0</v>
          </cell>
          <cell r="J2493"/>
          <cell r="K2493"/>
          <cell r="L2493"/>
          <cell r="M2493"/>
          <cell r="N2493"/>
          <cell r="O2493"/>
          <cell r="P2493"/>
          <cell r="Q2493"/>
          <cell r="R2493"/>
          <cell r="S2493"/>
          <cell r="T2493"/>
          <cell r="U2493"/>
          <cell r="AF2493" t="str">
            <v>동절기</v>
          </cell>
          <cell r="AG2493">
            <v>0</v>
          </cell>
          <cell r="AH2493">
            <v>0</v>
          </cell>
        </row>
        <row r="2494">
          <cell r="G2494">
            <v>0</v>
          </cell>
          <cell r="H2494"/>
          <cell r="I2494">
            <v>0</v>
          </cell>
          <cell r="J2494"/>
          <cell r="K2494"/>
          <cell r="L2494"/>
          <cell r="M2494"/>
          <cell r="N2494"/>
          <cell r="O2494"/>
          <cell r="P2494"/>
          <cell r="Q2494"/>
          <cell r="R2494"/>
          <cell r="S2494"/>
          <cell r="T2494"/>
          <cell r="U2494"/>
          <cell r="AF2494" t="str">
            <v>동절기</v>
          </cell>
          <cell r="AG2494">
            <v>0</v>
          </cell>
          <cell r="AH2494">
            <v>0</v>
          </cell>
        </row>
        <row r="2495">
          <cell r="G2495">
            <v>0</v>
          </cell>
          <cell r="H2495"/>
          <cell r="I2495">
            <v>0</v>
          </cell>
          <cell r="J2495"/>
          <cell r="K2495"/>
          <cell r="L2495"/>
          <cell r="M2495"/>
          <cell r="N2495"/>
          <cell r="O2495"/>
          <cell r="P2495"/>
          <cell r="Q2495"/>
          <cell r="R2495"/>
          <cell r="S2495"/>
          <cell r="T2495"/>
          <cell r="U2495"/>
          <cell r="AF2495" t="str">
            <v>동절기</v>
          </cell>
          <cell r="AG2495">
            <v>0</v>
          </cell>
          <cell r="AH2495">
            <v>0</v>
          </cell>
        </row>
        <row r="2496">
          <cell r="G2496">
            <v>0</v>
          </cell>
          <cell r="H2496"/>
          <cell r="I2496">
            <v>0</v>
          </cell>
          <cell r="J2496"/>
          <cell r="K2496"/>
          <cell r="L2496"/>
          <cell r="M2496"/>
          <cell r="N2496"/>
          <cell r="O2496"/>
          <cell r="P2496"/>
          <cell r="Q2496"/>
          <cell r="R2496"/>
          <cell r="S2496"/>
          <cell r="T2496"/>
          <cell r="U2496"/>
          <cell r="AF2496" t="str">
            <v>동절기</v>
          </cell>
          <cell r="AG2496">
            <v>0</v>
          </cell>
          <cell r="AH2496">
            <v>0</v>
          </cell>
        </row>
        <row r="2497">
          <cell r="G2497">
            <v>0</v>
          </cell>
          <cell r="H2497"/>
          <cell r="I2497">
            <v>0</v>
          </cell>
          <cell r="J2497"/>
          <cell r="K2497"/>
          <cell r="L2497"/>
          <cell r="M2497"/>
          <cell r="N2497"/>
          <cell r="O2497"/>
          <cell r="P2497"/>
          <cell r="Q2497"/>
          <cell r="R2497"/>
          <cell r="S2497"/>
          <cell r="T2497"/>
          <cell r="U2497"/>
          <cell r="AF2497" t="str">
            <v>동절기</v>
          </cell>
          <cell r="AG2497">
            <v>0</v>
          </cell>
          <cell r="AH2497">
            <v>0</v>
          </cell>
        </row>
        <row r="2498">
          <cell r="G2498">
            <v>0</v>
          </cell>
          <cell r="H2498"/>
          <cell r="I2498">
            <v>0</v>
          </cell>
          <cell r="J2498"/>
          <cell r="K2498"/>
          <cell r="L2498"/>
          <cell r="M2498"/>
          <cell r="N2498"/>
          <cell r="O2498"/>
          <cell r="P2498"/>
          <cell r="Q2498"/>
          <cell r="R2498"/>
          <cell r="S2498"/>
          <cell r="T2498"/>
          <cell r="U2498"/>
          <cell r="AF2498" t="str">
            <v>동절기</v>
          </cell>
          <cell r="AG2498">
            <v>0</v>
          </cell>
          <cell r="AH2498">
            <v>0</v>
          </cell>
        </row>
        <row r="2499">
          <cell r="G2499">
            <v>0</v>
          </cell>
          <cell r="H2499"/>
          <cell r="I2499">
            <v>0</v>
          </cell>
          <cell r="J2499"/>
          <cell r="K2499"/>
          <cell r="L2499"/>
          <cell r="M2499"/>
          <cell r="N2499"/>
          <cell r="O2499"/>
          <cell r="P2499"/>
          <cell r="Q2499"/>
          <cell r="R2499"/>
          <cell r="S2499"/>
          <cell r="T2499"/>
          <cell r="U2499"/>
          <cell r="AF2499" t="str">
            <v>동절기</v>
          </cell>
          <cell r="AG2499">
            <v>0</v>
          </cell>
          <cell r="AH2499">
            <v>0</v>
          </cell>
        </row>
        <row r="2500">
          <cell r="G2500">
            <v>0</v>
          </cell>
          <cell r="H2500"/>
          <cell r="I2500">
            <v>0</v>
          </cell>
          <cell r="J2500"/>
          <cell r="K2500"/>
          <cell r="L2500"/>
          <cell r="M2500"/>
          <cell r="N2500"/>
          <cell r="O2500"/>
          <cell r="P2500"/>
          <cell r="Q2500"/>
          <cell r="R2500"/>
          <cell r="S2500"/>
          <cell r="T2500"/>
          <cell r="U2500"/>
          <cell r="AF2500" t="str">
            <v>동절기</v>
          </cell>
          <cell r="AG2500">
            <v>0</v>
          </cell>
          <cell r="AH2500">
            <v>0</v>
          </cell>
        </row>
        <row r="2501">
          <cell r="G2501">
            <v>0</v>
          </cell>
          <cell r="H2501"/>
          <cell r="I2501">
            <v>0</v>
          </cell>
          <cell r="J2501"/>
          <cell r="K2501"/>
          <cell r="L2501"/>
          <cell r="M2501"/>
          <cell r="N2501"/>
          <cell r="O2501"/>
          <cell r="P2501"/>
          <cell r="Q2501"/>
          <cell r="R2501"/>
          <cell r="S2501"/>
          <cell r="T2501"/>
          <cell r="U2501"/>
          <cell r="AF2501" t="str">
            <v>동절기</v>
          </cell>
          <cell r="AG2501">
            <v>0</v>
          </cell>
          <cell r="AH2501">
            <v>0</v>
          </cell>
        </row>
        <row r="2502">
          <cell r="G2502">
            <v>0</v>
          </cell>
          <cell r="H2502"/>
          <cell r="I2502">
            <v>0</v>
          </cell>
          <cell r="J2502"/>
          <cell r="K2502"/>
          <cell r="L2502"/>
          <cell r="M2502"/>
          <cell r="N2502"/>
          <cell r="O2502"/>
          <cell r="P2502"/>
          <cell r="Q2502"/>
          <cell r="R2502"/>
          <cell r="S2502"/>
          <cell r="T2502"/>
          <cell r="U2502"/>
          <cell r="AF2502" t="str">
            <v>동절기</v>
          </cell>
          <cell r="AG2502">
            <v>0</v>
          </cell>
          <cell r="AH2502">
            <v>0</v>
          </cell>
        </row>
        <row r="2503">
          <cell r="G2503">
            <v>0</v>
          </cell>
          <cell r="H2503"/>
          <cell r="I2503">
            <v>0</v>
          </cell>
          <cell r="J2503"/>
          <cell r="K2503"/>
          <cell r="L2503"/>
          <cell r="M2503"/>
          <cell r="N2503"/>
          <cell r="O2503"/>
          <cell r="P2503"/>
          <cell r="Q2503"/>
          <cell r="R2503"/>
          <cell r="S2503"/>
          <cell r="T2503"/>
          <cell r="U2503"/>
          <cell r="AF2503" t="str">
            <v>동절기</v>
          </cell>
          <cell r="AG2503">
            <v>0</v>
          </cell>
          <cell r="AH2503">
            <v>0</v>
          </cell>
        </row>
        <row r="2504">
          <cell r="G2504">
            <v>0</v>
          </cell>
          <cell r="H2504"/>
          <cell r="I2504">
            <v>0</v>
          </cell>
          <cell r="J2504"/>
          <cell r="K2504"/>
          <cell r="L2504"/>
          <cell r="M2504"/>
          <cell r="N2504"/>
          <cell r="O2504"/>
          <cell r="P2504"/>
          <cell r="Q2504"/>
          <cell r="R2504"/>
          <cell r="S2504"/>
          <cell r="T2504"/>
          <cell r="U2504"/>
          <cell r="AF2504" t="str">
            <v>동절기</v>
          </cell>
          <cell r="AG2504">
            <v>0</v>
          </cell>
          <cell r="AH2504">
            <v>0</v>
          </cell>
        </row>
        <row r="2505">
          <cell r="G2505">
            <v>0</v>
          </cell>
          <cell r="H2505"/>
          <cell r="I2505">
            <v>0</v>
          </cell>
          <cell r="J2505"/>
          <cell r="K2505"/>
          <cell r="L2505"/>
          <cell r="M2505"/>
          <cell r="N2505"/>
          <cell r="O2505"/>
          <cell r="P2505"/>
          <cell r="Q2505"/>
          <cell r="R2505"/>
          <cell r="S2505"/>
          <cell r="T2505"/>
          <cell r="U2505"/>
          <cell r="AF2505" t="str">
            <v>동절기</v>
          </cell>
          <cell r="AG2505">
            <v>0</v>
          </cell>
          <cell r="AH2505">
            <v>0</v>
          </cell>
        </row>
        <row r="2506">
          <cell r="G2506">
            <v>0</v>
          </cell>
          <cell r="H2506"/>
          <cell r="I2506">
            <v>0</v>
          </cell>
          <cell r="J2506"/>
          <cell r="K2506"/>
          <cell r="L2506"/>
          <cell r="M2506"/>
          <cell r="N2506"/>
          <cell r="O2506"/>
          <cell r="P2506"/>
          <cell r="Q2506"/>
          <cell r="R2506"/>
          <cell r="S2506"/>
          <cell r="T2506"/>
          <cell r="U2506"/>
          <cell r="AF2506" t="str">
            <v>동절기</v>
          </cell>
          <cell r="AG2506">
            <v>0</v>
          </cell>
          <cell r="AH2506">
            <v>0</v>
          </cell>
        </row>
        <row r="2507">
          <cell r="G2507">
            <v>0</v>
          </cell>
          <cell r="H2507"/>
          <cell r="I2507">
            <v>0</v>
          </cell>
          <cell r="J2507"/>
          <cell r="K2507"/>
          <cell r="L2507"/>
          <cell r="M2507"/>
          <cell r="N2507"/>
          <cell r="O2507"/>
          <cell r="P2507"/>
          <cell r="Q2507"/>
          <cell r="R2507"/>
          <cell r="S2507"/>
          <cell r="T2507"/>
          <cell r="U2507"/>
          <cell r="AF2507" t="str">
            <v>동절기</v>
          </cell>
          <cell r="AG2507">
            <v>0</v>
          </cell>
          <cell r="AH2507">
            <v>0</v>
          </cell>
        </row>
        <row r="2508">
          <cell r="G2508">
            <v>0</v>
          </cell>
          <cell r="H2508"/>
          <cell r="I2508">
            <v>0</v>
          </cell>
          <cell r="J2508"/>
          <cell r="K2508"/>
          <cell r="L2508"/>
          <cell r="M2508"/>
          <cell r="N2508"/>
          <cell r="O2508"/>
          <cell r="P2508"/>
          <cell r="Q2508"/>
          <cell r="R2508"/>
          <cell r="S2508"/>
          <cell r="T2508"/>
          <cell r="U2508"/>
          <cell r="AF2508" t="str">
            <v>동절기</v>
          </cell>
          <cell r="AG2508">
            <v>0</v>
          </cell>
          <cell r="AH2508">
            <v>0</v>
          </cell>
        </row>
        <row r="2509">
          <cell r="G2509">
            <v>0</v>
          </cell>
          <cell r="H2509"/>
          <cell r="I2509">
            <v>0</v>
          </cell>
          <cell r="J2509"/>
          <cell r="K2509"/>
          <cell r="L2509"/>
          <cell r="M2509"/>
          <cell r="N2509"/>
          <cell r="O2509"/>
          <cell r="P2509"/>
          <cell r="Q2509"/>
          <cell r="R2509"/>
          <cell r="S2509"/>
          <cell r="T2509"/>
          <cell r="U2509"/>
          <cell r="AF2509" t="str">
            <v>동절기</v>
          </cell>
          <cell r="AG2509">
            <v>0</v>
          </cell>
          <cell r="AH2509">
            <v>0</v>
          </cell>
        </row>
        <row r="2510">
          <cell r="G2510">
            <v>0</v>
          </cell>
          <cell r="H2510"/>
          <cell r="I2510">
            <v>0</v>
          </cell>
          <cell r="J2510"/>
          <cell r="K2510"/>
          <cell r="L2510"/>
          <cell r="M2510"/>
          <cell r="N2510"/>
          <cell r="O2510"/>
          <cell r="P2510"/>
          <cell r="Q2510"/>
          <cell r="R2510"/>
          <cell r="S2510"/>
          <cell r="T2510"/>
          <cell r="U2510"/>
          <cell r="AF2510" t="str">
            <v>동절기</v>
          </cell>
          <cell r="AG2510">
            <v>0</v>
          </cell>
          <cell r="AH2510">
            <v>0</v>
          </cell>
        </row>
        <row r="2511">
          <cell r="G2511">
            <v>0</v>
          </cell>
          <cell r="H2511"/>
          <cell r="I2511">
            <v>0</v>
          </cell>
          <cell r="J2511"/>
          <cell r="K2511"/>
          <cell r="L2511"/>
          <cell r="M2511"/>
          <cell r="N2511"/>
          <cell r="O2511"/>
          <cell r="P2511"/>
          <cell r="Q2511"/>
          <cell r="R2511"/>
          <cell r="S2511"/>
          <cell r="T2511"/>
          <cell r="U2511"/>
          <cell r="AF2511" t="str">
            <v>동절기</v>
          </cell>
          <cell r="AG2511">
            <v>0</v>
          </cell>
          <cell r="AH2511">
            <v>0</v>
          </cell>
        </row>
        <row r="2512">
          <cell r="G2512">
            <v>0</v>
          </cell>
          <cell r="H2512"/>
          <cell r="I2512">
            <v>0</v>
          </cell>
          <cell r="J2512"/>
          <cell r="K2512"/>
          <cell r="L2512"/>
          <cell r="M2512"/>
          <cell r="N2512"/>
          <cell r="O2512"/>
          <cell r="P2512"/>
          <cell r="Q2512"/>
          <cell r="R2512"/>
          <cell r="S2512"/>
          <cell r="T2512"/>
          <cell r="U2512"/>
          <cell r="AF2512" t="str">
            <v>동절기</v>
          </cell>
          <cell r="AG2512">
            <v>0</v>
          </cell>
          <cell r="AH2512">
            <v>0</v>
          </cell>
        </row>
        <row r="2513">
          <cell r="G2513">
            <v>0</v>
          </cell>
          <cell r="H2513"/>
          <cell r="I2513">
            <v>0</v>
          </cell>
          <cell r="J2513"/>
          <cell r="K2513"/>
          <cell r="L2513"/>
          <cell r="M2513"/>
          <cell r="N2513"/>
          <cell r="O2513"/>
          <cell r="P2513"/>
          <cell r="Q2513"/>
          <cell r="R2513"/>
          <cell r="S2513"/>
          <cell r="T2513"/>
          <cell r="U2513"/>
          <cell r="AF2513" t="str">
            <v>동절기</v>
          </cell>
          <cell r="AG2513">
            <v>0</v>
          </cell>
          <cell r="AH2513">
            <v>0</v>
          </cell>
        </row>
        <row r="2514">
          <cell r="G2514">
            <v>0</v>
          </cell>
          <cell r="H2514"/>
          <cell r="I2514">
            <v>0</v>
          </cell>
          <cell r="J2514"/>
          <cell r="K2514"/>
          <cell r="L2514"/>
          <cell r="M2514"/>
          <cell r="N2514"/>
          <cell r="O2514"/>
          <cell r="P2514"/>
          <cell r="Q2514"/>
          <cell r="R2514"/>
          <cell r="S2514"/>
          <cell r="T2514"/>
          <cell r="U2514"/>
          <cell r="AF2514" t="str">
            <v>동절기</v>
          </cell>
          <cell r="AG2514">
            <v>0</v>
          </cell>
          <cell r="AH2514">
            <v>0</v>
          </cell>
        </row>
        <row r="2515">
          <cell r="G2515">
            <v>0</v>
          </cell>
          <cell r="H2515"/>
          <cell r="I2515">
            <v>0</v>
          </cell>
          <cell r="J2515"/>
          <cell r="K2515"/>
          <cell r="L2515"/>
          <cell r="M2515"/>
          <cell r="N2515"/>
          <cell r="O2515"/>
          <cell r="P2515"/>
          <cell r="Q2515"/>
          <cell r="R2515"/>
          <cell r="S2515"/>
          <cell r="T2515"/>
          <cell r="U2515"/>
          <cell r="AF2515" t="str">
            <v>동절기</v>
          </cell>
          <cell r="AG2515">
            <v>0</v>
          </cell>
          <cell r="AH2515">
            <v>0</v>
          </cell>
        </row>
        <row r="2516">
          <cell r="G2516">
            <v>0</v>
          </cell>
          <cell r="H2516"/>
          <cell r="I2516">
            <v>0</v>
          </cell>
          <cell r="J2516"/>
          <cell r="K2516"/>
          <cell r="L2516"/>
          <cell r="M2516"/>
          <cell r="N2516"/>
          <cell r="O2516"/>
          <cell r="P2516"/>
          <cell r="Q2516"/>
          <cell r="R2516"/>
          <cell r="S2516"/>
          <cell r="T2516"/>
          <cell r="U2516"/>
          <cell r="AF2516" t="str">
            <v>동절기</v>
          </cell>
          <cell r="AG2516">
            <v>0</v>
          </cell>
          <cell r="AH2516">
            <v>0</v>
          </cell>
        </row>
        <row r="2517">
          <cell r="G2517">
            <v>0</v>
          </cell>
          <cell r="H2517"/>
          <cell r="I2517">
            <v>0</v>
          </cell>
          <cell r="J2517"/>
          <cell r="K2517"/>
          <cell r="L2517"/>
          <cell r="M2517"/>
          <cell r="N2517"/>
          <cell r="O2517"/>
          <cell r="P2517"/>
          <cell r="Q2517"/>
          <cell r="R2517"/>
          <cell r="S2517"/>
          <cell r="T2517"/>
          <cell r="U2517"/>
          <cell r="AF2517" t="str">
            <v>동절기</v>
          </cell>
          <cell r="AG2517">
            <v>0</v>
          </cell>
          <cell r="AH2517">
            <v>0</v>
          </cell>
        </row>
        <row r="2518">
          <cell r="G2518">
            <v>0</v>
          </cell>
          <cell r="H2518"/>
          <cell r="I2518">
            <v>0</v>
          </cell>
          <cell r="J2518"/>
          <cell r="K2518"/>
          <cell r="L2518"/>
          <cell r="M2518"/>
          <cell r="N2518"/>
          <cell r="O2518"/>
          <cell r="P2518"/>
          <cell r="Q2518"/>
          <cell r="R2518"/>
          <cell r="S2518"/>
          <cell r="T2518"/>
          <cell r="U2518"/>
          <cell r="AF2518" t="str">
            <v>동절기</v>
          </cell>
          <cell r="AG2518">
            <v>0</v>
          </cell>
          <cell r="AH2518">
            <v>0</v>
          </cell>
        </row>
        <row r="2519">
          <cell r="G2519">
            <v>0</v>
          </cell>
          <cell r="H2519"/>
          <cell r="I2519">
            <v>0</v>
          </cell>
          <cell r="J2519"/>
          <cell r="K2519"/>
          <cell r="L2519"/>
          <cell r="M2519"/>
          <cell r="N2519"/>
          <cell r="O2519"/>
          <cell r="P2519"/>
          <cell r="Q2519"/>
          <cell r="R2519"/>
          <cell r="S2519"/>
          <cell r="T2519"/>
          <cell r="U2519"/>
          <cell r="AF2519" t="str">
            <v>동절기</v>
          </cell>
          <cell r="AG2519">
            <v>0</v>
          </cell>
          <cell r="AH2519">
            <v>0</v>
          </cell>
        </row>
        <row r="2520">
          <cell r="G2520">
            <v>0</v>
          </cell>
          <cell r="H2520"/>
          <cell r="I2520">
            <v>0</v>
          </cell>
          <cell r="J2520"/>
          <cell r="K2520"/>
          <cell r="L2520"/>
          <cell r="M2520"/>
          <cell r="N2520"/>
          <cell r="O2520"/>
          <cell r="P2520"/>
          <cell r="Q2520"/>
          <cell r="R2520"/>
          <cell r="S2520"/>
          <cell r="T2520"/>
          <cell r="U2520"/>
          <cell r="AF2520" t="str">
            <v>동절기</v>
          </cell>
          <cell r="AG2520">
            <v>0</v>
          </cell>
          <cell r="AH2520">
            <v>0</v>
          </cell>
        </row>
        <row r="2521">
          <cell r="G2521">
            <v>0</v>
          </cell>
          <cell r="H2521"/>
          <cell r="I2521">
            <v>0</v>
          </cell>
          <cell r="J2521"/>
          <cell r="K2521"/>
          <cell r="L2521"/>
          <cell r="M2521"/>
          <cell r="N2521"/>
          <cell r="O2521"/>
          <cell r="P2521"/>
          <cell r="Q2521"/>
          <cell r="R2521"/>
          <cell r="S2521"/>
          <cell r="T2521"/>
          <cell r="U2521"/>
          <cell r="AF2521" t="str">
            <v>동절기</v>
          </cell>
          <cell r="AG2521">
            <v>0</v>
          </cell>
          <cell r="AH2521">
            <v>0</v>
          </cell>
        </row>
        <row r="2522">
          <cell r="G2522">
            <v>0</v>
          </cell>
          <cell r="H2522"/>
          <cell r="I2522">
            <v>0</v>
          </cell>
          <cell r="J2522"/>
          <cell r="K2522"/>
          <cell r="L2522"/>
          <cell r="M2522"/>
          <cell r="N2522"/>
          <cell r="O2522"/>
          <cell r="P2522"/>
          <cell r="Q2522"/>
          <cell r="R2522"/>
          <cell r="S2522"/>
          <cell r="T2522"/>
          <cell r="U2522"/>
          <cell r="AF2522" t="str">
            <v>동절기</v>
          </cell>
          <cell r="AG2522">
            <v>0</v>
          </cell>
          <cell r="AH2522">
            <v>0</v>
          </cell>
        </row>
        <row r="2523">
          <cell r="G2523">
            <v>0</v>
          </cell>
          <cell r="H2523"/>
          <cell r="I2523">
            <v>0</v>
          </cell>
          <cell r="J2523"/>
          <cell r="K2523"/>
          <cell r="L2523"/>
          <cell r="M2523"/>
          <cell r="N2523"/>
          <cell r="O2523"/>
          <cell r="P2523"/>
          <cell r="Q2523"/>
          <cell r="R2523"/>
          <cell r="S2523"/>
          <cell r="T2523"/>
          <cell r="U2523"/>
          <cell r="AF2523" t="str">
            <v>동절기</v>
          </cell>
          <cell r="AG2523">
            <v>0</v>
          </cell>
          <cell r="AH2523">
            <v>0</v>
          </cell>
        </row>
        <row r="2524">
          <cell r="G2524">
            <v>0</v>
          </cell>
          <cell r="H2524"/>
          <cell r="I2524">
            <v>0</v>
          </cell>
          <cell r="J2524"/>
          <cell r="K2524"/>
          <cell r="L2524"/>
          <cell r="M2524"/>
          <cell r="N2524"/>
          <cell r="O2524"/>
          <cell r="P2524"/>
          <cell r="Q2524"/>
          <cell r="R2524"/>
          <cell r="S2524"/>
          <cell r="T2524"/>
          <cell r="U2524"/>
          <cell r="AF2524" t="str">
            <v>동절기</v>
          </cell>
          <cell r="AG2524">
            <v>0</v>
          </cell>
          <cell r="AH2524">
            <v>0</v>
          </cell>
        </row>
        <row r="2525">
          <cell r="G2525">
            <v>0</v>
          </cell>
          <cell r="H2525"/>
          <cell r="I2525">
            <v>0</v>
          </cell>
          <cell r="J2525"/>
          <cell r="K2525"/>
          <cell r="L2525"/>
          <cell r="M2525"/>
          <cell r="N2525"/>
          <cell r="O2525"/>
          <cell r="P2525"/>
          <cell r="Q2525"/>
          <cell r="R2525"/>
          <cell r="S2525"/>
          <cell r="T2525"/>
          <cell r="U2525"/>
          <cell r="AF2525" t="str">
            <v>동절기</v>
          </cell>
          <cell r="AG2525">
            <v>0</v>
          </cell>
          <cell r="AH2525">
            <v>0</v>
          </cell>
        </row>
        <row r="2526">
          <cell r="G2526">
            <v>0</v>
          </cell>
          <cell r="H2526"/>
          <cell r="I2526">
            <v>0</v>
          </cell>
          <cell r="J2526"/>
          <cell r="K2526"/>
          <cell r="L2526"/>
          <cell r="M2526"/>
          <cell r="N2526"/>
          <cell r="O2526"/>
          <cell r="P2526"/>
          <cell r="Q2526"/>
          <cell r="R2526"/>
          <cell r="S2526"/>
          <cell r="T2526"/>
          <cell r="U2526"/>
          <cell r="AF2526" t="str">
            <v>동절기</v>
          </cell>
          <cell r="AG2526">
            <v>0</v>
          </cell>
          <cell r="AH2526">
            <v>0</v>
          </cell>
        </row>
        <row r="2527">
          <cell r="G2527">
            <v>0</v>
          </cell>
          <cell r="H2527"/>
          <cell r="I2527">
            <v>0</v>
          </cell>
          <cell r="J2527"/>
          <cell r="K2527"/>
          <cell r="L2527"/>
          <cell r="M2527"/>
          <cell r="N2527"/>
          <cell r="O2527"/>
          <cell r="P2527"/>
          <cell r="Q2527"/>
          <cell r="R2527"/>
          <cell r="S2527"/>
          <cell r="T2527"/>
          <cell r="U2527"/>
          <cell r="AF2527" t="str">
            <v>동절기</v>
          </cell>
          <cell r="AG2527">
            <v>0</v>
          </cell>
          <cell r="AH2527">
            <v>0</v>
          </cell>
        </row>
        <row r="2528">
          <cell r="G2528">
            <v>0</v>
          </cell>
          <cell r="H2528"/>
          <cell r="I2528">
            <v>0</v>
          </cell>
          <cell r="J2528"/>
          <cell r="K2528"/>
          <cell r="L2528"/>
          <cell r="M2528"/>
          <cell r="N2528"/>
          <cell r="O2528"/>
          <cell r="P2528"/>
          <cell r="Q2528"/>
          <cell r="R2528"/>
          <cell r="S2528"/>
          <cell r="T2528"/>
          <cell r="U2528"/>
          <cell r="AF2528" t="str">
            <v>동절기</v>
          </cell>
          <cell r="AG2528">
            <v>0</v>
          </cell>
          <cell r="AH2528">
            <v>0</v>
          </cell>
        </row>
        <row r="2529">
          <cell r="G2529">
            <v>0</v>
          </cell>
          <cell r="H2529"/>
          <cell r="I2529">
            <v>0</v>
          </cell>
          <cell r="J2529"/>
          <cell r="K2529"/>
          <cell r="L2529"/>
          <cell r="M2529"/>
          <cell r="N2529"/>
          <cell r="O2529"/>
          <cell r="P2529"/>
          <cell r="Q2529"/>
          <cell r="R2529"/>
          <cell r="S2529"/>
          <cell r="T2529"/>
          <cell r="U2529"/>
          <cell r="AF2529" t="str">
            <v>동절기</v>
          </cell>
          <cell r="AG2529">
            <v>0</v>
          </cell>
          <cell r="AH2529">
            <v>0</v>
          </cell>
        </row>
        <row r="2530">
          <cell r="G2530">
            <v>0</v>
          </cell>
          <cell r="H2530"/>
          <cell r="I2530">
            <v>0</v>
          </cell>
          <cell r="J2530"/>
          <cell r="K2530"/>
          <cell r="L2530"/>
          <cell r="M2530"/>
          <cell r="N2530"/>
          <cell r="O2530"/>
          <cell r="P2530"/>
          <cell r="Q2530"/>
          <cell r="R2530"/>
          <cell r="S2530"/>
          <cell r="T2530"/>
          <cell r="U2530"/>
          <cell r="AF2530" t="str">
            <v>동절기</v>
          </cell>
          <cell r="AG2530">
            <v>0</v>
          </cell>
          <cell r="AH2530">
            <v>0</v>
          </cell>
        </row>
        <row r="2531">
          <cell r="G2531">
            <v>0</v>
          </cell>
          <cell r="H2531"/>
          <cell r="I2531">
            <v>0</v>
          </cell>
          <cell r="J2531"/>
          <cell r="K2531"/>
          <cell r="L2531"/>
          <cell r="M2531"/>
          <cell r="N2531"/>
          <cell r="O2531"/>
          <cell r="P2531"/>
          <cell r="Q2531"/>
          <cell r="R2531"/>
          <cell r="S2531"/>
          <cell r="T2531"/>
          <cell r="U2531"/>
          <cell r="AF2531" t="str">
            <v>동절기</v>
          </cell>
          <cell r="AG2531">
            <v>0</v>
          </cell>
          <cell r="AH2531">
            <v>0</v>
          </cell>
        </row>
        <row r="2532">
          <cell r="G2532">
            <v>0</v>
          </cell>
          <cell r="H2532"/>
          <cell r="I2532">
            <v>0</v>
          </cell>
          <cell r="J2532"/>
          <cell r="K2532"/>
          <cell r="L2532"/>
          <cell r="M2532"/>
          <cell r="N2532"/>
          <cell r="O2532"/>
          <cell r="P2532"/>
          <cell r="Q2532"/>
          <cell r="R2532"/>
          <cell r="S2532"/>
          <cell r="T2532"/>
          <cell r="U2532"/>
          <cell r="AF2532" t="str">
            <v>동절기</v>
          </cell>
          <cell r="AG2532">
            <v>0</v>
          </cell>
          <cell r="AH2532">
            <v>0</v>
          </cell>
        </row>
        <row r="2533">
          <cell r="G2533">
            <v>0</v>
          </cell>
          <cell r="H2533"/>
          <cell r="I2533">
            <v>0</v>
          </cell>
          <cell r="J2533"/>
          <cell r="K2533"/>
          <cell r="L2533"/>
          <cell r="M2533"/>
          <cell r="N2533"/>
          <cell r="O2533"/>
          <cell r="P2533"/>
          <cell r="Q2533"/>
          <cell r="R2533"/>
          <cell r="S2533"/>
          <cell r="T2533"/>
          <cell r="U2533"/>
          <cell r="AF2533" t="str">
            <v>동절기</v>
          </cell>
          <cell r="AG2533">
            <v>0</v>
          </cell>
          <cell r="AH2533">
            <v>0</v>
          </cell>
        </row>
        <row r="2534">
          <cell r="G2534">
            <v>0</v>
          </cell>
          <cell r="H2534"/>
          <cell r="I2534">
            <v>0</v>
          </cell>
          <cell r="J2534"/>
          <cell r="K2534"/>
          <cell r="L2534"/>
          <cell r="M2534"/>
          <cell r="N2534"/>
          <cell r="O2534"/>
          <cell r="P2534"/>
          <cell r="Q2534"/>
          <cell r="R2534"/>
          <cell r="S2534"/>
          <cell r="T2534"/>
          <cell r="U2534"/>
          <cell r="AF2534" t="str">
            <v>동절기</v>
          </cell>
          <cell r="AG2534">
            <v>0</v>
          </cell>
          <cell r="AH2534">
            <v>0</v>
          </cell>
        </row>
        <row r="2535">
          <cell r="G2535">
            <v>0</v>
          </cell>
          <cell r="H2535"/>
          <cell r="I2535">
            <v>0</v>
          </cell>
          <cell r="J2535"/>
          <cell r="K2535"/>
          <cell r="L2535"/>
          <cell r="M2535"/>
          <cell r="N2535"/>
          <cell r="O2535"/>
          <cell r="P2535"/>
          <cell r="Q2535"/>
          <cell r="R2535"/>
          <cell r="S2535"/>
          <cell r="T2535"/>
          <cell r="U2535"/>
          <cell r="AF2535" t="str">
            <v>동절기</v>
          </cell>
          <cell r="AG2535">
            <v>0</v>
          </cell>
          <cell r="AH2535">
            <v>0</v>
          </cell>
        </row>
        <row r="2536">
          <cell r="G2536">
            <v>0</v>
          </cell>
          <cell r="H2536"/>
          <cell r="I2536">
            <v>0</v>
          </cell>
          <cell r="J2536"/>
          <cell r="K2536"/>
          <cell r="L2536"/>
          <cell r="M2536"/>
          <cell r="N2536"/>
          <cell r="O2536"/>
          <cell r="P2536"/>
          <cell r="Q2536"/>
          <cell r="R2536"/>
          <cell r="S2536"/>
          <cell r="T2536"/>
          <cell r="U2536"/>
          <cell r="AF2536" t="str">
            <v>동절기</v>
          </cell>
          <cell r="AG2536">
            <v>0</v>
          </cell>
          <cell r="AH2536">
            <v>0</v>
          </cell>
        </row>
        <row r="2537">
          <cell r="G2537">
            <v>0</v>
          </cell>
          <cell r="H2537"/>
          <cell r="I2537">
            <v>0</v>
          </cell>
          <cell r="J2537"/>
          <cell r="K2537"/>
          <cell r="L2537"/>
          <cell r="M2537"/>
          <cell r="N2537"/>
          <cell r="O2537"/>
          <cell r="P2537"/>
          <cell r="Q2537"/>
          <cell r="R2537"/>
          <cell r="S2537"/>
          <cell r="T2537"/>
          <cell r="U2537"/>
          <cell r="AF2537" t="str">
            <v>동절기</v>
          </cell>
          <cell r="AG2537">
            <v>0</v>
          </cell>
          <cell r="AH2537">
            <v>0</v>
          </cell>
        </row>
        <row r="2538">
          <cell r="G2538">
            <v>0</v>
          </cell>
          <cell r="H2538"/>
          <cell r="I2538">
            <v>0</v>
          </cell>
          <cell r="J2538"/>
          <cell r="K2538"/>
          <cell r="L2538"/>
          <cell r="M2538"/>
          <cell r="N2538"/>
          <cell r="O2538"/>
          <cell r="P2538"/>
          <cell r="Q2538"/>
          <cell r="R2538"/>
          <cell r="S2538"/>
          <cell r="T2538"/>
          <cell r="U2538"/>
          <cell r="AF2538" t="str">
            <v>동절기</v>
          </cell>
          <cell r="AG2538">
            <v>0</v>
          </cell>
          <cell r="AH2538">
            <v>0</v>
          </cell>
        </row>
        <row r="2539">
          <cell r="G2539">
            <v>0</v>
          </cell>
          <cell r="H2539"/>
          <cell r="I2539">
            <v>0</v>
          </cell>
          <cell r="J2539"/>
          <cell r="K2539"/>
          <cell r="L2539"/>
          <cell r="M2539"/>
          <cell r="N2539"/>
          <cell r="O2539"/>
          <cell r="P2539"/>
          <cell r="Q2539"/>
          <cell r="R2539"/>
          <cell r="S2539"/>
          <cell r="T2539"/>
          <cell r="U2539"/>
          <cell r="AF2539" t="str">
            <v>동절기</v>
          </cell>
          <cell r="AG2539">
            <v>0</v>
          </cell>
          <cell r="AH2539">
            <v>0</v>
          </cell>
        </row>
        <row r="2540">
          <cell r="G2540">
            <v>0</v>
          </cell>
          <cell r="H2540"/>
          <cell r="I2540">
            <v>0</v>
          </cell>
          <cell r="J2540"/>
          <cell r="K2540"/>
          <cell r="L2540"/>
          <cell r="M2540"/>
          <cell r="N2540"/>
          <cell r="O2540"/>
          <cell r="P2540"/>
          <cell r="Q2540"/>
          <cell r="R2540"/>
          <cell r="S2540"/>
          <cell r="T2540"/>
          <cell r="U2540"/>
          <cell r="AF2540" t="str">
            <v>동절기</v>
          </cell>
          <cell r="AG2540">
            <v>0</v>
          </cell>
          <cell r="AH2540">
            <v>0</v>
          </cell>
        </row>
        <row r="2541">
          <cell r="G2541">
            <v>0</v>
          </cell>
          <cell r="H2541"/>
          <cell r="I2541">
            <v>0</v>
          </cell>
          <cell r="J2541"/>
          <cell r="K2541"/>
          <cell r="L2541"/>
          <cell r="M2541"/>
          <cell r="N2541"/>
          <cell r="O2541"/>
          <cell r="P2541"/>
          <cell r="Q2541"/>
          <cell r="R2541"/>
          <cell r="S2541"/>
          <cell r="T2541"/>
          <cell r="U2541"/>
          <cell r="AF2541" t="str">
            <v>동절기</v>
          </cell>
          <cell r="AG2541">
            <v>0</v>
          </cell>
          <cell r="AH2541">
            <v>0</v>
          </cell>
        </row>
        <row r="2542">
          <cell r="G2542">
            <v>0</v>
          </cell>
          <cell r="H2542"/>
          <cell r="I2542">
            <v>0</v>
          </cell>
          <cell r="J2542"/>
          <cell r="K2542"/>
          <cell r="L2542"/>
          <cell r="M2542"/>
          <cell r="N2542"/>
          <cell r="O2542"/>
          <cell r="P2542"/>
          <cell r="Q2542"/>
          <cell r="R2542"/>
          <cell r="S2542"/>
          <cell r="T2542"/>
          <cell r="U2542"/>
          <cell r="AF2542" t="str">
            <v>동절기</v>
          </cell>
          <cell r="AG2542">
            <v>0</v>
          </cell>
          <cell r="AH2542">
            <v>0</v>
          </cell>
        </row>
        <row r="2543">
          <cell r="G2543">
            <v>0</v>
          </cell>
          <cell r="H2543"/>
          <cell r="I2543">
            <v>0</v>
          </cell>
          <cell r="J2543"/>
          <cell r="K2543"/>
          <cell r="L2543"/>
          <cell r="M2543"/>
          <cell r="N2543"/>
          <cell r="O2543"/>
          <cell r="P2543"/>
          <cell r="Q2543"/>
          <cell r="R2543"/>
          <cell r="S2543"/>
          <cell r="T2543"/>
          <cell r="U2543"/>
          <cell r="AF2543" t="str">
            <v>동절기</v>
          </cell>
          <cell r="AG2543">
            <v>0</v>
          </cell>
          <cell r="AH2543">
            <v>0</v>
          </cell>
        </row>
        <row r="2544">
          <cell r="G2544">
            <v>0</v>
          </cell>
          <cell r="H2544"/>
          <cell r="I2544">
            <v>0</v>
          </cell>
          <cell r="J2544"/>
          <cell r="K2544"/>
          <cell r="L2544"/>
          <cell r="M2544"/>
          <cell r="N2544"/>
          <cell r="O2544"/>
          <cell r="P2544"/>
          <cell r="Q2544"/>
          <cell r="R2544"/>
          <cell r="S2544"/>
          <cell r="T2544"/>
          <cell r="U2544"/>
          <cell r="AF2544" t="str">
            <v>동절기</v>
          </cell>
          <cell r="AG2544">
            <v>0</v>
          </cell>
          <cell r="AH2544">
            <v>0</v>
          </cell>
        </row>
        <row r="2545">
          <cell r="G2545">
            <v>0</v>
          </cell>
          <cell r="H2545"/>
          <cell r="I2545">
            <v>0</v>
          </cell>
          <cell r="J2545"/>
          <cell r="K2545"/>
          <cell r="L2545"/>
          <cell r="M2545"/>
          <cell r="N2545"/>
          <cell r="O2545"/>
          <cell r="P2545"/>
          <cell r="Q2545"/>
          <cell r="R2545"/>
          <cell r="S2545"/>
          <cell r="T2545"/>
          <cell r="U2545"/>
          <cell r="AF2545" t="str">
            <v>동절기</v>
          </cell>
          <cell r="AG2545">
            <v>0</v>
          </cell>
          <cell r="AH2545">
            <v>0</v>
          </cell>
        </row>
        <row r="2546">
          <cell r="G2546">
            <v>0</v>
          </cell>
          <cell r="H2546"/>
          <cell r="I2546">
            <v>0</v>
          </cell>
          <cell r="J2546"/>
          <cell r="K2546"/>
          <cell r="L2546"/>
          <cell r="M2546"/>
          <cell r="N2546"/>
          <cell r="O2546"/>
          <cell r="P2546"/>
          <cell r="Q2546"/>
          <cell r="R2546"/>
          <cell r="S2546"/>
          <cell r="T2546"/>
          <cell r="U2546"/>
          <cell r="AF2546" t="str">
            <v>동절기</v>
          </cell>
          <cell r="AG2546">
            <v>0</v>
          </cell>
          <cell r="AH2546">
            <v>0</v>
          </cell>
        </row>
        <row r="2547">
          <cell r="G2547">
            <v>0</v>
          </cell>
          <cell r="H2547"/>
          <cell r="I2547">
            <v>0</v>
          </cell>
          <cell r="J2547"/>
          <cell r="K2547"/>
          <cell r="L2547"/>
          <cell r="M2547"/>
          <cell r="N2547"/>
          <cell r="O2547"/>
          <cell r="P2547"/>
          <cell r="Q2547"/>
          <cell r="R2547"/>
          <cell r="S2547"/>
          <cell r="T2547"/>
          <cell r="U2547"/>
          <cell r="AF2547" t="str">
            <v>동절기</v>
          </cell>
          <cell r="AG2547">
            <v>0</v>
          </cell>
          <cell r="AH2547">
            <v>0</v>
          </cell>
        </row>
        <row r="2548">
          <cell r="G2548">
            <v>0</v>
          </cell>
          <cell r="H2548"/>
          <cell r="I2548">
            <v>0</v>
          </cell>
          <cell r="J2548"/>
          <cell r="K2548"/>
          <cell r="L2548"/>
          <cell r="M2548"/>
          <cell r="N2548"/>
          <cell r="O2548"/>
          <cell r="P2548"/>
          <cell r="Q2548"/>
          <cell r="R2548"/>
          <cell r="S2548"/>
          <cell r="T2548"/>
          <cell r="U2548"/>
          <cell r="AF2548" t="str">
            <v>동절기</v>
          </cell>
          <cell r="AG2548">
            <v>0</v>
          </cell>
          <cell r="AH2548">
            <v>0</v>
          </cell>
        </row>
        <row r="2549">
          <cell r="G2549">
            <v>0</v>
          </cell>
          <cell r="H2549"/>
          <cell r="I2549">
            <v>0</v>
          </cell>
          <cell r="J2549"/>
          <cell r="K2549"/>
          <cell r="L2549"/>
          <cell r="M2549"/>
          <cell r="N2549"/>
          <cell r="O2549"/>
          <cell r="P2549"/>
          <cell r="Q2549"/>
          <cell r="R2549"/>
          <cell r="S2549"/>
          <cell r="T2549"/>
          <cell r="U2549"/>
          <cell r="AF2549" t="str">
            <v>동절기</v>
          </cell>
          <cell r="AG2549">
            <v>0</v>
          </cell>
          <cell r="AH2549">
            <v>0</v>
          </cell>
        </row>
        <row r="2550">
          <cell r="G2550">
            <v>0</v>
          </cell>
          <cell r="H2550"/>
          <cell r="I2550">
            <v>0</v>
          </cell>
          <cell r="J2550"/>
          <cell r="K2550"/>
          <cell r="L2550"/>
          <cell r="M2550"/>
          <cell r="N2550"/>
          <cell r="O2550"/>
          <cell r="P2550"/>
          <cell r="Q2550"/>
          <cell r="R2550"/>
          <cell r="S2550"/>
          <cell r="T2550"/>
          <cell r="U2550"/>
          <cell r="AF2550" t="str">
            <v>동절기</v>
          </cell>
          <cell r="AG2550">
            <v>0</v>
          </cell>
          <cell r="AH2550">
            <v>0</v>
          </cell>
        </row>
        <row r="2551">
          <cell r="G2551">
            <v>0</v>
          </cell>
          <cell r="H2551"/>
          <cell r="I2551">
            <v>0</v>
          </cell>
          <cell r="J2551"/>
          <cell r="K2551"/>
          <cell r="L2551"/>
          <cell r="M2551"/>
          <cell r="N2551"/>
          <cell r="O2551"/>
          <cell r="P2551"/>
          <cell r="Q2551"/>
          <cell r="R2551"/>
          <cell r="S2551"/>
          <cell r="T2551"/>
          <cell r="U2551"/>
          <cell r="AF2551" t="str">
            <v>동절기</v>
          </cell>
          <cell r="AG2551">
            <v>0</v>
          </cell>
          <cell r="AH2551">
            <v>0</v>
          </cell>
        </row>
        <row r="2552">
          <cell r="G2552">
            <v>0</v>
          </cell>
          <cell r="H2552"/>
          <cell r="I2552">
            <v>0</v>
          </cell>
          <cell r="J2552"/>
          <cell r="K2552"/>
          <cell r="L2552"/>
          <cell r="M2552"/>
          <cell r="N2552"/>
          <cell r="O2552"/>
          <cell r="P2552"/>
          <cell r="Q2552"/>
          <cell r="R2552"/>
          <cell r="S2552"/>
          <cell r="T2552"/>
          <cell r="U2552"/>
          <cell r="AF2552" t="str">
            <v>동절기</v>
          </cell>
          <cell r="AG2552">
            <v>0</v>
          </cell>
          <cell r="AH2552">
            <v>0</v>
          </cell>
        </row>
        <row r="2553">
          <cell r="G2553">
            <v>0</v>
          </cell>
          <cell r="H2553"/>
          <cell r="I2553">
            <v>0</v>
          </cell>
          <cell r="J2553"/>
          <cell r="K2553"/>
          <cell r="L2553"/>
          <cell r="M2553"/>
          <cell r="N2553"/>
          <cell r="O2553"/>
          <cell r="P2553"/>
          <cell r="Q2553"/>
          <cell r="R2553"/>
          <cell r="S2553"/>
          <cell r="T2553"/>
          <cell r="U2553"/>
          <cell r="AF2553" t="str">
            <v>동절기</v>
          </cell>
          <cell r="AG2553">
            <v>0</v>
          </cell>
          <cell r="AH2553">
            <v>0</v>
          </cell>
        </row>
        <row r="2554">
          <cell r="G2554">
            <v>0</v>
          </cell>
          <cell r="H2554"/>
          <cell r="I2554">
            <v>0</v>
          </cell>
          <cell r="J2554"/>
          <cell r="K2554"/>
          <cell r="L2554"/>
          <cell r="M2554"/>
          <cell r="N2554"/>
          <cell r="O2554"/>
          <cell r="P2554"/>
          <cell r="Q2554"/>
          <cell r="R2554"/>
          <cell r="S2554"/>
          <cell r="T2554"/>
          <cell r="U2554"/>
          <cell r="AF2554" t="str">
            <v>동절기</v>
          </cell>
          <cell r="AG2554">
            <v>0</v>
          </cell>
          <cell r="AH2554">
            <v>0</v>
          </cell>
        </row>
        <row r="2555">
          <cell r="G2555">
            <v>0</v>
          </cell>
          <cell r="H2555"/>
          <cell r="I2555">
            <v>0</v>
          </cell>
          <cell r="J2555"/>
          <cell r="K2555"/>
          <cell r="L2555"/>
          <cell r="M2555"/>
          <cell r="N2555"/>
          <cell r="O2555"/>
          <cell r="P2555"/>
          <cell r="Q2555"/>
          <cell r="R2555"/>
          <cell r="S2555"/>
          <cell r="T2555"/>
          <cell r="U2555"/>
          <cell r="AF2555" t="str">
            <v>동절기</v>
          </cell>
          <cell r="AG2555">
            <v>0</v>
          </cell>
          <cell r="AH2555">
            <v>0</v>
          </cell>
        </row>
        <row r="2556">
          <cell r="G2556">
            <v>0</v>
          </cell>
          <cell r="H2556"/>
          <cell r="I2556">
            <v>0</v>
          </cell>
          <cell r="J2556"/>
          <cell r="K2556"/>
          <cell r="L2556"/>
          <cell r="M2556"/>
          <cell r="N2556"/>
          <cell r="O2556"/>
          <cell r="P2556"/>
          <cell r="Q2556"/>
          <cell r="R2556"/>
          <cell r="S2556"/>
          <cell r="T2556"/>
          <cell r="U2556"/>
          <cell r="AF2556" t="str">
            <v>동절기</v>
          </cell>
          <cell r="AG2556">
            <v>0</v>
          </cell>
          <cell r="AH2556">
            <v>0</v>
          </cell>
        </row>
        <row r="2557">
          <cell r="G2557">
            <v>0</v>
          </cell>
          <cell r="H2557"/>
          <cell r="I2557">
            <v>0</v>
          </cell>
          <cell r="J2557"/>
          <cell r="K2557"/>
          <cell r="L2557"/>
          <cell r="M2557"/>
          <cell r="N2557"/>
          <cell r="O2557"/>
          <cell r="P2557"/>
          <cell r="Q2557"/>
          <cell r="R2557"/>
          <cell r="S2557"/>
          <cell r="T2557"/>
          <cell r="U2557"/>
          <cell r="AF2557" t="str">
            <v>동절기</v>
          </cell>
          <cell r="AG2557">
            <v>0</v>
          </cell>
          <cell r="AH2557">
            <v>0</v>
          </cell>
        </row>
        <row r="2558">
          <cell r="G2558">
            <v>0</v>
          </cell>
          <cell r="H2558"/>
          <cell r="I2558">
            <v>0</v>
          </cell>
          <cell r="J2558"/>
          <cell r="K2558"/>
          <cell r="L2558"/>
          <cell r="M2558"/>
          <cell r="N2558"/>
          <cell r="O2558"/>
          <cell r="P2558"/>
          <cell r="Q2558"/>
          <cell r="R2558"/>
          <cell r="S2558"/>
          <cell r="T2558"/>
          <cell r="U2558"/>
          <cell r="AF2558" t="str">
            <v>동절기</v>
          </cell>
          <cell r="AG2558">
            <v>0</v>
          </cell>
          <cell r="AH2558">
            <v>0</v>
          </cell>
        </row>
        <row r="2559">
          <cell r="G2559">
            <v>0</v>
          </cell>
          <cell r="H2559"/>
          <cell r="I2559">
            <v>0</v>
          </cell>
          <cell r="J2559"/>
          <cell r="K2559"/>
          <cell r="L2559"/>
          <cell r="M2559"/>
          <cell r="N2559"/>
          <cell r="O2559"/>
          <cell r="P2559"/>
          <cell r="Q2559"/>
          <cell r="R2559"/>
          <cell r="S2559"/>
          <cell r="T2559"/>
          <cell r="U2559"/>
          <cell r="AF2559" t="str">
            <v>동절기</v>
          </cell>
          <cell r="AG2559">
            <v>0</v>
          </cell>
          <cell r="AH2559">
            <v>0</v>
          </cell>
        </row>
        <row r="2560">
          <cell r="G2560">
            <v>0</v>
          </cell>
          <cell r="H2560"/>
          <cell r="I2560">
            <v>0</v>
          </cell>
          <cell r="J2560"/>
          <cell r="K2560"/>
          <cell r="L2560"/>
          <cell r="M2560"/>
          <cell r="N2560"/>
          <cell r="O2560"/>
          <cell r="P2560"/>
          <cell r="Q2560"/>
          <cell r="R2560"/>
          <cell r="S2560"/>
          <cell r="T2560"/>
          <cell r="U2560"/>
          <cell r="AF2560" t="str">
            <v>동절기</v>
          </cell>
          <cell r="AG2560">
            <v>0</v>
          </cell>
          <cell r="AH2560">
            <v>0</v>
          </cell>
        </row>
        <row r="2561">
          <cell r="G2561">
            <v>0</v>
          </cell>
          <cell r="H2561"/>
          <cell r="I2561">
            <v>0</v>
          </cell>
          <cell r="J2561"/>
          <cell r="K2561"/>
          <cell r="L2561"/>
          <cell r="M2561"/>
          <cell r="N2561"/>
          <cell r="O2561"/>
          <cell r="P2561"/>
          <cell r="Q2561"/>
          <cell r="R2561"/>
          <cell r="S2561"/>
          <cell r="T2561"/>
          <cell r="U2561"/>
          <cell r="AF2561" t="str">
            <v>동절기</v>
          </cell>
          <cell r="AG2561">
            <v>0</v>
          </cell>
          <cell r="AH2561">
            <v>0</v>
          </cell>
        </row>
        <row r="2562">
          <cell r="G2562">
            <v>0</v>
          </cell>
          <cell r="H2562"/>
          <cell r="I2562">
            <v>0</v>
          </cell>
          <cell r="J2562"/>
          <cell r="K2562"/>
          <cell r="L2562"/>
          <cell r="M2562"/>
          <cell r="N2562"/>
          <cell r="O2562"/>
          <cell r="P2562"/>
          <cell r="Q2562"/>
          <cell r="R2562"/>
          <cell r="S2562"/>
          <cell r="T2562"/>
          <cell r="U2562"/>
          <cell r="AF2562" t="str">
            <v>동절기</v>
          </cell>
          <cell r="AG2562">
            <v>0</v>
          </cell>
          <cell r="AH2562">
            <v>0</v>
          </cell>
        </row>
        <row r="2563">
          <cell r="G2563">
            <v>0</v>
          </cell>
          <cell r="H2563"/>
          <cell r="I2563">
            <v>0</v>
          </cell>
          <cell r="J2563"/>
          <cell r="K2563"/>
          <cell r="L2563"/>
          <cell r="M2563"/>
          <cell r="N2563"/>
          <cell r="O2563"/>
          <cell r="P2563"/>
          <cell r="Q2563"/>
          <cell r="R2563"/>
          <cell r="S2563"/>
          <cell r="T2563"/>
          <cell r="U2563"/>
          <cell r="AF2563" t="str">
            <v>동절기</v>
          </cell>
          <cell r="AG2563">
            <v>0</v>
          </cell>
          <cell r="AH2563">
            <v>0</v>
          </cell>
        </row>
        <row r="2564">
          <cell r="G2564">
            <v>0</v>
          </cell>
          <cell r="H2564"/>
          <cell r="I2564">
            <v>0</v>
          </cell>
          <cell r="J2564"/>
          <cell r="K2564"/>
          <cell r="L2564"/>
          <cell r="M2564"/>
          <cell r="N2564"/>
          <cell r="O2564"/>
          <cell r="P2564"/>
          <cell r="Q2564"/>
          <cell r="R2564"/>
          <cell r="S2564"/>
          <cell r="T2564"/>
          <cell r="U2564"/>
          <cell r="AF2564" t="str">
            <v>동절기</v>
          </cell>
          <cell r="AG2564">
            <v>0</v>
          </cell>
          <cell r="AH2564">
            <v>0</v>
          </cell>
        </row>
        <row r="2565">
          <cell r="G2565">
            <v>0</v>
          </cell>
          <cell r="H2565"/>
          <cell r="I2565">
            <v>0</v>
          </cell>
          <cell r="J2565"/>
          <cell r="K2565"/>
          <cell r="L2565"/>
          <cell r="M2565"/>
          <cell r="N2565"/>
          <cell r="O2565"/>
          <cell r="P2565"/>
          <cell r="Q2565"/>
          <cell r="R2565"/>
          <cell r="S2565"/>
          <cell r="T2565"/>
          <cell r="U2565"/>
          <cell r="AF2565" t="str">
            <v>동절기</v>
          </cell>
          <cell r="AG2565">
            <v>0</v>
          </cell>
          <cell r="AH2565">
            <v>0</v>
          </cell>
        </row>
        <row r="2566">
          <cell r="G2566">
            <v>0</v>
          </cell>
          <cell r="H2566"/>
          <cell r="I2566">
            <v>0</v>
          </cell>
          <cell r="J2566"/>
          <cell r="K2566"/>
          <cell r="L2566"/>
          <cell r="M2566"/>
          <cell r="N2566"/>
          <cell r="O2566"/>
          <cell r="P2566"/>
          <cell r="Q2566"/>
          <cell r="R2566"/>
          <cell r="S2566"/>
          <cell r="T2566"/>
          <cell r="U2566"/>
          <cell r="AF2566" t="str">
            <v>동절기</v>
          </cell>
          <cell r="AG2566">
            <v>0</v>
          </cell>
          <cell r="AH2566">
            <v>0</v>
          </cell>
        </row>
        <row r="2567">
          <cell r="G2567">
            <v>0</v>
          </cell>
          <cell r="H2567"/>
          <cell r="I2567">
            <v>0</v>
          </cell>
          <cell r="J2567"/>
          <cell r="K2567"/>
          <cell r="L2567"/>
          <cell r="M2567"/>
          <cell r="N2567"/>
          <cell r="O2567"/>
          <cell r="P2567"/>
          <cell r="Q2567"/>
          <cell r="R2567"/>
          <cell r="S2567"/>
          <cell r="T2567"/>
          <cell r="U2567"/>
          <cell r="AF2567" t="str">
            <v>동절기</v>
          </cell>
          <cell r="AG2567">
            <v>0</v>
          </cell>
          <cell r="AH2567">
            <v>0</v>
          </cell>
        </row>
        <row r="2568">
          <cell r="G2568">
            <v>0</v>
          </cell>
          <cell r="H2568"/>
          <cell r="I2568">
            <v>0</v>
          </cell>
          <cell r="J2568"/>
          <cell r="K2568"/>
          <cell r="L2568"/>
          <cell r="M2568"/>
          <cell r="N2568"/>
          <cell r="O2568"/>
          <cell r="P2568"/>
          <cell r="Q2568"/>
          <cell r="R2568"/>
          <cell r="S2568"/>
          <cell r="T2568"/>
          <cell r="U2568"/>
          <cell r="AF2568" t="str">
            <v>동절기</v>
          </cell>
          <cell r="AG2568">
            <v>0</v>
          </cell>
          <cell r="AH2568">
            <v>0</v>
          </cell>
        </row>
        <row r="2569">
          <cell r="G2569">
            <v>0</v>
          </cell>
          <cell r="H2569"/>
          <cell r="I2569">
            <v>0</v>
          </cell>
          <cell r="J2569"/>
          <cell r="K2569"/>
          <cell r="L2569"/>
          <cell r="M2569"/>
          <cell r="N2569"/>
          <cell r="O2569"/>
          <cell r="P2569"/>
          <cell r="Q2569"/>
          <cell r="R2569"/>
          <cell r="S2569"/>
          <cell r="T2569"/>
          <cell r="U2569"/>
          <cell r="AF2569" t="str">
            <v>동절기</v>
          </cell>
          <cell r="AG2569">
            <v>0</v>
          </cell>
          <cell r="AH2569">
            <v>0</v>
          </cell>
        </row>
        <row r="2570">
          <cell r="G2570">
            <v>0</v>
          </cell>
          <cell r="H2570"/>
          <cell r="I2570">
            <v>0</v>
          </cell>
          <cell r="J2570"/>
          <cell r="K2570"/>
          <cell r="L2570"/>
          <cell r="M2570"/>
          <cell r="N2570"/>
          <cell r="O2570"/>
          <cell r="P2570"/>
          <cell r="Q2570"/>
          <cell r="R2570"/>
          <cell r="S2570"/>
          <cell r="T2570"/>
          <cell r="U2570"/>
          <cell r="AF2570" t="str">
            <v>동절기</v>
          </cell>
          <cell r="AG2570">
            <v>0</v>
          </cell>
          <cell r="AH2570">
            <v>0</v>
          </cell>
        </row>
        <row r="2571">
          <cell r="G2571">
            <v>0</v>
          </cell>
          <cell r="H2571"/>
          <cell r="I2571">
            <v>0</v>
          </cell>
          <cell r="J2571"/>
          <cell r="K2571"/>
          <cell r="L2571"/>
          <cell r="M2571"/>
          <cell r="N2571"/>
          <cell r="O2571"/>
          <cell r="P2571"/>
          <cell r="Q2571"/>
          <cell r="R2571"/>
          <cell r="S2571"/>
          <cell r="T2571"/>
          <cell r="U2571"/>
          <cell r="AF2571" t="str">
            <v>동절기</v>
          </cell>
          <cell r="AG2571">
            <v>0</v>
          </cell>
          <cell r="AH2571">
            <v>0</v>
          </cell>
        </row>
        <row r="2572">
          <cell r="G2572">
            <v>0</v>
          </cell>
          <cell r="H2572"/>
          <cell r="I2572">
            <v>0</v>
          </cell>
          <cell r="J2572"/>
          <cell r="K2572"/>
          <cell r="L2572"/>
          <cell r="M2572"/>
          <cell r="N2572"/>
          <cell r="O2572"/>
          <cell r="P2572"/>
          <cell r="Q2572"/>
          <cell r="R2572"/>
          <cell r="S2572"/>
          <cell r="T2572"/>
          <cell r="U2572"/>
          <cell r="AF2572" t="str">
            <v>동절기</v>
          </cell>
          <cell r="AG2572">
            <v>0</v>
          </cell>
          <cell r="AH2572">
            <v>0</v>
          </cell>
        </row>
        <row r="2573">
          <cell r="G2573">
            <v>0</v>
          </cell>
          <cell r="H2573"/>
          <cell r="I2573">
            <v>0</v>
          </cell>
          <cell r="J2573"/>
          <cell r="K2573"/>
          <cell r="L2573"/>
          <cell r="M2573"/>
          <cell r="N2573"/>
          <cell r="O2573"/>
          <cell r="P2573"/>
          <cell r="Q2573"/>
          <cell r="R2573"/>
          <cell r="S2573"/>
          <cell r="T2573"/>
          <cell r="U2573"/>
          <cell r="AF2573" t="str">
            <v>동절기</v>
          </cell>
          <cell r="AG2573">
            <v>0</v>
          </cell>
          <cell r="AH2573">
            <v>0</v>
          </cell>
        </row>
        <row r="2574">
          <cell r="G2574">
            <v>0</v>
          </cell>
          <cell r="H2574"/>
          <cell r="I2574">
            <v>0</v>
          </cell>
          <cell r="J2574"/>
          <cell r="K2574"/>
          <cell r="L2574"/>
          <cell r="M2574"/>
          <cell r="N2574"/>
          <cell r="O2574"/>
          <cell r="P2574"/>
          <cell r="Q2574"/>
          <cell r="R2574"/>
          <cell r="S2574"/>
          <cell r="T2574"/>
          <cell r="U2574"/>
          <cell r="AF2574" t="str">
            <v>동절기</v>
          </cell>
          <cell r="AG2574">
            <v>0</v>
          </cell>
          <cell r="AH2574">
            <v>0</v>
          </cell>
        </row>
        <row r="2575">
          <cell r="G2575">
            <v>0</v>
          </cell>
          <cell r="H2575"/>
          <cell r="I2575">
            <v>0</v>
          </cell>
          <cell r="J2575"/>
          <cell r="K2575"/>
          <cell r="L2575"/>
          <cell r="M2575"/>
          <cell r="N2575"/>
          <cell r="O2575"/>
          <cell r="P2575"/>
          <cell r="Q2575"/>
          <cell r="R2575"/>
          <cell r="S2575"/>
          <cell r="T2575"/>
          <cell r="U2575"/>
          <cell r="AF2575" t="str">
            <v>동절기</v>
          </cell>
          <cell r="AG2575">
            <v>0</v>
          </cell>
          <cell r="AH2575">
            <v>0</v>
          </cell>
        </row>
        <row r="2576">
          <cell r="G2576">
            <v>0</v>
          </cell>
          <cell r="H2576"/>
          <cell r="I2576">
            <v>0</v>
          </cell>
          <cell r="J2576"/>
          <cell r="K2576"/>
          <cell r="L2576"/>
          <cell r="M2576"/>
          <cell r="N2576"/>
          <cell r="O2576"/>
          <cell r="P2576"/>
          <cell r="Q2576"/>
          <cell r="R2576"/>
          <cell r="S2576"/>
          <cell r="T2576"/>
          <cell r="U2576"/>
          <cell r="AF2576" t="str">
            <v>동절기</v>
          </cell>
          <cell r="AG2576">
            <v>0</v>
          </cell>
          <cell r="AH2576">
            <v>0</v>
          </cell>
        </row>
        <row r="2577">
          <cell r="G2577">
            <v>0</v>
          </cell>
          <cell r="H2577"/>
          <cell r="I2577">
            <v>0</v>
          </cell>
          <cell r="J2577"/>
          <cell r="K2577"/>
          <cell r="L2577"/>
          <cell r="M2577"/>
          <cell r="N2577"/>
          <cell r="O2577"/>
          <cell r="P2577"/>
          <cell r="Q2577"/>
          <cell r="R2577"/>
          <cell r="S2577"/>
          <cell r="T2577"/>
          <cell r="U2577"/>
          <cell r="AF2577" t="str">
            <v>동절기</v>
          </cell>
          <cell r="AG2577">
            <v>0</v>
          </cell>
          <cell r="AH2577">
            <v>0</v>
          </cell>
        </row>
        <row r="2578">
          <cell r="G2578">
            <v>0</v>
          </cell>
          <cell r="H2578"/>
          <cell r="I2578">
            <v>0</v>
          </cell>
          <cell r="J2578"/>
          <cell r="K2578"/>
          <cell r="L2578"/>
          <cell r="M2578"/>
          <cell r="N2578"/>
          <cell r="O2578"/>
          <cell r="P2578"/>
          <cell r="Q2578"/>
          <cell r="R2578"/>
          <cell r="S2578"/>
          <cell r="T2578"/>
          <cell r="U2578"/>
          <cell r="AF2578" t="str">
            <v>동절기</v>
          </cell>
          <cell r="AG2578">
            <v>0</v>
          </cell>
          <cell r="AH2578">
            <v>0</v>
          </cell>
        </row>
        <row r="2579">
          <cell r="G2579">
            <v>0</v>
          </cell>
          <cell r="H2579"/>
          <cell r="I2579">
            <v>0</v>
          </cell>
          <cell r="J2579"/>
          <cell r="K2579"/>
          <cell r="L2579"/>
          <cell r="M2579"/>
          <cell r="N2579"/>
          <cell r="O2579"/>
          <cell r="P2579"/>
          <cell r="Q2579"/>
          <cell r="R2579"/>
          <cell r="S2579"/>
          <cell r="T2579"/>
          <cell r="U2579"/>
          <cell r="AF2579" t="str">
            <v>동절기</v>
          </cell>
          <cell r="AG2579">
            <v>0</v>
          </cell>
          <cell r="AH2579">
            <v>0</v>
          </cell>
        </row>
        <row r="2580">
          <cell r="G2580">
            <v>0</v>
          </cell>
          <cell r="H2580"/>
          <cell r="I2580">
            <v>0</v>
          </cell>
          <cell r="J2580"/>
          <cell r="K2580"/>
          <cell r="L2580"/>
          <cell r="M2580"/>
          <cell r="N2580"/>
          <cell r="O2580"/>
          <cell r="P2580"/>
          <cell r="Q2580"/>
          <cell r="R2580"/>
          <cell r="S2580"/>
          <cell r="T2580"/>
          <cell r="U2580"/>
          <cell r="AF2580" t="str">
            <v>동절기</v>
          </cell>
          <cell r="AG2580">
            <v>0</v>
          </cell>
          <cell r="AH2580">
            <v>0</v>
          </cell>
        </row>
        <row r="2581">
          <cell r="G2581">
            <v>0</v>
          </cell>
          <cell r="H2581"/>
          <cell r="I2581">
            <v>0</v>
          </cell>
          <cell r="J2581"/>
          <cell r="K2581"/>
          <cell r="L2581"/>
          <cell r="M2581"/>
          <cell r="N2581"/>
          <cell r="O2581"/>
          <cell r="P2581"/>
          <cell r="Q2581"/>
          <cell r="R2581"/>
          <cell r="S2581"/>
          <cell r="T2581"/>
          <cell r="U2581"/>
          <cell r="AF2581" t="str">
            <v>동절기</v>
          </cell>
          <cell r="AG2581">
            <v>0</v>
          </cell>
          <cell r="AH2581">
            <v>0</v>
          </cell>
        </row>
        <row r="2582">
          <cell r="G2582">
            <v>0</v>
          </cell>
          <cell r="H2582"/>
          <cell r="I2582">
            <v>0</v>
          </cell>
          <cell r="J2582"/>
          <cell r="K2582"/>
          <cell r="L2582"/>
          <cell r="M2582"/>
          <cell r="N2582"/>
          <cell r="O2582"/>
          <cell r="P2582"/>
          <cell r="Q2582"/>
          <cell r="R2582"/>
          <cell r="S2582"/>
          <cell r="T2582"/>
          <cell r="U2582"/>
          <cell r="AF2582" t="str">
            <v>동절기</v>
          </cell>
          <cell r="AG2582">
            <v>0</v>
          </cell>
          <cell r="AH2582">
            <v>0</v>
          </cell>
        </row>
        <row r="2583">
          <cell r="G2583">
            <v>0</v>
          </cell>
          <cell r="H2583"/>
          <cell r="I2583">
            <v>0</v>
          </cell>
          <cell r="J2583"/>
          <cell r="K2583"/>
          <cell r="L2583"/>
          <cell r="M2583"/>
          <cell r="N2583"/>
          <cell r="O2583"/>
          <cell r="P2583"/>
          <cell r="Q2583"/>
          <cell r="R2583"/>
          <cell r="S2583"/>
          <cell r="T2583"/>
          <cell r="U2583"/>
          <cell r="AF2583" t="str">
            <v>동절기</v>
          </cell>
          <cell r="AG2583">
            <v>0</v>
          </cell>
          <cell r="AH2583">
            <v>0</v>
          </cell>
        </row>
        <row r="2584">
          <cell r="G2584">
            <v>0</v>
          </cell>
          <cell r="H2584"/>
          <cell r="I2584">
            <v>0</v>
          </cell>
          <cell r="J2584"/>
          <cell r="K2584"/>
          <cell r="L2584"/>
          <cell r="M2584"/>
          <cell r="N2584"/>
          <cell r="O2584"/>
          <cell r="P2584"/>
          <cell r="Q2584"/>
          <cell r="R2584"/>
          <cell r="S2584"/>
          <cell r="T2584"/>
          <cell r="U2584"/>
          <cell r="AF2584" t="str">
            <v>동절기</v>
          </cell>
          <cell r="AG2584">
            <v>0</v>
          </cell>
          <cell r="AH2584">
            <v>0</v>
          </cell>
        </row>
        <row r="2585">
          <cell r="G2585">
            <v>0</v>
          </cell>
          <cell r="H2585"/>
          <cell r="I2585">
            <v>0</v>
          </cell>
          <cell r="J2585"/>
          <cell r="K2585"/>
          <cell r="L2585"/>
          <cell r="M2585"/>
          <cell r="N2585"/>
          <cell r="O2585"/>
          <cell r="P2585"/>
          <cell r="Q2585"/>
          <cell r="R2585"/>
          <cell r="S2585"/>
          <cell r="T2585"/>
          <cell r="U2585"/>
          <cell r="AF2585" t="str">
            <v>동절기</v>
          </cell>
          <cell r="AG2585">
            <v>0</v>
          </cell>
          <cell r="AH2585">
            <v>0</v>
          </cell>
        </row>
        <row r="2586">
          <cell r="G2586">
            <v>0</v>
          </cell>
          <cell r="H2586"/>
          <cell r="I2586">
            <v>0</v>
          </cell>
          <cell r="J2586"/>
          <cell r="K2586"/>
          <cell r="L2586"/>
          <cell r="M2586"/>
          <cell r="N2586"/>
          <cell r="O2586"/>
          <cell r="P2586"/>
          <cell r="Q2586"/>
          <cell r="R2586"/>
          <cell r="S2586"/>
          <cell r="T2586"/>
          <cell r="U2586"/>
          <cell r="AF2586" t="str">
            <v>동절기</v>
          </cell>
          <cell r="AG2586">
            <v>0</v>
          </cell>
          <cell r="AH2586">
            <v>0</v>
          </cell>
        </row>
        <row r="2587">
          <cell r="G2587">
            <v>0</v>
          </cell>
          <cell r="H2587"/>
          <cell r="I2587">
            <v>0</v>
          </cell>
          <cell r="J2587"/>
          <cell r="K2587"/>
          <cell r="L2587"/>
          <cell r="M2587"/>
          <cell r="N2587"/>
          <cell r="O2587"/>
          <cell r="P2587"/>
          <cell r="Q2587"/>
          <cell r="R2587"/>
          <cell r="S2587"/>
          <cell r="T2587"/>
          <cell r="U2587"/>
          <cell r="AF2587" t="str">
            <v>동절기</v>
          </cell>
          <cell r="AG2587">
            <v>0</v>
          </cell>
          <cell r="AH2587">
            <v>0</v>
          </cell>
        </row>
        <row r="2588">
          <cell r="G2588">
            <v>0</v>
          </cell>
          <cell r="H2588"/>
          <cell r="I2588">
            <v>0</v>
          </cell>
          <cell r="J2588"/>
          <cell r="K2588"/>
          <cell r="L2588"/>
          <cell r="M2588"/>
          <cell r="N2588"/>
          <cell r="O2588"/>
          <cell r="P2588"/>
          <cell r="Q2588"/>
          <cell r="R2588"/>
          <cell r="S2588"/>
          <cell r="T2588"/>
          <cell r="U2588"/>
          <cell r="AF2588" t="str">
            <v>동절기</v>
          </cell>
          <cell r="AG2588">
            <v>0</v>
          </cell>
          <cell r="AH2588">
            <v>0</v>
          </cell>
        </row>
        <row r="2589">
          <cell r="G2589">
            <v>0</v>
          </cell>
          <cell r="H2589"/>
          <cell r="I2589">
            <v>0</v>
          </cell>
          <cell r="J2589"/>
          <cell r="K2589"/>
          <cell r="L2589"/>
          <cell r="M2589"/>
          <cell r="N2589"/>
          <cell r="O2589"/>
          <cell r="P2589"/>
          <cell r="Q2589"/>
          <cell r="R2589"/>
          <cell r="S2589"/>
          <cell r="T2589"/>
          <cell r="U2589"/>
          <cell r="AF2589" t="str">
            <v>동절기</v>
          </cell>
          <cell r="AG2589">
            <v>0</v>
          </cell>
          <cell r="AH2589">
            <v>0</v>
          </cell>
        </row>
        <row r="2590">
          <cell r="G2590">
            <v>0</v>
          </cell>
          <cell r="H2590"/>
          <cell r="I2590">
            <v>0</v>
          </cell>
          <cell r="J2590"/>
          <cell r="K2590"/>
          <cell r="L2590"/>
          <cell r="M2590"/>
          <cell r="N2590"/>
          <cell r="O2590"/>
          <cell r="P2590"/>
          <cell r="Q2590"/>
          <cell r="R2590"/>
          <cell r="S2590"/>
          <cell r="T2590"/>
          <cell r="U2590"/>
          <cell r="AF2590" t="str">
            <v>동절기</v>
          </cell>
          <cell r="AG2590">
            <v>0</v>
          </cell>
          <cell r="AH2590">
            <v>0</v>
          </cell>
        </row>
        <row r="2591">
          <cell r="G2591">
            <v>0</v>
          </cell>
          <cell r="H2591"/>
          <cell r="I2591">
            <v>0</v>
          </cell>
          <cell r="J2591"/>
          <cell r="K2591"/>
          <cell r="L2591"/>
          <cell r="M2591"/>
          <cell r="N2591"/>
          <cell r="O2591"/>
          <cell r="P2591"/>
          <cell r="Q2591"/>
          <cell r="R2591"/>
          <cell r="S2591"/>
          <cell r="T2591"/>
          <cell r="U2591"/>
          <cell r="AF2591" t="str">
            <v>동절기</v>
          </cell>
          <cell r="AG2591">
            <v>0</v>
          </cell>
          <cell r="AH2591">
            <v>0</v>
          </cell>
        </row>
        <row r="2592">
          <cell r="G2592">
            <v>0</v>
          </cell>
          <cell r="H2592"/>
          <cell r="I2592">
            <v>0</v>
          </cell>
          <cell r="J2592"/>
          <cell r="K2592"/>
          <cell r="L2592"/>
          <cell r="M2592"/>
          <cell r="N2592"/>
          <cell r="O2592"/>
          <cell r="P2592"/>
          <cell r="Q2592"/>
          <cell r="R2592"/>
          <cell r="S2592"/>
          <cell r="T2592"/>
          <cell r="U2592"/>
          <cell r="AF2592" t="str">
            <v>동절기</v>
          </cell>
          <cell r="AG2592">
            <v>0</v>
          </cell>
          <cell r="AH2592">
            <v>0</v>
          </cell>
        </row>
        <row r="2593">
          <cell r="G2593">
            <v>0</v>
          </cell>
          <cell r="H2593"/>
          <cell r="I2593">
            <v>0</v>
          </cell>
          <cell r="J2593"/>
          <cell r="K2593"/>
          <cell r="L2593"/>
          <cell r="M2593"/>
          <cell r="N2593"/>
          <cell r="O2593"/>
          <cell r="P2593"/>
          <cell r="Q2593"/>
          <cell r="R2593"/>
          <cell r="S2593"/>
          <cell r="T2593"/>
          <cell r="U2593"/>
          <cell r="AF2593" t="str">
            <v>동절기</v>
          </cell>
          <cell r="AG2593">
            <v>0</v>
          </cell>
          <cell r="AH2593">
            <v>0</v>
          </cell>
        </row>
        <row r="2594">
          <cell r="G2594">
            <v>0</v>
          </cell>
          <cell r="H2594"/>
          <cell r="I2594">
            <v>0</v>
          </cell>
          <cell r="J2594"/>
          <cell r="K2594"/>
          <cell r="L2594"/>
          <cell r="M2594"/>
          <cell r="N2594"/>
          <cell r="O2594"/>
          <cell r="P2594"/>
          <cell r="Q2594"/>
          <cell r="R2594"/>
          <cell r="S2594"/>
          <cell r="T2594"/>
          <cell r="U2594"/>
          <cell r="AF2594" t="str">
            <v>동절기</v>
          </cell>
          <cell r="AG2594">
            <v>0</v>
          </cell>
          <cell r="AH2594">
            <v>0</v>
          </cell>
        </row>
        <row r="2595">
          <cell r="G2595">
            <v>0</v>
          </cell>
          <cell r="H2595"/>
          <cell r="I2595">
            <v>0</v>
          </cell>
          <cell r="J2595"/>
          <cell r="K2595"/>
          <cell r="L2595"/>
          <cell r="M2595"/>
          <cell r="N2595"/>
          <cell r="O2595"/>
          <cell r="P2595"/>
          <cell r="Q2595"/>
          <cell r="R2595"/>
          <cell r="S2595"/>
          <cell r="T2595"/>
          <cell r="U2595"/>
          <cell r="AF2595" t="str">
            <v>동절기</v>
          </cell>
          <cell r="AG2595">
            <v>0</v>
          </cell>
          <cell r="AH2595">
            <v>0</v>
          </cell>
        </row>
        <row r="2596">
          <cell r="G2596">
            <v>0</v>
          </cell>
          <cell r="H2596"/>
          <cell r="I2596">
            <v>0</v>
          </cell>
          <cell r="J2596"/>
          <cell r="K2596"/>
          <cell r="L2596"/>
          <cell r="M2596"/>
          <cell r="N2596"/>
          <cell r="O2596"/>
          <cell r="P2596"/>
          <cell r="Q2596"/>
          <cell r="R2596"/>
          <cell r="S2596"/>
          <cell r="T2596"/>
          <cell r="U2596"/>
          <cell r="AF2596" t="str">
            <v>동절기</v>
          </cell>
          <cell r="AG2596">
            <v>0</v>
          </cell>
          <cell r="AH2596">
            <v>0</v>
          </cell>
        </row>
        <row r="2597">
          <cell r="G2597">
            <v>0</v>
          </cell>
          <cell r="H2597"/>
          <cell r="I2597">
            <v>0</v>
          </cell>
          <cell r="J2597"/>
          <cell r="K2597"/>
          <cell r="L2597"/>
          <cell r="M2597"/>
          <cell r="N2597"/>
          <cell r="O2597"/>
          <cell r="P2597"/>
          <cell r="Q2597"/>
          <cell r="R2597"/>
          <cell r="S2597"/>
          <cell r="T2597"/>
          <cell r="U2597"/>
          <cell r="AF2597" t="str">
            <v>동절기</v>
          </cell>
          <cell r="AG2597">
            <v>0</v>
          </cell>
          <cell r="AH2597">
            <v>0</v>
          </cell>
        </row>
        <row r="2598">
          <cell r="G2598">
            <v>0</v>
          </cell>
          <cell r="H2598"/>
          <cell r="I2598">
            <v>0</v>
          </cell>
          <cell r="J2598"/>
          <cell r="K2598"/>
          <cell r="L2598"/>
          <cell r="M2598"/>
          <cell r="N2598"/>
          <cell r="O2598"/>
          <cell r="P2598"/>
          <cell r="Q2598"/>
          <cell r="R2598"/>
          <cell r="S2598"/>
          <cell r="T2598"/>
          <cell r="U2598"/>
          <cell r="AF2598" t="str">
            <v>동절기</v>
          </cell>
          <cell r="AG2598">
            <v>0</v>
          </cell>
          <cell r="AH2598">
            <v>0</v>
          </cell>
        </row>
        <row r="2599">
          <cell r="G2599">
            <v>0</v>
          </cell>
          <cell r="H2599"/>
          <cell r="I2599">
            <v>0</v>
          </cell>
          <cell r="J2599"/>
          <cell r="K2599"/>
          <cell r="L2599"/>
          <cell r="M2599"/>
          <cell r="N2599"/>
          <cell r="O2599"/>
          <cell r="P2599"/>
          <cell r="Q2599"/>
          <cell r="R2599"/>
          <cell r="S2599"/>
          <cell r="T2599"/>
          <cell r="U2599"/>
          <cell r="AF2599" t="str">
            <v>동절기</v>
          </cell>
          <cell r="AG2599">
            <v>0</v>
          </cell>
          <cell r="AH2599">
            <v>0</v>
          </cell>
        </row>
        <row r="2600">
          <cell r="G2600">
            <v>0</v>
          </cell>
          <cell r="H2600"/>
          <cell r="I2600">
            <v>0</v>
          </cell>
          <cell r="J2600"/>
          <cell r="K2600"/>
          <cell r="L2600"/>
          <cell r="M2600"/>
          <cell r="N2600"/>
          <cell r="O2600"/>
          <cell r="P2600"/>
          <cell r="Q2600"/>
          <cell r="R2600"/>
          <cell r="S2600"/>
          <cell r="T2600"/>
          <cell r="U2600"/>
          <cell r="AF2600" t="str">
            <v>동절기</v>
          </cell>
          <cell r="AG2600">
            <v>0</v>
          </cell>
          <cell r="AH2600">
            <v>0</v>
          </cell>
        </row>
        <row r="2601">
          <cell r="G2601">
            <v>0</v>
          </cell>
          <cell r="H2601"/>
          <cell r="I2601">
            <v>0</v>
          </cell>
          <cell r="J2601"/>
          <cell r="K2601"/>
          <cell r="L2601"/>
          <cell r="M2601"/>
          <cell r="N2601"/>
          <cell r="O2601"/>
          <cell r="P2601"/>
          <cell r="Q2601"/>
          <cell r="R2601"/>
          <cell r="S2601"/>
          <cell r="T2601"/>
          <cell r="U2601"/>
          <cell r="AF2601" t="str">
            <v>동절기</v>
          </cell>
          <cell r="AG2601">
            <v>0</v>
          </cell>
          <cell r="AH2601">
            <v>0</v>
          </cell>
        </row>
        <row r="2602">
          <cell r="G2602">
            <v>0</v>
          </cell>
          <cell r="H2602"/>
          <cell r="I2602">
            <v>0</v>
          </cell>
          <cell r="J2602"/>
          <cell r="K2602"/>
          <cell r="L2602"/>
          <cell r="M2602"/>
          <cell r="N2602"/>
          <cell r="O2602"/>
          <cell r="P2602"/>
          <cell r="Q2602"/>
          <cell r="R2602"/>
          <cell r="S2602"/>
          <cell r="T2602"/>
          <cell r="U2602"/>
          <cell r="AF2602" t="str">
            <v>동절기</v>
          </cell>
          <cell r="AG2602">
            <v>0</v>
          </cell>
          <cell r="AH2602">
            <v>0</v>
          </cell>
        </row>
        <row r="2603">
          <cell r="G2603">
            <v>0</v>
          </cell>
          <cell r="H2603"/>
          <cell r="I2603">
            <v>0</v>
          </cell>
          <cell r="J2603"/>
          <cell r="K2603"/>
          <cell r="L2603"/>
          <cell r="M2603"/>
          <cell r="N2603"/>
          <cell r="O2603"/>
          <cell r="P2603"/>
          <cell r="Q2603"/>
          <cell r="R2603"/>
          <cell r="S2603"/>
          <cell r="T2603"/>
          <cell r="U2603"/>
          <cell r="AF2603" t="str">
            <v>동절기</v>
          </cell>
          <cell r="AG2603">
            <v>0</v>
          </cell>
          <cell r="AH2603">
            <v>0</v>
          </cell>
        </row>
        <row r="2604">
          <cell r="G2604">
            <v>0</v>
          </cell>
          <cell r="H2604"/>
          <cell r="I2604">
            <v>0</v>
          </cell>
          <cell r="J2604"/>
          <cell r="K2604"/>
          <cell r="L2604"/>
          <cell r="M2604"/>
          <cell r="N2604"/>
          <cell r="O2604"/>
          <cell r="P2604"/>
          <cell r="Q2604"/>
          <cell r="R2604"/>
          <cell r="S2604"/>
          <cell r="T2604"/>
          <cell r="U2604"/>
          <cell r="AF2604" t="str">
            <v>동절기</v>
          </cell>
          <cell r="AG2604">
            <v>0</v>
          </cell>
          <cell r="AH2604">
            <v>0</v>
          </cell>
        </row>
        <row r="2605">
          <cell r="G2605">
            <v>0</v>
          </cell>
          <cell r="H2605"/>
          <cell r="I2605">
            <v>0</v>
          </cell>
          <cell r="J2605"/>
          <cell r="K2605"/>
          <cell r="L2605"/>
          <cell r="M2605"/>
          <cell r="N2605"/>
          <cell r="O2605"/>
          <cell r="P2605"/>
          <cell r="Q2605"/>
          <cell r="R2605"/>
          <cell r="S2605"/>
          <cell r="T2605"/>
          <cell r="U2605"/>
          <cell r="AF2605" t="str">
            <v>동절기</v>
          </cell>
          <cell r="AG2605">
            <v>0</v>
          </cell>
          <cell r="AH2605">
            <v>0</v>
          </cell>
        </row>
        <row r="2606">
          <cell r="G2606">
            <v>0</v>
          </cell>
          <cell r="H2606"/>
          <cell r="I2606">
            <v>0</v>
          </cell>
          <cell r="J2606"/>
          <cell r="K2606"/>
          <cell r="L2606"/>
          <cell r="M2606"/>
          <cell r="N2606"/>
          <cell r="O2606"/>
          <cell r="P2606"/>
          <cell r="Q2606"/>
          <cell r="R2606"/>
          <cell r="S2606"/>
          <cell r="T2606"/>
          <cell r="U2606"/>
          <cell r="AF2606" t="str">
            <v>동절기</v>
          </cell>
          <cell r="AG2606">
            <v>0</v>
          </cell>
          <cell r="AH2606">
            <v>0</v>
          </cell>
        </row>
        <row r="2607">
          <cell r="G2607">
            <v>0</v>
          </cell>
          <cell r="H2607"/>
          <cell r="I2607">
            <v>0</v>
          </cell>
          <cell r="J2607"/>
          <cell r="K2607"/>
          <cell r="L2607"/>
          <cell r="M2607"/>
          <cell r="N2607"/>
          <cell r="O2607"/>
          <cell r="P2607"/>
          <cell r="Q2607"/>
          <cell r="R2607"/>
          <cell r="S2607"/>
          <cell r="T2607"/>
          <cell r="U2607"/>
          <cell r="AF2607" t="str">
            <v>동절기</v>
          </cell>
          <cell r="AG2607">
            <v>0</v>
          </cell>
          <cell r="AH2607">
            <v>0</v>
          </cell>
        </row>
        <row r="2608">
          <cell r="G2608">
            <v>0</v>
          </cell>
          <cell r="H2608"/>
          <cell r="I2608">
            <v>0</v>
          </cell>
          <cell r="J2608"/>
          <cell r="K2608"/>
          <cell r="L2608"/>
          <cell r="M2608"/>
          <cell r="N2608"/>
          <cell r="O2608"/>
          <cell r="P2608"/>
          <cell r="Q2608"/>
          <cell r="R2608"/>
          <cell r="S2608"/>
          <cell r="T2608"/>
          <cell r="U2608"/>
          <cell r="AF2608" t="str">
            <v>동절기</v>
          </cell>
          <cell r="AG2608">
            <v>0</v>
          </cell>
          <cell r="AH2608">
            <v>0</v>
          </cell>
        </row>
        <row r="2609">
          <cell r="G2609">
            <v>0</v>
          </cell>
          <cell r="H2609"/>
          <cell r="I2609">
            <v>0</v>
          </cell>
          <cell r="J2609"/>
          <cell r="K2609"/>
          <cell r="L2609"/>
          <cell r="M2609"/>
          <cell r="N2609"/>
          <cell r="O2609"/>
          <cell r="P2609"/>
          <cell r="Q2609"/>
          <cell r="R2609"/>
          <cell r="S2609"/>
          <cell r="T2609"/>
          <cell r="U2609"/>
          <cell r="AF2609" t="str">
            <v>동절기</v>
          </cell>
          <cell r="AG2609">
            <v>0</v>
          </cell>
          <cell r="AH2609">
            <v>0</v>
          </cell>
        </row>
        <row r="2610">
          <cell r="G2610">
            <v>0</v>
          </cell>
          <cell r="H2610"/>
          <cell r="I2610">
            <v>0</v>
          </cell>
          <cell r="J2610"/>
          <cell r="K2610"/>
          <cell r="L2610"/>
          <cell r="M2610"/>
          <cell r="N2610"/>
          <cell r="O2610"/>
          <cell r="P2610"/>
          <cell r="Q2610"/>
          <cell r="R2610"/>
          <cell r="S2610"/>
          <cell r="T2610"/>
          <cell r="U2610"/>
          <cell r="AF2610" t="str">
            <v>동절기</v>
          </cell>
          <cell r="AG2610">
            <v>0</v>
          </cell>
          <cell r="AH2610">
            <v>0</v>
          </cell>
        </row>
        <row r="2611">
          <cell r="G2611">
            <v>0</v>
          </cell>
          <cell r="H2611"/>
          <cell r="I2611">
            <v>0</v>
          </cell>
          <cell r="J2611"/>
          <cell r="K2611"/>
          <cell r="L2611"/>
          <cell r="M2611"/>
          <cell r="N2611"/>
          <cell r="O2611"/>
          <cell r="P2611"/>
          <cell r="Q2611"/>
          <cell r="R2611"/>
          <cell r="S2611"/>
          <cell r="T2611"/>
          <cell r="U2611"/>
          <cell r="AF2611" t="str">
            <v>동절기</v>
          </cell>
          <cell r="AG2611">
            <v>0</v>
          </cell>
          <cell r="AH2611">
            <v>0</v>
          </cell>
        </row>
        <row r="2612">
          <cell r="G2612">
            <v>0</v>
          </cell>
          <cell r="H2612"/>
          <cell r="I2612">
            <v>0</v>
          </cell>
          <cell r="J2612"/>
          <cell r="K2612"/>
          <cell r="L2612"/>
          <cell r="M2612"/>
          <cell r="N2612"/>
          <cell r="O2612"/>
          <cell r="P2612"/>
          <cell r="Q2612"/>
          <cell r="R2612"/>
          <cell r="S2612"/>
          <cell r="T2612"/>
          <cell r="U2612"/>
          <cell r="AF2612" t="str">
            <v>동절기</v>
          </cell>
          <cell r="AG2612">
            <v>0</v>
          </cell>
          <cell r="AH2612">
            <v>0</v>
          </cell>
        </row>
        <row r="2613">
          <cell r="G2613">
            <v>0</v>
          </cell>
          <cell r="H2613"/>
          <cell r="I2613">
            <v>0</v>
          </cell>
          <cell r="J2613"/>
          <cell r="K2613"/>
          <cell r="L2613"/>
          <cell r="M2613"/>
          <cell r="N2613"/>
          <cell r="O2613"/>
          <cell r="P2613"/>
          <cell r="Q2613"/>
          <cell r="R2613"/>
          <cell r="S2613"/>
          <cell r="T2613"/>
          <cell r="U2613"/>
          <cell r="AF2613" t="str">
            <v>동절기</v>
          </cell>
          <cell r="AG2613">
            <v>0</v>
          </cell>
          <cell r="AH2613">
            <v>0</v>
          </cell>
        </row>
        <row r="2614">
          <cell r="G2614">
            <v>0</v>
          </cell>
          <cell r="H2614"/>
          <cell r="I2614">
            <v>0</v>
          </cell>
          <cell r="J2614"/>
          <cell r="K2614"/>
          <cell r="L2614"/>
          <cell r="M2614"/>
          <cell r="N2614"/>
          <cell r="O2614"/>
          <cell r="P2614"/>
          <cell r="Q2614"/>
          <cell r="R2614"/>
          <cell r="S2614"/>
          <cell r="T2614"/>
          <cell r="U2614"/>
          <cell r="AF2614" t="str">
            <v>동절기</v>
          </cell>
          <cell r="AG2614">
            <v>0</v>
          </cell>
          <cell r="AH2614">
            <v>0</v>
          </cell>
        </row>
        <row r="2615">
          <cell r="G2615">
            <v>0</v>
          </cell>
          <cell r="I2615">
            <v>0</v>
          </cell>
          <cell r="M2615"/>
          <cell r="O2615"/>
          <cell r="P2615"/>
          <cell r="Q2615"/>
          <cell r="R2615"/>
          <cell r="S2615"/>
          <cell r="T2615"/>
          <cell r="U2615"/>
          <cell r="AF2615" t="str">
            <v>동절기</v>
          </cell>
          <cell r="AG2615">
            <v>0</v>
          </cell>
          <cell r="AH2615">
            <v>0</v>
          </cell>
        </row>
        <row r="2616">
          <cell r="G2616">
            <v>0</v>
          </cell>
          <cell r="I2616">
            <v>0</v>
          </cell>
          <cell r="M2616"/>
          <cell r="O2616"/>
          <cell r="P2616"/>
          <cell r="Q2616"/>
          <cell r="R2616"/>
          <cell r="S2616"/>
          <cell r="T2616"/>
          <cell r="U2616"/>
          <cell r="AF2616" t="str">
            <v>동절기</v>
          </cell>
          <cell r="AG2616">
            <v>0</v>
          </cell>
          <cell r="AH2616">
            <v>0</v>
          </cell>
        </row>
        <row r="2617">
          <cell r="G2617">
            <v>0</v>
          </cell>
          <cell r="I2617">
            <v>0</v>
          </cell>
          <cell r="M2617"/>
          <cell r="O2617"/>
          <cell r="P2617"/>
          <cell r="Q2617"/>
          <cell r="R2617"/>
          <cell r="S2617"/>
          <cell r="T2617"/>
          <cell r="U2617"/>
          <cell r="AF2617" t="str">
            <v>동절기</v>
          </cell>
          <cell r="AG2617">
            <v>0</v>
          </cell>
          <cell r="AH2617">
            <v>0</v>
          </cell>
        </row>
        <row r="2618">
          <cell r="G2618">
            <v>0</v>
          </cell>
          <cell r="I2618">
            <v>0</v>
          </cell>
          <cell r="M2618"/>
          <cell r="O2618"/>
          <cell r="P2618"/>
          <cell r="Q2618"/>
          <cell r="R2618"/>
          <cell r="S2618"/>
          <cell r="T2618"/>
          <cell r="U2618"/>
          <cell r="AF2618" t="str">
            <v>동절기</v>
          </cell>
          <cell r="AG2618">
            <v>0</v>
          </cell>
          <cell r="AH2618">
            <v>0</v>
          </cell>
        </row>
        <row r="2619">
          <cell r="G2619">
            <v>0</v>
          </cell>
          <cell r="I2619">
            <v>0</v>
          </cell>
          <cell r="M2619"/>
          <cell r="O2619"/>
          <cell r="P2619"/>
          <cell r="Q2619"/>
          <cell r="R2619"/>
          <cell r="S2619"/>
          <cell r="T2619"/>
          <cell r="U2619"/>
          <cell r="AF2619" t="str">
            <v>동절기</v>
          </cell>
          <cell r="AG2619">
            <v>0</v>
          </cell>
          <cell r="AH2619">
            <v>0</v>
          </cell>
        </row>
        <row r="2620">
          <cell r="G2620">
            <v>0</v>
          </cell>
          <cell r="I2620">
            <v>0</v>
          </cell>
          <cell r="M2620"/>
          <cell r="O2620"/>
          <cell r="P2620"/>
          <cell r="Q2620"/>
          <cell r="R2620"/>
          <cell r="S2620"/>
          <cell r="T2620"/>
          <cell r="U2620"/>
          <cell r="AF2620" t="str">
            <v>동절기</v>
          </cell>
          <cell r="AG2620">
            <v>0</v>
          </cell>
          <cell r="AH2620">
            <v>0</v>
          </cell>
        </row>
        <row r="2621">
          <cell r="G2621">
            <v>0</v>
          </cell>
          <cell r="I2621">
            <v>0</v>
          </cell>
          <cell r="M2621"/>
          <cell r="O2621"/>
          <cell r="P2621"/>
          <cell r="Q2621"/>
          <cell r="R2621"/>
          <cell r="S2621"/>
          <cell r="T2621"/>
          <cell r="U2621"/>
          <cell r="AF2621" t="str">
            <v>동절기</v>
          </cell>
          <cell r="AG2621">
            <v>0</v>
          </cell>
          <cell r="AH2621">
            <v>0</v>
          </cell>
        </row>
        <row r="2622">
          <cell r="G2622">
            <v>0</v>
          </cell>
          <cell r="I2622">
            <v>0</v>
          </cell>
          <cell r="M2622"/>
          <cell r="O2622"/>
          <cell r="P2622"/>
          <cell r="Q2622"/>
          <cell r="R2622"/>
          <cell r="S2622"/>
          <cell r="T2622"/>
          <cell r="U2622"/>
          <cell r="AF2622" t="str">
            <v>동절기</v>
          </cell>
          <cell r="AG2622">
            <v>0</v>
          </cell>
          <cell r="AH2622">
            <v>0</v>
          </cell>
        </row>
        <row r="2623">
          <cell r="G2623">
            <v>0</v>
          </cell>
          <cell r="I2623">
            <v>0</v>
          </cell>
          <cell r="M2623"/>
          <cell r="O2623"/>
          <cell r="P2623"/>
          <cell r="Q2623"/>
          <cell r="R2623"/>
          <cell r="S2623"/>
          <cell r="T2623"/>
          <cell r="U2623"/>
          <cell r="AF2623" t="str">
            <v>동절기</v>
          </cell>
          <cell r="AG2623">
            <v>0</v>
          </cell>
          <cell r="AH2623">
            <v>0</v>
          </cell>
        </row>
        <row r="2624">
          <cell r="G2624">
            <v>0</v>
          </cell>
          <cell r="I2624">
            <v>0</v>
          </cell>
          <cell r="M2624"/>
          <cell r="O2624"/>
          <cell r="P2624"/>
          <cell r="Q2624"/>
          <cell r="R2624"/>
          <cell r="S2624"/>
          <cell r="T2624"/>
          <cell r="U2624"/>
          <cell r="AF2624" t="str">
            <v>동절기</v>
          </cell>
          <cell r="AG2624">
            <v>0</v>
          </cell>
          <cell r="AH2624">
            <v>0</v>
          </cell>
        </row>
        <row r="2625">
          <cell r="G2625">
            <v>0</v>
          </cell>
          <cell r="I2625">
            <v>0</v>
          </cell>
          <cell r="M2625"/>
          <cell r="O2625"/>
          <cell r="P2625"/>
          <cell r="Q2625"/>
          <cell r="R2625"/>
          <cell r="S2625"/>
          <cell r="T2625"/>
          <cell r="U2625"/>
          <cell r="AF2625" t="str">
            <v>동절기</v>
          </cell>
          <cell r="AG2625">
            <v>0</v>
          </cell>
          <cell r="AH2625">
            <v>0</v>
          </cell>
        </row>
        <row r="2626">
          <cell r="G2626">
            <v>0</v>
          </cell>
          <cell r="I2626">
            <v>0</v>
          </cell>
          <cell r="M2626"/>
          <cell r="O2626"/>
          <cell r="P2626"/>
          <cell r="Q2626"/>
          <cell r="R2626"/>
          <cell r="S2626"/>
          <cell r="T2626"/>
          <cell r="U2626"/>
          <cell r="AF2626" t="str">
            <v>동절기</v>
          </cell>
          <cell r="AG2626">
            <v>0</v>
          </cell>
          <cell r="AH2626">
            <v>0</v>
          </cell>
        </row>
        <row r="2627">
          <cell r="G2627">
            <v>0</v>
          </cell>
          <cell r="I2627">
            <v>0</v>
          </cell>
          <cell r="M2627"/>
          <cell r="O2627"/>
          <cell r="P2627"/>
          <cell r="Q2627"/>
          <cell r="R2627"/>
          <cell r="S2627"/>
          <cell r="T2627"/>
          <cell r="U2627"/>
          <cell r="AF2627" t="str">
            <v>동절기</v>
          </cell>
          <cell r="AG2627">
            <v>0</v>
          </cell>
          <cell r="AH2627">
            <v>0</v>
          </cell>
        </row>
        <row r="2628">
          <cell r="G2628">
            <v>0</v>
          </cell>
          <cell r="I2628">
            <v>0</v>
          </cell>
          <cell r="M2628"/>
          <cell r="O2628"/>
          <cell r="P2628"/>
          <cell r="Q2628"/>
          <cell r="R2628"/>
          <cell r="S2628"/>
          <cell r="T2628"/>
          <cell r="U2628"/>
          <cell r="AF2628" t="str">
            <v>동절기</v>
          </cell>
          <cell r="AG2628">
            <v>0</v>
          </cell>
          <cell r="AH2628">
            <v>0</v>
          </cell>
        </row>
        <row r="2629">
          <cell r="G2629">
            <v>0</v>
          </cell>
          <cell r="I2629">
            <v>0</v>
          </cell>
          <cell r="M2629"/>
          <cell r="O2629"/>
          <cell r="P2629"/>
          <cell r="Q2629"/>
          <cell r="R2629"/>
          <cell r="S2629"/>
          <cell r="T2629"/>
          <cell r="U2629"/>
          <cell r="AF2629" t="str">
            <v>동절기</v>
          </cell>
          <cell r="AG2629">
            <v>0</v>
          </cell>
          <cell r="AH2629">
            <v>0</v>
          </cell>
        </row>
        <row r="2630">
          <cell r="G2630">
            <v>0</v>
          </cell>
          <cell r="I2630">
            <v>0</v>
          </cell>
          <cell r="M2630"/>
          <cell r="O2630"/>
          <cell r="P2630"/>
          <cell r="Q2630"/>
          <cell r="R2630"/>
          <cell r="S2630"/>
          <cell r="T2630"/>
          <cell r="U2630"/>
          <cell r="AF2630" t="str">
            <v>동절기</v>
          </cell>
          <cell r="AG2630">
            <v>0</v>
          </cell>
          <cell r="AH2630">
            <v>0</v>
          </cell>
        </row>
        <row r="2631">
          <cell r="G2631">
            <v>0</v>
          </cell>
          <cell r="I2631">
            <v>0</v>
          </cell>
          <cell r="M2631"/>
          <cell r="O2631"/>
          <cell r="P2631"/>
          <cell r="Q2631"/>
          <cell r="R2631"/>
          <cell r="S2631"/>
          <cell r="T2631"/>
          <cell r="U2631"/>
          <cell r="AF2631" t="str">
            <v>동절기</v>
          </cell>
          <cell r="AG2631">
            <v>0</v>
          </cell>
          <cell r="AH2631">
            <v>0</v>
          </cell>
        </row>
        <row r="2632">
          <cell r="G2632">
            <v>0</v>
          </cell>
          <cell r="I2632">
            <v>0</v>
          </cell>
          <cell r="M2632"/>
          <cell r="O2632"/>
          <cell r="P2632"/>
          <cell r="Q2632"/>
          <cell r="R2632"/>
          <cell r="S2632"/>
          <cell r="T2632"/>
          <cell r="U2632"/>
          <cell r="AF2632" t="str">
            <v>동절기</v>
          </cell>
          <cell r="AG2632">
            <v>0</v>
          </cell>
          <cell r="AH2632">
            <v>0</v>
          </cell>
        </row>
        <row r="2633">
          <cell r="G2633">
            <v>0</v>
          </cell>
          <cell r="I2633">
            <v>0</v>
          </cell>
          <cell r="M2633"/>
          <cell r="O2633"/>
          <cell r="P2633"/>
          <cell r="Q2633"/>
          <cell r="R2633"/>
          <cell r="S2633"/>
          <cell r="T2633"/>
          <cell r="U2633"/>
          <cell r="AF2633" t="str">
            <v>동절기</v>
          </cell>
          <cell r="AG2633">
            <v>0</v>
          </cell>
          <cell r="AH2633">
            <v>0</v>
          </cell>
        </row>
        <row r="2634">
          <cell r="G2634">
            <v>0</v>
          </cell>
          <cell r="I2634">
            <v>0</v>
          </cell>
          <cell r="M2634"/>
          <cell r="O2634"/>
          <cell r="P2634"/>
          <cell r="Q2634"/>
          <cell r="R2634"/>
          <cell r="S2634"/>
          <cell r="T2634"/>
          <cell r="U2634"/>
          <cell r="AF2634" t="str">
            <v>동절기</v>
          </cell>
          <cell r="AG2634">
            <v>0</v>
          </cell>
          <cell r="AH2634">
            <v>0</v>
          </cell>
        </row>
        <row r="2635">
          <cell r="G2635">
            <v>0</v>
          </cell>
          <cell r="I2635">
            <v>0</v>
          </cell>
          <cell r="M2635"/>
          <cell r="O2635"/>
          <cell r="P2635"/>
          <cell r="Q2635"/>
          <cell r="R2635"/>
          <cell r="S2635"/>
          <cell r="T2635"/>
          <cell r="U2635"/>
          <cell r="AF2635" t="str">
            <v>동절기</v>
          </cell>
          <cell r="AG2635">
            <v>0</v>
          </cell>
          <cell r="AH2635">
            <v>0</v>
          </cell>
        </row>
        <row r="2636">
          <cell r="G2636">
            <v>0</v>
          </cell>
          <cell r="I2636">
            <v>0</v>
          </cell>
          <cell r="M2636"/>
          <cell r="O2636"/>
          <cell r="P2636"/>
          <cell r="Q2636"/>
          <cell r="R2636"/>
          <cell r="S2636"/>
          <cell r="T2636"/>
          <cell r="U2636"/>
          <cell r="AF2636" t="str">
            <v>동절기</v>
          </cell>
          <cell r="AG2636">
            <v>0</v>
          </cell>
          <cell r="AH2636">
            <v>0</v>
          </cell>
        </row>
        <row r="2637">
          <cell r="G2637">
            <v>0</v>
          </cell>
          <cell r="I2637">
            <v>0</v>
          </cell>
          <cell r="M2637"/>
          <cell r="O2637"/>
          <cell r="P2637"/>
          <cell r="Q2637"/>
          <cell r="R2637"/>
          <cell r="S2637"/>
          <cell r="T2637"/>
          <cell r="U2637"/>
          <cell r="AF2637" t="str">
            <v>동절기</v>
          </cell>
          <cell r="AG2637">
            <v>0</v>
          </cell>
          <cell r="AH2637">
            <v>0</v>
          </cell>
        </row>
        <row r="2638">
          <cell r="G2638">
            <v>0</v>
          </cell>
          <cell r="I2638">
            <v>0</v>
          </cell>
          <cell r="M2638"/>
          <cell r="O2638"/>
          <cell r="P2638"/>
          <cell r="Q2638"/>
          <cell r="R2638"/>
          <cell r="S2638"/>
          <cell r="T2638"/>
          <cell r="U2638"/>
          <cell r="AF2638" t="str">
            <v>동절기</v>
          </cell>
          <cell r="AG2638">
            <v>0</v>
          </cell>
          <cell r="AH2638">
            <v>0</v>
          </cell>
        </row>
        <row r="2639">
          <cell r="G2639">
            <v>0</v>
          </cell>
          <cell r="I2639">
            <v>0</v>
          </cell>
          <cell r="M2639"/>
          <cell r="O2639"/>
          <cell r="P2639"/>
          <cell r="Q2639"/>
          <cell r="R2639"/>
          <cell r="S2639"/>
          <cell r="T2639"/>
          <cell r="U2639"/>
          <cell r="AF2639" t="str">
            <v>동절기</v>
          </cell>
          <cell r="AG2639">
            <v>0</v>
          </cell>
          <cell r="AH2639">
            <v>0</v>
          </cell>
        </row>
        <row r="2640">
          <cell r="G2640">
            <v>0</v>
          </cell>
          <cell r="I2640">
            <v>0</v>
          </cell>
          <cell r="M2640"/>
          <cell r="O2640"/>
          <cell r="P2640"/>
          <cell r="Q2640"/>
          <cell r="R2640"/>
          <cell r="S2640"/>
          <cell r="T2640"/>
          <cell r="U2640"/>
          <cell r="AF2640" t="str">
            <v>동절기</v>
          </cell>
          <cell r="AG2640">
            <v>0</v>
          </cell>
          <cell r="AH2640">
            <v>0</v>
          </cell>
        </row>
        <row r="2641">
          <cell r="G2641">
            <v>0</v>
          </cell>
          <cell r="I2641">
            <v>0</v>
          </cell>
          <cell r="M2641"/>
          <cell r="O2641"/>
          <cell r="P2641"/>
          <cell r="Q2641"/>
          <cell r="R2641"/>
          <cell r="S2641"/>
          <cell r="T2641"/>
          <cell r="U2641"/>
          <cell r="AF2641" t="str">
            <v>동절기</v>
          </cell>
          <cell r="AG2641">
            <v>0</v>
          </cell>
          <cell r="AH2641">
            <v>0</v>
          </cell>
        </row>
        <row r="2642">
          <cell r="G2642">
            <v>0</v>
          </cell>
          <cell r="I2642">
            <v>0</v>
          </cell>
          <cell r="M2642"/>
          <cell r="O2642"/>
          <cell r="P2642"/>
          <cell r="Q2642"/>
          <cell r="R2642"/>
          <cell r="S2642"/>
          <cell r="T2642"/>
          <cell r="U2642"/>
          <cell r="AF2642" t="str">
            <v>동절기</v>
          </cell>
          <cell r="AG2642">
            <v>0</v>
          </cell>
          <cell r="AH2642">
            <v>0</v>
          </cell>
        </row>
        <row r="2643">
          <cell r="G2643">
            <v>0</v>
          </cell>
          <cell r="I2643">
            <v>0</v>
          </cell>
          <cell r="M2643"/>
          <cell r="O2643"/>
          <cell r="P2643"/>
          <cell r="Q2643"/>
          <cell r="R2643"/>
          <cell r="S2643"/>
          <cell r="T2643"/>
          <cell r="U2643"/>
          <cell r="AF2643" t="str">
            <v>동절기</v>
          </cell>
          <cell r="AG2643">
            <v>0</v>
          </cell>
          <cell r="AH2643">
            <v>0</v>
          </cell>
        </row>
        <row r="2644">
          <cell r="G2644">
            <v>0</v>
          </cell>
          <cell r="I2644">
            <v>0</v>
          </cell>
          <cell r="M2644"/>
          <cell r="O2644"/>
          <cell r="P2644"/>
          <cell r="Q2644"/>
          <cell r="R2644"/>
          <cell r="S2644"/>
          <cell r="T2644"/>
          <cell r="U2644"/>
          <cell r="AF2644" t="str">
            <v>동절기</v>
          </cell>
          <cell r="AG2644">
            <v>0</v>
          </cell>
          <cell r="AH2644">
            <v>0</v>
          </cell>
        </row>
        <row r="2645">
          <cell r="G2645">
            <v>0</v>
          </cell>
          <cell r="I2645">
            <v>0</v>
          </cell>
          <cell r="M2645"/>
          <cell r="O2645"/>
          <cell r="P2645"/>
          <cell r="Q2645"/>
          <cell r="R2645"/>
          <cell r="S2645"/>
          <cell r="T2645"/>
          <cell r="U2645"/>
          <cell r="AF2645" t="str">
            <v>동절기</v>
          </cell>
          <cell r="AG2645">
            <v>0</v>
          </cell>
          <cell r="AH2645">
            <v>0</v>
          </cell>
        </row>
        <row r="2646">
          <cell r="G2646">
            <v>0</v>
          </cell>
          <cell r="I2646">
            <v>0</v>
          </cell>
          <cell r="M2646"/>
          <cell r="O2646"/>
          <cell r="P2646"/>
          <cell r="Q2646"/>
          <cell r="R2646"/>
          <cell r="S2646"/>
          <cell r="T2646"/>
          <cell r="U2646"/>
          <cell r="AF2646" t="str">
            <v>동절기</v>
          </cell>
          <cell r="AG2646">
            <v>0</v>
          </cell>
          <cell r="AH2646">
            <v>0</v>
          </cell>
        </row>
        <row r="2647">
          <cell r="G2647">
            <v>0</v>
          </cell>
          <cell r="I2647">
            <v>0</v>
          </cell>
          <cell r="M2647"/>
          <cell r="O2647"/>
          <cell r="P2647"/>
          <cell r="Q2647"/>
          <cell r="R2647"/>
          <cell r="S2647"/>
          <cell r="T2647"/>
          <cell r="U2647"/>
          <cell r="AF2647" t="str">
            <v>동절기</v>
          </cell>
          <cell r="AG2647">
            <v>0</v>
          </cell>
          <cell r="AH2647">
            <v>0</v>
          </cell>
        </row>
        <row r="2648">
          <cell r="G2648">
            <v>0</v>
          </cell>
          <cell r="I2648">
            <v>0</v>
          </cell>
          <cell r="M2648"/>
          <cell r="O2648"/>
          <cell r="P2648"/>
          <cell r="Q2648"/>
          <cell r="R2648"/>
          <cell r="S2648"/>
          <cell r="T2648"/>
          <cell r="U2648"/>
          <cell r="AF2648" t="str">
            <v>동절기</v>
          </cell>
          <cell r="AG2648">
            <v>0</v>
          </cell>
          <cell r="AH2648">
            <v>0</v>
          </cell>
        </row>
        <row r="2649">
          <cell r="G2649">
            <v>0</v>
          </cell>
          <cell r="I2649">
            <v>0</v>
          </cell>
          <cell r="M2649"/>
          <cell r="O2649"/>
          <cell r="P2649"/>
          <cell r="Q2649"/>
          <cell r="R2649"/>
          <cell r="S2649"/>
          <cell r="T2649"/>
          <cell r="U2649"/>
          <cell r="AF2649" t="str">
            <v>동절기</v>
          </cell>
          <cell r="AG2649">
            <v>0</v>
          </cell>
          <cell r="AH2649">
            <v>0</v>
          </cell>
        </row>
        <row r="2650">
          <cell r="G2650">
            <v>0</v>
          </cell>
          <cell r="I2650">
            <v>0</v>
          </cell>
          <cell r="M2650"/>
          <cell r="O2650"/>
          <cell r="P2650"/>
          <cell r="Q2650"/>
          <cell r="R2650"/>
          <cell r="S2650"/>
          <cell r="T2650"/>
          <cell r="U2650"/>
          <cell r="AF2650" t="str">
            <v>동절기</v>
          </cell>
          <cell r="AG2650">
            <v>0</v>
          </cell>
          <cell r="AH2650">
            <v>0</v>
          </cell>
        </row>
        <row r="2651">
          <cell r="G2651">
            <v>0</v>
          </cell>
          <cell r="I2651">
            <v>0</v>
          </cell>
          <cell r="M2651"/>
          <cell r="O2651"/>
          <cell r="P2651"/>
          <cell r="Q2651"/>
          <cell r="R2651"/>
          <cell r="S2651"/>
          <cell r="T2651"/>
          <cell r="U2651"/>
          <cell r="AF2651" t="str">
            <v>동절기</v>
          </cell>
          <cell r="AG2651">
            <v>0</v>
          </cell>
          <cell r="AH2651">
            <v>0</v>
          </cell>
        </row>
        <row r="2652">
          <cell r="G2652">
            <v>0</v>
          </cell>
          <cell r="I2652">
            <v>0</v>
          </cell>
          <cell r="M2652"/>
          <cell r="O2652"/>
          <cell r="P2652"/>
          <cell r="Q2652"/>
          <cell r="R2652"/>
          <cell r="S2652"/>
          <cell r="T2652"/>
          <cell r="U2652"/>
          <cell r="AF2652" t="str">
            <v>동절기</v>
          </cell>
          <cell r="AG2652">
            <v>0</v>
          </cell>
          <cell r="AH2652">
            <v>0</v>
          </cell>
        </row>
        <row r="2653">
          <cell r="G2653">
            <v>0</v>
          </cell>
          <cell r="I2653">
            <v>0</v>
          </cell>
          <cell r="M2653"/>
          <cell r="O2653"/>
          <cell r="P2653"/>
          <cell r="Q2653"/>
          <cell r="R2653"/>
          <cell r="S2653"/>
          <cell r="T2653"/>
          <cell r="U2653"/>
          <cell r="AF2653" t="str">
            <v>동절기</v>
          </cell>
          <cell r="AG2653">
            <v>0</v>
          </cell>
          <cell r="AH2653">
            <v>0</v>
          </cell>
        </row>
        <row r="2654">
          <cell r="G2654">
            <v>0</v>
          </cell>
          <cell r="I2654">
            <v>0</v>
          </cell>
          <cell r="M2654"/>
          <cell r="O2654"/>
          <cell r="P2654"/>
          <cell r="Q2654"/>
          <cell r="R2654"/>
          <cell r="S2654"/>
          <cell r="T2654"/>
          <cell r="U2654"/>
          <cell r="AF2654" t="str">
            <v>동절기</v>
          </cell>
          <cell r="AG2654">
            <v>0</v>
          </cell>
          <cell r="AH2654">
            <v>0</v>
          </cell>
        </row>
        <row r="2655">
          <cell r="G2655">
            <v>0</v>
          </cell>
          <cell r="I2655">
            <v>0</v>
          </cell>
          <cell r="M2655"/>
          <cell r="O2655"/>
          <cell r="P2655"/>
          <cell r="Q2655"/>
          <cell r="R2655"/>
          <cell r="S2655"/>
          <cell r="T2655"/>
          <cell r="U2655"/>
          <cell r="AF2655" t="str">
            <v>동절기</v>
          </cell>
          <cell r="AG2655">
            <v>0</v>
          </cell>
          <cell r="AH2655">
            <v>0</v>
          </cell>
        </row>
        <row r="2656">
          <cell r="G2656">
            <v>0</v>
          </cell>
          <cell r="I2656">
            <v>0</v>
          </cell>
          <cell r="M2656"/>
          <cell r="O2656"/>
          <cell r="P2656"/>
          <cell r="Q2656"/>
          <cell r="R2656"/>
          <cell r="S2656"/>
          <cell r="T2656"/>
          <cell r="U2656"/>
          <cell r="AF2656" t="str">
            <v>동절기</v>
          </cell>
          <cell r="AG2656">
            <v>0</v>
          </cell>
          <cell r="AH2656">
            <v>0</v>
          </cell>
        </row>
        <row r="2657">
          <cell r="G2657">
            <v>0</v>
          </cell>
          <cell r="I2657">
            <v>0</v>
          </cell>
          <cell r="M2657"/>
          <cell r="O2657"/>
          <cell r="P2657"/>
          <cell r="Q2657"/>
          <cell r="R2657"/>
          <cell r="S2657"/>
          <cell r="T2657"/>
          <cell r="U2657"/>
          <cell r="AF2657" t="str">
            <v>동절기</v>
          </cell>
          <cell r="AG2657">
            <v>0</v>
          </cell>
          <cell r="AH2657">
            <v>0</v>
          </cell>
        </row>
        <row r="2658">
          <cell r="G2658">
            <v>0</v>
          </cell>
          <cell r="I2658">
            <v>0</v>
          </cell>
          <cell r="M2658"/>
          <cell r="O2658"/>
          <cell r="P2658"/>
          <cell r="Q2658"/>
          <cell r="R2658"/>
          <cell r="S2658"/>
          <cell r="T2658"/>
          <cell r="U2658"/>
          <cell r="AF2658" t="str">
            <v>동절기</v>
          </cell>
          <cell r="AG2658">
            <v>0</v>
          </cell>
          <cell r="AH2658">
            <v>0</v>
          </cell>
        </row>
        <row r="2659">
          <cell r="G2659">
            <v>0</v>
          </cell>
          <cell r="I2659">
            <v>0</v>
          </cell>
          <cell r="M2659"/>
          <cell r="O2659"/>
          <cell r="P2659"/>
          <cell r="Q2659"/>
          <cell r="R2659"/>
          <cell r="S2659"/>
          <cell r="T2659"/>
          <cell r="U2659"/>
          <cell r="AF2659" t="str">
            <v>동절기</v>
          </cell>
          <cell r="AG2659">
            <v>0</v>
          </cell>
          <cell r="AH2659">
            <v>0</v>
          </cell>
        </row>
        <row r="2660">
          <cell r="G2660">
            <v>0</v>
          </cell>
          <cell r="I2660">
            <v>0</v>
          </cell>
          <cell r="M2660"/>
          <cell r="O2660"/>
          <cell r="P2660"/>
          <cell r="Q2660"/>
          <cell r="R2660"/>
          <cell r="S2660"/>
          <cell r="T2660"/>
          <cell r="U2660"/>
          <cell r="AF2660" t="str">
            <v>동절기</v>
          </cell>
          <cell r="AG2660">
            <v>0</v>
          </cell>
          <cell r="AH2660">
            <v>0</v>
          </cell>
        </row>
        <row r="2661">
          <cell r="G2661">
            <v>0</v>
          </cell>
          <cell r="I2661">
            <v>0</v>
          </cell>
          <cell r="M2661"/>
          <cell r="O2661"/>
          <cell r="P2661"/>
          <cell r="Q2661"/>
          <cell r="R2661"/>
          <cell r="S2661"/>
          <cell r="T2661"/>
          <cell r="U2661"/>
          <cell r="AF2661" t="str">
            <v>동절기</v>
          </cell>
          <cell r="AG2661">
            <v>0</v>
          </cell>
          <cell r="AH2661">
            <v>0</v>
          </cell>
        </row>
        <row r="2662">
          <cell r="G2662">
            <v>0</v>
          </cell>
          <cell r="I2662">
            <v>0</v>
          </cell>
          <cell r="M2662"/>
          <cell r="O2662"/>
          <cell r="P2662"/>
          <cell r="Q2662"/>
          <cell r="R2662"/>
          <cell r="S2662"/>
          <cell r="T2662"/>
          <cell r="U2662"/>
          <cell r="AF2662" t="str">
            <v>동절기</v>
          </cell>
          <cell r="AG2662">
            <v>0</v>
          </cell>
          <cell r="AH2662">
            <v>0</v>
          </cell>
        </row>
        <row r="2663">
          <cell r="G2663">
            <v>0</v>
          </cell>
          <cell r="I2663">
            <v>0</v>
          </cell>
          <cell r="M2663"/>
          <cell r="O2663"/>
          <cell r="P2663"/>
          <cell r="Q2663"/>
          <cell r="R2663"/>
          <cell r="S2663"/>
          <cell r="T2663"/>
          <cell r="U2663"/>
          <cell r="AF2663" t="str">
            <v>동절기</v>
          </cell>
          <cell r="AG2663">
            <v>0</v>
          </cell>
          <cell r="AH2663">
            <v>0</v>
          </cell>
        </row>
        <row r="2664">
          <cell r="G2664">
            <v>0</v>
          </cell>
          <cell r="I2664">
            <v>0</v>
          </cell>
          <cell r="M2664"/>
          <cell r="O2664"/>
          <cell r="P2664"/>
          <cell r="Q2664"/>
          <cell r="R2664"/>
          <cell r="S2664"/>
          <cell r="T2664"/>
          <cell r="U2664"/>
          <cell r="AF2664" t="str">
            <v>동절기</v>
          </cell>
          <cell r="AG2664">
            <v>0</v>
          </cell>
          <cell r="AH2664">
            <v>0</v>
          </cell>
        </row>
        <row r="2665">
          <cell r="G2665">
            <v>0</v>
          </cell>
          <cell r="I2665">
            <v>0</v>
          </cell>
          <cell r="M2665"/>
          <cell r="O2665"/>
          <cell r="P2665"/>
          <cell r="Q2665"/>
          <cell r="R2665"/>
          <cell r="S2665"/>
          <cell r="T2665"/>
          <cell r="U2665"/>
          <cell r="AF2665" t="str">
            <v>동절기</v>
          </cell>
          <cell r="AG2665">
            <v>0</v>
          </cell>
          <cell r="AH2665">
            <v>0</v>
          </cell>
        </row>
        <row r="2666">
          <cell r="G2666">
            <v>0</v>
          </cell>
          <cell r="I2666">
            <v>0</v>
          </cell>
          <cell r="M2666"/>
          <cell r="O2666"/>
          <cell r="P2666"/>
          <cell r="Q2666"/>
          <cell r="R2666"/>
          <cell r="S2666"/>
          <cell r="T2666"/>
          <cell r="U2666"/>
          <cell r="AF2666" t="str">
            <v>동절기</v>
          </cell>
          <cell r="AG2666">
            <v>0</v>
          </cell>
          <cell r="AH2666">
            <v>0</v>
          </cell>
        </row>
        <row r="2667">
          <cell r="G2667">
            <v>0</v>
          </cell>
          <cell r="I2667">
            <v>0</v>
          </cell>
          <cell r="M2667"/>
          <cell r="O2667"/>
          <cell r="P2667"/>
          <cell r="Q2667"/>
          <cell r="R2667"/>
          <cell r="S2667"/>
          <cell r="T2667"/>
          <cell r="U2667"/>
          <cell r="AF2667" t="str">
            <v>동절기</v>
          </cell>
          <cell r="AG2667">
            <v>0</v>
          </cell>
          <cell r="AH2667">
            <v>0</v>
          </cell>
        </row>
        <row r="2668">
          <cell r="G2668">
            <v>0</v>
          </cell>
          <cell r="I2668">
            <v>0</v>
          </cell>
          <cell r="M2668"/>
          <cell r="O2668"/>
          <cell r="P2668"/>
          <cell r="Q2668"/>
          <cell r="R2668"/>
          <cell r="S2668"/>
          <cell r="T2668"/>
          <cell r="U2668"/>
          <cell r="AF2668" t="str">
            <v>동절기</v>
          </cell>
          <cell r="AG2668">
            <v>0</v>
          </cell>
          <cell r="AH2668">
            <v>0</v>
          </cell>
        </row>
        <row r="2669">
          <cell r="G2669">
            <v>0</v>
          </cell>
          <cell r="I2669">
            <v>0</v>
          </cell>
          <cell r="M2669"/>
          <cell r="O2669"/>
          <cell r="P2669"/>
          <cell r="Q2669"/>
          <cell r="R2669"/>
          <cell r="S2669"/>
          <cell r="T2669"/>
          <cell r="U2669"/>
          <cell r="AF2669" t="str">
            <v>동절기</v>
          </cell>
          <cell r="AG2669">
            <v>0</v>
          </cell>
          <cell r="AH2669">
            <v>0</v>
          </cell>
        </row>
        <row r="2670">
          <cell r="G2670">
            <v>0</v>
          </cell>
          <cell r="I2670">
            <v>0</v>
          </cell>
          <cell r="M2670"/>
          <cell r="O2670"/>
          <cell r="P2670"/>
          <cell r="Q2670"/>
          <cell r="R2670"/>
          <cell r="S2670"/>
          <cell r="T2670"/>
          <cell r="U2670"/>
          <cell r="AF2670" t="str">
            <v>동절기</v>
          </cell>
          <cell r="AG2670">
            <v>0</v>
          </cell>
          <cell r="AH2670">
            <v>0</v>
          </cell>
        </row>
        <row r="2671">
          <cell r="G2671">
            <v>0</v>
          </cell>
          <cell r="I2671">
            <v>0</v>
          </cell>
          <cell r="M2671"/>
          <cell r="O2671"/>
          <cell r="P2671"/>
          <cell r="Q2671"/>
          <cell r="R2671"/>
          <cell r="S2671"/>
          <cell r="T2671"/>
          <cell r="U2671"/>
          <cell r="AF2671" t="str">
            <v>동절기</v>
          </cell>
          <cell r="AG2671">
            <v>0</v>
          </cell>
          <cell r="AH2671">
            <v>0</v>
          </cell>
        </row>
        <row r="2672">
          <cell r="G2672">
            <v>0</v>
          </cell>
          <cell r="I2672">
            <v>0</v>
          </cell>
          <cell r="M2672"/>
          <cell r="O2672"/>
          <cell r="P2672"/>
          <cell r="Q2672"/>
          <cell r="R2672"/>
          <cell r="S2672"/>
          <cell r="T2672"/>
          <cell r="U2672"/>
          <cell r="AF2672" t="str">
            <v>동절기</v>
          </cell>
          <cell r="AG2672">
            <v>0</v>
          </cell>
          <cell r="AH2672">
            <v>0</v>
          </cell>
        </row>
        <row r="2673">
          <cell r="G2673">
            <v>0</v>
          </cell>
          <cell r="I2673">
            <v>0</v>
          </cell>
          <cell r="M2673"/>
          <cell r="O2673"/>
          <cell r="P2673"/>
          <cell r="Q2673"/>
          <cell r="R2673"/>
          <cell r="S2673"/>
          <cell r="T2673"/>
          <cell r="U2673"/>
          <cell r="AF2673" t="str">
            <v>동절기</v>
          </cell>
          <cell r="AG2673">
            <v>0</v>
          </cell>
          <cell r="AH2673">
            <v>0</v>
          </cell>
        </row>
        <row r="2674">
          <cell r="G2674">
            <v>0</v>
          </cell>
          <cell r="I2674">
            <v>0</v>
          </cell>
          <cell r="M2674"/>
          <cell r="O2674"/>
          <cell r="P2674"/>
          <cell r="Q2674"/>
          <cell r="R2674"/>
          <cell r="S2674"/>
          <cell r="T2674"/>
          <cell r="U2674"/>
          <cell r="AF2674" t="str">
            <v>동절기</v>
          </cell>
          <cell r="AG2674">
            <v>0</v>
          </cell>
          <cell r="AH2674">
            <v>0</v>
          </cell>
        </row>
        <row r="2675">
          <cell r="G2675">
            <v>0</v>
          </cell>
          <cell r="I2675">
            <v>0</v>
          </cell>
          <cell r="M2675"/>
          <cell r="O2675"/>
          <cell r="P2675"/>
          <cell r="Q2675"/>
          <cell r="R2675"/>
          <cell r="S2675"/>
          <cell r="T2675"/>
          <cell r="U2675"/>
          <cell r="AF2675" t="str">
            <v>동절기</v>
          </cell>
          <cell r="AG2675">
            <v>0</v>
          </cell>
          <cell r="AH2675">
            <v>0</v>
          </cell>
        </row>
        <row r="2676">
          <cell r="G2676">
            <v>0</v>
          </cell>
          <cell r="I2676">
            <v>0</v>
          </cell>
          <cell r="M2676"/>
          <cell r="O2676"/>
          <cell r="P2676"/>
          <cell r="Q2676"/>
          <cell r="R2676"/>
          <cell r="S2676"/>
          <cell r="T2676"/>
          <cell r="U2676"/>
          <cell r="AF2676" t="str">
            <v>동절기</v>
          </cell>
          <cell r="AG2676">
            <v>0</v>
          </cell>
          <cell r="AH2676">
            <v>0</v>
          </cell>
        </row>
        <row r="2677">
          <cell r="G2677">
            <v>0</v>
          </cell>
          <cell r="I2677">
            <v>0</v>
          </cell>
          <cell r="M2677"/>
          <cell r="O2677"/>
          <cell r="P2677"/>
          <cell r="Q2677"/>
          <cell r="R2677"/>
          <cell r="S2677"/>
          <cell r="T2677"/>
          <cell r="U2677"/>
          <cell r="AF2677" t="str">
            <v>동절기</v>
          </cell>
          <cell r="AG2677">
            <v>0</v>
          </cell>
          <cell r="AH2677">
            <v>0</v>
          </cell>
        </row>
        <row r="2678">
          <cell r="G2678">
            <v>0</v>
          </cell>
          <cell r="I2678">
            <v>0</v>
          </cell>
          <cell r="M2678"/>
          <cell r="O2678"/>
          <cell r="P2678"/>
          <cell r="Q2678"/>
          <cell r="R2678"/>
          <cell r="S2678"/>
          <cell r="T2678"/>
          <cell r="U2678"/>
          <cell r="AF2678" t="str">
            <v>동절기</v>
          </cell>
          <cell r="AG2678">
            <v>0</v>
          </cell>
          <cell r="AH2678">
            <v>0</v>
          </cell>
        </row>
        <row r="2679">
          <cell r="G2679">
            <v>0</v>
          </cell>
          <cell r="I2679">
            <v>0</v>
          </cell>
          <cell r="M2679"/>
          <cell r="O2679"/>
          <cell r="P2679"/>
          <cell r="Q2679"/>
          <cell r="R2679"/>
          <cell r="S2679"/>
          <cell r="T2679"/>
          <cell r="U2679"/>
          <cell r="AF2679" t="str">
            <v>동절기</v>
          </cell>
          <cell r="AG2679">
            <v>0</v>
          </cell>
          <cell r="AH2679">
            <v>0</v>
          </cell>
        </row>
        <row r="2680">
          <cell r="G2680">
            <v>0</v>
          </cell>
          <cell r="I2680">
            <v>0</v>
          </cell>
          <cell r="M2680"/>
          <cell r="O2680"/>
          <cell r="P2680"/>
          <cell r="Q2680"/>
          <cell r="R2680"/>
          <cell r="S2680"/>
          <cell r="T2680"/>
          <cell r="U2680"/>
          <cell r="AF2680" t="str">
            <v>동절기</v>
          </cell>
          <cell r="AG2680">
            <v>0</v>
          </cell>
          <cell r="AH2680">
            <v>0</v>
          </cell>
        </row>
        <row r="2681">
          <cell r="G2681">
            <v>0</v>
          </cell>
          <cell r="I2681">
            <v>0</v>
          </cell>
          <cell r="M2681"/>
          <cell r="O2681"/>
          <cell r="P2681"/>
          <cell r="Q2681"/>
          <cell r="R2681"/>
          <cell r="S2681"/>
          <cell r="T2681"/>
          <cell r="U2681"/>
          <cell r="AF2681" t="str">
            <v>동절기</v>
          </cell>
          <cell r="AG2681">
            <v>0</v>
          </cell>
          <cell r="AH2681">
            <v>0</v>
          </cell>
        </row>
        <row r="2682">
          <cell r="G2682">
            <v>0</v>
          </cell>
          <cell r="I2682">
            <v>0</v>
          </cell>
          <cell r="M2682"/>
          <cell r="O2682"/>
          <cell r="P2682"/>
          <cell r="Q2682"/>
          <cell r="R2682"/>
          <cell r="S2682"/>
          <cell r="T2682"/>
          <cell r="U2682"/>
          <cell r="AF2682" t="str">
            <v>동절기</v>
          </cell>
          <cell r="AG2682">
            <v>0</v>
          </cell>
          <cell r="AH2682">
            <v>0</v>
          </cell>
        </row>
        <row r="2683">
          <cell r="G2683">
            <v>0</v>
          </cell>
          <cell r="I2683">
            <v>0</v>
          </cell>
          <cell r="M2683"/>
          <cell r="O2683"/>
          <cell r="P2683"/>
          <cell r="Q2683"/>
          <cell r="R2683"/>
          <cell r="S2683"/>
          <cell r="T2683"/>
          <cell r="U2683"/>
          <cell r="AF2683" t="str">
            <v>동절기</v>
          </cell>
          <cell r="AG2683">
            <v>0</v>
          </cell>
          <cell r="AH2683">
            <v>0</v>
          </cell>
        </row>
        <row r="2684">
          <cell r="G2684">
            <v>0</v>
          </cell>
          <cell r="I2684">
            <v>0</v>
          </cell>
          <cell r="M2684"/>
          <cell r="O2684"/>
          <cell r="P2684"/>
          <cell r="Q2684"/>
          <cell r="R2684"/>
          <cell r="S2684"/>
          <cell r="T2684"/>
          <cell r="U2684"/>
          <cell r="AF2684" t="str">
            <v>동절기</v>
          </cell>
          <cell r="AG2684">
            <v>0</v>
          </cell>
          <cell r="AH2684">
            <v>0</v>
          </cell>
        </row>
        <row r="2685">
          <cell r="G2685">
            <v>0</v>
          </cell>
          <cell r="I2685">
            <v>0</v>
          </cell>
          <cell r="M2685"/>
          <cell r="O2685"/>
          <cell r="P2685"/>
          <cell r="Q2685"/>
          <cell r="R2685"/>
          <cell r="S2685"/>
          <cell r="T2685"/>
          <cell r="U2685"/>
          <cell r="AF2685" t="str">
            <v>동절기</v>
          </cell>
          <cell r="AG2685">
            <v>0</v>
          </cell>
          <cell r="AH2685">
            <v>0</v>
          </cell>
        </row>
        <row r="2686">
          <cell r="G2686">
            <v>0</v>
          </cell>
          <cell r="I2686">
            <v>0</v>
          </cell>
          <cell r="M2686"/>
          <cell r="O2686"/>
          <cell r="P2686"/>
          <cell r="Q2686"/>
          <cell r="R2686"/>
          <cell r="S2686"/>
          <cell r="T2686"/>
          <cell r="U2686"/>
          <cell r="AF2686" t="str">
            <v>동절기</v>
          </cell>
          <cell r="AG2686">
            <v>0</v>
          </cell>
          <cell r="AH2686">
            <v>0</v>
          </cell>
        </row>
        <row r="2687">
          <cell r="G2687">
            <v>0</v>
          </cell>
          <cell r="I2687">
            <v>0</v>
          </cell>
          <cell r="M2687"/>
          <cell r="O2687"/>
          <cell r="P2687"/>
          <cell r="Q2687"/>
          <cell r="R2687"/>
          <cell r="S2687"/>
          <cell r="T2687"/>
          <cell r="U2687"/>
          <cell r="AF2687" t="str">
            <v>동절기</v>
          </cell>
          <cell r="AG2687">
            <v>0</v>
          </cell>
          <cell r="AH2687">
            <v>0</v>
          </cell>
        </row>
        <row r="2688">
          <cell r="G2688">
            <v>0</v>
          </cell>
          <cell r="I2688">
            <v>0</v>
          </cell>
          <cell r="M2688"/>
          <cell r="O2688"/>
          <cell r="P2688"/>
          <cell r="Q2688"/>
          <cell r="R2688"/>
          <cell r="S2688"/>
          <cell r="T2688"/>
          <cell r="U2688"/>
          <cell r="AF2688" t="str">
            <v>동절기</v>
          </cell>
          <cell r="AG2688">
            <v>0</v>
          </cell>
          <cell r="AH2688">
            <v>0</v>
          </cell>
        </row>
        <row r="2689">
          <cell r="G2689">
            <v>0</v>
          </cell>
          <cell r="I2689">
            <v>0</v>
          </cell>
          <cell r="M2689"/>
          <cell r="O2689"/>
          <cell r="P2689"/>
          <cell r="Q2689"/>
          <cell r="R2689"/>
          <cell r="S2689"/>
          <cell r="T2689"/>
          <cell r="U2689"/>
          <cell r="AF2689" t="str">
            <v>동절기</v>
          </cell>
          <cell r="AG2689">
            <v>0</v>
          </cell>
          <cell r="AH2689">
            <v>0</v>
          </cell>
        </row>
        <row r="2690">
          <cell r="G2690">
            <v>0</v>
          </cell>
          <cell r="I2690">
            <v>0</v>
          </cell>
          <cell r="M2690"/>
          <cell r="O2690"/>
          <cell r="P2690"/>
          <cell r="Q2690"/>
          <cell r="R2690"/>
          <cell r="S2690"/>
          <cell r="T2690"/>
          <cell r="U2690"/>
          <cell r="AF2690" t="str">
            <v>동절기</v>
          </cell>
          <cell r="AG2690">
            <v>0</v>
          </cell>
          <cell r="AH2690">
            <v>0</v>
          </cell>
        </row>
        <row r="2691">
          <cell r="G2691">
            <v>0</v>
          </cell>
          <cell r="I2691">
            <v>0</v>
          </cell>
          <cell r="M2691"/>
          <cell r="O2691"/>
          <cell r="P2691"/>
          <cell r="Q2691"/>
          <cell r="R2691"/>
          <cell r="S2691"/>
          <cell r="T2691"/>
          <cell r="U2691"/>
          <cell r="AF2691" t="str">
            <v>동절기</v>
          </cell>
          <cell r="AG2691">
            <v>0</v>
          </cell>
          <cell r="AH2691">
            <v>0</v>
          </cell>
        </row>
        <row r="2692">
          <cell r="G2692">
            <v>0</v>
          </cell>
          <cell r="I2692">
            <v>0</v>
          </cell>
          <cell r="M2692"/>
          <cell r="O2692"/>
          <cell r="P2692"/>
          <cell r="Q2692"/>
          <cell r="R2692"/>
          <cell r="S2692"/>
          <cell r="T2692"/>
          <cell r="U2692"/>
          <cell r="AF2692" t="str">
            <v>동절기</v>
          </cell>
          <cell r="AG2692">
            <v>0</v>
          </cell>
          <cell r="AH2692">
            <v>0</v>
          </cell>
        </row>
        <row r="2693">
          <cell r="G2693">
            <v>0</v>
          </cell>
          <cell r="I2693">
            <v>0</v>
          </cell>
          <cell r="M2693"/>
          <cell r="O2693"/>
          <cell r="P2693"/>
          <cell r="Q2693"/>
          <cell r="R2693"/>
          <cell r="S2693"/>
          <cell r="T2693"/>
          <cell r="U2693"/>
          <cell r="AF2693" t="str">
            <v>동절기</v>
          </cell>
          <cell r="AG2693">
            <v>0</v>
          </cell>
          <cell r="AH2693">
            <v>0</v>
          </cell>
        </row>
        <row r="2694">
          <cell r="G2694">
            <v>0</v>
          </cell>
          <cell r="I2694">
            <v>0</v>
          </cell>
          <cell r="M2694"/>
          <cell r="O2694"/>
          <cell r="P2694"/>
          <cell r="Q2694"/>
          <cell r="R2694"/>
          <cell r="S2694"/>
          <cell r="T2694"/>
          <cell r="U2694"/>
          <cell r="AF2694" t="str">
            <v>동절기</v>
          </cell>
          <cell r="AG2694">
            <v>0</v>
          </cell>
          <cell r="AH2694">
            <v>0</v>
          </cell>
        </row>
        <row r="2695">
          <cell r="G2695">
            <v>0</v>
          </cell>
          <cell r="I2695">
            <v>0</v>
          </cell>
          <cell r="M2695"/>
          <cell r="O2695"/>
          <cell r="P2695"/>
          <cell r="Q2695"/>
          <cell r="R2695"/>
          <cell r="S2695"/>
          <cell r="T2695"/>
          <cell r="U2695"/>
          <cell r="AF2695" t="str">
            <v>동절기</v>
          </cell>
          <cell r="AG2695">
            <v>0</v>
          </cell>
          <cell r="AH2695">
            <v>0</v>
          </cell>
        </row>
        <row r="2696">
          <cell r="G2696">
            <v>0</v>
          </cell>
          <cell r="I2696">
            <v>0</v>
          </cell>
          <cell r="M2696"/>
          <cell r="O2696"/>
          <cell r="P2696"/>
          <cell r="Q2696"/>
          <cell r="R2696"/>
          <cell r="S2696"/>
          <cell r="T2696"/>
          <cell r="U2696"/>
          <cell r="AF2696" t="str">
            <v>동절기</v>
          </cell>
          <cell r="AG2696">
            <v>0</v>
          </cell>
          <cell r="AH2696">
            <v>0</v>
          </cell>
        </row>
        <row r="2697">
          <cell r="G2697">
            <v>0</v>
          </cell>
          <cell r="I2697">
            <v>0</v>
          </cell>
          <cell r="M2697"/>
          <cell r="O2697"/>
          <cell r="P2697"/>
          <cell r="Q2697"/>
          <cell r="R2697"/>
          <cell r="S2697"/>
          <cell r="T2697"/>
          <cell r="U2697"/>
          <cell r="AF2697" t="str">
            <v>동절기</v>
          </cell>
          <cell r="AG2697">
            <v>0</v>
          </cell>
          <cell r="AH2697">
            <v>0</v>
          </cell>
        </row>
        <row r="2698">
          <cell r="G2698">
            <v>0</v>
          </cell>
          <cell r="I2698">
            <v>0</v>
          </cell>
          <cell r="M2698"/>
          <cell r="O2698"/>
          <cell r="P2698"/>
          <cell r="Q2698"/>
          <cell r="R2698"/>
          <cell r="S2698"/>
          <cell r="T2698"/>
          <cell r="U2698"/>
          <cell r="AF2698" t="str">
            <v>동절기</v>
          </cell>
          <cell r="AG2698">
            <v>0</v>
          </cell>
          <cell r="AH2698">
            <v>0</v>
          </cell>
        </row>
        <row r="2699">
          <cell r="G2699">
            <v>0</v>
          </cell>
          <cell r="I2699">
            <v>0</v>
          </cell>
          <cell r="M2699"/>
          <cell r="O2699"/>
          <cell r="P2699"/>
          <cell r="Q2699"/>
          <cell r="R2699"/>
          <cell r="S2699"/>
          <cell r="T2699"/>
          <cell r="U2699"/>
          <cell r="AF2699" t="str">
            <v>동절기</v>
          </cell>
          <cell r="AG2699">
            <v>0</v>
          </cell>
          <cell r="AH2699">
            <v>0</v>
          </cell>
        </row>
        <row r="2700">
          <cell r="G2700">
            <v>0</v>
          </cell>
          <cell r="I2700">
            <v>0</v>
          </cell>
          <cell r="M2700"/>
          <cell r="O2700"/>
          <cell r="P2700"/>
          <cell r="Q2700"/>
          <cell r="R2700"/>
          <cell r="S2700"/>
          <cell r="T2700"/>
          <cell r="U2700"/>
          <cell r="AF2700" t="str">
            <v>동절기</v>
          </cell>
          <cell r="AG2700">
            <v>0</v>
          </cell>
          <cell r="AH2700">
            <v>0</v>
          </cell>
        </row>
        <row r="2701">
          <cell r="G2701">
            <v>0</v>
          </cell>
          <cell r="I2701">
            <v>0</v>
          </cell>
          <cell r="M2701"/>
          <cell r="O2701"/>
          <cell r="P2701"/>
          <cell r="Q2701"/>
          <cell r="R2701"/>
          <cell r="S2701"/>
          <cell r="T2701"/>
          <cell r="U2701"/>
          <cell r="AF2701" t="str">
            <v>동절기</v>
          </cell>
          <cell r="AG2701">
            <v>0</v>
          </cell>
          <cell r="AH2701">
            <v>0</v>
          </cell>
        </row>
        <row r="2702">
          <cell r="G2702">
            <v>0</v>
          </cell>
          <cell r="I2702">
            <v>0</v>
          </cell>
          <cell r="M2702"/>
          <cell r="O2702"/>
          <cell r="P2702"/>
          <cell r="Q2702"/>
          <cell r="R2702"/>
          <cell r="S2702"/>
          <cell r="T2702"/>
          <cell r="U2702"/>
          <cell r="AF2702" t="str">
            <v>동절기</v>
          </cell>
          <cell r="AG2702">
            <v>0</v>
          </cell>
          <cell r="AH2702">
            <v>0</v>
          </cell>
        </row>
        <row r="2703">
          <cell r="G2703">
            <v>0</v>
          </cell>
          <cell r="I2703">
            <v>0</v>
          </cell>
          <cell r="M2703"/>
          <cell r="O2703"/>
          <cell r="P2703"/>
          <cell r="Q2703"/>
          <cell r="R2703"/>
          <cell r="S2703"/>
          <cell r="T2703"/>
          <cell r="U2703"/>
          <cell r="AF2703" t="str">
            <v>동절기</v>
          </cell>
          <cell r="AG2703">
            <v>0</v>
          </cell>
          <cell r="AH2703">
            <v>0</v>
          </cell>
        </row>
        <row r="2704">
          <cell r="G2704">
            <v>0</v>
          </cell>
          <cell r="I2704">
            <v>0</v>
          </cell>
          <cell r="M2704"/>
          <cell r="O2704"/>
          <cell r="P2704"/>
          <cell r="Q2704"/>
          <cell r="R2704"/>
          <cell r="S2704"/>
          <cell r="T2704"/>
          <cell r="U2704"/>
          <cell r="AF2704" t="str">
            <v>동절기</v>
          </cell>
          <cell r="AG2704">
            <v>0</v>
          </cell>
          <cell r="AH2704">
            <v>0</v>
          </cell>
        </row>
        <row r="2705">
          <cell r="G2705">
            <v>0</v>
          </cell>
          <cell r="I2705">
            <v>0</v>
          </cell>
          <cell r="M2705"/>
          <cell r="O2705"/>
          <cell r="P2705"/>
          <cell r="Q2705"/>
          <cell r="R2705"/>
          <cell r="S2705"/>
          <cell r="T2705"/>
          <cell r="U2705"/>
          <cell r="AF2705" t="str">
            <v>동절기</v>
          </cell>
          <cell r="AG2705">
            <v>0</v>
          </cell>
          <cell r="AH2705">
            <v>0</v>
          </cell>
        </row>
        <row r="2706">
          <cell r="G2706">
            <v>0</v>
          </cell>
          <cell r="I2706">
            <v>0</v>
          </cell>
          <cell r="M2706"/>
          <cell r="O2706"/>
          <cell r="P2706"/>
          <cell r="Q2706"/>
          <cell r="R2706"/>
          <cell r="S2706"/>
          <cell r="T2706"/>
          <cell r="U2706"/>
          <cell r="AF2706" t="str">
            <v>동절기</v>
          </cell>
          <cell r="AG2706">
            <v>0</v>
          </cell>
          <cell r="AH2706">
            <v>0</v>
          </cell>
        </row>
        <row r="2707">
          <cell r="G2707">
            <v>0</v>
          </cell>
          <cell r="I2707">
            <v>0</v>
          </cell>
          <cell r="M2707"/>
          <cell r="O2707"/>
          <cell r="P2707"/>
          <cell r="Q2707"/>
          <cell r="R2707"/>
          <cell r="S2707"/>
          <cell r="T2707"/>
          <cell r="U2707"/>
          <cell r="AF2707" t="str">
            <v>동절기</v>
          </cell>
          <cell r="AG2707">
            <v>0</v>
          </cell>
          <cell r="AH2707">
            <v>0</v>
          </cell>
        </row>
        <row r="2708">
          <cell r="G2708">
            <v>0</v>
          </cell>
          <cell r="I2708">
            <v>0</v>
          </cell>
          <cell r="M2708"/>
          <cell r="O2708"/>
          <cell r="P2708"/>
          <cell r="Q2708"/>
          <cell r="R2708"/>
          <cell r="S2708"/>
          <cell r="T2708"/>
          <cell r="U2708"/>
          <cell r="AF2708" t="str">
            <v>동절기</v>
          </cell>
          <cell r="AG2708">
            <v>0</v>
          </cell>
          <cell r="AH2708">
            <v>0</v>
          </cell>
        </row>
        <row r="2709">
          <cell r="G2709">
            <v>0</v>
          </cell>
          <cell r="I2709">
            <v>0</v>
          </cell>
          <cell r="M2709"/>
          <cell r="O2709"/>
          <cell r="P2709"/>
          <cell r="Q2709"/>
          <cell r="R2709"/>
          <cell r="S2709"/>
          <cell r="T2709"/>
          <cell r="U2709"/>
          <cell r="AF2709" t="str">
            <v>동절기</v>
          </cell>
          <cell r="AG2709">
            <v>0</v>
          </cell>
          <cell r="AH2709">
            <v>0</v>
          </cell>
        </row>
        <row r="2710">
          <cell r="G2710">
            <v>0</v>
          </cell>
          <cell r="I2710">
            <v>0</v>
          </cell>
          <cell r="M2710"/>
          <cell r="O2710"/>
          <cell r="P2710"/>
          <cell r="Q2710"/>
          <cell r="R2710"/>
          <cell r="S2710"/>
          <cell r="T2710"/>
          <cell r="U2710"/>
          <cell r="AF2710" t="str">
            <v>동절기</v>
          </cell>
          <cell r="AG2710">
            <v>0</v>
          </cell>
          <cell r="AH2710">
            <v>0</v>
          </cell>
        </row>
        <row r="2711">
          <cell r="G2711">
            <v>0</v>
          </cell>
          <cell r="I2711">
            <v>0</v>
          </cell>
          <cell r="M2711"/>
          <cell r="O2711"/>
          <cell r="P2711"/>
          <cell r="Q2711"/>
          <cell r="R2711"/>
          <cell r="S2711"/>
          <cell r="T2711"/>
          <cell r="U2711"/>
          <cell r="AF2711" t="str">
            <v>동절기</v>
          </cell>
          <cell r="AG2711">
            <v>0</v>
          </cell>
          <cell r="AH2711">
            <v>0</v>
          </cell>
        </row>
        <row r="2712">
          <cell r="G2712">
            <v>0</v>
          </cell>
          <cell r="I2712">
            <v>0</v>
          </cell>
          <cell r="M2712"/>
          <cell r="O2712"/>
          <cell r="P2712"/>
          <cell r="Q2712"/>
          <cell r="R2712"/>
          <cell r="S2712"/>
          <cell r="T2712"/>
          <cell r="U2712"/>
          <cell r="AF2712" t="str">
            <v>동절기</v>
          </cell>
          <cell r="AG2712">
            <v>0</v>
          </cell>
          <cell r="AH2712">
            <v>0</v>
          </cell>
        </row>
        <row r="2713">
          <cell r="G2713">
            <v>0</v>
          </cell>
          <cell r="I2713">
            <v>0</v>
          </cell>
          <cell r="M2713"/>
          <cell r="O2713"/>
          <cell r="P2713"/>
          <cell r="Q2713"/>
          <cell r="R2713"/>
          <cell r="S2713"/>
          <cell r="T2713"/>
          <cell r="U2713"/>
          <cell r="AF2713" t="str">
            <v>동절기</v>
          </cell>
          <cell r="AG2713">
            <v>0</v>
          </cell>
          <cell r="AH2713">
            <v>0</v>
          </cell>
        </row>
        <row r="2714">
          <cell r="G2714">
            <v>0</v>
          </cell>
          <cell r="I2714">
            <v>0</v>
          </cell>
          <cell r="M2714"/>
          <cell r="O2714"/>
          <cell r="P2714"/>
          <cell r="Q2714"/>
          <cell r="R2714"/>
          <cell r="S2714"/>
          <cell r="T2714"/>
          <cell r="U2714"/>
          <cell r="AF2714" t="str">
            <v>동절기</v>
          </cell>
          <cell r="AG2714">
            <v>0</v>
          </cell>
          <cell r="AH2714">
            <v>0</v>
          </cell>
        </row>
        <row r="2715">
          <cell r="G2715">
            <v>0</v>
          </cell>
          <cell r="I2715">
            <v>0</v>
          </cell>
          <cell r="M2715"/>
          <cell r="O2715"/>
          <cell r="P2715"/>
          <cell r="Q2715"/>
          <cell r="R2715"/>
          <cell r="S2715"/>
          <cell r="T2715"/>
          <cell r="U2715"/>
          <cell r="AF2715" t="str">
            <v>동절기</v>
          </cell>
          <cell r="AG2715">
            <v>0</v>
          </cell>
          <cell r="AH2715">
            <v>0</v>
          </cell>
        </row>
        <row r="2716">
          <cell r="G2716">
            <v>0</v>
          </cell>
          <cell r="I2716">
            <v>0</v>
          </cell>
          <cell r="M2716"/>
          <cell r="O2716"/>
          <cell r="P2716"/>
          <cell r="Q2716"/>
          <cell r="R2716"/>
          <cell r="S2716"/>
          <cell r="T2716"/>
          <cell r="U2716"/>
          <cell r="AF2716" t="str">
            <v>동절기</v>
          </cell>
          <cell r="AG2716">
            <v>0</v>
          </cell>
          <cell r="AH2716">
            <v>0</v>
          </cell>
        </row>
        <row r="2717">
          <cell r="G2717">
            <v>0</v>
          </cell>
          <cell r="I2717">
            <v>0</v>
          </cell>
          <cell r="M2717"/>
          <cell r="O2717"/>
          <cell r="P2717"/>
          <cell r="Q2717"/>
          <cell r="R2717"/>
          <cell r="S2717"/>
          <cell r="T2717"/>
          <cell r="U2717"/>
          <cell r="AF2717" t="str">
            <v>동절기</v>
          </cell>
          <cell r="AG2717">
            <v>0</v>
          </cell>
          <cell r="AH2717">
            <v>0</v>
          </cell>
        </row>
        <row r="2718">
          <cell r="G2718">
            <v>0</v>
          </cell>
          <cell r="I2718">
            <v>0</v>
          </cell>
          <cell r="M2718"/>
          <cell r="O2718"/>
          <cell r="P2718"/>
          <cell r="Q2718"/>
          <cell r="R2718"/>
          <cell r="S2718"/>
          <cell r="T2718"/>
          <cell r="U2718"/>
          <cell r="AF2718" t="str">
            <v>동절기</v>
          </cell>
          <cell r="AG2718">
            <v>0</v>
          </cell>
          <cell r="AH2718">
            <v>0</v>
          </cell>
        </row>
        <row r="2719">
          <cell r="G2719">
            <v>0</v>
          </cell>
          <cell r="I2719">
            <v>0</v>
          </cell>
          <cell r="M2719"/>
          <cell r="O2719"/>
          <cell r="P2719"/>
          <cell r="Q2719"/>
          <cell r="R2719"/>
          <cell r="S2719"/>
          <cell r="T2719"/>
          <cell r="U2719"/>
          <cell r="AF2719" t="str">
            <v>동절기</v>
          </cell>
          <cell r="AG2719">
            <v>0</v>
          </cell>
          <cell r="AH2719">
            <v>0</v>
          </cell>
        </row>
        <row r="2720">
          <cell r="G2720">
            <v>0</v>
          </cell>
          <cell r="I2720">
            <v>0</v>
          </cell>
          <cell r="M2720"/>
          <cell r="O2720"/>
          <cell r="P2720"/>
          <cell r="Q2720"/>
          <cell r="R2720"/>
          <cell r="S2720"/>
          <cell r="T2720"/>
          <cell r="U2720"/>
          <cell r="AF2720" t="str">
            <v>동절기</v>
          </cell>
          <cell r="AG2720">
            <v>0</v>
          </cell>
          <cell r="AH2720">
            <v>0</v>
          </cell>
        </row>
        <row r="2721">
          <cell r="G2721">
            <v>0</v>
          </cell>
          <cell r="I2721">
            <v>0</v>
          </cell>
          <cell r="M2721"/>
          <cell r="O2721"/>
          <cell r="P2721"/>
          <cell r="Q2721"/>
          <cell r="R2721"/>
          <cell r="S2721"/>
          <cell r="T2721"/>
          <cell r="U2721"/>
          <cell r="AF2721" t="str">
            <v>동절기</v>
          </cell>
          <cell r="AG2721">
            <v>0</v>
          </cell>
          <cell r="AH2721">
            <v>0</v>
          </cell>
        </row>
        <row r="2722">
          <cell r="G2722">
            <v>0</v>
          </cell>
          <cell r="I2722">
            <v>0</v>
          </cell>
          <cell r="M2722"/>
          <cell r="O2722"/>
          <cell r="P2722"/>
          <cell r="Q2722"/>
          <cell r="R2722"/>
          <cell r="S2722"/>
          <cell r="T2722"/>
          <cell r="U2722"/>
          <cell r="AF2722" t="str">
            <v>동절기</v>
          </cell>
          <cell r="AG2722">
            <v>0</v>
          </cell>
          <cell r="AH2722">
            <v>0</v>
          </cell>
        </row>
        <row r="2723">
          <cell r="G2723">
            <v>0</v>
          </cell>
          <cell r="I2723">
            <v>0</v>
          </cell>
          <cell r="M2723"/>
          <cell r="O2723"/>
          <cell r="P2723"/>
          <cell r="Q2723"/>
          <cell r="R2723"/>
          <cell r="S2723"/>
          <cell r="T2723"/>
          <cell r="U2723"/>
          <cell r="AF2723" t="str">
            <v>동절기</v>
          </cell>
          <cell r="AG2723">
            <v>0</v>
          </cell>
          <cell r="AH2723">
            <v>0</v>
          </cell>
        </row>
        <row r="2724">
          <cell r="G2724">
            <v>0</v>
          </cell>
          <cell r="I2724">
            <v>0</v>
          </cell>
          <cell r="M2724"/>
          <cell r="O2724"/>
          <cell r="P2724"/>
          <cell r="Q2724"/>
          <cell r="R2724"/>
          <cell r="S2724"/>
          <cell r="T2724"/>
          <cell r="U2724"/>
          <cell r="AF2724" t="str">
            <v>동절기</v>
          </cell>
          <cell r="AG2724">
            <v>0</v>
          </cell>
          <cell r="AH2724">
            <v>0</v>
          </cell>
        </row>
        <row r="2725">
          <cell r="G2725">
            <v>0</v>
          </cell>
          <cell r="I2725">
            <v>0</v>
          </cell>
          <cell r="M2725"/>
          <cell r="O2725"/>
          <cell r="P2725"/>
          <cell r="Q2725"/>
          <cell r="R2725"/>
          <cell r="S2725"/>
          <cell r="T2725"/>
          <cell r="U2725"/>
          <cell r="AF2725" t="str">
            <v>동절기</v>
          </cell>
          <cell r="AG2725">
            <v>0</v>
          </cell>
          <cell r="AH2725">
            <v>0</v>
          </cell>
        </row>
        <row r="2726">
          <cell r="G2726">
            <v>0</v>
          </cell>
          <cell r="I2726">
            <v>0</v>
          </cell>
          <cell r="M2726"/>
          <cell r="O2726"/>
          <cell r="P2726"/>
          <cell r="Q2726"/>
          <cell r="R2726"/>
          <cell r="S2726"/>
          <cell r="T2726"/>
          <cell r="U2726"/>
          <cell r="AF2726" t="str">
            <v>동절기</v>
          </cell>
          <cell r="AG2726">
            <v>0</v>
          </cell>
          <cell r="AH2726">
            <v>0</v>
          </cell>
        </row>
        <row r="2727">
          <cell r="G2727">
            <v>0</v>
          </cell>
          <cell r="I2727">
            <v>0</v>
          </cell>
          <cell r="M2727"/>
          <cell r="O2727"/>
          <cell r="P2727"/>
          <cell r="Q2727"/>
          <cell r="R2727"/>
          <cell r="S2727"/>
          <cell r="T2727"/>
          <cell r="U2727"/>
          <cell r="AF2727" t="str">
            <v>동절기</v>
          </cell>
          <cell r="AG2727">
            <v>0</v>
          </cell>
          <cell r="AH2727">
            <v>0</v>
          </cell>
        </row>
        <row r="2728">
          <cell r="G2728">
            <v>0</v>
          </cell>
          <cell r="I2728">
            <v>0</v>
          </cell>
          <cell r="M2728"/>
          <cell r="O2728"/>
          <cell r="P2728"/>
          <cell r="Q2728"/>
          <cell r="R2728"/>
          <cell r="S2728"/>
          <cell r="T2728"/>
          <cell r="U2728"/>
          <cell r="AF2728" t="str">
            <v>동절기</v>
          </cell>
          <cell r="AG2728">
            <v>0</v>
          </cell>
          <cell r="AH2728">
            <v>0</v>
          </cell>
        </row>
        <row r="2729">
          <cell r="G2729">
            <v>0</v>
          </cell>
          <cell r="I2729">
            <v>0</v>
          </cell>
          <cell r="M2729"/>
          <cell r="O2729"/>
          <cell r="P2729"/>
          <cell r="Q2729"/>
          <cell r="R2729"/>
          <cell r="S2729"/>
          <cell r="T2729"/>
          <cell r="U2729"/>
          <cell r="AF2729" t="str">
            <v>동절기</v>
          </cell>
          <cell r="AG2729">
            <v>0</v>
          </cell>
          <cell r="AH2729">
            <v>0</v>
          </cell>
        </row>
        <row r="2730">
          <cell r="G2730">
            <v>0</v>
          </cell>
          <cell r="I2730">
            <v>0</v>
          </cell>
          <cell r="M2730"/>
          <cell r="O2730"/>
          <cell r="P2730"/>
          <cell r="Q2730"/>
          <cell r="R2730"/>
          <cell r="S2730"/>
          <cell r="T2730"/>
          <cell r="U2730"/>
          <cell r="AF2730" t="str">
            <v>동절기</v>
          </cell>
          <cell r="AG2730">
            <v>0</v>
          </cell>
          <cell r="AH2730">
            <v>0</v>
          </cell>
        </row>
        <row r="2731">
          <cell r="G2731">
            <v>0</v>
          </cell>
          <cell r="I2731">
            <v>0</v>
          </cell>
          <cell r="M2731"/>
          <cell r="O2731"/>
          <cell r="P2731"/>
          <cell r="Q2731"/>
          <cell r="R2731"/>
          <cell r="S2731"/>
          <cell r="T2731"/>
          <cell r="U2731"/>
          <cell r="AF2731" t="str">
            <v>동절기</v>
          </cell>
          <cell r="AG2731">
            <v>0</v>
          </cell>
          <cell r="AH2731">
            <v>0</v>
          </cell>
        </row>
        <row r="2732">
          <cell r="G2732">
            <v>0</v>
          </cell>
          <cell r="I2732">
            <v>0</v>
          </cell>
          <cell r="M2732"/>
          <cell r="O2732"/>
          <cell r="P2732"/>
          <cell r="Q2732"/>
          <cell r="R2732"/>
          <cell r="S2732"/>
          <cell r="T2732"/>
          <cell r="U2732"/>
          <cell r="AF2732" t="str">
            <v>동절기</v>
          </cell>
          <cell r="AG2732">
            <v>0</v>
          </cell>
          <cell r="AH2732">
            <v>0</v>
          </cell>
        </row>
        <row r="2733">
          <cell r="G2733">
            <v>0</v>
          </cell>
          <cell r="I2733">
            <v>0</v>
          </cell>
          <cell r="M2733"/>
          <cell r="O2733"/>
          <cell r="P2733"/>
          <cell r="Q2733"/>
          <cell r="R2733"/>
          <cell r="S2733"/>
          <cell r="T2733"/>
          <cell r="U2733"/>
          <cell r="AF2733" t="str">
            <v>동절기</v>
          </cell>
          <cell r="AG2733">
            <v>0</v>
          </cell>
          <cell r="AH2733">
            <v>0</v>
          </cell>
        </row>
        <row r="2734">
          <cell r="G2734">
            <v>0</v>
          </cell>
          <cell r="I2734">
            <v>0</v>
          </cell>
          <cell r="M2734"/>
          <cell r="O2734"/>
          <cell r="P2734"/>
          <cell r="Q2734"/>
          <cell r="R2734"/>
          <cell r="S2734"/>
          <cell r="T2734"/>
          <cell r="U2734"/>
          <cell r="AF2734" t="str">
            <v>동절기</v>
          </cell>
          <cell r="AG2734">
            <v>0</v>
          </cell>
          <cell r="AH2734">
            <v>0</v>
          </cell>
        </row>
        <row r="2735">
          <cell r="G2735">
            <v>0</v>
          </cell>
          <cell r="I2735">
            <v>0</v>
          </cell>
          <cell r="M2735"/>
          <cell r="O2735"/>
          <cell r="P2735"/>
          <cell r="Q2735"/>
          <cell r="R2735"/>
          <cell r="S2735"/>
          <cell r="T2735"/>
          <cell r="U2735"/>
          <cell r="AF2735" t="str">
            <v>동절기</v>
          </cell>
          <cell r="AG2735">
            <v>0</v>
          </cell>
          <cell r="AH2735">
            <v>0</v>
          </cell>
        </row>
        <row r="2736">
          <cell r="G2736">
            <v>0</v>
          </cell>
          <cell r="I2736">
            <v>0</v>
          </cell>
          <cell r="M2736"/>
          <cell r="O2736"/>
          <cell r="P2736"/>
          <cell r="Q2736"/>
          <cell r="R2736"/>
          <cell r="S2736"/>
          <cell r="T2736"/>
          <cell r="U2736"/>
          <cell r="AF2736" t="str">
            <v>동절기</v>
          </cell>
          <cell r="AG2736">
            <v>0</v>
          </cell>
          <cell r="AH2736">
            <v>0</v>
          </cell>
        </row>
        <row r="2737">
          <cell r="G2737">
            <v>0</v>
          </cell>
          <cell r="I2737">
            <v>0</v>
          </cell>
          <cell r="M2737"/>
          <cell r="O2737"/>
          <cell r="P2737"/>
          <cell r="Q2737"/>
          <cell r="R2737"/>
          <cell r="S2737"/>
          <cell r="T2737"/>
          <cell r="U2737"/>
          <cell r="AF2737" t="str">
            <v>동절기</v>
          </cell>
          <cell r="AG2737">
            <v>0</v>
          </cell>
          <cell r="AH2737">
            <v>0</v>
          </cell>
        </row>
        <row r="2738">
          <cell r="G2738">
            <v>0</v>
          </cell>
          <cell r="I2738">
            <v>0</v>
          </cell>
          <cell r="M2738"/>
          <cell r="O2738"/>
          <cell r="P2738"/>
          <cell r="Q2738"/>
          <cell r="R2738"/>
          <cell r="S2738"/>
          <cell r="T2738"/>
          <cell r="U2738"/>
          <cell r="AF2738" t="str">
            <v>동절기</v>
          </cell>
          <cell r="AG2738">
            <v>0</v>
          </cell>
          <cell r="AH2738">
            <v>0</v>
          </cell>
        </row>
        <row r="2739">
          <cell r="G2739">
            <v>0</v>
          </cell>
          <cell r="I2739">
            <v>0</v>
          </cell>
          <cell r="M2739"/>
          <cell r="O2739"/>
          <cell r="P2739"/>
          <cell r="Q2739"/>
          <cell r="R2739"/>
          <cell r="S2739"/>
          <cell r="T2739"/>
          <cell r="U2739"/>
          <cell r="AF2739" t="str">
            <v>동절기</v>
          </cell>
          <cell r="AG2739">
            <v>0</v>
          </cell>
          <cell r="AH2739">
            <v>0</v>
          </cell>
        </row>
        <row r="2740">
          <cell r="G2740">
            <v>0</v>
          </cell>
          <cell r="I2740">
            <v>0</v>
          </cell>
          <cell r="M2740"/>
          <cell r="O2740"/>
          <cell r="P2740"/>
          <cell r="Q2740"/>
          <cell r="R2740"/>
          <cell r="S2740"/>
          <cell r="T2740"/>
          <cell r="U2740"/>
          <cell r="AF2740" t="str">
            <v>동절기</v>
          </cell>
          <cell r="AG2740">
            <v>0</v>
          </cell>
          <cell r="AH2740">
            <v>0</v>
          </cell>
        </row>
        <row r="2741">
          <cell r="G2741">
            <v>0</v>
          </cell>
          <cell r="I2741">
            <v>0</v>
          </cell>
          <cell r="M2741"/>
          <cell r="O2741"/>
          <cell r="P2741"/>
          <cell r="Q2741"/>
          <cell r="R2741"/>
          <cell r="S2741"/>
          <cell r="T2741"/>
          <cell r="U2741"/>
          <cell r="AF2741" t="str">
            <v>동절기</v>
          </cell>
          <cell r="AG2741">
            <v>0</v>
          </cell>
          <cell r="AH2741">
            <v>0</v>
          </cell>
        </row>
        <row r="2742">
          <cell r="G2742">
            <v>0</v>
          </cell>
          <cell r="I2742">
            <v>0</v>
          </cell>
          <cell r="M2742"/>
          <cell r="O2742"/>
          <cell r="P2742"/>
          <cell r="Q2742"/>
          <cell r="R2742"/>
          <cell r="S2742"/>
          <cell r="T2742"/>
          <cell r="U2742"/>
          <cell r="AF2742" t="str">
            <v>동절기</v>
          </cell>
          <cell r="AG2742">
            <v>0</v>
          </cell>
          <cell r="AH2742">
            <v>0</v>
          </cell>
        </row>
        <row r="2743">
          <cell r="G2743">
            <v>0</v>
          </cell>
          <cell r="I2743">
            <v>0</v>
          </cell>
          <cell r="M2743"/>
          <cell r="O2743"/>
          <cell r="P2743"/>
          <cell r="Q2743"/>
          <cell r="R2743"/>
          <cell r="S2743"/>
          <cell r="T2743"/>
          <cell r="U2743"/>
          <cell r="AF2743" t="str">
            <v>동절기</v>
          </cell>
          <cell r="AG2743">
            <v>0</v>
          </cell>
          <cell r="AH2743">
            <v>0</v>
          </cell>
        </row>
        <row r="2744">
          <cell r="G2744">
            <v>0</v>
          </cell>
          <cell r="I2744">
            <v>0</v>
          </cell>
          <cell r="M2744"/>
          <cell r="O2744"/>
          <cell r="P2744"/>
          <cell r="Q2744"/>
          <cell r="R2744"/>
          <cell r="S2744"/>
          <cell r="T2744"/>
          <cell r="U2744"/>
          <cell r="AF2744" t="str">
            <v>동절기</v>
          </cell>
          <cell r="AG2744">
            <v>0</v>
          </cell>
          <cell r="AH2744">
            <v>0</v>
          </cell>
        </row>
        <row r="2745">
          <cell r="G2745">
            <v>0</v>
          </cell>
          <cell r="I2745">
            <v>0</v>
          </cell>
          <cell r="M2745"/>
          <cell r="O2745"/>
          <cell r="P2745"/>
          <cell r="Q2745"/>
          <cell r="R2745"/>
          <cell r="S2745"/>
          <cell r="T2745"/>
          <cell r="U2745"/>
          <cell r="AF2745" t="str">
            <v>동절기</v>
          </cell>
          <cell r="AG2745">
            <v>0</v>
          </cell>
          <cell r="AH2745">
            <v>0</v>
          </cell>
        </row>
        <row r="2746">
          <cell r="G2746">
            <v>0</v>
          </cell>
          <cell r="M2746"/>
          <cell r="O2746"/>
          <cell r="P2746"/>
          <cell r="Q2746"/>
          <cell r="R2746"/>
          <cell r="S2746"/>
          <cell r="T2746"/>
          <cell r="U2746"/>
          <cell r="AF2746" t="str">
            <v>동절기</v>
          </cell>
          <cell r="AG2746">
            <v>0</v>
          </cell>
          <cell r="AH2746">
            <v>0</v>
          </cell>
        </row>
        <row r="2747">
          <cell r="G2747">
            <v>0</v>
          </cell>
          <cell r="M2747"/>
          <cell r="O2747"/>
          <cell r="P2747"/>
          <cell r="Q2747"/>
          <cell r="R2747"/>
          <cell r="S2747"/>
          <cell r="T2747"/>
          <cell r="U2747"/>
          <cell r="AF2747" t="str">
            <v>동절기</v>
          </cell>
          <cell r="AG2747">
            <v>0</v>
          </cell>
          <cell r="AH2747">
            <v>0</v>
          </cell>
        </row>
        <row r="2748">
          <cell r="G2748">
            <v>0</v>
          </cell>
          <cell r="M2748"/>
          <cell r="O2748"/>
          <cell r="P2748"/>
          <cell r="Q2748"/>
          <cell r="R2748"/>
          <cell r="S2748"/>
          <cell r="T2748"/>
          <cell r="U2748"/>
          <cell r="AF2748" t="str">
            <v>동절기</v>
          </cell>
          <cell r="AG2748">
            <v>0</v>
          </cell>
          <cell r="AH2748">
            <v>0</v>
          </cell>
        </row>
        <row r="2749">
          <cell r="G2749">
            <v>0</v>
          </cell>
          <cell r="M2749"/>
          <cell r="O2749"/>
          <cell r="P2749"/>
          <cell r="Q2749"/>
          <cell r="R2749"/>
          <cell r="S2749"/>
          <cell r="T2749"/>
          <cell r="U2749"/>
          <cell r="AF2749" t="str">
            <v>동절기</v>
          </cell>
          <cell r="AG2749">
            <v>0</v>
          </cell>
          <cell r="AH2749">
            <v>0</v>
          </cell>
        </row>
        <row r="2750">
          <cell r="G2750">
            <v>0</v>
          </cell>
          <cell r="M2750"/>
          <cell r="O2750"/>
          <cell r="P2750"/>
          <cell r="Q2750"/>
          <cell r="R2750"/>
          <cell r="S2750"/>
          <cell r="T2750"/>
          <cell r="U2750"/>
          <cell r="AF2750" t="str">
            <v>동절기</v>
          </cell>
          <cell r="AG2750">
            <v>0</v>
          </cell>
          <cell r="AH2750">
            <v>0</v>
          </cell>
        </row>
        <row r="2751">
          <cell r="G2751">
            <v>0</v>
          </cell>
          <cell r="M2751"/>
          <cell r="O2751"/>
          <cell r="P2751"/>
          <cell r="Q2751"/>
          <cell r="R2751"/>
          <cell r="S2751"/>
          <cell r="T2751"/>
          <cell r="U2751"/>
          <cell r="AF2751" t="str">
            <v>동절기</v>
          </cell>
          <cell r="AG2751">
            <v>0</v>
          </cell>
          <cell r="AH2751">
            <v>0</v>
          </cell>
        </row>
        <row r="2752">
          <cell r="G2752">
            <v>0</v>
          </cell>
          <cell r="M2752"/>
          <cell r="O2752"/>
          <cell r="P2752"/>
          <cell r="Q2752"/>
          <cell r="R2752"/>
          <cell r="S2752"/>
          <cell r="T2752"/>
          <cell r="U2752"/>
          <cell r="AF2752" t="str">
            <v>동절기</v>
          </cell>
          <cell r="AG2752">
            <v>0</v>
          </cell>
          <cell r="AH2752">
            <v>0</v>
          </cell>
        </row>
        <row r="2753">
          <cell r="G2753">
            <v>0</v>
          </cell>
          <cell r="M2753"/>
          <cell r="O2753"/>
          <cell r="P2753"/>
          <cell r="Q2753"/>
          <cell r="R2753"/>
          <cell r="S2753"/>
          <cell r="T2753"/>
          <cell r="U2753"/>
          <cell r="AF2753" t="str">
            <v>동절기</v>
          </cell>
          <cell r="AG2753">
            <v>0</v>
          </cell>
          <cell r="AH2753">
            <v>0</v>
          </cell>
        </row>
        <row r="2754">
          <cell r="G2754">
            <v>0</v>
          </cell>
          <cell r="M2754"/>
          <cell r="O2754"/>
          <cell r="P2754"/>
          <cell r="Q2754"/>
          <cell r="R2754"/>
          <cell r="S2754"/>
          <cell r="T2754"/>
          <cell r="U2754"/>
          <cell r="AF2754" t="str">
            <v>동절기</v>
          </cell>
          <cell r="AG2754">
            <v>0</v>
          </cell>
          <cell r="AH2754">
            <v>0</v>
          </cell>
        </row>
        <row r="2755">
          <cell r="G2755">
            <v>0</v>
          </cell>
          <cell r="M2755"/>
          <cell r="O2755"/>
          <cell r="P2755"/>
          <cell r="Q2755"/>
          <cell r="R2755"/>
          <cell r="S2755"/>
          <cell r="T2755"/>
          <cell r="U2755"/>
          <cell r="AF2755" t="str">
            <v>동절기</v>
          </cell>
          <cell r="AG2755">
            <v>0</v>
          </cell>
          <cell r="AH2755">
            <v>0</v>
          </cell>
        </row>
        <row r="2756">
          <cell r="G2756">
            <v>0</v>
          </cell>
          <cell r="M2756"/>
          <cell r="O2756"/>
          <cell r="P2756"/>
          <cell r="Q2756"/>
          <cell r="R2756"/>
          <cell r="S2756"/>
          <cell r="T2756"/>
          <cell r="U2756"/>
          <cell r="AF2756" t="str">
            <v>동절기</v>
          </cell>
          <cell r="AG2756">
            <v>0</v>
          </cell>
          <cell r="AH2756">
            <v>0</v>
          </cell>
        </row>
        <row r="2757">
          <cell r="G2757">
            <v>0</v>
          </cell>
          <cell r="M2757"/>
          <cell r="O2757"/>
          <cell r="P2757"/>
          <cell r="Q2757"/>
          <cell r="R2757"/>
          <cell r="S2757"/>
          <cell r="T2757"/>
          <cell r="U2757"/>
          <cell r="AF2757" t="str">
            <v>동절기</v>
          </cell>
          <cell r="AG2757">
            <v>0</v>
          </cell>
          <cell r="AH2757">
            <v>0</v>
          </cell>
        </row>
        <row r="2758">
          <cell r="G2758">
            <v>0</v>
          </cell>
          <cell r="M2758"/>
          <cell r="O2758"/>
          <cell r="P2758"/>
          <cell r="Q2758"/>
          <cell r="R2758"/>
          <cell r="S2758"/>
          <cell r="T2758"/>
          <cell r="U2758"/>
          <cell r="AF2758" t="str">
            <v>동절기</v>
          </cell>
          <cell r="AG2758">
            <v>0</v>
          </cell>
          <cell r="AH2758">
            <v>0</v>
          </cell>
        </row>
        <row r="2759">
          <cell r="G2759">
            <v>0</v>
          </cell>
          <cell r="M2759"/>
          <cell r="O2759"/>
          <cell r="P2759"/>
          <cell r="Q2759"/>
          <cell r="R2759"/>
          <cell r="S2759"/>
          <cell r="T2759"/>
          <cell r="U2759"/>
          <cell r="AF2759" t="str">
            <v>동절기</v>
          </cell>
          <cell r="AG2759">
            <v>0</v>
          </cell>
          <cell r="AH2759">
            <v>0</v>
          </cell>
        </row>
        <row r="2760">
          <cell r="G2760">
            <v>0</v>
          </cell>
          <cell r="M2760"/>
          <cell r="O2760"/>
          <cell r="P2760"/>
          <cell r="Q2760"/>
          <cell r="R2760"/>
          <cell r="S2760"/>
          <cell r="T2760"/>
          <cell r="U2760"/>
          <cell r="AF2760" t="str">
            <v>동절기</v>
          </cell>
          <cell r="AG2760">
            <v>0</v>
          </cell>
          <cell r="AH2760">
            <v>0</v>
          </cell>
        </row>
        <row r="2761">
          <cell r="G2761">
            <v>0</v>
          </cell>
          <cell r="M2761"/>
          <cell r="O2761"/>
          <cell r="P2761"/>
          <cell r="Q2761"/>
          <cell r="R2761"/>
          <cell r="S2761"/>
          <cell r="T2761"/>
          <cell r="U2761"/>
          <cell r="AF2761" t="str">
            <v>동절기</v>
          </cell>
          <cell r="AG2761">
            <v>0</v>
          </cell>
          <cell r="AH2761">
            <v>0</v>
          </cell>
        </row>
        <row r="2762">
          <cell r="G2762">
            <v>0</v>
          </cell>
          <cell r="M2762"/>
          <cell r="O2762"/>
          <cell r="P2762"/>
          <cell r="Q2762"/>
          <cell r="R2762"/>
          <cell r="S2762"/>
          <cell r="T2762"/>
          <cell r="U2762"/>
          <cell r="AF2762" t="str">
            <v>동절기</v>
          </cell>
          <cell r="AG2762">
            <v>0</v>
          </cell>
          <cell r="AH2762">
            <v>0</v>
          </cell>
        </row>
        <row r="2763">
          <cell r="G2763">
            <v>0</v>
          </cell>
          <cell r="M2763"/>
          <cell r="O2763"/>
          <cell r="P2763"/>
          <cell r="Q2763"/>
          <cell r="R2763"/>
          <cell r="S2763"/>
          <cell r="T2763"/>
          <cell r="U2763"/>
          <cell r="AF2763" t="str">
            <v>동절기</v>
          </cell>
          <cell r="AG2763">
            <v>0</v>
          </cell>
          <cell r="AH2763">
            <v>0</v>
          </cell>
        </row>
        <row r="2764">
          <cell r="G2764">
            <v>0</v>
          </cell>
          <cell r="M2764"/>
          <cell r="O2764"/>
          <cell r="P2764"/>
          <cell r="Q2764"/>
          <cell r="R2764"/>
          <cell r="S2764"/>
          <cell r="T2764"/>
          <cell r="U2764"/>
          <cell r="AF2764" t="str">
            <v>동절기</v>
          </cell>
          <cell r="AG2764">
            <v>0</v>
          </cell>
          <cell r="AH2764">
            <v>0</v>
          </cell>
        </row>
        <row r="2765">
          <cell r="G2765">
            <v>0</v>
          </cell>
          <cell r="M2765"/>
          <cell r="O2765"/>
          <cell r="P2765"/>
          <cell r="Q2765"/>
          <cell r="R2765"/>
          <cell r="S2765"/>
          <cell r="T2765"/>
          <cell r="U2765"/>
          <cell r="AF2765" t="str">
            <v>동절기</v>
          </cell>
          <cell r="AG2765">
            <v>0</v>
          </cell>
          <cell r="AH2765">
            <v>0</v>
          </cell>
        </row>
        <row r="2766">
          <cell r="G2766">
            <v>0</v>
          </cell>
          <cell r="M2766"/>
          <cell r="O2766"/>
          <cell r="P2766"/>
          <cell r="Q2766"/>
          <cell r="R2766"/>
          <cell r="S2766"/>
          <cell r="T2766"/>
          <cell r="U2766"/>
          <cell r="AF2766" t="str">
            <v>동절기</v>
          </cell>
          <cell r="AG2766">
            <v>0</v>
          </cell>
          <cell r="AH2766">
            <v>0</v>
          </cell>
        </row>
        <row r="2767">
          <cell r="G2767">
            <v>0</v>
          </cell>
          <cell r="M2767"/>
          <cell r="O2767"/>
          <cell r="P2767"/>
          <cell r="Q2767"/>
          <cell r="R2767"/>
          <cell r="S2767"/>
          <cell r="T2767"/>
          <cell r="U2767"/>
          <cell r="AF2767" t="str">
            <v>동절기</v>
          </cell>
          <cell r="AG2767">
            <v>0</v>
          </cell>
          <cell r="AH2767">
            <v>0</v>
          </cell>
        </row>
        <row r="2768">
          <cell r="G2768">
            <v>0</v>
          </cell>
          <cell r="M2768"/>
          <cell r="O2768"/>
          <cell r="P2768"/>
          <cell r="Q2768"/>
          <cell r="R2768"/>
          <cell r="S2768"/>
          <cell r="T2768"/>
          <cell r="U2768"/>
          <cell r="AF2768" t="str">
            <v>동절기</v>
          </cell>
          <cell r="AG2768">
            <v>0</v>
          </cell>
          <cell r="AH2768">
            <v>0</v>
          </cell>
        </row>
        <row r="2769">
          <cell r="G2769">
            <v>0</v>
          </cell>
          <cell r="M2769"/>
          <cell r="O2769"/>
          <cell r="P2769"/>
          <cell r="Q2769"/>
          <cell r="R2769"/>
          <cell r="S2769"/>
          <cell r="T2769"/>
          <cell r="U2769"/>
          <cell r="AF2769" t="str">
            <v>동절기</v>
          </cell>
          <cell r="AG2769">
            <v>0</v>
          </cell>
          <cell r="AH2769">
            <v>0</v>
          </cell>
        </row>
        <row r="2770">
          <cell r="G2770">
            <v>0</v>
          </cell>
          <cell r="M2770"/>
          <cell r="O2770"/>
          <cell r="P2770"/>
          <cell r="Q2770"/>
          <cell r="R2770"/>
          <cell r="S2770"/>
          <cell r="T2770"/>
          <cell r="U2770"/>
          <cell r="AF2770" t="str">
            <v>동절기</v>
          </cell>
          <cell r="AG2770">
            <v>0</v>
          </cell>
          <cell r="AH2770">
            <v>0</v>
          </cell>
        </row>
        <row r="2771">
          <cell r="G2771">
            <v>0</v>
          </cell>
          <cell r="M2771"/>
          <cell r="O2771"/>
          <cell r="P2771"/>
          <cell r="Q2771"/>
          <cell r="R2771"/>
          <cell r="S2771"/>
          <cell r="T2771"/>
          <cell r="U2771"/>
          <cell r="AF2771" t="str">
            <v>동절기</v>
          </cell>
          <cell r="AG2771">
            <v>0</v>
          </cell>
          <cell r="AH2771">
            <v>0</v>
          </cell>
        </row>
        <row r="2772">
          <cell r="G2772">
            <v>0</v>
          </cell>
          <cell r="M2772"/>
          <cell r="O2772"/>
          <cell r="P2772"/>
          <cell r="Q2772"/>
          <cell r="R2772"/>
          <cell r="S2772"/>
          <cell r="T2772"/>
          <cell r="U2772"/>
          <cell r="AF2772" t="str">
            <v>동절기</v>
          </cell>
          <cell r="AG2772">
            <v>0</v>
          </cell>
          <cell r="AH2772">
            <v>0</v>
          </cell>
        </row>
        <row r="2773">
          <cell r="G2773">
            <v>0</v>
          </cell>
          <cell r="M2773"/>
          <cell r="O2773"/>
          <cell r="P2773"/>
          <cell r="Q2773"/>
          <cell r="R2773"/>
          <cell r="S2773"/>
          <cell r="T2773"/>
          <cell r="U2773"/>
          <cell r="AF2773" t="str">
            <v>동절기</v>
          </cell>
          <cell r="AG2773">
            <v>0</v>
          </cell>
          <cell r="AH2773">
            <v>0</v>
          </cell>
        </row>
        <row r="2774">
          <cell r="G2774">
            <v>0</v>
          </cell>
          <cell r="M2774"/>
          <cell r="O2774" t="str">
            <v/>
          </cell>
          <cell r="P2774"/>
          <cell r="Q2774"/>
          <cell r="R2774"/>
          <cell r="S2774"/>
          <cell r="T2774"/>
          <cell r="U2774"/>
          <cell r="AF2774" t="str">
            <v>동절기</v>
          </cell>
          <cell r="AG2774">
            <v>0</v>
          </cell>
          <cell r="AH2774">
            <v>0</v>
          </cell>
        </row>
        <row r="2775">
          <cell r="G2775">
            <v>0</v>
          </cell>
          <cell r="M2775"/>
          <cell r="O2775" t="str">
            <v/>
          </cell>
          <cell r="P2775"/>
          <cell r="Q2775"/>
          <cell r="R2775"/>
          <cell r="S2775"/>
          <cell r="T2775"/>
          <cell r="U2775"/>
          <cell r="AF2775" t="str">
            <v>동절기</v>
          </cell>
          <cell r="AG2775">
            <v>0</v>
          </cell>
          <cell r="AH2775">
            <v>0</v>
          </cell>
        </row>
        <row r="2776">
          <cell r="G2776">
            <v>0</v>
          </cell>
          <cell r="M2776"/>
          <cell r="O2776" t="str">
            <v/>
          </cell>
          <cell r="P2776"/>
          <cell r="Q2776"/>
          <cell r="R2776"/>
          <cell r="S2776"/>
          <cell r="T2776"/>
          <cell r="U2776"/>
          <cell r="AF2776" t="str">
            <v>동절기</v>
          </cell>
          <cell r="AG2776">
            <v>0</v>
          </cell>
          <cell r="AH2776">
            <v>0</v>
          </cell>
        </row>
        <row r="2777">
          <cell r="G2777">
            <v>0</v>
          </cell>
          <cell r="M2777"/>
          <cell r="O2777" t="str">
            <v/>
          </cell>
          <cell r="P2777"/>
          <cell r="Q2777"/>
          <cell r="R2777"/>
          <cell r="S2777"/>
          <cell r="T2777"/>
          <cell r="U2777"/>
          <cell r="AF2777" t="str">
            <v>동절기</v>
          </cell>
          <cell r="AG2777">
            <v>0</v>
          </cell>
          <cell r="AH2777">
            <v>0</v>
          </cell>
        </row>
        <row r="2778">
          <cell r="G2778">
            <v>0</v>
          </cell>
          <cell r="M2778"/>
          <cell r="O2778" t="str">
            <v/>
          </cell>
          <cell r="P2778"/>
          <cell r="Q2778"/>
          <cell r="R2778"/>
          <cell r="S2778"/>
          <cell r="T2778"/>
          <cell r="U2778"/>
          <cell r="AF2778" t="str">
            <v>동절기</v>
          </cell>
          <cell r="AG2778">
            <v>0</v>
          </cell>
          <cell r="AH2778">
            <v>0</v>
          </cell>
        </row>
        <row r="2779">
          <cell r="G2779">
            <v>0</v>
          </cell>
          <cell r="M2779"/>
          <cell r="O2779" t="str">
            <v/>
          </cell>
          <cell r="P2779"/>
          <cell r="Q2779"/>
          <cell r="R2779"/>
          <cell r="S2779"/>
          <cell r="T2779"/>
          <cell r="U2779"/>
          <cell r="AF2779" t="str">
            <v>동절기</v>
          </cell>
          <cell r="AG2779">
            <v>0</v>
          </cell>
          <cell r="AH2779">
            <v>0</v>
          </cell>
        </row>
        <row r="2780">
          <cell r="G2780">
            <v>0</v>
          </cell>
          <cell r="M2780"/>
          <cell r="O2780" t="str">
            <v/>
          </cell>
          <cell r="P2780"/>
          <cell r="Q2780"/>
          <cell r="R2780"/>
          <cell r="S2780"/>
          <cell r="T2780"/>
          <cell r="U2780"/>
          <cell r="AF2780" t="str">
            <v>동절기</v>
          </cell>
          <cell r="AG2780">
            <v>0</v>
          </cell>
          <cell r="AH2780">
            <v>0</v>
          </cell>
        </row>
        <row r="2781">
          <cell r="G2781">
            <v>0</v>
          </cell>
          <cell r="M2781"/>
          <cell r="O2781" t="str">
            <v/>
          </cell>
          <cell r="P2781"/>
          <cell r="Q2781"/>
          <cell r="R2781"/>
          <cell r="S2781"/>
          <cell r="T2781"/>
          <cell r="U2781"/>
          <cell r="AF2781" t="str">
            <v>동절기</v>
          </cell>
          <cell r="AG2781">
            <v>0</v>
          </cell>
          <cell r="AH2781">
            <v>0</v>
          </cell>
        </row>
        <row r="2782">
          <cell r="G2782">
            <v>0</v>
          </cell>
          <cell r="M2782"/>
          <cell r="O2782" t="str">
            <v/>
          </cell>
          <cell r="P2782"/>
          <cell r="Q2782"/>
          <cell r="R2782"/>
          <cell r="S2782"/>
          <cell r="T2782"/>
          <cell r="U2782"/>
          <cell r="AF2782" t="str">
            <v>동절기</v>
          </cell>
          <cell r="AG2782">
            <v>0</v>
          </cell>
          <cell r="AH2782">
            <v>0</v>
          </cell>
        </row>
        <row r="2783">
          <cell r="G2783">
            <v>0</v>
          </cell>
          <cell r="M2783"/>
          <cell r="O2783" t="str">
            <v/>
          </cell>
          <cell r="P2783"/>
          <cell r="Q2783"/>
          <cell r="R2783"/>
          <cell r="S2783"/>
          <cell r="T2783"/>
          <cell r="U2783"/>
          <cell r="AF2783" t="str">
            <v>동절기</v>
          </cell>
          <cell r="AG2783">
            <v>0</v>
          </cell>
          <cell r="AH2783">
            <v>0</v>
          </cell>
        </row>
        <row r="2784">
          <cell r="G2784">
            <v>0</v>
          </cell>
          <cell r="M2784"/>
          <cell r="O2784" t="str">
            <v/>
          </cell>
          <cell r="P2784"/>
          <cell r="Q2784"/>
          <cell r="R2784"/>
          <cell r="S2784"/>
          <cell r="T2784"/>
          <cell r="U2784"/>
          <cell r="AF2784" t="str">
            <v>동절기</v>
          </cell>
          <cell r="AG2784">
            <v>0</v>
          </cell>
          <cell r="AH2784">
            <v>0</v>
          </cell>
        </row>
        <row r="2785">
          <cell r="G2785">
            <v>0</v>
          </cell>
          <cell r="M2785"/>
          <cell r="O2785" t="str">
            <v/>
          </cell>
          <cell r="P2785"/>
          <cell r="Q2785"/>
          <cell r="R2785"/>
          <cell r="S2785"/>
          <cell r="T2785"/>
          <cell r="U2785"/>
          <cell r="AF2785" t="str">
            <v>동절기</v>
          </cell>
          <cell r="AG2785">
            <v>0</v>
          </cell>
          <cell r="AH2785">
            <v>0</v>
          </cell>
        </row>
        <row r="2786">
          <cell r="G2786">
            <v>0</v>
          </cell>
          <cell r="M2786"/>
          <cell r="O2786" t="str">
            <v/>
          </cell>
          <cell r="P2786"/>
          <cell r="Q2786"/>
          <cell r="R2786"/>
          <cell r="S2786"/>
          <cell r="T2786"/>
          <cell r="U2786"/>
          <cell r="AF2786" t="str">
            <v>동절기</v>
          </cell>
          <cell r="AG2786">
            <v>0</v>
          </cell>
          <cell r="AH2786">
            <v>0</v>
          </cell>
        </row>
        <row r="2787">
          <cell r="G2787">
            <v>0</v>
          </cell>
          <cell r="M2787"/>
          <cell r="O2787" t="str">
            <v/>
          </cell>
          <cell r="P2787"/>
          <cell r="Q2787"/>
          <cell r="R2787"/>
          <cell r="S2787"/>
          <cell r="T2787"/>
          <cell r="U2787"/>
          <cell r="AF2787" t="str">
            <v>동절기</v>
          </cell>
          <cell r="AG2787">
            <v>0</v>
          </cell>
          <cell r="AH2787">
            <v>0</v>
          </cell>
        </row>
        <row r="2788">
          <cell r="G2788">
            <v>0</v>
          </cell>
          <cell r="M2788"/>
          <cell r="O2788" t="str">
            <v/>
          </cell>
          <cell r="P2788"/>
          <cell r="Q2788"/>
          <cell r="R2788"/>
          <cell r="S2788"/>
          <cell r="T2788"/>
          <cell r="U2788"/>
          <cell r="AF2788" t="str">
            <v>동절기</v>
          </cell>
          <cell r="AG2788">
            <v>0</v>
          </cell>
          <cell r="AH2788">
            <v>0</v>
          </cell>
        </row>
        <row r="2789">
          <cell r="G2789">
            <v>0</v>
          </cell>
          <cell r="M2789"/>
          <cell r="O2789" t="str">
            <v/>
          </cell>
          <cell r="P2789"/>
          <cell r="Q2789"/>
          <cell r="R2789"/>
          <cell r="S2789"/>
          <cell r="T2789"/>
          <cell r="U2789"/>
          <cell r="AF2789" t="str">
            <v>동절기</v>
          </cell>
          <cell r="AG2789">
            <v>0</v>
          </cell>
          <cell r="AH2789">
            <v>0</v>
          </cell>
        </row>
        <row r="2790">
          <cell r="G2790">
            <v>0</v>
          </cell>
          <cell r="M2790"/>
          <cell r="O2790" t="str">
            <v/>
          </cell>
          <cell r="P2790"/>
          <cell r="Q2790"/>
          <cell r="R2790"/>
          <cell r="S2790"/>
          <cell r="T2790"/>
          <cell r="U2790"/>
          <cell r="AF2790" t="str">
            <v>동절기</v>
          </cell>
          <cell r="AG2790">
            <v>0</v>
          </cell>
          <cell r="AH2790">
            <v>0</v>
          </cell>
        </row>
        <row r="2791">
          <cell r="G2791">
            <v>0</v>
          </cell>
          <cell r="M2791"/>
          <cell r="O2791" t="str">
            <v/>
          </cell>
          <cell r="P2791"/>
          <cell r="Q2791"/>
          <cell r="R2791"/>
          <cell r="S2791"/>
          <cell r="T2791"/>
          <cell r="U2791"/>
          <cell r="AF2791" t="str">
            <v>동절기</v>
          </cell>
          <cell r="AG2791">
            <v>0</v>
          </cell>
          <cell r="AH2791">
            <v>0</v>
          </cell>
        </row>
        <row r="2792">
          <cell r="G2792">
            <v>0</v>
          </cell>
          <cell r="M2792"/>
          <cell r="O2792" t="str">
            <v/>
          </cell>
          <cell r="P2792"/>
          <cell r="Q2792"/>
          <cell r="R2792"/>
          <cell r="S2792"/>
          <cell r="T2792"/>
          <cell r="U2792"/>
          <cell r="AF2792" t="str">
            <v>동절기</v>
          </cell>
          <cell r="AG2792">
            <v>0</v>
          </cell>
          <cell r="AH2792">
            <v>0</v>
          </cell>
        </row>
        <row r="2793">
          <cell r="G2793">
            <v>0</v>
          </cell>
          <cell r="M2793"/>
          <cell r="O2793" t="str">
            <v/>
          </cell>
          <cell r="P2793"/>
          <cell r="Q2793"/>
          <cell r="R2793"/>
          <cell r="S2793"/>
          <cell r="T2793"/>
          <cell r="U2793"/>
          <cell r="AF2793" t="str">
            <v>동절기</v>
          </cell>
          <cell r="AG2793">
            <v>0</v>
          </cell>
          <cell r="AH2793">
            <v>0</v>
          </cell>
        </row>
        <row r="2794">
          <cell r="G2794">
            <v>0</v>
          </cell>
          <cell r="M2794"/>
          <cell r="O2794" t="str">
            <v/>
          </cell>
          <cell r="P2794"/>
          <cell r="Q2794"/>
          <cell r="R2794"/>
          <cell r="S2794"/>
          <cell r="T2794"/>
          <cell r="U2794"/>
          <cell r="AF2794" t="str">
            <v>동절기</v>
          </cell>
          <cell r="AG2794">
            <v>0</v>
          </cell>
          <cell r="AH2794">
            <v>0</v>
          </cell>
        </row>
        <row r="2795">
          <cell r="G2795">
            <v>0</v>
          </cell>
          <cell r="M2795"/>
          <cell r="O2795" t="str">
            <v/>
          </cell>
          <cell r="P2795"/>
          <cell r="Q2795"/>
          <cell r="R2795"/>
          <cell r="S2795"/>
          <cell r="T2795"/>
          <cell r="U2795"/>
          <cell r="AF2795" t="str">
            <v>동절기</v>
          </cell>
          <cell r="AG2795">
            <v>0</v>
          </cell>
          <cell r="AH2795">
            <v>0</v>
          </cell>
        </row>
        <row r="2796">
          <cell r="G2796">
            <v>0</v>
          </cell>
          <cell r="M2796"/>
          <cell r="O2796" t="str">
            <v/>
          </cell>
          <cell r="P2796"/>
          <cell r="Q2796"/>
          <cell r="R2796"/>
          <cell r="S2796"/>
          <cell r="T2796"/>
          <cell r="U2796"/>
          <cell r="AF2796" t="str">
            <v>동절기</v>
          </cell>
          <cell r="AG2796">
            <v>0</v>
          </cell>
          <cell r="AH2796">
            <v>0</v>
          </cell>
        </row>
        <row r="2797">
          <cell r="G2797">
            <v>0</v>
          </cell>
          <cell r="M2797"/>
          <cell r="O2797" t="str">
            <v/>
          </cell>
          <cell r="P2797"/>
          <cell r="Q2797"/>
          <cell r="R2797"/>
          <cell r="S2797"/>
          <cell r="T2797"/>
          <cell r="U2797"/>
          <cell r="AF2797" t="str">
            <v>동절기</v>
          </cell>
          <cell r="AG2797">
            <v>0</v>
          </cell>
          <cell r="AH2797">
            <v>0</v>
          </cell>
        </row>
        <row r="2798">
          <cell r="G2798">
            <v>0</v>
          </cell>
          <cell r="M2798"/>
          <cell r="O2798" t="str">
            <v/>
          </cell>
          <cell r="P2798"/>
          <cell r="Q2798"/>
          <cell r="R2798"/>
          <cell r="S2798"/>
          <cell r="T2798"/>
          <cell r="U2798"/>
          <cell r="AF2798" t="str">
            <v>동절기</v>
          </cell>
          <cell r="AG2798">
            <v>0</v>
          </cell>
          <cell r="AH2798">
            <v>0</v>
          </cell>
        </row>
        <row r="2799">
          <cell r="G2799">
            <v>0</v>
          </cell>
          <cell r="M2799"/>
          <cell r="O2799" t="str">
            <v/>
          </cell>
          <cell r="P2799"/>
          <cell r="Q2799"/>
          <cell r="R2799"/>
          <cell r="S2799"/>
          <cell r="T2799"/>
          <cell r="U2799"/>
          <cell r="AF2799" t="str">
            <v>동절기</v>
          </cell>
          <cell r="AG2799">
            <v>0</v>
          </cell>
          <cell r="AH2799">
            <v>0</v>
          </cell>
        </row>
        <row r="2800">
          <cell r="G2800">
            <v>0</v>
          </cell>
          <cell r="M2800"/>
          <cell r="O2800" t="str">
            <v/>
          </cell>
          <cell r="P2800"/>
          <cell r="Q2800"/>
          <cell r="R2800"/>
          <cell r="S2800"/>
          <cell r="T2800"/>
          <cell r="U2800"/>
          <cell r="AF2800" t="str">
            <v>동절기</v>
          </cell>
          <cell r="AG2800">
            <v>0</v>
          </cell>
          <cell r="AH2800">
            <v>0</v>
          </cell>
        </row>
        <row r="2801">
          <cell r="G2801">
            <v>0</v>
          </cell>
          <cell r="M2801"/>
          <cell r="O2801" t="str">
            <v/>
          </cell>
          <cell r="P2801"/>
          <cell r="Q2801"/>
          <cell r="R2801"/>
          <cell r="S2801"/>
          <cell r="T2801"/>
          <cell r="U2801"/>
          <cell r="AF2801" t="str">
            <v>동절기</v>
          </cell>
          <cell r="AG2801">
            <v>0</v>
          </cell>
          <cell r="AH2801">
            <v>0</v>
          </cell>
        </row>
        <row r="2802">
          <cell r="G2802">
            <v>0</v>
          </cell>
          <cell r="M2802"/>
          <cell r="O2802" t="str">
            <v/>
          </cell>
          <cell r="P2802"/>
          <cell r="Q2802"/>
          <cell r="R2802"/>
          <cell r="S2802"/>
          <cell r="T2802"/>
          <cell r="U2802"/>
          <cell r="AF2802" t="str">
            <v>동절기</v>
          </cell>
          <cell r="AG2802">
            <v>0</v>
          </cell>
          <cell r="AH2802">
            <v>0</v>
          </cell>
        </row>
        <row r="2803">
          <cell r="G2803">
            <v>0</v>
          </cell>
          <cell r="M2803"/>
          <cell r="O2803" t="str">
            <v/>
          </cell>
          <cell r="P2803"/>
          <cell r="Q2803"/>
          <cell r="R2803"/>
          <cell r="S2803"/>
          <cell r="T2803"/>
          <cell r="U2803"/>
          <cell r="AF2803" t="str">
            <v>동절기</v>
          </cell>
          <cell r="AG2803">
            <v>0</v>
          </cell>
          <cell r="AH2803">
            <v>0</v>
          </cell>
        </row>
        <row r="2804">
          <cell r="G2804">
            <v>0</v>
          </cell>
          <cell r="M2804"/>
          <cell r="O2804" t="str">
            <v/>
          </cell>
          <cell r="P2804"/>
          <cell r="Q2804"/>
          <cell r="R2804"/>
          <cell r="S2804"/>
          <cell r="T2804"/>
          <cell r="U2804"/>
          <cell r="AF2804" t="str">
            <v>동절기</v>
          </cell>
          <cell r="AG2804">
            <v>0</v>
          </cell>
          <cell r="AH2804">
            <v>0</v>
          </cell>
        </row>
        <row r="2805">
          <cell r="G2805">
            <v>0</v>
          </cell>
          <cell r="M2805"/>
          <cell r="O2805" t="str">
            <v/>
          </cell>
          <cell r="P2805"/>
          <cell r="Q2805"/>
          <cell r="R2805"/>
          <cell r="S2805"/>
          <cell r="T2805"/>
          <cell r="U2805"/>
          <cell r="AF2805" t="str">
            <v>동절기</v>
          </cell>
          <cell r="AG2805">
            <v>0</v>
          </cell>
          <cell r="AH2805">
            <v>0</v>
          </cell>
        </row>
        <row r="2806">
          <cell r="G2806">
            <v>0</v>
          </cell>
          <cell r="M2806"/>
          <cell r="O2806" t="str">
            <v/>
          </cell>
          <cell r="P2806"/>
          <cell r="Q2806"/>
          <cell r="R2806"/>
          <cell r="S2806"/>
          <cell r="T2806"/>
          <cell r="U2806"/>
          <cell r="AF2806" t="str">
            <v>동절기</v>
          </cell>
          <cell r="AG2806">
            <v>0</v>
          </cell>
          <cell r="AH2806">
            <v>0</v>
          </cell>
        </row>
        <row r="2807">
          <cell r="G2807">
            <v>0</v>
          </cell>
          <cell r="M2807"/>
          <cell r="O2807" t="str">
            <v/>
          </cell>
          <cell r="P2807"/>
          <cell r="Q2807"/>
          <cell r="R2807"/>
          <cell r="S2807"/>
          <cell r="T2807"/>
          <cell r="U2807"/>
          <cell r="AF2807" t="str">
            <v>동절기</v>
          </cell>
          <cell r="AG2807">
            <v>0</v>
          </cell>
          <cell r="AH2807">
            <v>0</v>
          </cell>
        </row>
        <row r="2808">
          <cell r="G2808">
            <v>0</v>
          </cell>
          <cell r="M2808"/>
          <cell r="O2808" t="str">
            <v/>
          </cell>
          <cell r="P2808"/>
          <cell r="Q2808"/>
          <cell r="R2808"/>
          <cell r="S2808"/>
          <cell r="T2808"/>
          <cell r="U2808"/>
          <cell r="AF2808" t="str">
            <v>동절기</v>
          </cell>
          <cell r="AG2808">
            <v>0</v>
          </cell>
          <cell r="AH2808">
            <v>0</v>
          </cell>
        </row>
        <row r="2809">
          <cell r="G2809">
            <v>0</v>
          </cell>
          <cell r="M2809"/>
          <cell r="O2809" t="str">
            <v/>
          </cell>
          <cell r="P2809"/>
          <cell r="Q2809"/>
          <cell r="R2809"/>
          <cell r="S2809"/>
          <cell r="T2809"/>
          <cell r="U2809"/>
          <cell r="AF2809" t="str">
            <v>동절기</v>
          </cell>
          <cell r="AG2809">
            <v>0</v>
          </cell>
          <cell r="AH2809">
            <v>0</v>
          </cell>
        </row>
        <row r="2810">
          <cell r="G2810">
            <v>0</v>
          </cell>
          <cell r="M2810"/>
          <cell r="O2810" t="str">
            <v/>
          </cell>
          <cell r="P2810"/>
          <cell r="Q2810"/>
          <cell r="R2810"/>
          <cell r="S2810"/>
          <cell r="T2810"/>
          <cell r="U2810"/>
          <cell r="AF2810" t="str">
            <v>동절기</v>
          </cell>
          <cell r="AG2810">
            <v>0</v>
          </cell>
          <cell r="AH2810">
            <v>0</v>
          </cell>
        </row>
        <row r="2811">
          <cell r="G2811">
            <v>0</v>
          </cell>
          <cell r="M2811"/>
          <cell r="O2811" t="str">
            <v/>
          </cell>
          <cell r="P2811"/>
          <cell r="Q2811"/>
          <cell r="R2811"/>
          <cell r="S2811"/>
          <cell r="T2811"/>
          <cell r="U2811"/>
          <cell r="AF2811" t="str">
            <v>동절기</v>
          </cell>
          <cell r="AG2811">
            <v>0</v>
          </cell>
          <cell r="AH2811">
            <v>0</v>
          </cell>
        </row>
        <row r="2812">
          <cell r="G2812">
            <v>0</v>
          </cell>
          <cell r="M2812"/>
          <cell r="O2812" t="str">
            <v/>
          </cell>
          <cell r="P2812"/>
          <cell r="Q2812"/>
          <cell r="R2812"/>
          <cell r="S2812"/>
          <cell r="T2812"/>
          <cell r="U2812"/>
          <cell r="AF2812" t="str">
            <v>동절기</v>
          </cell>
          <cell r="AG2812">
            <v>0</v>
          </cell>
          <cell r="AH2812">
            <v>0</v>
          </cell>
        </row>
        <row r="2813">
          <cell r="G2813">
            <v>0</v>
          </cell>
          <cell r="M2813"/>
          <cell r="O2813" t="str">
            <v/>
          </cell>
          <cell r="P2813"/>
          <cell r="Q2813"/>
          <cell r="R2813"/>
          <cell r="S2813"/>
          <cell r="T2813"/>
          <cell r="U2813"/>
          <cell r="AF2813" t="str">
            <v>동절기</v>
          </cell>
          <cell r="AG2813">
            <v>0</v>
          </cell>
          <cell r="AH2813">
            <v>0</v>
          </cell>
        </row>
        <row r="2814">
          <cell r="G2814">
            <v>0</v>
          </cell>
          <cell r="M2814"/>
          <cell r="O2814" t="str">
            <v/>
          </cell>
          <cell r="P2814"/>
          <cell r="Q2814"/>
          <cell r="R2814"/>
          <cell r="S2814"/>
          <cell r="T2814"/>
          <cell r="U2814"/>
          <cell r="AF2814" t="str">
            <v>동절기</v>
          </cell>
          <cell r="AG2814">
            <v>0</v>
          </cell>
          <cell r="AH2814">
            <v>0</v>
          </cell>
        </row>
        <row r="2815">
          <cell r="G2815">
            <v>0</v>
          </cell>
          <cell r="M2815"/>
          <cell r="O2815" t="str">
            <v/>
          </cell>
          <cell r="P2815"/>
          <cell r="Q2815"/>
          <cell r="R2815"/>
          <cell r="S2815"/>
          <cell r="T2815"/>
          <cell r="U2815"/>
          <cell r="AF2815" t="str">
            <v>동절기</v>
          </cell>
          <cell r="AG2815">
            <v>0</v>
          </cell>
          <cell r="AH2815">
            <v>0</v>
          </cell>
        </row>
        <row r="2816">
          <cell r="G2816">
            <v>0</v>
          </cell>
          <cell r="M2816"/>
          <cell r="O2816" t="str">
            <v/>
          </cell>
          <cell r="P2816"/>
          <cell r="Q2816"/>
          <cell r="R2816"/>
          <cell r="S2816"/>
          <cell r="T2816"/>
          <cell r="U2816"/>
          <cell r="AF2816" t="str">
            <v>동절기</v>
          </cell>
          <cell r="AG2816">
            <v>0</v>
          </cell>
          <cell r="AH2816">
            <v>0</v>
          </cell>
        </row>
        <row r="2817">
          <cell r="G2817">
            <v>0</v>
          </cell>
          <cell r="M2817"/>
          <cell r="O2817" t="str">
            <v/>
          </cell>
          <cell r="P2817"/>
          <cell r="Q2817"/>
          <cell r="T2817"/>
          <cell r="AF2817" t="str">
            <v>동절기</v>
          </cell>
          <cell r="AG2817">
            <v>0</v>
          </cell>
          <cell r="AH2817">
            <v>0</v>
          </cell>
        </row>
        <row r="2818">
          <cell r="G2818">
            <v>0</v>
          </cell>
          <cell r="M2818"/>
          <cell r="O2818" t="str">
            <v/>
          </cell>
          <cell r="P2818"/>
          <cell r="Q2818"/>
          <cell r="T2818"/>
          <cell r="AF2818" t="str">
            <v>동절기</v>
          </cell>
          <cell r="AG2818">
            <v>0</v>
          </cell>
          <cell r="AH2818">
            <v>0</v>
          </cell>
        </row>
        <row r="2819">
          <cell r="G2819">
            <v>0</v>
          </cell>
          <cell r="M2819"/>
          <cell r="O2819" t="str">
            <v/>
          </cell>
          <cell r="P2819"/>
          <cell r="Q2819"/>
          <cell r="T2819"/>
          <cell r="AF2819" t="str">
            <v>동절기</v>
          </cell>
          <cell r="AG2819">
            <v>0</v>
          </cell>
          <cell r="AH2819">
            <v>0</v>
          </cell>
        </row>
        <row r="2820">
          <cell r="G2820">
            <v>0</v>
          </cell>
          <cell r="M2820"/>
          <cell r="O2820" t="str">
            <v/>
          </cell>
          <cell r="P2820"/>
          <cell r="Q2820"/>
          <cell r="T2820"/>
          <cell r="AF2820" t="str">
            <v>동절기</v>
          </cell>
          <cell r="AG2820">
            <v>0</v>
          </cell>
          <cell r="AH2820">
            <v>0</v>
          </cell>
        </row>
        <row r="2821">
          <cell r="G2821">
            <v>0</v>
          </cell>
          <cell r="M2821"/>
          <cell r="O2821" t="str">
            <v/>
          </cell>
          <cell r="P2821"/>
          <cell r="Q2821"/>
          <cell r="T2821"/>
          <cell r="AF2821" t="str">
            <v>동절기</v>
          </cell>
          <cell r="AG2821">
            <v>0</v>
          </cell>
          <cell r="AH2821">
            <v>0</v>
          </cell>
        </row>
        <row r="2822">
          <cell r="G2822">
            <v>0</v>
          </cell>
          <cell r="M2822"/>
          <cell r="O2822" t="str">
            <v/>
          </cell>
          <cell r="P2822"/>
          <cell r="Q2822"/>
          <cell r="T2822"/>
          <cell r="AF2822" t="str">
            <v>동절기</v>
          </cell>
          <cell r="AG2822">
            <v>0</v>
          </cell>
          <cell r="AH2822">
            <v>0</v>
          </cell>
        </row>
        <row r="2823">
          <cell r="G2823">
            <v>0</v>
          </cell>
          <cell r="M2823"/>
          <cell r="O2823" t="str">
            <v/>
          </cell>
          <cell r="P2823"/>
          <cell r="Q2823"/>
          <cell r="T2823"/>
          <cell r="AF2823" t="str">
            <v>동절기</v>
          </cell>
          <cell r="AG2823">
            <v>0</v>
          </cell>
          <cell r="AH2823">
            <v>0</v>
          </cell>
        </row>
        <row r="2824">
          <cell r="G2824">
            <v>0</v>
          </cell>
          <cell r="M2824"/>
          <cell r="O2824" t="str">
            <v/>
          </cell>
          <cell r="P2824"/>
          <cell r="Q2824"/>
          <cell r="T2824"/>
          <cell r="AF2824" t="str">
            <v>동절기</v>
          </cell>
          <cell r="AG2824">
            <v>0</v>
          </cell>
          <cell r="AH2824">
            <v>0</v>
          </cell>
        </row>
        <row r="2825">
          <cell r="G2825">
            <v>0</v>
          </cell>
          <cell r="M2825"/>
          <cell r="O2825" t="str">
            <v/>
          </cell>
          <cell r="P2825"/>
          <cell r="Q2825"/>
          <cell r="T2825"/>
          <cell r="AF2825" t="str">
            <v>동절기</v>
          </cell>
          <cell r="AG2825">
            <v>0</v>
          </cell>
          <cell r="AH2825">
            <v>0</v>
          </cell>
        </row>
        <row r="2826">
          <cell r="G2826">
            <v>0</v>
          </cell>
          <cell r="M2826"/>
          <cell r="O2826" t="str">
            <v/>
          </cell>
          <cell r="P2826"/>
          <cell r="Q2826"/>
          <cell r="T2826"/>
          <cell r="AF2826" t="str">
            <v>동절기</v>
          </cell>
          <cell r="AG2826">
            <v>0</v>
          </cell>
          <cell r="AH2826">
            <v>0</v>
          </cell>
        </row>
        <row r="2827">
          <cell r="G2827">
            <v>0</v>
          </cell>
          <cell r="M2827"/>
          <cell r="O2827" t="str">
            <v/>
          </cell>
          <cell r="P2827"/>
          <cell r="Q2827"/>
          <cell r="T2827"/>
          <cell r="AF2827" t="str">
            <v>동절기</v>
          </cell>
          <cell r="AG2827">
            <v>0</v>
          </cell>
          <cell r="AH2827">
            <v>0</v>
          </cell>
        </row>
        <row r="2828">
          <cell r="G2828">
            <v>0</v>
          </cell>
          <cell r="M2828"/>
          <cell r="O2828" t="str">
            <v/>
          </cell>
          <cell r="P2828"/>
          <cell r="Q2828"/>
          <cell r="T2828"/>
          <cell r="AF2828" t="str">
            <v>동절기</v>
          </cell>
          <cell r="AG2828">
            <v>0</v>
          </cell>
          <cell r="AH2828">
            <v>0</v>
          </cell>
        </row>
        <row r="2829">
          <cell r="G2829">
            <v>0</v>
          </cell>
          <cell r="M2829"/>
          <cell r="O2829" t="str">
            <v/>
          </cell>
          <cell r="P2829"/>
          <cell r="Q2829"/>
          <cell r="T2829"/>
          <cell r="AF2829" t="str">
            <v>동절기</v>
          </cell>
          <cell r="AG2829">
            <v>0</v>
          </cell>
          <cell r="AH2829">
            <v>0</v>
          </cell>
        </row>
        <row r="2830">
          <cell r="G2830">
            <v>0</v>
          </cell>
          <cell r="M2830"/>
          <cell r="O2830" t="str">
            <v/>
          </cell>
          <cell r="P2830"/>
          <cell r="Q2830"/>
          <cell r="T2830"/>
          <cell r="AF2830" t="str">
            <v>동절기</v>
          </cell>
          <cell r="AG2830">
            <v>0</v>
          </cell>
          <cell r="AH2830">
            <v>0</v>
          </cell>
        </row>
        <row r="2831">
          <cell r="G2831">
            <v>0</v>
          </cell>
          <cell r="M2831"/>
          <cell r="O2831" t="str">
            <v/>
          </cell>
          <cell r="P2831"/>
          <cell r="Q2831"/>
          <cell r="T2831"/>
          <cell r="AF2831" t="str">
            <v>동절기</v>
          </cell>
          <cell r="AG2831">
            <v>0</v>
          </cell>
          <cell r="AH2831">
            <v>0</v>
          </cell>
        </row>
        <row r="2832">
          <cell r="G2832">
            <v>0</v>
          </cell>
          <cell r="M2832"/>
          <cell r="O2832" t="str">
            <v/>
          </cell>
          <cell r="P2832"/>
          <cell r="Q2832"/>
          <cell r="T2832"/>
          <cell r="AF2832" t="str">
            <v>동절기</v>
          </cell>
          <cell r="AG2832">
            <v>0</v>
          </cell>
          <cell r="AH2832">
            <v>0</v>
          </cell>
        </row>
        <row r="2833">
          <cell r="G2833">
            <v>0</v>
          </cell>
          <cell r="M2833"/>
          <cell r="O2833" t="str">
            <v/>
          </cell>
          <cell r="P2833"/>
          <cell r="Q2833"/>
          <cell r="T2833"/>
          <cell r="AF2833" t="str">
            <v>동절기</v>
          </cell>
          <cell r="AG2833">
            <v>0</v>
          </cell>
          <cell r="AH2833">
            <v>0</v>
          </cell>
        </row>
        <row r="2834">
          <cell r="G2834">
            <v>0</v>
          </cell>
          <cell r="M2834"/>
          <cell r="O2834" t="str">
            <v/>
          </cell>
          <cell r="P2834"/>
          <cell r="Q2834"/>
          <cell r="T2834"/>
          <cell r="AF2834" t="str">
            <v>동절기</v>
          </cell>
          <cell r="AG2834">
            <v>0</v>
          </cell>
          <cell r="AH2834">
            <v>0</v>
          </cell>
        </row>
        <row r="2835">
          <cell r="G2835">
            <v>0</v>
          </cell>
          <cell r="M2835"/>
          <cell r="O2835" t="str">
            <v/>
          </cell>
          <cell r="P2835"/>
          <cell r="Q2835"/>
          <cell r="T2835"/>
          <cell r="AF2835" t="str">
            <v>동절기</v>
          </cell>
          <cell r="AG2835">
            <v>0</v>
          </cell>
          <cell r="AH2835">
            <v>0</v>
          </cell>
        </row>
        <row r="2836">
          <cell r="G2836">
            <v>0</v>
          </cell>
          <cell r="M2836"/>
          <cell r="O2836" t="str">
            <v/>
          </cell>
          <cell r="P2836"/>
          <cell r="Q2836"/>
          <cell r="T2836"/>
          <cell r="AF2836" t="str">
            <v>동절기</v>
          </cell>
          <cell r="AG2836">
            <v>0</v>
          </cell>
          <cell r="AH2836">
            <v>0</v>
          </cell>
        </row>
        <row r="2837">
          <cell r="G2837">
            <v>0</v>
          </cell>
          <cell r="M2837"/>
          <cell r="O2837" t="str">
            <v/>
          </cell>
          <cell r="P2837"/>
          <cell r="Q2837"/>
          <cell r="T2837"/>
          <cell r="AF2837" t="str">
            <v>동절기</v>
          </cell>
          <cell r="AG2837">
            <v>0</v>
          </cell>
          <cell r="AH2837">
            <v>0</v>
          </cell>
        </row>
        <row r="2838">
          <cell r="G2838">
            <v>0</v>
          </cell>
          <cell r="M2838"/>
          <cell r="O2838" t="str">
            <v/>
          </cell>
          <cell r="P2838"/>
          <cell r="Q2838"/>
          <cell r="T2838"/>
          <cell r="AF2838" t="str">
            <v>동절기</v>
          </cell>
          <cell r="AG2838">
            <v>0</v>
          </cell>
          <cell r="AH2838">
            <v>0</v>
          </cell>
        </row>
        <row r="2839">
          <cell r="G2839">
            <v>0</v>
          </cell>
          <cell r="M2839"/>
          <cell r="O2839" t="str">
            <v/>
          </cell>
          <cell r="P2839"/>
          <cell r="Q2839"/>
          <cell r="T2839"/>
          <cell r="AF2839" t="str">
            <v>동절기</v>
          </cell>
          <cell r="AG2839">
            <v>0</v>
          </cell>
          <cell r="AH2839">
            <v>0</v>
          </cell>
        </row>
        <row r="2840">
          <cell r="G2840">
            <v>0</v>
          </cell>
          <cell r="M2840"/>
          <cell r="O2840" t="str">
            <v/>
          </cell>
          <cell r="P2840"/>
          <cell r="Q2840"/>
          <cell r="T2840"/>
          <cell r="AF2840" t="str">
            <v>동절기</v>
          </cell>
          <cell r="AG2840">
            <v>0</v>
          </cell>
          <cell r="AH2840">
            <v>0</v>
          </cell>
        </row>
        <row r="2841">
          <cell r="G2841">
            <v>0</v>
          </cell>
          <cell r="M2841"/>
          <cell r="O2841" t="str">
            <v/>
          </cell>
          <cell r="P2841"/>
          <cell r="Q2841"/>
          <cell r="T2841"/>
          <cell r="AF2841" t="str">
            <v>동절기</v>
          </cell>
          <cell r="AG2841">
            <v>0</v>
          </cell>
          <cell r="AH2841">
            <v>0</v>
          </cell>
        </row>
        <row r="2842">
          <cell r="G2842">
            <v>0</v>
          </cell>
          <cell r="M2842"/>
          <cell r="O2842" t="str">
            <v/>
          </cell>
          <cell r="P2842"/>
          <cell r="Q2842"/>
          <cell r="T2842"/>
          <cell r="AF2842" t="str">
            <v>동절기</v>
          </cell>
          <cell r="AG2842">
            <v>0</v>
          </cell>
          <cell r="AH2842">
            <v>0</v>
          </cell>
        </row>
        <row r="2843">
          <cell r="G2843">
            <v>0</v>
          </cell>
          <cell r="M2843"/>
          <cell r="O2843" t="str">
            <v/>
          </cell>
          <cell r="P2843"/>
          <cell r="Q2843"/>
          <cell r="T2843"/>
          <cell r="AF2843" t="str">
            <v>동절기</v>
          </cell>
          <cell r="AG2843">
            <v>0</v>
          </cell>
          <cell r="AH2843">
            <v>0</v>
          </cell>
        </row>
        <row r="2844">
          <cell r="G2844">
            <v>0</v>
          </cell>
          <cell r="M2844"/>
          <cell r="O2844" t="str">
            <v/>
          </cell>
          <cell r="P2844"/>
          <cell r="Q2844"/>
          <cell r="T2844"/>
          <cell r="AF2844" t="str">
            <v>동절기</v>
          </cell>
          <cell r="AG2844">
            <v>0</v>
          </cell>
          <cell r="AH2844">
            <v>0</v>
          </cell>
        </row>
        <row r="2845">
          <cell r="G2845">
            <v>0</v>
          </cell>
          <cell r="M2845"/>
          <cell r="O2845" t="str">
            <v/>
          </cell>
          <cell r="P2845"/>
          <cell r="Q2845"/>
          <cell r="T2845"/>
          <cell r="AF2845" t="str">
            <v>동절기</v>
          </cell>
          <cell r="AG2845">
            <v>0</v>
          </cell>
          <cell r="AH2845">
            <v>0</v>
          </cell>
        </row>
        <row r="2846">
          <cell r="G2846">
            <v>0</v>
          </cell>
          <cell r="M2846"/>
          <cell r="O2846" t="str">
            <v/>
          </cell>
          <cell r="P2846"/>
          <cell r="Q2846"/>
          <cell r="T2846"/>
          <cell r="AF2846" t="str">
            <v>동절기</v>
          </cell>
          <cell r="AG2846">
            <v>0</v>
          </cell>
          <cell r="AH2846">
            <v>0</v>
          </cell>
        </row>
        <row r="2847">
          <cell r="G2847">
            <v>0</v>
          </cell>
          <cell r="M2847"/>
          <cell r="O2847" t="str">
            <v/>
          </cell>
          <cell r="P2847"/>
          <cell r="Q2847"/>
          <cell r="T2847"/>
          <cell r="AF2847" t="str">
            <v>동절기</v>
          </cell>
          <cell r="AG2847">
            <v>0</v>
          </cell>
          <cell r="AH2847">
            <v>0</v>
          </cell>
        </row>
        <row r="2848">
          <cell r="G2848">
            <v>0</v>
          </cell>
          <cell r="O2848" t="str">
            <v/>
          </cell>
          <cell r="T2848"/>
          <cell r="AF2848" t="str">
            <v>동절기</v>
          </cell>
          <cell r="AG2848">
            <v>0</v>
          </cell>
          <cell r="AH2848">
            <v>0</v>
          </cell>
        </row>
        <row r="2849">
          <cell r="G2849">
            <v>0</v>
          </cell>
          <cell r="O2849" t="str">
            <v/>
          </cell>
          <cell r="T2849"/>
          <cell r="AF2849" t="str">
            <v>동절기</v>
          </cell>
          <cell r="AG2849">
            <v>0</v>
          </cell>
          <cell r="AH2849">
            <v>0</v>
          </cell>
        </row>
        <row r="2850">
          <cell r="G2850">
            <v>0</v>
          </cell>
          <cell r="O2850" t="str">
            <v/>
          </cell>
          <cell r="T2850"/>
          <cell r="AF2850" t="str">
            <v>동절기</v>
          </cell>
          <cell r="AG2850">
            <v>0</v>
          </cell>
          <cell r="AH2850">
            <v>0</v>
          </cell>
        </row>
        <row r="2851">
          <cell r="G2851">
            <v>0</v>
          </cell>
          <cell r="O2851" t="str">
            <v/>
          </cell>
          <cell r="T2851"/>
          <cell r="AF2851" t="str">
            <v>동절기</v>
          </cell>
          <cell r="AG2851">
            <v>0</v>
          </cell>
          <cell r="AH2851">
            <v>0</v>
          </cell>
        </row>
        <row r="2852">
          <cell r="G2852">
            <v>0</v>
          </cell>
          <cell r="O2852" t="str">
            <v/>
          </cell>
          <cell r="T2852"/>
          <cell r="AF2852" t="str">
            <v>동절기</v>
          </cell>
          <cell r="AG2852">
            <v>0</v>
          </cell>
          <cell r="AH2852">
            <v>0</v>
          </cell>
        </row>
        <row r="2853">
          <cell r="G2853">
            <v>0</v>
          </cell>
          <cell r="O2853" t="str">
            <v/>
          </cell>
          <cell r="T2853"/>
          <cell r="AF2853" t="str">
            <v>동절기</v>
          </cell>
          <cell r="AG2853">
            <v>0</v>
          </cell>
          <cell r="AH2853">
            <v>0</v>
          </cell>
        </row>
        <row r="2854">
          <cell r="G2854">
            <v>0</v>
          </cell>
          <cell r="O2854" t="str">
            <v/>
          </cell>
          <cell r="T2854"/>
          <cell r="AF2854" t="str">
            <v>동절기</v>
          </cell>
          <cell r="AG2854">
            <v>0</v>
          </cell>
          <cell r="AH2854">
            <v>0</v>
          </cell>
        </row>
        <row r="2855">
          <cell r="G2855">
            <v>0</v>
          </cell>
          <cell r="O2855" t="str">
            <v/>
          </cell>
          <cell r="T2855"/>
          <cell r="AF2855" t="str">
            <v>동절기</v>
          </cell>
          <cell r="AG2855">
            <v>0</v>
          </cell>
          <cell r="AH2855">
            <v>0</v>
          </cell>
        </row>
        <row r="2856">
          <cell r="G2856">
            <v>0</v>
          </cell>
          <cell r="O2856" t="str">
            <v/>
          </cell>
          <cell r="T2856"/>
          <cell r="AF2856" t="str">
            <v>동절기</v>
          </cell>
          <cell r="AG2856">
            <v>0</v>
          </cell>
          <cell r="AH2856">
            <v>0</v>
          </cell>
        </row>
        <row r="2857">
          <cell r="G2857">
            <v>0</v>
          </cell>
          <cell r="O2857" t="str">
            <v/>
          </cell>
          <cell r="T2857"/>
          <cell r="AF2857" t="str">
            <v>동절기</v>
          </cell>
          <cell r="AG2857">
            <v>0</v>
          </cell>
          <cell r="AH2857">
            <v>0</v>
          </cell>
        </row>
        <row r="2858">
          <cell r="G2858">
            <v>0</v>
          </cell>
          <cell r="O2858" t="str">
            <v/>
          </cell>
          <cell r="T2858"/>
          <cell r="AF2858" t="str">
            <v>동절기</v>
          </cell>
          <cell r="AG2858">
            <v>0</v>
          </cell>
          <cell r="AH2858">
            <v>0</v>
          </cell>
        </row>
        <row r="2859">
          <cell r="G2859">
            <v>0</v>
          </cell>
          <cell r="O2859" t="str">
            <v/>
          </cell>
          <cell r="T2859"/>
          <cell r="AF2859" t="str">
            <v>동절기</v>
          </cell>
          <cell r="AG2859">
            <v>0</v>
          </cell>
          <cell r="AH2859">
            <v>0</v>
          </cell>
        </row>
        <row r="2860">
          <cell r="G2860">
            <v>0</v>
          </cell>
          <cell r="O2860" t="str">
            <v/>
          </cell>
          <cell r="T2860"/>
          <cell r="AF2860" t="str">
            <v>동절기</v>
          </cell>
          <cell r="AG2860">
            <v>0</v>
          </cell>
          <cell r="AH2860">
            <v>0</v>
          </cell>
        </row>
        <row r="2861">
          <cell r="G2861">
            <v>0</v>
          </cell>
          <cell r="O2861" t="str">
            <v/>
          </cell>
          <cell r="T2861"/>
          <cell r="AF2861" t="str">
            <v>동절기</v>
          </cell>
          <cell r="AG2861">
            <v>0</v>
          </cell>
          <cell r="AH2861">
            <v>0</v>
          </cell>
        </row>
        <row r="2862">
          <cell r="G2862">
            <v>0</v>
          </cell>
          <cell r="O2862" t="str">
            <v/>
          </cell>
          <cell r="T2862"/>
          <cell r="AF2862" t="str">
            <v>동절기</v>
          </cell>
          <cell r="AG2862">
            <v>0</v>
          </cell>
          <cell r="AH2862">
            <v>0</v>
          </cell>
        </row>
        <row r="2863">
          <cell r="G2863">
            <v>0</v>
          </cell>
          <cell r="O2863" t="str">
            <v/>
          </cell>
          <cell r="T2863"/>
          <cell r="AF2863" t="str">
            <v>동절기</v>
          </cell>
          <cell r="AG2863">
            <v>0</v>
          </cell>
          <cell r="AH2863">
            <v>0</v>
          </cell>
        </row>
        <row r="2864">
          <cell r="G2864">
            <v>0</v>
          </cell>
          <cell r="O2864" t="str">
            <v/>
          </cell>
          <cell r="T2864"/>
          <cell r="AF2864" t="str">
            <v>동절기</v>
          </cell>
          <cell r="AG2864">
            <v>0</v>
          </cell>
          <cell r="AH2864">
            <v>0</v>
          </cell>
        </row>
        <row r="2865">
          <cell r="G2865">
            <v>0</v>
          </cell>
          <cell r="O2865" t="str">
            <v/>
          </cell>
          <cell r="T2865"/>
          <cell r="AF2865" t="str">
            <v>동절기</v>
          </cell>
          <cell r="AG2865">
            <v>0</v>
          </cell>
          <cell r="AH2865">
            <v>0</v>
          </cell>
        </row>
        <row r="2866">
          <cell r="G2866">
            <v>0</v>
          </cell>
          <cell r="O2866" t="str">
            <v/>
          </cell>
          <cell r="T2866"/>
          <cell r="AF2866" t="str">
            <v>동절기</v>
          </cell>
          <cell r="AG2866">
            <v>0</v>
          </cell>
          <cell r="AH2866">
            <v>0</v>
          </cell>
        </row>
        <row r="2867">
          <cell r="G2867">
            <v>0</v>
          </cell>
          <cell r="O2867" t="str">
            <v/>
          </cell>
          <cell r="T2867"/>
          <cell r="AF2867" t="str">
            <v>동절기</v>
          </cell>
          <cell r="AG2867">
            <v>0</v>
          </cell>
          <cell r="AH2867">
            <v>0</v>
          </cell>
        </row>
        <row r="2868">
          <cell r="G2868">
            <v>0</v>
          </cell>
          <cell r="O2868" t="str">
            <v/>
          </cell>
          <cell r="T2868"/>
          <cell r="AF2868" t="str">
            <v>동절기</v>
          </cell>
          <cell r="AG2868">
            <v>0</v>
          </cell>
          <cell r="AH2868">
            <v>0</v>
          </cell>
        </row>
        <row r="2869">
          <cell r="G2869">
            <v>0</v>
          </cell>
          <cell r="O2869" t="str">
            <v/>
          </cell>
          <cell r="T2869"/>
          <cell r="AF2869" t="str">
            <v>동절기</v>
          </cell>
          <cell r="AG2869">
            <v>0</v>
          </cell>
          <cell r="AH2869">
            <v>0</v>
          </cell>
        </row>
        <row r="2870">
          <cell r="G2870">
            <v>0</v>
          </cell>
          <cell r="O2870" t="str">
            <v/>
          </cell>
          <cell r="T2870"/>
          <cell r="AF2870" t="str">
            <v>동절기</v>
          </cell>
          <cell r="AG2870">
            <v>0</v>
          </cell>
          <cell r="AH2870">
            <v>0</v>
          </cell>
        </row>
        <row r="2871">
          <cell r="G2871">
            <v>0</v>
          </cell>
          <cell r="O2871" t="str">
            <v/>
          </cell>
          <cell r="T2871"/>
          <cell r="AF2871" t="str">
            <v>동절기</v>
          </cell>
          <cell r="AG2871">
            <v>0</v>
          </cell>
          <cell r="AH2871">
            <v>0</v>
          </cell>
        </row>
        <row r="2872">
          <cell r="G2872">
            <v>0</v>
          </cell>
          <cell r="O2872" t="str">
            <v/>
          </cell>
          <cell r="T2872"/>
          <cell r="AF2872" t="str">
            <v>동절기</v>
          </cell>
          <cell r="AG2872">
            <v>0</v>
          </cell>
          <cell r="AH2872">
            <v>0</v>
          </cell>
        </row>
        <row r="2873">
          <cell r="G2873">
            <v>0</v>
          </cell>
          <cell r="O2873" t="str">
            <v/>
          </cell>
          <cell r="T2873"/>
          <cell r="AF2873" t="str">
            <v>동절기</v>
          </cell>
          <cell r="AG2873">
            <v>0</v>
          </cell>
          <cell r="AH2873">
            <v>0</v>
          </cell>
        </row>
        <row r="2874">
          <cell r="G2874">
            <v>0</v>
          </cell>
          <cell r="O2874" t="str">
            <v/>
          </cell>
          <cell r="T2874"/>
          <cell r="AF2874" t="str">
            <v>동절기</v>
          </cell>
          <cell r="AG2874">
            <v>0</v>
          </cell>
          <cell r="AH2874">
            <v>0</v>
          </cell>
        </row>
        <row r="2875">
          <cell r="G2875">
            <v>0</v>
          </cell>
          <cell r="O2875" t="str">
            <v/>
          </cell>
          <cell r="T2875"/>
          <cell r="AF2875" t="str">
            <v>동절기</v>
          </cell>
          <cell r="AG2875">
            <v>0</v>
          </cell>
          <cell r="AH2875">
            <v>0</v>
          </cell>
        </row>
        <row r="2876">
          <cell r="G2876">
            <v>0</v>
          </cell>
          <cell r="O2876" t="str">
            <v/>
          </cell>
          <cell r="T2876"/>
          <cell r="AF2876" t="str">
            <v>동절기</v>
          </cell>
          <cell r="AG2876">
            <v>0</v>
          </cell>
          <cell r="AH2876">
            <v>0</v>
          </cell>
        </row>
        <row r="2877">
          <cell r="G2877">
            <v>0</v>
          </cell>
          <cell r="O2877" t="str">
            <v/>
          </cell>
          <cell r="T2877"/>
          <cell r="AF2877" t="str">
            <v>동절기</v>
          </cell>
          <cell r="AG2877">
            <v>0</v>
          </cell>
          <cell r="AH2877">
            <v>0</v>
          </cell>
        </row>
        <row r="2878">
          <cell r="G2878">
            <v>0</v>
          </cell>
          <cell r="O2878" t="str">
            <v/>
          </cell>
          <cell r="T2878"/>
          <cell r="AF2878" t="str">
            <v>동절기</v>
          </cell>
          <cell r="AG2878">
            <v>0</v>
          </cell>
          <cell r="AH2878">
            <v>0</v>
          </cell>
        </row>
        <row r="2879">
          <cell r="G2879">
            <v>0</v>
          </cell>
          <cell r="O2879" t="str">
            <v/>
          </cell>
          <cell r="T2879"/>
          <cell r="AF2879" t="str">
            <v>동절기</v>
          </cell>
          <cell r="AG2879">
            <v>0</v>
          </cell>
          <cell r="AH2879">
            <v>0</v>
          </cell>
        </row>
        <row r="2880">
          <cell r="G2880">
            <v>0</v>
          </cell>
          <cell r="O2880" t="str">
            <v/>
          </cell>
          <cell r="T2880"/>
          <cell r="AF2880" t="str">
            <v>동절기</v>
          </cell>
          <cell r="AG2880">
            <v>0</v>
          </cell>
          <cell r="AH2880">
            <v>0</v>
          </cell>
        </row>
        <row r="2881">
          <cell r="G2881">
            <v>0</v>
          </cell>
          <cell r="O2881" t="str">
            <v/>
          </cell>
          <cell r="T2881"/>
          <cell r="AF2881" t="str">
            <v>동절기</v>
          </cell>
          <cell r="AG2881">
            <v>0</v>
          </cell>
          <cell r="AH2881">
            <v>0</v>
          </cell>
        </row>
        <row r="2882">
          <cell r="G2882">
            <v>0</v>
          </cell>
          <cell r="O2882" t="str">
            <v/>
          </cell>
          <cell r="T2882"/>
          <cell r="AF2882" t="str">
            <v>동절기</v>
          </cell>
          <cell r="AG2882">
            <v>0</v>
          </cell>
          <cell r="AH2882">
            <v>0</v>
          </cell>
        </row>
        <row r="2883">
          <cell r="G2883">
            <v>0</v>
          </cell>
          <cell r="O2883" t="str">
            <v/>
          </cell>
          <cell r="T2883"/>
          <cell r="AF2883" t="str">
            <v>동절기</v>
          </cell>
          <cell r="AG2883">
            <v>0</v>
          </cell>
          <cell r="AH2883">
            <v>0</v>
          </cell>
        </row>
        <row r="2884">
          <cell r="G2884">
            <v>0</v>
          </cell>
          <cell r="O2884" t="str">
            <v/>
          </cell>
          <cell r="T2884"/>
          <cell r="AF2884" t="str">
            <v>동절기</v>
          </cell>
          <cell r="AG2884">
            <v>0</v>
          </cell>
          <cell r="AH2884">
            <v>0</v>
          </cell>
        </row>
        <row r="2885">
          <cell r="G2885">
            <v>0</v>
          </cell>
          <cell r="O2885" t="str">
            <v/>
          </cell>
          <cell r="T2885"/>
          <cell r="AF2885" t="str">
            <v>동절기</v>
          </cell>
          <cell r="AG2885">
            <v>0</v>
          </cell>
          <cell r="AH2885">
            <v>0</v>
          </cell>
        </row>
        <row r="2886">
          <cell r="G2886">
            <v>0</v>
          </cell>
          <cell r="O2886" t="str">
            <v/>
          </cell>
          <cell r="T2886"/>
          <cell r="AF2886" t="str">
            <v>동절기</v>
          </cell>
          <cell r="AG2886">
            <v>0</v>
          </cell>
          <cell r="AH2886">
            <v>0</v>
          </cell>
        </row>
        <row r="2887">
          <cell r="G2887">
            <v>0</v>
          </cell>
          <cell r="O2887" t="str">
            <v/>
          </cell>
          <cell r="T2887"/>
          <cell r="AF2887" t="str">
            <v>동절기</v>
          </cell>
          <cell r="AG2887">
            <v>0</v>
          </cell>
          <cell r="AH2887">
            <v>0</v>
          </cell>
        </row>
        <row r="2888">
          <cell r="G2888">
            <v>0</v>
          </cell>
          <cell r="O2888" t="str">
            <v/>
          </cell>
          <cell r="T2888"/>
          <cell r="AF2888" t="str">
            <v>동절기</v>
          </cell>
          <cell r="AG2888">
            <v>0</v>
          </cell>
          <cell r="AH2888">
            <v>0</v>
          </cell>
        </row>
        <row r="2889">
          <cell r="G2889">
            <v>0</v>
          </cell>
          <cell r="O2889" t="str">
            <v/>
          </cell>
          <cell r="T2889"/>
          <cell r="AF2889" t="str">
            <v>동절기</v>
          </cell>
          <cell r="AG2889">
            <v>0</v>
          </cell>
          <cell r="AH2889">
            <v>0</v>
          </cell>
        </row>
        <row r="2890">
          <cell r="G2890">
            <v>0</v>
          </cell>
          <cell r="O2890" t="str">
            <v/>
          </cell>
          <cell r="T2890"/>
          <cell r="AF2890" t="str">
            <v>동절기</v>
          </cell>
          <cell r="AG2890">
            <v>0</v>
          </cell>
          <cell r="AH2890">
            <v>0</v>
          </cell>
        </row>
        <row r="2891">
          <cell r="G2891">
            <v>0</v>
          </cell>
          <cell r="O2891" t="str">
            <v/>
          </cell>
          <cell r="T2891"/>
          <cell r="AF2891" t="str">
            <v>동절기</v>
          </cell>
          <cell r="AG2891">
            <v>0</v>
          </cell>
          <cell r="AH2891">
            <v>0</v>
          </cell>
        </row>
        <row r="2892">
          <cell r="G2892">
            <v>0</v>
          </cell>
          <cell r="O2892" t="str">
            <v/>
          </cell>
          <cell r="T2892"/>
          <cell r="AF2892" t="str">
            <v>동절기</v>
          </cell>
          <cell r="AG2892">
            <v>0</v>
          </cell>
          <cell r="AH2892">
            <v>0</v>
          </cell>
        </row>
        <row r="2893">
          <cell r="G2893">
            <v>0</v>
          </cell>
          <cell r="O2893" t="str">
            <v/>
          </cell>
          <cell r="T2893"/>
          <cell r="AF2893" t="str">
            <v>동절기</v>
          </cell>
          <cell r="AG2893">
            <v>0</v>
          </cell>
          <cell r="AH2893">
            <v>0</v>
          </cell>
        </row>
        <row r="2894">
          <cell r="G2894">
            <v>0</v>
          </cell>
          <cell r="O2894" t="str">
            <v/>
          </cell>
          <cell r="T2894"/>
          <cell r="AF2894" t="str">
            <v>동절기</v>
          </cell>
          <cell r="AG2894">
            <v>0</v>
          </cell>
          <cell r="AH2894">
            <v>0</v>
          </cell>
        </row>
        <row r="2895">
          <cell r="G2895">
            <v>0</v>
          </cell>
          <cell r="O2895" t="str">
            <v/>
          </cell>
          <cell r="T2895"/>
          <cell r="AF2895" t="str">
            <v>동절기</v>
          </cell>
          <cell r="AG2895">
            <v>0</v>
          </cell>
          <cell r="AH2895">
            <v>0</v>
          </cell>
        </row>
        <row r="2896">
          <cell r="G2896">
            <v>0</v>
          </cell>
          <cell r="O2896" t="str">
            <v/>
          </cell>
          <cell r="T2896"/>
          <cell r="AF2896" t="str">
            <v>동절기</v>
          </cell>
          <cell r="AG2896">
            <v>0</v>
          </cell>
          <cell r="AH2896">
            <v>0</v>
          </cell>
        </row>
        <row r="2897">
          <cell r="G2897">
            <v>0</v>
          </cell>
          <cell r="O2897" t="str">
            <v/>
          </cell>
          <cell r="T2897"/>
          <cell r="AF2897" t="str">
            <v>동절기</v>
          </cell>
          <cell r="AG2897">
            <v>0</v>
          </cell>
          <cell r="AH2897">
            <v>0</v>
          </cell>
        </row>
        <row r="2898">
          <cell r="G2898">
            <v>0</v>
          </cell>
          <cell r="O2898" t="str">
            <v/>
          </cell>
          <cell r="T2898"/>
          <cell r="AF2898" t="str">
            <v>동절기</v>
          </cell>
          <cell r="AG2898">
            <v>0</v>
          </cell>
          <cell r="AH2898">
            <v>0</v>
          </cell>
        </row>
        <row r="2899">
          <cell r="G2899">
            <v>0</v>
          </cell>
          <cell r="O2899" t="str">
            <v/>
          </cell>
          <cell r="T2899"/>
          <cell r="AF2899" t="str">
            <v>동절기</v>
          </cell>
          <cell r="AG2899">
            <v>0</v>
          </cell>
          <cell r="AH2899">
            <v>0</v>
          </cell>
        </row>
        <row r="2900">
          <cell r="G2900">
            <v>0</v>
          </cell>
          <cell r="O2900" t="str">
            <v/>
          </cell>
          <cell r="T2900"/>
          <cell r="AF2900" t="str">
            <v>동절기</v>
          </cell>
          <cell r="AG2900">
            <v>0</v>
          </cell>
          <cell r="AH2900">
            <v>0</v>
          </cell>
        </row>
        <row r="2901">
          <cell r="G2901">
            <v>0</v>
          </cell>
          <cell r="O2901" t="str">
            <v/>
          </cell>
          <cell r="T2901"/>
          <cell r="AF2901" t="str">
            <v>동절기</v>
          </cell>
          <cell r="AG2901">
            <v>0</v>
          </cell>
          <cell r="AH2901">
            <v>0</v>
          </cell>
        </row>
        <row r="2902">
          <cell r="G2902">
            <v>0</v>
          </cell>
          <cell r="O2902" t="str">
            <v/>
          </cell>
          <cell r="T2902"/>
          <cell r="AF2902" t="str">
            <v>동절기</v>
          </cell>
          <cell r="AG2902">
            <v>0</v>
          </cell>
          <cell r="AH2902">
            <v>0</v>
          </cell>
        </row>
        <row r="2903">
          <cell r="G2903">
            <v>0</v>
          </cell>
          <cell r="O2903" t="str">
            <v/>
          </cell>
          <cell r="T2903"/>
          <cell r="AF2903" t="str">
            <v>동절기</v>
          </cell>
          <cell r="AG2903">
            <v>0</v>
          </cell>
          <cell r="AH2903">
            <v>0</v>
          </cell>
        </row>
        <row r="2904">
          <cell r="G2904">
            <v>0</v>
          </cell>
          <cell r="O2904" t="str">
            <v/>
          </cell>
          <cell r="T2904"/>
          <cell r="AF2904" t="str">
            <v>동절기</v>
          </cell>
          <cell r="AG2904">
            <v>0</v>
          </cell>
          <cell r="AH2904">
            <v>0</v>
          </cell>
        </row>
        <row r="2905">
          <cell r="G2905">
            <v>0</v>
          </cell>
          <cell r="O2905" t="str">
            <v/>
          </cell>
          <cell r="T2905"/>
          <cell r="AF2905" t="str">
            <v>동절기</v>
          </cell>
          <cell r="AG2905">
            <v>0</v>
          </cell>
          <cell r="AH2905">
            <v>0</v>
          </cell>
        </row>
        <row r="2906">
          <cell r="G2906">
            <v>0</v>
          </cell>
          <cell r="O2906" t="str">
            <v/>
          </cell>
          <cell r="T2906"/>
          <cell r="AF2906" t="str">
            <v>동절기</v>
          </cell>
          <cell r="AG2906">
            <v>0</v>
          </cell>
          <cell r="AH2906">
            <v>0</v>
          </cell>
        </row>
        <row r="2907">
          <cell r="G2907">
            <v>0</v>
          </cell>
          <cell r="O2907" t="str">
            <v/>
          </cell>
          <cell r="T2907"/>
          <cell r="AF2907" t="str">
            <v>동절기</v>
          </cell>
          <cell r="AG2907">
            <v>0</v>
          </cell>
          <cell r="AH2907">
            <v>0</v>
          </cell>
        </row>
        <row r="2908">
          <cell r="G2908">
            <v>0</v>
          </cell>
          <cell r="O2908" t="str">
            <v/>
          </cell>
          <cell r="T2908"/>
          <cell r="AF2908" t="str">
            <v>동절기</v>
          </cell>
          <cell r="AG2908">
            <v>0</v>
          </cell>
          <cell r="AH2908">
            <v>0</v>
          </cell>
        </row>
        <row r="2909">
          <cell r="G2909">
            <v>0</v>
          </cell>
          <cell r="O2909" t="str">
            <v/>
          </cell>
          <cell r="T2909"/>
          <cell r="AF2909" t="str">
            <v>동절기</v>
          </cell>
          <cell r="AG2909">
            <v>0</v>
          </cell>
          <cell r="AH2909">
            <v>0</v>
          </cell>
        </row>
        <row r="2910">
          <cell r="G2910">
            <v>0</v>
          </cell>
          <cell r="O2910" t="str">
            <v/>
          </cell>
          <cell r="T2910"/>
          <cell r="AF2910" t="str">
            <v>동절기</v>
          </cell>
          <cell r="AG2910">
            <v>0</v>
          </cell>
          <cell r="AH2910">
            <v>0</v>
          </cell>
        </row>
        <row r="2911">
          <cell r="G2911">
            <v>0</v>
          </cell>
          <cell r="O2911" t="str">
            <v/>
          </cell>
          <cell r="T2911"/>
          <cell r="AF2911" t="str">
            <v>동절기</v>
          </cell>
          <cell r="AG2911">
            <v>0</v>
          </cell>
          <cell r="AH2911">
            <v>0</v>
          </cell>
        </row>
        <row r="2912">
          <cell r="G2912">
            <v>0</v>
          </cell>
          <cell r="O2912" t="str">
            <v/>
          </cell>
          <cell r="T2912"/>
          <cell r="AF2912" t="str">
            <v>동절기</v>
          </cell>
          <cell r="AG2912">
            <v>0</v>
          </cell>
          <cell r="AH2912">
            <v>0</v>
          </cell>
        </row>
        <row r="2913">
          <cell r="G2913">
            <v>0</v>
          </cell>
          <cell r="O2913" t="str">
            <v/>
          </cell>
          <cell r="T2913"/>
          <cell r="AF2913" t="str">
            <v>동절기</v>
          </cell>
          <cell r="AG2913">
            <v>0</v>
          </cell>
          <cell r="AH2913">
            <v>0</v>
          </cell>
        </row>
        <row r="2914">
          <cell r="G2914">
            <v>0</v>
          </cell>
          <cell r="O2914" t="str">
            <v/>
          </cell>
          <cell r="T2914"/>
          <cell r="AF2914" t="str">
            <v>동절기</v>
          </cell>
          <cell r="AG2914">
            <v>0</v>
          </cell>
          <cell r="AH2914">
            <v>0</v>
          </cell>
        </row>
        <row r="2915">
          <cell r="G2915">
            <v>0</v>
          </cell>
          <cell r="O2915" t="str">
            <v/>
          </cell>
          <cell r="T2915"/>
          <cell r="AF2915" t="str">
            <v>동절기</v>
          </cell>
          <cell r="AG2915">
            <v>0</v>
          </cell>
          <cell r="AH2915">
            <v>0</v>
          </cell>
        </row>
        <row r="2916">
          <cell r="G2916">
            <v>0</v>
          </cell>
          <cell r="O2916" t="str">
            <v/>
          </cell>
          <cell r="T2916"/>
          <cell r="AF2916" t="str">
            <v>동절기</v>
          </cell>
          <cell r="AG2916">
            <v>0</v>
          </cell>
          <cell r="AH2916">
            <v>0</v>
          </cell>
        </row>
        <row r="2917">
          <cell r="G2917">
            <v>0</v>
          </cell>
          <cell r="O2917" t="str">
            <v/>
          </cell>
          <cell r="T2917"/>
          <cell r="AF2917" t="str">
            <v>동절기</v>
          </cell>
          <cell r="AG2917">
            <v>0</v>
          </cell>
          <cell r="AH2917">
            <v>0</v>
          </cell>
        </row>
        <row r="2918">
          <cell r="G2918">
            <v>0</v>
          </cell>
          <cell r="O2918" t="str">
            <v/>
          </cell>
          <cell r="T2918"/>
          <cell r="AF2918" t="str">
            <v>동절기</v>
          </cell>
          <cell r="AG2918">
            <v>0</v>
          </cell>
          <cell r="AH2918">
            <v>0</v>
          </cell>
        </row>
        <row r="2919">
          <cell r="G2919">
            <v>0</v>
          </cell>
          <cell r="O2919" t="str">
            <v/>
          </cell>
          <cell r="T2919"/>
          <cell r="AF2919" t="str">
            <v>동절기</v>
          </cell>
          <cell r="AG2919">
            <v>0</v>
          </cell>
          <cell r="AH2919">
            <v>0</v>
          </cell>
        </row>
        <row r="2920">
          <cell r="G2920">
            <v>0</v>
          </cell>
          <cell r="O2920" t="str">
            <v/>
          </cell>
          <cell r="T2920"/>
          <cell r="AF2920" t="str">
            <v>동절기</v>
          </cell>
          <cell r="AG2920">
            <v>0</v>
          </cell>
          <cell r="AH2920">
            <v>0</v>
          </cell>
        </row>
        <row r="2921">
          <cell r="G2921">
            <v>0</v>
          </cell>
          <cell r="O2921" t="str">
            <v/>
          </cell>
          <cell r="T2921"/>
          <cell r="AF2921" t="str">
            <v>동절기</v>
          </cell>
          <cell r="AG2921">
            <v>0</v>
          </cell>
          <cell r="AH2921">
            <v>0</v>
          </cell>
        </row>
        <row r="2922">
          <cell r="G2922">
            <v>0</v>
          </cell>
          <cell r="O2922" t="str">
            <v/>
          </cell>
          <cell r="T2922"/>
          <cell r="AF2922" t="str">
            <v>동절기</v>
          </cell>
          <cell r="AG2922">
            <v>0</v>
          </cell>
          <cell r="AH2922">
            <v>0</v>
          </cell>
        </row>
        <row r="2923">
          <cell r="G2923">
            <v>0</v>
          </cell>
          <cell r="O2923" t="str">
            <v/>
          </cell>
          <cell r="T2923"/>
          <cell r="AF2923" t="str">
            <v>동절기</v>
          </cell>
          <cell r="AG2923">
            <v>0</v>
          </cell>
          <cell r="AH2923">
            <v>0</v>
          </cell>
        </row>
        <row r="2924">
          <cell r="G2924">
            <v>0</v>
          </cell>
          <cell r="O2924" t="str">
            <v/>
          </cell>
          <cell r="T2924"/>
          <cell r="AF2924" t="str">
            <v>동절기</v>
          </cell>
          <cell r="AG2924">
            <v>0</v>
          </cell>
          <cell r="AH2924">
            <v>0</v>
          </cell>
        </row>
        <row r="2925">
          <cell r="G2925">
            <v>0</v>
          </cell>
          <cell r="O2925" t="str">
            <v/>
          </cell>
          <cell r="T2925"/>
          <cell r="AF2925" t="str">
            <v>동절기</v>
          </cell>
          <cell r="AG2925">
            <v>0</v>
          </cell>
          <cell r="AH2925">
            <v>0</v>
          </cell>
        </row>
        <row r="2926">
          <cell r="G2926">
            <v>0</v>
          </cell>
          <cell r="O2926" t="str">
            <v/>
          </cell>
          <cell r="T2926"/>
          <cell r="AF2926" t="str">
            <v>동절기</v>
          </cell>
          <cell r="AG2926">
            <v>0</v>
          </cell>
          <cell r="AH2926">
            <v>0</v>
          </cell>
        </row>
        <row r="2927">
          <cell r="G2927">
            <v>0</v>
          </cell>
          <cell r="O2927" t="str">
            <v/>
          </cell>
          <cell r="T2927"/>
          <cell r="AF2927" t="str">
            <v>동절기</v>
          </cell>
          <cell r="AG2927">
            <v>0</v>
          </cell>
          <cell r="AH2927">
            <v>0</v>
          </cell>
        </row>
        <row r="2928">
          <cell r="G2928">
            <v>0</v>
          </cell>
          <cell r="O2928" t="str">
            <v/>
          </cell>
          <cell r="T2928"/>
          <cell r="AF2928" t="str">
            <v>동절기</v>
          </cell>
          <cell r="AG2928">
            <v>0</v>
          </cell>
          <cell r="AH2928">
            <v>0</v>
          </cell>
        </row>
        <row r="2929">
          <cell r="G2929">
            <v>0</v>
          </cell>
          <cell r="O2929" t="str">
            <v/>
          </cell>
          <cell r="T2929"/>
          <cell r="AF2929" t="str">
            <v>동절기</v>
          </cell>
          <cell r="AG2929">
            <v>0</v>
          </cell>
          <cell r="AH2929">
            <v>0</v>
          </cell>
        </row>
        <row r="2930">
          <cell r="G2930">
            <v>0</v>
          </cell>
          <cell r="O2930" t="str">
            <v/>
          </cell>
          <cell r="T2930"/>
          <cell r="AF2930" t="str">
            <v>동절기</v>
          </cell>
          <cell r="AG2930">
            <v>0</v>
          </cell>
          <cell r="AH2930">
            <v>0</v>
          </cell>
        </row>
        <row r="2931">
          <cell r="G2931">
            <v>0</v>
          </cell>
          <cell r="O2931" t="str">
            <v/>
          </cell>
          <cell r="T2931"/>
          <cell r="AF2931" t="str">
            <v>동절기</v>
          </cell>
          <cell r="AG2931">
            <v>0</v>
          </cell>
          <cell r="AH2931">
            <v>0</v>
          </cell>
        </row>
        <row r="2932">
          <cell r="G2932">
            <v>0</v>
          </cell>
          <cell r="O2932" t="str">
            <v/>
          </cell>
          <cell r="T2932"/>
          <cell r="AF2932" t="str">
            <v>동절기</v>
          </cell>
          <cell r="AG2932">
            <v>0</v>
          </cell>
          <cell r="AH2932">
            <v>0</v>
          </cell>
        </row>
        <row r="2933">
          <cell r="G2933">
            <v>0</v>
          </cell>
          <cell r="O2933" t="str">
            <v/>
          </cell>
          <cell r="T2933"/>
          <cell r="AF2933" t="str">
            <v>동절기</v>
          </cell>
          <cell r="AG2933">
            <v>0</v>
          </cell>
          <cell r="AH2933">
            <v>0</v>
          </cell>
        </row>
        <row r="2934">
          <cell r="G2934">
            <v>0</v>
          </cell>
          <cell r="O2934" t="str">
            <v/>
          </cell>
          <cell r="T2934"/>
          <cell r="AF2934" t="str">
            <v>동절기</v>
          </cell>
          <cell r="AG2934">
            <v>0</v>
          </cell>
          <cell r="AH2934">
            <v>0</v>
          </cell>
        </row>
        <row r="2935">
          <cell r="G2935">
            <v>0</v>
          </cell>
          <cell r="O2935" t="str">
            <v/>
          </cell>
          <cell r="T2935"/>
          <cell r="AF2935" t="str">
            <v>동절기</v>
          </cell>
          <cell r="AG2935">
            <v>0</v>
          </cell>
          <cell r="AH2935">
            <v>0</v>
          </cell>
        </row>
        <row r="2936">
          <cell r="G2936">
            <v>0</v>
          </cell>
          <cell r="O2936" t="str">
            <v/>
          </cell>
          <cell r="T2936"/>
          <cell r="AF2936" t="str">
            <v>동절기</v>
          </cell>
          <cell r="AG2936">
            <v>0</v>
          </cell>
          <cell r="AH2936">
            <v>0</v>
          </cell>
        </row>
        <row r="2937">
          <cell r="G2937">
            <v>0</v>
          </cell>
          <cell r="O2937" t="str">
            <v/>
          </cell>
          <cell r="T2937"/>
          <cell r="AF2937" t="str">
            <v>동절기</v>
          </cell>
          <cell r="AG2937">
            <v>0</v>
          </cell>
          <cell r="AH2937">
            <v>0</v>
          </cell>
        </row>
        <row r="2938">
          <cell r="G2938">
            <v>0</v>
          </cell>
          <cell r="O2938" t="str">
            <v/>
          </cell>
          <cell r="T2938"/>
          <cell r="AF2938" t="str">
            <v>동절기</v>
          </cell>
          <cell r="AG2938">
            <v>0</v>
          </cell>
          <cell r="AH2938">
            <v>0</v>
          </cell>
        </row>
        <row r="2939">
          <cell r="G2939">
            <v>0</v>
          </cell>
          <cell r="O2939" t="str">
            <v/>
          </cell>
          <cell r="T2939"/>
          <cell r="AF2939" t="str">
            <v>동절기</v>
          </cell>
          <cell r="AG2939">
            <v>0</v>
          </cell>
          <cell r="AH2939">
            <v>0</v>
          </cell>
        </row>
        <row r="2940">
          <cell r="G2940">
            <v>0</v>
          </cell>
          <cell r="O2940" t="str">
            <v/>
          </cell>
          <cell r="T2940"/>
          <cell r="AF2940" t="str">
            <v>동절기</v>
          </cell>
          <cell r="AG2940">
            <v>0</v>
          </cell>
          <cell r="AH2940">
            <v>0</v>
          </cell>
        </row>
        <row r="2941">
          <cell r="G2941">
            <v>0</v>
          </cell>
          <cell r="O2941" t="str">
            <v/>
          </cell>
          <cell r="T2941"/>
          <cell r="AF2941" t="str">
            <v>동절기</v>
          </cell>
          <cell r="AG2941">
            <v>0</v>
          </cell>
          <cell r="AH2941">
            <v>0</v>
          </cell>
        </row>
        <row r="2942">
          <cell r="G2942">
            <v>0</v>
          </cell>
          <cell r="O2942" t="str">
            <v/>
          </cell>
          <cell r="T2942"/>
          <cell r="AF2942" t="str">
            <v>동절기</v>
          </cell>
          <cell r="AG2942">
            <v>0</v>
          </cell>
          <cell r="AH2942">
            <v>0</v>
          </cell>
        </row>
        <row r="2943">
          <cell r="G2943">
            <v>0</v>
          </cell>
          <cell r="O2943" t="str">
            <v/>
          </cell>
          <cell r="T2943"/>
          <cell r="AF2943" t="str">
            <v>동절기</v>
          </cell>
          <cell r="AG2943">
            <v>0</v>
          </cell>
          <cell r="AH2943">
            <v>0</v>
          </cell>
        </row>
        <row r="2944">
          <cell r="G2944">
            <v>0</v>
          </cell>
          <cell r="O2944" t="str">
            <v/>
          </cell>
          <cell r="T2944"/>
          <cell r="AF2944" t="str">
            <v>동절기</v>
          </cell>
          <cell r="AG2944">
            <v>0</v>
          </cell>
          <cell r="AH2944">
            <v>0</v>
          </cell>
        </row>
        <row r="2945">
          <cell r="G2945">
            <v>0</v>
          </cell>
          <cell r="O2945" t="str">
            <v/>
          </cell>
          <cell r="T2945"/>
          <cell r="AF2945" t="str">
            <v>동절기</v>
          </cell>
          <cell r="AG2945">
            <v>0</v>
          </cell>
          <cell r="AH2945">
            <v>0</v>
          </cell>
        </row>
        <row r="2946">
          <cell r="G2946">
            <v>0</v>
          </cell>
          <cell r="O2946" t="str">
            <v/>
          </cell>
          <cell r="T2946"/>
          <cell r="AF2946" t="str">
            <v>동절기</v>
          </cell>
          <cell r="AG2946">
            <v>0</v>
          </cell>
          <cell r="AH2946">
            <v>0</v>
          </cell>
        </row>
        <row r="2947">
          <cell r="G2947">
            <v>0</v>
          </cell>
          <cell r="O2947" t="str">
            <v/>
          </cell>
          <cell r="T2947"/>
          <cell r="AF2947" t="str">
            <v>동절기</v>
          </cell>
          <cell r="AG2947">
            <v>0</v>
          </cell>
          <cell r="AH2947">
            <v>0</v>
          </cell>
        </row>
        <row r="2948">
          <cell r="G2948">
            <v>0</v>
          </cell>
          <cell r="O2948" t="str">
            <v/>
          </cell>
          <cell r="T2948"/>
          <cell r="AF2948" t="str">
            <v>동절기</v>
          </cell>
          <cell r="AG2948">
            <v>0</v>
          </cell>
          <cell r="AH2948">
            <v>0</v>
          </cell>
        </row>
        <row r="2949">
          <cell r="G2949">
            <v>0</v>
          </cell>
          <cell r="O2949" t="str">
            <v/>
          </cell>
          <cell r="T2949"/>
          <cell r="AF2949" t="str">
            <v>동절기</v>
          </cell>
          <cell r="AG2949">
            <v>0</v>
          </cell>
          <cell r="AH2949">
            <v>0</v>
          </cell>
        </row>
        <row r="2950">
          <cell r="G2950">
            <v>0</v>
          </cell>
          <cell r="O2950" t="str">
            <v/>
          </cell>
          <cell r="T2950"/>
          <cell r="AF2950" t="str">
            <v>동절기</v>
          </cell>
          <cell r="AG2950">
            <v>0</v>
          </cell>
          <cell r="AH2950">
            <v>0</v>
          </cell>
        </row>
        <row r="2951">
          <cell r="G2951">
            <v>0</v>
          </cell>
          <cell r="O2951" t="str">
            <v/>
          </cell>
          <cell r="T2951"/>
          <cell r="AF2951" t="str">
            <v>동절기</v>
          </cell>
          <cell r="AG2951">
            <v>0</v>
          </cell>
          <cell r="AH2951">
            <v>0</v>
          </cell>
        </row>
        <row r="2952">
          <cell r="G2952">
            <v>0</v>
          </cell>
          <cell r="O2952" t="str">
            <v/>
          </cell>
          <cell r="T2952"/>
          <cell r="AF2952" t="str">
            <v>동절기</v>
          </cell>
          <cell r="AG2952">
            <v>0</v>
          </cell>
          <cell r="AH2952">
            <v>0</v>
          </cell>
        </row>
        <row r="2953">
          <cell r="G2953">
            <v>0</v>
          </cell>
          <cell r="O2953" t="str">
            <v/>
          </cell>
          <cell r="T2953"/>
          <cell r="AF2953" t="str">
            <v>동절기</v>
          </cell>
          <cell r="AG2953">
            <v>0</v>
          </cell>
          <cell r="AH2953">
            <v>0</v>
          </cell>
        </row>
        <row r="2954">
          <cell r="G2954">
            <v>0</v>
          </cell>
          <cell r="O2954" t="str">
            <v/>
          </cell>
          <cell r="T2954"/>
          <cell r="AF2954" t="str">
            <v>동절기</v>
          </cell>
          <cell r="AG2954">
            <v>0</v>
          </cell>
          <cell r="AH2954">
            <v>0</v>
          </cell>
        </row>
        <row r="2955">
          <cell r="G2955">
            <v>0</v>
          </cell>
          <cell r="O2955" t="str">
            <v/>
          </cell>
          <cell r="T2955"/>
          <cell r="AF2955" t="str">
            <v>동절기</v>
          </cell>
          <cell r="AG2955">
            <v>0</v>
          </cell>
          <cell r="AH2955">
            <v>0</v>
          </cell>
        </row>
        <row r="2956">
          <cell r="G2956">
            <v>0</v>
          </cell>
          <cell r="O2956" t="str">
            <v/>
          </cell>
          <cell r="T2956"/>
          <cell r="AF2956" t="str">
            <v>동절기</v>
          </cell>
          <cell r="AG2956">
            <v>0</v>
          </cell>
          <cell r="AH2956">
            <v>0</v>
          </cell>
        </row>
        <row r="2957">
          <cell r="G2957">
            <v>0</v>
          </cell>
          <cell r="O2957" t="str">
            <v/>
          </cell>
          <cell r="T2957"/>
          <cell r="AF2957" t="str">
            <v>동절기</v>
          </cell>
          <cell r="AG2957">
            <v>0</v>
          </cell>
          <cell r="AH2957">
            <v>0</v>
          </cell>
        </row>
        <row r="2958">
          <cell r="G2958">
            <v>0</v>
          </cell>
          <cell r="O2958" t="str">
            <v/>
          </cell>
          <cell r="T2958"/>
          <cell r="AF2958" t="str">
            <v>동절기</v>
          </cell>
          <cell r="AG2958">
            <v>0</v>
          </cell>
          <cell r="AH2958">
            <v>0</v>
          </cell>
        </row>
        <row r="2959">
          <cell r="G2959">
            <v>0</v>
          </cell>
          <cell r="O2959" t="str">
            <v/>
          </cell>
          <cell r="T2959"/>
          <cell r="AF2959" t="str">
            <v>동절기</v>
          </cell>
          <cell r="AG2959">
            <v>0</v>
          </cell>
          <cell r="AH2959">
            <v>0</v>
          </cell>
        </row>
        <row r="2960">
          <cell r="G2960">
            <v>0</v>
          </cell>
          <cell r="O2960" t="str">
            <v/>
          </cell>
          <cell r="T2960"/>
          <cell r="AF2960" t="str">
            <v>동절기</v>
          </cell>
          <cell r="AG2960">
            <v>0</v>
          </cell>
          <cell r="AH2960">
            <v>0</v>
          </cell>
        </row>
        <row r="2961">
          <cell r="G2961">
            <v>0</v>
          </cell>
          <cell r="O2961" t="str">
            <v/>
          </cell>
          <cell r="T2961"/>
          <cell r="AF2961" t="str">
            <v>동절기</v>
          </cell>
          <cell r="AG2961">
            <v>0</v>
          </cell>
          <cell r="AH2961">
            <v>0</v>
          </cell>
        </row>
        <row r="2962">
          <cell r="G2962">
            <v>0</v>
          </cell>
          <cell r="O2962" t="str">
            <v/>
          </cell>
          <cell r="T2962"/>
          <cell r="AF2962" t="str">
            <v>동절기</v>
          </cell>
          <cell r="AG2962">
            <v>0</v>
          </cell>
          <cell r="AH2962">
            <v>0</v>
          </cell>
        </row>
        <row r="2963">
          <cell r="G2963">
            <v>0</v>
          </cell>
          <cell r="O2963" t="str">
            <v/>
          </cell>
          <cell r="T2963"/>
          <cell r="AF2963" t="str">
            <v>동절기</v>
          </cell>
          <cell r="AG2963">
            <v>0</v>
          </cell>
          <cell r="AH2963">
            <v>0</v>
          </cell>
        </row>
        <row r="2964">
          <cell r="G2964">
            <v>0</v>
          </cell>
          <cell r="O2964" t="str">
            <v/>
          </cell>
          <cell r="T2964"/>
          <cell r="AF2964" t="str">
            <v>동절기</v>
          </cell>
          <cell r="AG2964">
            <v>0</v>
          </cell>
          <cell r="AH2964">
            <v>0</v>
          </cell>
        </row>
        <row r="2965">
          <cell r="G2965">
            <v>0</v>
          </cell>
          <cell r="O2965" t="str">
            <v/>
          </cell>
          <cell r="T2965"/>
          <cell r="AF2965" t="str">
            <v>동절기</v>
          </cell>
          <cell r="AG2965">
            <v>0</v>
          </cell>
          <cell r="AH2965">
            <v>0</v>
          </cell>
        </row>
        <row r="2966">
          <cell r="G2966">
            <v>0</v>
          </cell>
          <cell r="O2966" t="str">
            <v/>
          </cell>
          <cell r="T2966"/>
          <cell r="AF2966" t="str">
            <v>동절기</v>
          </cell>
          <cell r="AG2966">
            <v>0</v>
          </cell>
          <cell r="AH2966">
            <v>0</v>
          </cell>
        </row>
        <row r="2967">
          <cell r="G2967">
            <v>0</v>
          </cell>
          <cell r="O2967" t="str">
            <v/>
          </cell>
          <cell r="T2967"/>
          <cell r="AF2967" t="str">
            <v>동절기</v>
          </cell>
          <cell r="AG2967">
            <v>0</v>
          </cell>
          <cell r="AH2967">
            <v>0</v>
          </cell>
        </row>
        <row r="2968">
          <cell r="G2968">
            <v>0</v>
          </cell>
          <cell r="O2968" t="str">
            <v/>
          </cell>
          <cell r="T2968"/>
          <cell r="AF2968" t="str">
            <v>동절기</v>
          </cell>
          <cell r="AG2968">
            <v>0</v>
          </cell>
          <cell r="AH2968">
            <v>0</v>
          </cell>
        </row>
        <row r="2969">
          <cell r="G2969">
            <v>0</v>
          </cell>
          <cell r="O2969" t="str">
            <v/>
          </cell>
          <cell r="T2969"/>
          <cell r="AF2969" t="str">
            <v>동절기</v>
          </cell>
          <cell r="AG2969">
            <v>0</v>
          </cell>
          <cell r="AH2969">
            <v>0</v>
          </cell>
        </row>
        <row r="2970">
          <cell r="G2970">
            <v>0</v>
          </cell>
          <cell r="O2970" t="str">
            <v/>
          </cell>
          <cell r="T2970"/>
          <cell r="AF2970" t="str">
            <v>동절기</v>
          </cell>
          <cell r="AG2970">
            <v>0</v>
          </cell>
          <cell r="AH2970">
            <v>0</v>
          </cell>
        </row>
        <row r="2971">
          <cell r="G2971">
            <v>0</v>
          </cell>
          <cell r="O2971" t="str">
            <v/>
          </cell>
          <cell r="T2971"/>
          <cell r="AF2971" t="str">
            <v>동절기</v>
          </cell>
          <cell r="AG2971">
            <v>0</v>
          </cell>
          <cell r="AH2971">
            <v>0</v>
          </cell>
        </row>
        <row r="2972">
          <cell r="G2972">
            <v>0</v>
          </cell>
          <cell r="O2972" t="str">
            <v/>
          </cell>
          <cell r="T2972"/>
          <cell r="AF2972" t="str">
            <v>동절기</v>
          </cell>
          <cell r="AG2972">
            <v>0</v>
          </cell>
          <cell r="AH2972">
            <v>0</v>
          </cell>
        </row>
        <row r="2973">
          <cell r="G2973">
            <v>0</v>
          </cell>
          <cell r="O2973" t="str">
            <v/>
          </cell>
          <cell r="T2973"/>
          <cell r="AF2973" t="str">
            <v>동절기</v>
          </cell>
          <cell r="AG2973">
            <v>0</v>
          </cell>
          <cell r="AH2973">
            <v>0</v>
          </cell>
        </row>
        <row r="2974">
          <cell r="G2974">
            <v>0</v>
          </cell>
          <cell r="O2974" t="str">
            <v/>
          </cell>
          <cell r="T2974"/>
          <cell r="AF2974" t="str">
            <v>동절기</v>
          </cell>
          <cell r="AG2974">
            <v>0</v>
          </cell>
          <cell r="AH2974">
            <v>0</v>
          </cell>
        </row>
        <row r="2975">
          <cell r="G2975">
            <v>0</v>
          </cell>
          <cell r="O2975" t="str">
            <v/>
          </cell>
          <cell r="T2975"/>
          <cell r="AF2975" t="str">
            <v>동절기</v>
          </cell>
          <cell r="AG2975">
            <v>0</v>
          </cell>
          <cell r="AH2975">
            <v>0</v>
          </cell>
        </row>
        <row r="2976">
          <cell r="G2976">
            <v>0</v>
          </cell>
          <cell r="O2976" t="str">
            <v/>
          </cell>
          <cell r="T2976"/>
          <cell r="AF2976" t="str">
            <v>동절기</v>
          </cell>
          <cell r="AG2976">
            <v>0</v>
          </cell>
          <cell r="AH2976">
            <v>0</v>
          </cell>
        </row>
        <row r="2977">
          <cell r="G2977">
            <v>0</v>
          </cell>
          <cell r="O2977" t="str">
            <v/>
          </cell>
          <cell r="T2977"/>
          <cell r="AF2977" t="str">
            <v>동절기</v>
          </cell>
          <cell r="AG2977">
            <v>0</v>
          </cell>
          <cell r="AH2977">
            <v>0</v>
          </cell>
        </row>
        <row r="2978">
          <cell r="G2978">
            <v>0</v>
          </cell>
          <cell r="O2978" t="str">
            <v/>
          </cell>
          <cell r="T2978"/>
          <cell r="AF2978" t="str">
            <v>동절기</v>
          </cell>
          <cell r="AG2978">
            <v>0</v>
          </cell>
          <cell r="AH2978">
            <v>0</v>
          </cell>
        </row>
        <row r="2979">
          <cell r="G2979">
            <v>0</v>
          </cell>
          <cell r="O2979" t="str">
            <v/>
          </cell>
          <cell r="T2979"/>
          <cell r="AF2979" t="str">
            <v>동절기</v>
          </cell>
          <cell r="AG2979">
            <v>0</v>
          </cell>
          <cell r="AH2979">
            <v>0</v>
          </cell>
        </row>
        <row r="2980">
          <cell r="G2980">
            <v>0</v>
          </cell>
          <cell r="O2980" t="str">
            <v/>
          </cell>
          <cell r="T2980"/>
          <cell r="AF2980" t="str">
            <v>동절기</v>
          </cell>
          <cell r="AG2980">
            <v>0</v>
          </cell>
          <cell r="AH2980">
            <v>0</v>
          </cell>
        </row>
        <row r="2981">
          <cell r="G2981">
            <v>0</v>
          </cell>
          <cell r="O2981" t="str">
            <v/>
          </cell>
          <cell r="T2981"/>
          <cell r="AF2981" t="str">
            <v>동절기</v>
          </cell>
          <cell r="AG2981">
            <v>0</v>
          </cell>
          <cell r="AH2981">
            <v>0</v>
          </cell>
        </row>
        <row r="2982">
          <cell r="G2982">
            <v>0</v>
          </cell>
          <cell r="O2982" t="str">
            <v/>
          </cell>
          <cell r="T2982"/>
          <cell r="AF2982" t="str">
            <v>동절기</v>
          </cell>
          <cell r="AG2982">
            <v>0</v>
          </cell>
          <cell r="AH2982">
            <v>0</v>
          </cell>
        </row>
        <row r="2983">
          <cell r="G2983">
            <v>0</v>
          </cell>
          <cell r="O2983" t="str">
            <v/>
          </cell>
          <cell r="T2983"/>
          <cell r="AF2983" t="str">
            <v>동절기</v>
          </cell>
          <cell r="AG2983">
            <v>0</v>
          </cell>
          <cell r="AH2983">
            <v>0</v>
          </cell>
        </row>
        <row r="2984">
          <cell r="G2984">
            <v>0</v>
          </cell>
          <cell r="O2984" t="str">
            <v/>
          </cell>
          <cell r="T2984"/>
          <cell r="AF2984" t="str">
            <v>동절기</v>
          </cell>
          <cell r="AG2984">
            <v>0</v>
          </cell>
          <cell r="AH2984">
            <v>0</v>
          </cell>
        </row>
        <row r="2985">
          <cell r="G2985">
            <v>0</v>
          </cell>
          <cell r="O2985" t="str">
            <v/>
          </cell>
          <cell r="T2985"/>
          <cell r="AF2985" t="str">
            <v>동절기</v>
          </cell>
          <cell r="AG2985">
            <v>0</v>
          </cell>
          <cell r="AH2985">
            <v>0</v>
          </cell>
        </row>
        <row r="2986">
          <cell r="G2986">
            <v>0</v>
          </cell>
          <cell r="O2986" t="str">
            <v/>
          </cell>
          <cell r="T2986"/>
          <cell r="AF2986" t="str">
            <v>동절기</v>
          </cell>
          <cell r="AG2986">
            <v>0</v>
          </cell>
          <cell r="AH2986">
            <v>0</v>
          </cell>
        </row>
        <row r="2987">
          <cell r="G2987">
            <v>0</v>
          </cell>
          <cell r="O2987" t="str">
            <v/>
          </cell>
          <cell r="T2987"/>
          <cell r="AF2987" t="str">
            <v>동절기</v>
          </cell>
          <cell r="AG2987">
            <v>0</v>
          </cell>
          <cell r="AH2987">
            <v>0</v>
          </cell>
        </row>
        <row r="2988">
          <cell r="G2988">
            <v>0</v>
          </cell>
          <cell r="O2988" t="str">
            <v/>
          </cell>
          <cell r="T2988"/>
          <cell r="AF2988" t="str">
            <v>동절기</v>
          </cell>
          <cell r="AG2988">
            <v>0</v>
          </cell>
          <cell r="AH2988">
            <v>0</v>
          </cell>
        </row>
        <row r="2989">
          <cell r="G2989">
            <v>0</v>
          </cell>
          <cell r="O2989" t="str">
            <v/>
          </cell>
          <cell r="T2989"/>
          <cell r="AF2989" t="str">
            <v>동절기</v>
          </cell>
          <cell r="AG2989">
            <v>0</v>
          </cell>
          <cell r="AH2989">
            <v>0</v>
          </cell>
        </row>
        <row r="2990">
          <cell r="G2990">
            <v>0</v>
          </cell>
          <cell r="O2990" t="str">
            <v/>
          </cell>
          <cell r="T2990"/>
          <cell r="AF2990" t="str">
            <v>동절기</v>
          </cell>
          <cell r="AG2990">
            <v>0</v>
          </cell>
          <cell r="AH2990">
            <v>0</v>
          </cell>
        </row>
        <row r="2991">
          <cell r="G2991">
            <v>0</v>
          </cell>
          <cell r="O2991" t="str">
            <v/>
          </cell>
          <cell r="T2991"/>
          <cell r="AF2991" t="str">
            <v>동절기</v>
          </cell>
          <cell r="AG2991">
            <v>0</v>
          </cell>
          <cell r="AH2991">
            <v>0</v>
          </cell>
        </row>
        <row r="2992">
          <cell r="G2992">
            <v>0</v>
          </cell>
          <cell r="O2992" t="str">
            <v/>
          </cell>
          <cell r="T2992"/>
          <cell r="AF2992" t="str">
            <v>동절기</v>
          </cell>
          <cell r="AG2992">
            <v>0</v>
          </cell>
          <cell r="AH2992">
            <v>0</v>
          </cell>
        </row>
        <row r="2993">
          <cell r="G2993">
            <v>0</v>
          </cell>
          <cell r="O2993" t="str">
            <v/>
          </cell>
          <cell r="T2993"/>
          <cell r="AF2993" t="str">
            <v>동절기</v>
          </cell>
          <cell r="AG2993">
            <v>0</v>
          </cell>
          <cell r="AH2993">
            <v>0</v>
          </cell>
        </row>
        <row r="2994">
          <cell r="G2994">
            <v>0</v>
          </cell>
          <cell r="O2994" t="str">
            <v/>
          </cell>
          <cell r="T2994"/>
          <cell r="AF2994" t="str">
            <v>동절기</v>
          </cell>
          <cell r="AG2994">
            <v>0</v>
          </cell>
          <cell r="AH2994">
            <v>0</v>
          </cell>
        </row>
        <row r="2995">
          <cell r="G2995">
            <v>0</v>
          </cell>
          <cell r="O2995" t="str">
            <v/>
          </cell>
          <cell r="T2995"/>
          <cell r="AF2995" t="str">
            <v>동절기</v>
          </cell>
          <cell r="AG2995">
            <v>0</v>
          </cell>
          <cell r="AH2995">
            <v>0</v>
          </cell>
        </row>
        <row r="2996">
          <cell r="G2996">
            <v>0</v>
          </cell>
          <cell r="O2996" t="str">
            <v/>
          </cell>
          <cell r="T2996"/>
          <cell r="AF2996" t="str">
            <v>동절기</v>
          </cell>
          <cell r="AG2996">
            <v>0</v>
          </cell>
          <cell r="AH2996">
            <v>0</v>
          </cell>
        </row>
        <row r="2997">
          <cell r="G2997">
            <v>0</v>
          </cell>
          <cell r="O2997" t="str">
            <v/>
          </cell>
          <cell r="T2997"/>
          <cell r="AF2997" t="str">
            <v>동절기</v>
          </cell>
          <cell r="AG2997">
            <v>0</v>
          </cell>
          <cell r="AH2997">
            <v>0</v>
          </cell>
        </row>
        <row r="2998">
          <cell r="G2998">
            <v>0</v>
          </cell>
          <cell r="O2998" t="str">
            <v/>
          </cell>
          <cell r="T2998"/>
          <cell r="AF2998" t="str">
            <v>동절기</v>
          </cell>
          <cell r="AG2998">
            <v>0</v>
          </cell>
          <cell r="AH2998">
            <v>0</v>
          </cell>
        </row>
        <row r="2999">
          <cell r="G2999">
            <v>0</v>
          </cell>
          <cell r="O2999" t="str">
            <v/>
          </cell>
          <cell r="T2999"/>
          <cell r="AF2999" t="str">
            <v>동절기</v>
          </cell>
          <cell r="AG2999">
            <v>0</v>
          </cell>
          <cell r="AH2999">
            <v>0</v>
          </cell>
        </row>
        <row r="3000">
          <cell r="G3000">
            <v>0</v>
          </cell>
          <cell r="O3000" t="str">
            <v/>
          </cell>
          <cell r="T3000"/>
          <cell r="AF3000" t="str">
            <v>동절기</v>
          </cell>
        </row>
        <row r="3001">
          <cell r="G3001">
            <v>0</v>
          </cell>
          <cell r="O3001" t="str">
            <v/>
          </cell>
          <cell r="T3001"/>
          <cell r="AF3001" t="str">
            <v>동절기</v>
          </cell>
        </row>
        <row r="3002">
          <cell r="G3002">
            <v>0</v>
          </cell>
          <cell r="O3002" t="str">
            <v/>
          </cell>
          <cell r="T3002"/>
          <cell r="AF3002" t="str">
            <v>동절기</v>
          </cell>
        </row>
        <row r="3003">
          <cell r="G3003">
            <v>0</v>
          </cell>
          <cell r="O3003" t="str">
            <v/>
          </cell>
          <cell r="T3003"/>
          <cell r="AF3003" t="str">
            <v>동절기</v>
          </cell>
        </row>
        <row r="3004">
          <cell r="G3004">
            <v>0</v>
          </cell>
          <cell r="O3004" t="str">
            <v/>
          </cell>
          <cell r="T3004"/>
          <cell r="AF3004" t="str">
            <v>동절기</v>
          </cell>
        </row>
        <row r="3005">
          <cell r="G3005">
            <v>0</v>
          </cell>
          <cell r="O3005" t="str">
            <v/>
          </cell>
          <cell r="T3005"/>
          <cell r="AF3005" t="str">
            <v>동절기</v>
          </cell>
        </row>
        <row r="3006">
          <cell r="G3006">
            <v>0</v>
          </cell>
          <cell r="O3006" t="str">
            <v/>
          </cell>
          <cell r="T3006"/>
          <cell r="AF3006" t="str">
            <v>동절기</v>
          </cell>
        </row>
        <row r="3007">
          <cell r="G3007">
            <v>0</v>
          </cell>
          <cell r="O3007" t="str">
            <v/>
          </cell>
          <cell r="T3007"/>
          <cell r="AF3007" t="str">
            <v>동절기</v>
          </cell>
        </row>
        <row r="3008">
          <cell r="G3008">
            <v>0</v>
          </cell>
          <cell r="O3008" t="str">
            <v/>
          </cell>
          <cell r="T3008"/>
          <cell r="AF3008" t="str">
            <v>동절기</v>
          </cell>
        </row>
        <row r="3009">
          <cell r="G3009">
            <v>0</v>
          </cell>
          <cell r="O3009" t="str">
            <v/>
          </cell>
          <cell r="T3009"/>
          <cell r="AF3009" t="str">
            <v>동절기</v>
          </cell>
        </row>
        <row r="3010">
          <cell r="G3010">
            <v>0</v>
          </cell>
          <cell r="O3010" t="str">
            <v/>
          </cell>
          <cell r="T3010"/>
          <cell r="AF3010" t="str">
            <v>동절기</v>
          </cell>
        </row>
        <row r="3011">
          <cell r="G3011">
            <v>0</v>
          </cell>
          <cell r="O3011" t="str">
            <v/>
          </cell>
          <cell r="T3011"/>
          <cell r="AF3011" t="str">
            <v>동절기</v>
          </cell>
        </row>
        <row r="3012">
          <cell r="G3012">
            <v>0</v>
          </cell>
          <cell r="O3012" t="str">
            <v/>
          </cell>
          <cell r="T3012"/>
          <cell r="AF3012" t="str">
            <v>동절기</v>
          </cell>
        </row>
        <row r="3013">
          <cell r="G3013">
            <v>0</v>
          </cell>
          <cell r="O3013" t="str">
            <v/>
          </cell>
          <cell r="T3013"/>
          <cell r="AF3013" t="str">
            <v>동절기</v>
          </cell>
        </row>
        <row r="3014">
          <cell r="G3014">
            <v>0</v>
          </cell>
          <cell r="O3014" t="str">
            <v/>
          </cell>
          <cell r="T3014"/>
          <cell r="AF3014" t="str">
            <v>동절기</v>
          </cell>
        </row>
        <row r="3015">
          <cell r="G3015">
            <v>0</v>
          </cell>
          <cell r="O3015" t="str">
            <v/>
          </cell>
          <cell r="T3015"/>
          <cell r="AF3015" t="str">
            <v>동절기</v>
          </cell>
        </row>
        <row r="3016">
          <cell r="G3016">
            <v>0</v>
          </cell>
          <cell r="O3016" t="str">
            <v/>
          </cell>
          <cell r="T3016"/>
          <cell r="AF3016" t="str">
            <v>동절기</v>
          </cell>
        </row>
        <row r="3017">
          <cell r="G3017">
            <v>0</v>
          </cell>
          <cell r="O3017" t="str">
            <v/>
          </cell>
          <cell r="T3017"/>
          <cell r="AF3017" t="str">
            <v>동절기</v>
          </cell>
        </row>
        <row r="3018">
          <cell r="G3018">
            <v>0</v>
          </cell>
          <cell r="O3018" t="str">
            <v/>
          </cell>
          <cell r="T3018"/>
          <cell r="AF3018" t="str">
            <v>동절기</v>
          </cell>
        </row>
        <row r="3019">
          <cell r="G3019">
            <v>0</v>
          </cell>
          <cell r="O3019" t="str">
            <v/>
          </cell>
          <cell r="T3019"/>
          <cell r="AF3019" t="str">
            <v>동절기</v>
          </cell>
        </row>
        <row r="3020">
          <cell r="G3020">
            <v>0</v>
          </cell>
          <cell r="O3020" t="str">
            <v/>
          </cell>
          <cell r="T3020"/>
          <cell r="AF3020" t="str">
            <v>동절기</v>
          </cell>
        </row>
        <row r="3021">
          <cell r="G3021">
            <v>0</v>
          </cell>
          <cell r="O3021" t="str">
            <v/>
          </cell>
          <cell r="T3021"/>
          <cell r="AF3021" t="str">
            <v>동절기</v>
          </cell>
        </row>
        <row r="3022">
          <cell r="G3022">
            <v>0</v>
          </cell>
          <cell r="O3022" t="str">
            <v/>
          </cell>
          <cell r="T3022"/>
          <cell r="AF3022" t="str">
            <v>동절기</v>
          </cell>
        </row>
        <row r="3023">
          <cell r="G3023">
            <v>0</v>
          </cell>
          <cell r="O3023" t="str">
            <v/>
          </cell>
          <cell r="T3023"/>
          <cell r="AF3023" t="str">
            <v>동절기</v>
          </cell>
        </row>
        <row r="3024">
          <cell r="G3024">
            <v>0</v>
          </cell>
          <cell r="O3024" t="str">
            <v/>
          </cell>
          <cell r="T3024"/>
          <cell r="AF3024" t="str">
            <v>동절기</v>
          </cell>
        </row>
        <row r="3025">
          <cell r="G3025">
            <v>0</v>
          </cell>
          <cell r="O3025" t="str">
            <v/>
          </cell>
          <cell r="T3025"/>
          <cell r="AF3025" t="str">
            <v>동절기</v>
          </cell>
        </row>
        <row r="3026">
          <cell r="G3026">
            <v>0</v>
          </cell>
          <cell r="O3026" t="str">
            <v/>
          </cell>
          <cell r="T3026"/>
          <cell r="AF3026" t="str">
            <v>동절기</v>
          </cell>
        </row>
        <row r="3027">
          <cell r="G3027">
            <v>0</v>
          </cell>
          <cell r="O3027" t="str">
            <v/>
          </cell>
          <cell r="T3027"/>
          <cell r="AF3027" t="str">
            <v>동절기</v>
          </cell>
        </row>
        <row r="3028">
          <cell r="G3028">
            <v>0</v>
          </cell>
          <cell r="O3028" t="str">
            <v/>
          </cell>
          <cell r="T3028"/>
          <cell r="AF3028" t="str">
            <v>동절기</v>
          </cell>
        </row>
        <row r="3029">
          <cell r="G3029">
            <v>0</v>
          </cell>
          <cell r="O3029" t="str">
            <v/>
          </cell>
          <cell r="T3029"/>
          <cell r="AF3029" t="str">
            <v>동절기</v>
          </cell>
        </row>
        <row r="3030">
          <cell r="G3030">
            <v>0</v>
          </cell>
          <cell r="O3030" t="str">
            <v/>
          </cell>
          <cell r="T3030"/>
          <cell r="AF3030" t="str">
            <v>동절기</v>
          </cell>
        </row>
        <row r="3031">
          <cell r="G3031">
            <v>0</v>
          </cell>
          <cell r="O3031" t="str">
            <v/>
          </cell>
          <cell r="T3031"/>
          <cell r="AF3031" t="str">
            <v>동절기</v>
          </cell>
        </row>
        <row r="3032">
          <cell r="G3032">
            <v>0</v>
          </cell>
          <cell r="O3032" t="str">
            <v/>
          </cell>
          <cell r="T3032"/>
          <cell r="AF3032" t="str">
            <v>동절기</v>
          </cell>
        </row>
        <row r="3033">
          <cell r="G3033">
            <v>0</v>
          </cell>
          <cell r="O3033" t="str">
            <v/>
          </cell>
          <cell r="T3033"/>
          <cell r="AF3033" t="str">
            <v>동절기</v>
          </cell>
        </row>
        <row r="3034">
          <cell r="G3034">
            <v>0</v>
          </cell>
          <cell r="O3034" t="str">
            <v/>
          </cell>
          <cell r="T3034"/>
          <cell r="AF3034" t="str">
            <v>동절기</v>
          </cell>
        </row>
        <row r="3035">
          <cell r="G3035">
            <v>0</v>
          </cell>
          <cell r="O3035" t="str">
            <v/>
          </cell>
          <cell r="T3035"/>
          <cell r="AF3035" t="str">
            <v>동절기</v>
          </cell>
        </row>
        <row r="3036">
          <cell r="G3036">
            <v>0</v>
          </cell>
          <cell r="O3036" t="str">
            <v/>
          </cell>
          <cell r="T3036"/>
          <cell r="AF3036" t="str">
            <v>동절기</v>
          </cell>
        </row>
        <row r="3037">
          <cell r="G3037">
            <v>0</v>
          </cell>
          <cell r="O3037" t="str">
            <v/>
          </cell>
          <cell r="T3037"/>
          <cell r="AF3037" t="str">
            <v>동절기</v>
          </cell>
        </row>
        <row r="3038">
          <cell r="G3038">
            <v>0</v>
          </cell>
          <cell r="O3038" t="str">
            <v/>
          </cell>
          <cell r="T3038"/>
          <cell r="AF3038" t="str">
            <v>동절기</v>
          </cell>
        </row>
        <row r="3039">
          <cell r="G3039">
            <v>0</v>
          </cell>
          <cell r="O3039" t="str">
            <v/>
          </cell>
          <cell r="T3039"/>
          <cell r="AF3039" t="str">
            <v>동절기</v>
          </cell>
        </row>
        <row r="3040">
          <cell r="G3040">
            <v>0</v>
          </cell>
          <cell r="O3040" t="str">
            <v/>
          </cell>
          <cell r="T3040"/>
          <cell r="AF3040" t="str">
            <v>동절기</v>
          </cell>
        </row>
        <row r="3041">
          <cell r="G3041">
            <v>0</v>
          </cell>
          <cell r="O3041" t="str">
            <v/>
          </cell>
          <cell r="T3041"/>
          <cell r="AF3041" t="str">
            <v>동절기</v>
          </cell>
        </row>
        <row r="3042">
          <cell r="G3042">
            <v>0</v>
          </cell>
          <cell r="O3042" t="str">
            <v/>
          </cell>
          <cell r="T3042"/>
          <cell r="AF3042" t="str">
            <v>동절기</v>
          </cell>
        </row>
        <row r="3043">
          <cell r="G3043">
            <v>0</v>
          </cell>
          <cell r="O3043" t="str">
            <v/>
          </cell>
          <cell r="T3043"/>
          <cell r="AF3043" t="str">
            <v>동절기</v>
          </cell>
        </row>
        <row r="3044">
          <cell r="G3044">
            <v>0</v>
          </cell>
          <cell r="O3044" t="str">
            <v/>
          </cell>
          <cell r="T3044"/>
          <cell r="AF3044" t="str">
            <v>동절기</v>
          </cell>
        </row>
        <row r="3045">
          <cell r="G3045">
            <v>0</v>
          </cell>
          <cell r="O3045" t="str">
            <v/>
          </cell>
          <cell r="T3045"/>
          <cell r="AF3045" t="str">
            <v>동절기</v>
          </cell>
        </row>
        <row r="3046">
          <cell r="G3046">
            <v>0</v>
          </cell>
          <cell r="O3046" t="str">
            <v/>
          </cell>
          <cell r="T3046"/>
          <cell r="AF3046" t="str">
            <v>동절기</v>
          </cell>
        </row>
        <row r="3047">
          <cell r="G3047">
            <v>0</v>
          </cell>
          <cell r="O3047" t="str">
            <v/>
          </cell>
          <cell r="T3047"/>
          <cell r="AF3047" t="str">
            <v>동절기</v>
          </cell>
        </row>
        <row r="3048">
          <cell r="G3048">
            <v>0</v>
          </cell>
          <cell r="O3048" t="str">
            <v/>
          </cell>
          <cell r="T3048"/>
          <cell r="AF3048" t="str">
            <v>동절기</v>
          </cell>
        </row>
        <row r="3049">
          <cell r="G3049">
            <v>0</v>
          </cell>
          <cell r="O3049" t="str">
            <v/>
          </cell>
          <cell r="T3049"/>
          <cell r="AF3049" t="str">
            <v>동절기</v>
          </cell>
        </row>
        <row r="3050">
          <cell r="G3050">
            <v>0</v>
          </cell>
          <cell r="O3050" t="str">
            <v/>
          </cell>
          <cell r="T3050"/>
          <cell r="AF3050" t="str">
            <v>동절기</v>
          </cell>
        </row>
        <row r="3051">
          <cell r="G3051">
            <v>0</v>
          </cell>
          <cell r="O3051" t="str">
            <v/>
          </cell>
          <cell r="T3051"/>
          <cell r="AF3051" t="str">
            <v>동절기</v>
          </cell>
        </row>
        <row r="3052">
          <cell r="G3052">
            <v>0</v>
          </cell>
          <cell r="O3052" t="str">
            <v/>
          </cell>
          <cell r="T3052"/>
          <cell r="AF3052" t="str">
            <v>동절기</v>
          </cell>
        </row>
        <row r="3053">
          <cell r="G3053">
            <v>0</v>
          </cell>
          <cell r="O3053" t="str">
            <v/>
          </cell>
          <cell r="T3053"/>
          <cell r="AF3053" t="str">
            <v>동절기</v>
          </cell>
        </row>
        <row r="3054">
          <cell r="G3054">
            <v>0</v>
          </cell>
          <cell r="O3054" t="str">
            <v/>
          </cell>
          <cell r="T3054"/>
          <cell r="AF3054" t="str">
            <v>동절기</v>
          </cell>
        </row>
        <row r="3055">
          <cell r="G3055">
            <v>0</v>
          </cell>
          <cell r="O3055" t="str">
            <v/>
          </cell>
          <cell r="T3055"/>
          <cell r="AF3055" t="str">
            <v>동절기</v>
          </cell>
        </row>
        <row r="3056">
          <cell r="G3056">
            <v>0</v>
          </cell>
          <cell r="O3056" t="str">
            <v/>
          </cell>
          <cell r="T3056"/>
          <cell r="AF3056" t="str">
            <v>동절기</v>
          </cell>
        </row>
        <row r="3057">
          <cell r="G3057">
            <v>0</v>
          </cell>
          <cell r="O3057" t="str">
            <v/>
          </cell>
          <cell r="T3057"/>
          <cell r="AF3057" t="str">
            <v>동절기</v>
          </cell>
        </row>
        <row r="3058">
          <cell r="G3058">
            <v>0</v>
          </cell>
          <cell r="O3058" t="str">
            <v/>
          </cell>
          <cell r="T3058"/>
          <cell r="AF3058" t="str">
            <v>동절기</v>
          </cell>
        </row>
        <row r="3059">
          <cell r="G3059">
            <v>0</v>
          </cell>
          <cell r="O3059" t="str">
            <v/>
          </cell>
          <cell r="T3059"/>
          <cell r="AF3059" t="str">
            <v>동절기</v>
          </cell>
        </row>
        <row r="3060">
          <cell r="G3060">
            <v>0</v>
          </cell>
          <cell r="O3060" t="str">
            <v/>
          </cell>
          <cell r="T3060"/>
          <cell r="AF3060" t="str">
            <v>동절기</v>
          </cell>
        </row>
        <row r="3061">
          <cell r="G3061">
            <v>0</v>
          </cell>
          <cell r="O3061" t="str">
            <v/>
          </cell>
          <cell r="T3061"/>
          <cell r="AF3061" t="str">
            <v>동절기</v>
          </cell>
        </row>
        <row r="3062">
          <cell r="G3062">
            <v>0</v>
          </cell>
          <cell r="O3062" t="str">
            <v/>
          </cell>
          <cell r="T3062"/>
          <cell r="AF3062" t="str">
            <v>동절기</v>
          </cell>
        </row>
        <row r="3063">
          <cell r="G3063">
            <v>0</v>
          </cell>
          <cell r="O3063" t="str">
            <v/>
          </cell>
          <cell r="T3063"/>
          <cell r="AF3063" t="str">
            <v>동절기</v>
          </cell>
        </row>
        <row r="3064">
          <cell r="G3064">
            <v>0</v>
          </cell>
          <cell r="O3064" t="str">
            <v/>
          </cell>
          <cell r="T3064"/>
          <cell r="AF3064" t="str">
            <v>동절기</v>
          </cell>
        </row>
        <row r="3065">
          <cell r="G3065">
            <v>0</v>
          </cell>
          <cell r="O3065" t="str">
            <v/>
          </cell>
          <cell r="T3065"/>
          <cell r="AF3065" t="str">
            <v>동절기</v>
          </cell>
        </row>
        <row r="3066">
          <cell r="G3066">
            <v>0</v>
          </cell>
          <cell r="O3066" t="str">
            <v/>
          </cell>
          <cell r="T3066"/>
          <cell r="AF3066" t="str">
            <v>동절기</v>
          </cell>
        </row>
        <row r="3067">
          <cell r="G3067">
            <v>0</v>
          </cell>
          <cell r="O3067" t="str">
            <v/>
          </cell>
          <cell r="T3067"/>
          <cell r="AF3067" t="str">
            <v>동절기</v>
          </cell>
        </row>
        <row r="3068">
          <cell r="G3068">
            <v>0</v>
          </cell>
          <cell r="O3068" t="str">
            <v/>
          </cell>
          <cell r="T3068"/>
          <cell r="AF3068" t="str">
            <v>동절기</v>
          </cell>
        </row>
        <row r="3069">
          <cell r="G3069">
            <v>0</v>
          </cell>
          <cell r="O3069" t="str">
            <v/>
          </cell>
          <cell r="T3069"/>
          <cell r="AF3069" t="str">
            <v>동절기</v>
          </cell>
        </row>
        <row r="3070">
          <cell r="G3070">
            <v>0</v>
          </cell>
          <cell r="O3070" t="str">
            <v/>
          </cell>
          <cell r="T3070"/>
          <cell r="AF3070" t="str">
            <v>동절기</v>
          </cell>
        </row>
        <row r="3071">
          <cell r="G3071">
            <v>0</v>
          </cell>
          <cell r="O3071" t="str">
            <v/>
          </cell>
          <cell r="T3071"/>
          <cell r="AF3071" t="str">
            <v>동절기</v>
          </cell>
        </row>
        <row r="3072">
          <cell r="G3072">
            <v>0</v>
          </cell>
          <cell r="O3072" t="str">
            <v/>
          </cell>
          <cell r="T3072"/>
          <cell r="AF3072" t="str">
            <v>동절기</v>
          </cell>
        </row>
        <row r="3073">
          <cell r="G3073">
            <v>0</v>
          </cell>
          <cell r="O3073" t="str">
            <v/>
          </cell>
          <cell r="T3073"/>
          <cell r="AF3073" t="str">
            <v>동절기</v>
          </cell>
        </row>
        <row r="3074">
          <cell r="G3074">
            <v>0</v>
          </cell>
          <cell r="O3074" t="str">
            <v/>
          </cell>
          <cell r="T3074"/>
          <cell r="AF3074" t="str">
            <v>동절기</v>
          </cell>
        </row>
        <row r="3075">
          <cell r="G3075">
            <v>0</v>
          </cell>
          <cell r="O3075" t="str">
            <v/>
          </cell>
          <cell r="T3075"/>
          <cell r="AF3075" t="str">
            <v>동절기</v>
          </cell>
        </row>
        <row r="3076">
          <cell r="G3076">
            <v>0</v>
          </cell>
          <cell r="O3076" t="str">
            <v/>
          </cell>
          <cell r="T3076"/>
          <cell r="AF3076" t="str">
            <v>동절기</v>
          </cell>
        </row>
        <row r="3077">
          <cell r="G3077">
            <v>0</v>
          </cell>
          <cell r="O3077" t="str">
            <v/>
          </cell>
          <cell r="T3077"/>
          <cell r="AF3077" t="str">
            <v>동절기</v>
          </cell>
        </row>
        <row r="3078">
          <cell r="G3078">
            <v>0</v>
          </cell>
          <cell r="O3078" t="str">
            <v/>
          </cell>
          <cell r="T3078"/>
          <cell r="AF3078" t="str">
            <v>동절기</v>
          </cell>
        </row>
        <row r="3079">
          <cell r="G3079">
            <v>0</v>
          </cell>
          <cell r="O3079" t="str">
            <v/>
          </cell>
          <cell r="T3079"/>
          <cell r="AF3079" t="str">
            <v>동절기</v>
          </cell>
        </row>
        <row r="3080">
          <cell r="G3080">
            <v>0</v>
          </cell>
          <cell r="O3080" t="str">
            <v/>
          </cell>
          <cell r="T3080"/>
          <cell r="AF3080" t="str">
            <v>동절기</v>
          </cell>
        </row>
        <row r="3081">
          <cell r="G3081">
            <v>0</v>
          </cell>
          <cell r="O3081" t="str">
            <v/>
          </cell>
          <cell r="T3081"/>
          <cell r="AF3081" t="str">
            <v>동절기</v>
          </cell>
        </row>
        <row r="3082">
          <cell r="G3082">
            <v>0</v>
          </cell>
          <cell r="O3082" t="str">
            <v/>
          </cell>
          <cell r="T3082"/>
          <cell r="AF3082" t="str">
            <v>동절기</v>
          </cell>
        </row>
        <row r="3083">
          <cell r="G3083">
            <v>0</v>
          </cell>
          <cell r="O3083" t="str">
            <v/>
          </cell>
          <cell r="T3083"/>
          <cell r="AF3083" t="str">
            <v>동절기</v>
          </cell>
        </row>
        <row r="3084">
          <cell r="G3084">
            <v>0</v>
          </cell>
          <cell r="O3084" t="str">
            <v/>
          </cell>
          <cell r="T3084"/>
          <cell r="AF3084" t="str">
            <v>동절기</v>
          </cell>
        </row>
        <row r="3085">
          <cell r="G3085">
            <v>0</v>
          </cell>
          <cell r="O3085" t="str">
            <v/>
          </cell>
          <cell r="T3085"/>
          <cell r="AF3085" t="str">
            <v>동절기</v>
          </cell>
        </row>
        <row r="3086">
          <cell r="G3086">
            <v>0</v>
          </cell>
          <cell r="O3086" t="str">
            <v/>
          </cell>
          <cell r="T3086"/>
          <cell r="AF3086" t="str">
            <v>동절기</v>
          </cell>
        </row>
        <row r="3087">
          <cell r="G3087">
            <v>0</v>
          </cell>
          <cell r="O3087" t="str">
            <v/>
          </cell>
          <cell r="T3087"/>
          <cell r="AF3087" t="str">
            <v>동절기</v>
          </cell>
        </row>
        <row r="3088">
          <cell r="G3088">
            <v>0</v>
          </cell>
          <cell r="O3088" t="str">
            <v/>
          </cell>
          <cell r="T3088"/>
          <cell r="AF3088" t="str">
            <v>동절기</v>
          </cell>
        </row>
        <row r="3089">
          <cell r="G3089">
            <v>0</v>
          </cell>
          <cell r="O3089" t="str">
            <v/>
          </cell>
          <cell r="T3089"/>
          <cell r="AF3089" t="str">
            <v>동절기</v>
          </cell>
        </row>
        <row r="3090">
          <cell r="G3090">
            <v>0</v>
          </cell>
          <cell r="O3090" t="str">
            <v/>
          </cell>
          <cell r="T3090"/>
          <cell r="AF3090" t="str">
            <v>동절기</v>
          </cell>
        </row>
        <row r="3091">
          <cell r="G3091">
            <v>0</v>
          </cell>
          <cell r="O3091" t="str">
            <v/>
          </cell>
          <cell r="T3091"/>
          <cell r="AF3091" t="str">
            <v>동절기</v>
          </cell>
        </row>
        <row r="3092">
          <cell r="G3092">
            <v>0</v>
          </cell>
          <cell r="O3092" t="str">
            <v/>
          </cell>
          <cell r="T3092"/>
          <cell r="AF3092" t="str">
            <v>동절기</v>
          </cell>
        </row>
        <row r="3093">
          <cell r="G3093">
            <v>0</v>
          </cell>
          <cell r="O3093" t="str">
            <v/>
          </cell>
          <cell r="T3093"/>
          <cell r="AF3093" t="str">
            <v>동절기</v>
          </cell>
        </row>
        <row r="3094">
          <cell r="G3094">
            <v>0</v>
          </cell>
          <cell r="O3094" t="str">
            <v/>
          </cell>
          <cell r="T3094"/>
          <cell r="AF3094" t="str">
            <v>동절기</v>
          </cell>
        </row>
        <row r="3095">
          <cell r="G3095">
            <v>0</v>
          </cell>
          <cell r="O3095" t="str">
            <v/>
          </cell>
          <cell r="T3095"/>
          <cell r="AF3095" t="str">
            <v>동절기</v>
          </cell>
        </row>
        <row r="3096">
          <cell r="G3096">
            <v>0</v>
          </cell>
          <cell r="O3096" t="str">
            <v/>
          </cell>
          <cell r="T3096"/>
          <cell r="AF3096" t="str">
            <v>동절기</v>
          </cell>
        </row>
        <row r="3097">
          <cell r="G3097">
            <v>0</v>
          </cell>
          <cell r="O3097" t="str">
            <v/>
          </cell>
          <cell r="T3097"/>
          <cell r="AF3097" t="str">
            <v>동절기</v>
          </cell>
        </row>
        <row r="3098">
          <cell r="G3098">
            <v>0</v>
          </cell>
          <cell r="O3098" t="str">
            <v/>
          </cell>
          <cell r="T3098"/>
          <cell r="AF3098" t="str">
            <v>동절기</v>
          </cell>
        </row>
        <row r="3099">
          <cell r="G3099">
            <v>0</v>
          </cell>
          <cell r="O3099" t="str">
            <v/>
          </cell>
          <cell r="T3099"/>
          <cell r="AF3099" t="str">
            <v>동절기</v>
          </cell>
        </row>
        <row r="3100">
          <cell r="G3100">
            <v>0</v>
          </cell>
          <cell r="O3100" t="str">
            <v/>
          </cell>
          <cell r="T3100"/>
          <cell r="AF3100" t="str">
            <v>동절기</v>
          </cell>
        </row>
        <row r="3101">
          <cell r="G3101">
            <v>0</v>
          </cell>
          <cell r="O3101" t="str">
            <v/>
          </cell>
          <cell r="T3101"/>
          <cell r="AF3101" t="str">
            <v>동절기</v>
          </cell>
        </row>
        <row r="3102">
          <cell r="G3102">
            <v>0</v>
          </cell>
          <cell r="O3102" t="str">
            <v/>
          </cell>
          <cell r="T3102"/>
          <cell r="AF3102" t="str">
            <v>동절기</v>
          </cell>
        </row>
        <row r="3103">
          <cell r="G3103">
            <v>0</v>
          </cell>
          <cell r="O3103" t="str">
            <v/>
          </cell>
          <cell r="T3103"/>
          <cell r="AF3103" t="str">
            <v>동절기</v>
          </cell>
        </row>
        <row r="3104">
          <cell r="G3104">
            <v>0</v>
          </cell>
          <cell r="O3104" t="str">
            <v/>
          </cell>
          <cell r="T3104"/>
          <cell r="AF3104" t="str">
            <v>동절기</v>
          </cell>
        </row>
        <row r="3105">
          <cell r="G3105">
            <v>0</v>
          </cell>
          <cell r="O3105" t="str">
            <v/>
          </cell>
          <cell r="T3105"/>
          <cell r="AF3105" t="str">
            <v>동절기</v>
          </cell>
        </row>
        <row r="3106">
          <cell r="G3106">
            <v>0</v>
          </cell>
          <cell r="O3106" t="str">
            <v/>
          </cell>
          <cell r="T3106"/>
          <cell r="AF3106" t="str">
            <v>동절기</v>
          </cell>
        </row>
        <row r="3107">
          <cell r="G3107">
            <v>0</v>
          </cell>
          <cell r="O3107" t="str">
            <v/>
          </cell>
          <cell r="T3107"/>
          <cell r="AF3107" t="str">
            <v>동절기</v>
          </cell>
        </row>
        <row r="3108">
          <cell r="G3108">
            <v>0</v>
          </cell>
          <cell r="O3108" t="str">
            <v/>
          </cell>
          <cell r="T3108"/>
          <cell r="AF3108" t="str">
            <v>동절기</v>
          </cell>
        </row>
        <row r="3109">
          <cell r="G3109">
            <v>0</v>
          </cell>
          <cell r="O3109" t="str">
            <v/>
          </cell>
          <cell r="T3109"/>
          <cell r="AF3109" t="str">
            <v>동절기</v>
          </cell>
        </row>
        <row r="3110">
          <cell r="G3110">
            <v>0</v>
          </cell>
          <cell r="O3110" t="str">
            <v/>
          </cell>
          <cell r="T3110"/>
          <cell r="AF3110" t="str">
            <v>동절기</v>
          </cell>
        </row>
        <row r="3111">
          <cell r="G3111">
            <v>0</v>
          </cell>
          <cell r="O3111" t="str">
            <v/>
          </cell>
          <cell r="T3111"/>
          <cell r="AF3111" t="str">
            <v>동절기</v>
          </cell>
        </row>
        <row r="3112">
          <cell r="G3112">
            <v>0</v>
          </cell>
          <cell r="O3112" t="str">
            <v/>
          </cell>
          <cell r="T3112"/>
          <cell r="AF3112" t="str">
            <v>동절기</v>
          </cell>
        </row>
        <row r="3113">
          <cell r="G3113">
            <v>0</v>
          </cell>
          <cell r="O3113" t="str">
            <v/>
          </cell>
          <cell r="T3113"/>
          <cell r="AF3113" t="str">
            <v>동절기</v>
          </cell>
        </row>
        <row r="3114">
          <cell r="G3114">
            <v>0</v>
          </cell>
          <cell r="O3114" t="str">
            <v/>
          </cell>
          <cell r="T3114"/>
          <cell r="AF3114" t="str">
            <v>동절기</v>
          </cell>
        </row>
        <row r="3115">
          <cell r="G3115">
            <v>0</v>
          </cell>
          <cell r="O3115" t="str">
            <v/>
          </cell>
          <cell r="T3115"/>
          <cell r="AF3115" t="str">
            <v>동절기</v>
          </cell>
        </row>
        <row r="3116">
          <cell r="G3116">
            <v>0</v>
          </cell>
          <cell r="O3116" t="str">
            <v/>
          </cell>
          <cell r="T3116"/>
          <cell r="AF3116" t="str">
            <v>동절기</v>
          </cell>
        </row>
        <row r="3117">
          <cell r="G3117">
            <v>0</v>
          </cell>
          <cell r="O3117" t="str">
            <v/>
          </cell>
          <cell r="T3117"/>
          <cell r="AF3117" t="str">
            <v>동절기</v>
          </cell>
        </row>
        <row r="3118">
          <cell r="G3118">
            <v>0</v>
          </cell>
          <cell r="O3118" t="str">
            <v/>
          </cell>
          <cell r="T3118"/>
          <cell r="AF3118" t="str">
            <v>동절기</v>
          </cell>
        </row>
        <row r="3119">
          <cell r="G3119">
            <v>0</v>
          </cell>
          <cell r="O3119" t="str">
            <v/>
          </cell>
          <cell r="T3119"/>
          <cell r="AF3119" t="str">
            <v>동절기</v>
          </cell>
        </row>
        <row r="3120">
          <cell r="G3120">
            <v>0</v>
          </cell>
          <cell r="O3120" t="str">
            <v/>
          </cell>
          <cell r="T3120"/>
          <cell r="AF3120" t="str">
            <v>동절기</v>
          </cell>
        </row>
        <row r="3121">
          <cell r="G3121">
            <v>0</v>
          </cell>
          <cell r="O3121" t="str">
            <v/>
          </cell>
          <cell r="T3121"/>
          <cell r="AF3121" t="str">
            <v>동절기</v>
          </cell>
        </row>
        <row r="3122">
          <cell r="G3122">
            <v>0</v>
          </cell>
          <cell r="O3122" t="str">
            <v/>
          </cell>
          <cell r="T3122"/>
          <cell r="AF3122" t="str">
            <v>동절기</v>
          </cell>
        </row>
        <row r="3123">
          <cell r="G3123">
            <v>0</v>
          </cell>
          <cell r="O3123" t="str">
            <v/>
          </cell>
          <cell r="T3123"/>
          <cell r="AF3123" t="str">
            <v>동절기</v>
          </cell>
        </row>
        <row r="3124">
          <cell r="G3124">
            <v>0</v>
          </cell>
          <cell r="O3124" t="str">
            <v/>
          </cell>
          <cell r="T3124"/>
          <cell r="AF3124" t="str">
            <v>동절기</v>
          </cell>
        </row>
        <row r="3125">
          <cell r="G3125">
            <v>0</v>
          </cell>
          <cell r="O3125" t="str">
            <v/>
          </cell>
          <cell r="T3125"/>
          <cell r="AF3125" t="str">
            <v>동절기</v>
          </cell>
        </row>
        <row r="3126">
          <cell r="G3126">
            <v>0</v>
          </cell>
          <cell r="O3126" t="str">
            <v/>
          </cell>
          <cell r="T3126"/>
          <cell r="AF3126" t="str">
            <v>동절기</v>
          </cell>
        </row>
        <row r="3127">
          <cell r="G3127">
            <v>0</v>
          </cell>
          <cell r="O3127" t="str">
            <v/>
          </cell>
          <cell r="T3127"/>
          <cell r="AF3127" t="str">
            <v>동절기</v>
          </cell>
        </row>
        <row r="3128">
          <cell r="G3128">
            <v>0</v>
          </cell>
          <cell r="O3128" t="str">
            <v/>
          </cell>
          <cell r="T3128"/>
          <cell r="AF3128" t="str">
            <v>동절기</v>
          </cell>
        </row>
        <row r="3129">
          <cell r="G3129">
            <v>0</v>
          </cell>
          <cell r="O3129" t="str">
            <v/>
          </cell>
          <cell r="T3129"/>
          <cell r="AF3129" t="str">
            <v>동절기</v>
          </cell>
        </row>
        <row r="3130">
          <cell r="G3130">
            <v>0</v>
          </cell>
          <cell r="O3130" t="str">
            <v/>
          </cell>
          <cell r="T3130"/>
          <cell r="AF3130" t="str">
            <v>동절기</v>
          </cell>
        </row>
        <row r="3131">
          <cell r="G3131">
            <v>0</v>
          </cell>
          <cell r="O3131" t="str">
            <v/>
          </cell>
          <cell r="T3131"/>
          <cell r="AF3131" t="str">
            <v>동절기</v>
          </cell>
        </row>
        <row r="3132">
          <cell r="G3132">
            <v>0</v>
          </cell>
          <cell r="O3132" t="str">
            <v/>
          </cell>
          <cell r="T3132"/>
          <cell r="AF3132" t="str">
            <v>동절기</v>
          </cell>
        </row>
        <row r="3133">
          <cell r="G3133">
            <v>0</v>
          </cell>
          <cell r="O3133" t="str">
            <v/>
          </cell>
          <cell r="T3133"/>
          <cell r="AF3133" t="str">
            <v>동절기</v>
          </cell>
        </row>
        <row r="3134">
          <cell r="G3134">
            <v>0</v>
          </cell>
          <cell r="O3134" t="str">
            <v/>
          </cell>
          <cell r="T3134"/>
          <cell r="AF3134" t="str">
            <v>동절기</v>
          </cell>
        </row>
        <row r="3135">
          <cell r="G3135">
            <v>0</v>
          </cell>
          <cell r="O3135" t="str">
            <v/>
          </cell>
          <cell r="T3135"/>
          <cell r="AF3135" t="str">
            <v>동절기</v>
          </cell>
        </row>
        <row r="3136">
          <cell r="G3136">
            <v>0</v>
          </cell>
          <cell r="O3136" t="str">
            <v/>
          </cell>
          <cell r="T3136"/>
          <cell r="AF3136" t="str">
            <v>동절기</v>
          </cell>
        </row>
        <row r="3137">
          <cell r="G3137">
            <v>0</v>
          </cell>
          <cell r="O3137" t="str">
            <v/>
          </cell>
          <cell r="T3137"/>
          <cell r="AF3137" t="str">
            <v>동절기</v>
          </cell>
        </row>
        <row r="3138">
          <cell r="G3138">
            <v>0</v>
          </cell>
          <cell r="O3138" t="str">
            <v/>
          </cell>
          <cell r="T3138"/>
          <cell r="AF3138" t="str">
            <v>동절기</v>
          </cell>
        </row>
        <row r="3139">
          <cell r="G3139">
            <v>0</v>
          </cell>
          <cell r="O3139" t="str">
            <v/>
          </cell>
          <cell r="T3139"/>
          <cell r="AF3139" t="str">
            <v>동절기</v>
          </cell>
        </row>
        <row r="3140">
          <cell r="G3140">
            <v>0</v>
          </cell>
          <cell r="O3140" t="str">
            <v/>
          </cell>
          <cell r="T3140"/>
          <cell r="AF3140" t="str">
            <v>동절기</v>
          </cell>
        </row>
        <row r="3141">
          <cell r="G3141">
            <v>0</v>
          </cell>
          <cell r="O3141" t="str">
            <v/>
          </cell>
          <cell r="T3141"/>
          <cell r="AF3141" t="str">
            <v>동절기</v>
          </cell>
        </row>
        <row r="3142">
          <cell r="G3142">
            <v>0</v>
          </cell>
          <cell r="O3142" t="str">
            <v/>
          </cell>
          <cell r="T3142"/>
          <cell r="AF3142" t="str">
            <v>동절기</v>
          </cell>
        </row>
        <row r="3143">
          <cell r="G3143">
            <v>0</v>
          </cell>
          <cell r="O3143" t="str">
            <v/>
          </cell>
          <cell r="T3143"/>
          <cell r="AF3143" t="str">
            <v>동절기</v>
          </cell>
        </row>
        <row r="3144">
          <cell r="G3144">
            <v>0</v>
          </cell>
          <cell r="O3144" t="str">
            <v/>
          </cell>
          <cell r="T3144"/>
          <cell r="AF3144" t="str">
            <v>동절기</v>
          </cell>
        </row>
        <row r="3145">
          <cell r="G3145">
            <v>0</v>
          </cell>
          <cell r="O3145" t="str">
            <v/>
          </cell>
          <cell r="T3145"/>
          <cell r="AF3145" t="str">
            <v>동절기</v>
          </cell>
        </row>
        <row r="3146">
          <cell r="G3146">
            <v>0</v>
          </cell>
          <cell r="O3146" t="str">
            <v/>
          </cell>
          <cell r="T3146"/>
          <cell r="AF3146" t="str">
            <v>동절기</v>
          </cell>
        </row>
        <row r="3147">
          <cell r="G3147">
            <v>0</v>
          </cell>
          <cell r="O3147" t="str">
            <v/>
          </cell>
          <cell r="T3147"/>
          <cell r="AF3147" t="str">
            <v>동절기</v>
          </cell>
        </row>
        <row r="3148">
          <cell r="G3148">
            <v>0</v>
          </cell>
          <cell r="O3148" t="str">
            <v/>
          </cell>
          <cell r="T3148"/>
          <cell r="AF3148" t="str">
            <v>동절기</v>
          </cell>
        </row>
        <row r="3149">
          <cell r="G3149">
            <v>0</v>
          </cell>
          <cell r="O3149" t="str">
            <v/>
          </cell>
          <cell r="T3149"/>
          <cell r="AF3149" t="str">
            <v>동절기</v>
          </cell>
        </row>
        <row r="3150">
          <cell r="G3150">
            <v>0</v>
          </cell>
          <cell r="O3150" t="str">
            <v/>
          </cell>
          <cell r="T3150"/>
          <cell r="AF3150" t="str">
            <v>동절기</v>
          </cell>
        </row>
        <row r="3151">
          <cell r="G3151">
            <v>0</v>
          </cell>
          <cell r="O3151" t="str">
            <v/>
          </cell>
          <cell r="T3151"/>
          <cell r="AF3151" t="str">
            <v>동절기</v>
          </cell>
        </row>
        <row r="3152">
          <cell r="G3152">
            <v>0</v>
          </cell>
          <cell r="O3152" t="str">
            <v/>
          </cell>
          <cell r="T3152"/>
          <cell r="AF3152" t="str">
            <v>동절기</v>
          </cell>
        </row>
        <row r="3153">
          <cell r="G3153">
            <v>0</v>
          </cell>
          <cell r="O3153" t="str">
            <v/>
          </cell>
          <cell r="T3153"/>
          <cell r="AF3153" t="str">
            <v>동절기</v>
          </cell>
        </row>
        <row r="3154">
          <cell r="G3154">
            <v>0</v>
          </cell>
          <cell r="O3154" t="str">
            <v/>
          </cell>
          <cell r="T3154"/>
          <cell r="AF3154" t="str">
            <v>동절기</v>
          </cell>
        </row>
        <row r="3155">
          <cell r="G3155">
            <v>0</v>
          </cell>
          <cell r="O3155" t="str">
            <v/>
          </cell>
          <cell r="T3155"/>
          <cell r="AF3155" t="str">
            <v>동절기</v>
          </cell>
        </row>
        <row r="3156">
          <cell r="G3156">
            <v>0</v>
          </cell>
          <cell r="O3156" t="str">
            <v/>
          </cell>
          <cell r="T3156"/>
          <cell r="AF3156" t="str">
            <v>동절기</v>
          </cell>
        </row>
        <row r="3157">
          <cell r="G3157">
            <v>0</v>
          </cell>
          <cell r="O3157" t="str">
            <v/>
          </cell>
          <cell r="T3157"/>
          <cell r="AF3157" t="str">
            <v>동절기</v>
          </cell>
        </row>
        <row r="3158">
          <cell r="G3158">
            <v>0</v>
          </cell>
          <cell r="O3158" t="str">
            <v/>
          </cell>
          <cell r="T3158"/>
          <cell r="AF3158" t="str">
            <v>동절기</v>
          </cell>
        </row>
        <row r="3159">
          <cell r="G3159">
            <v>0</v>
          </cell>
          <cell r="O3159" t="str">
            <v/>
          </cell>
          <cell r="T3159"/>
          <cell r="AF3159" t="str">
            <v>동절기</v>
          </cell>
        </row>
        <row r="3160">
          <cell r="G3160">
            <v>0</v>
          </cell>
          <cell r="O3160" t="str">
            <v/>
          </cell>
          <cell r="T3160"/>
          <cell r="AF3160" t="str">
            <v>동절기</v>
          </cell>
        </row>
        <row r="3161">
          <cell r="G3161">
            <v>0</v>
          </cell>
          <cell r="O3161" t="str">
            <v/>
          </cell>
          <cell r="T3161"/>
          <cell r="AF3161" t="str">
            <v>동절기</v>
          </cell>
        </row>
        <row r="3162">
          <cell r="G3162">
            <v>0</v>
          </cell>
          <cell r="O3162" t="str">
            <v/>
          </cell>
          <cell r="T3162"/>
          <cell r="AF3162" t="str">
            <v>동절기</v>
          </cell>
        </row>
        <row r="3163">
          <cell r="G3163">
            <v>0</v>
          </cell>
          <cell r="O3163" t="str">
            <v/>
          </cell>
          <cell r="T3163"/>
          <cell r="AF3163" t="str">
            <v>동절기</v>
          </cell>
        </row>
        <row r="3164">
          <cell r="G3164">
            <v>0</v>
          </cell>
          <cell r="O3164" t="str">
            <v/>
          </cell>
          <cell r="T3164"/>
          <cell r="AF3164" t="str">
            <v>동절기</v>
          </cell>
        </row>
        <row r="3165">
          <cell r="G3165">
            <v>0</v>
          </cell>
          <cell r="O3165" t="str">
            <v/>
          </cell>
          <cell r="T3165"/>
          <cell r="AF3165" t="str">
            <v>동절기</v>
          </cell>
        </row>
        <row r="3166">
          <cell r="G3166">
            <v>0</v>
          </cell>
          <cell r="O3166" t="str">
            <v/>
          </cell>
          <cell r="T3166"/>
          <cell r="AF3166" t="str">
            <v>동절기</v>
          </cell>
        </row>
        <row r="3167">
          <cell r="G3167">
            <v>0</v>
          </cell>
          <cell r="O3167" t="str">
            <v/>
          </cell>
          <cell r="T3167"/>
          <cell r="AF3167" t="str">
            <v>동절기</v>
          </cell>
        </row>
        <row r="3168">
          <cell r="G3168">
            <v>0</v>
          </cell>
          <cell r="O3168" t="str">
            <v/>
          </cell>
          <cell r="T3168"/>
          <cell r="AF3168" t="str">
            <v>동절기</v>
          </cell>
        </row>
        <row r="3169">
          <cell r="G3169">
            <v>0</v>
          </cell>
          <cell r="O3169" t="str">
            <v/>
          </cell>
          <cell r="T3169"/>
          <cell r="AF3169" t="str">
            <v>동절기</v>
          </cell>
        </row>
        <row r="3170">
          <cell r="G3170">
            <v>0</v>
          </cell>
          <cell r="O3170" t="str">
            <v/>
          </cell>
          <cell r="T3170"/>
          <cell r="AF3170" t="str">
            <v>동절기</v>
          </cell>
        </row>
        <row r="3171">
          <cell r="G3171">
            <v>0</v>
          </cell>
          <cell r="O3171" t="str">
            <v/>
          </cell>
          <cell r="T3171"/>
          <cell r="AF3171" t="str">
            <v>동절기</v>
          </cell>
        </row>
        <row r="3172">
          <cell r="G3172">
            <v>0</v>
          </cell>
          <cell r="O3172" t="str">
            <v/>
          </cell>
          <cell r="T3172"/>
          <cell r="AF3172" t="str">
            <v>동절기</v>
          </cell>
        </row>
        <row r="3173">
          <cell r="G3173">
            <v>0</v>
          </cell>
          <cell r="O3173" t="str">
            <v/>
          </cell>
          <cell r="T3173"/>
          <cell r="AF3173" t="str">
            <v>동절기</v>
          </cell>
        </row>
        <row r="3174">
          <cell r="G3174">
            <v>0</v>
          </cell>
          <cell r="O3174" t="str">
            <v/>
          </cell>
          <cell r="T3174"/>
          <cell r="AF3174" t="str">
            <v>동절기</v>
          </cell>
        </row>
        <row r="3175">
          <cell r="G3175">
            <v>0</v>
          </cell>
          <cell r="O3175" t="str">
            <v/>
          </cell>
          <cell r="T3175"/>
          <cell r="AF3175" t="str">
            <v>동절기</v>
          </cell>
        </row>
        <row r="3176">
          <cell r="G3176">
            <v>0</v>
          </cell>
          <cell r="O3176" t="str">
            <v/>
          </cell>
          <cell r="T3176"/>
          <cell r="AF3176" t="str">
            <v>동절기</v>
          </cell>
        </row>
        <row r="3177">
          <cell r="G3177">
            <v>0</v>
          </cell>
          <cell r="O3177" t="str">
            <v/>
          </cell>
          <cell r="T3177"/>
          <cell r="AF3177" t="str">
            <v>동절기</v>
          </cell>
        </row>
        <row r="3178">
          <cell r="G3178">
            <v>0</v>
          </cell>
          <cell r="O3178" t="str">
            <v/>
          </cell>
          <cell r="T3178"/>
          <cell r="AF3178" t="str">
            <v>동절기</v>
          </cell>
        </row>
        <row r="3179">
          <cell r="G3179">
            <v>0</v>
          </cell>
          <cell r="O3179" t="str">
            <v/>
          </cell>
          <cell r="T3179"/>
          <cell r="AF3179" t="str">
            <v>동절기</v>
          </cell>
        </row>
        <row r="3180">
          <cell r="G3180">
            <v>0</v>
          </cell>
          <cell r="O3180" t="str">
            <v/>
          </cell>
          <cell r="T3180"/>
          <cell r="AF3180" t="str">
            <v>동절기</v>
          </cell>
        </row>
        <row r="3181">
          <cell r="G3181">
            <v>0</v>
          </cell>
          <cell r="O3181" t="str">
            <v/>
          </cell>
          <cell r="T3181"/>
          <cell r="AF3181" t="str">
            <v>동절기</v>
          </cell>
        </row>
        <row r="3182">
          <cell r="G3182">
            <v>0</v>
          </cell>
          <cell r="O3182" t="str">
            <v/>
          </cell>
          <cell r="T3182"/>
          <cell r="AF3182" t="str">
            <v>동절기</v>
          </cell>
        </row>
        <row r="3183">
          <cell r="G3183">
            <v>0</v>
          </cell>
          <cell r="O3183" t="str">
            <v/>
          </cell>
          <cell r="T3183"/>
          <cell r="AF3183" t="str">
            <v>동절기</v>
          </cell>
        </row>
        <row r="3184">
          <cell r="G3184">
            <v>0</v>
          </cell>
          <cell r="O3184" t="str">
            <v/>
          </cell>
          <cell r="T3184"/>
          <cell r="AF3184" t="str">
            <v>동절기</v>
          </cell>
        </row>
        <row r="3185">
          <cell r="G3185">
            <v>0</v>
          </cell>
          <cell r="O3185" t="str">
            <v/>
          </cell>
          <cell r="T3185"/>
          <cell r="AF3185" t="str">
            <v>동절기</v>
          </cell>
        </row>
        <row r="3186">
          <cell r="G3186">
            <v>0</v>
          </cell>
          <cell r="O3186" t="str">
            <v/>
          </cell>
          <cell r="T3186"/>
          <cell r="AF3186" t="str">
            <v>동절기</v>
          </cell>
        </row>
        <row r="3187">
          <cell r="G3187">
            <v>0</v>
          </cell>
          <cell r="O3187" t="str">
            <v/>
          </cell>
          <cell r="T3187"/>
          <cell r="AF3187" t="str">
            <v>동절기</v>
          </cell>
        </row>
        <row r="3188">
          <cell r="G3188">
            <v>0</v>
          </cell>
          <cell r="O3188" t="str">
            <v/>
          </cell>
          <cell r="T3188"/>
          <cell r="AF3188" t="str">
            <v>동절기</v>
          </cell>
        </row>
        <row r="3189">
          <cell r="G3189">
            <v>0</v>
          </cell>
          <cell r="O3189" t="str">
            <v/>
          </cell>
          <cell r="T3189"/>
          <cell r="AF3189" t="str">
            <v>동절기</v>
          </cell>
        </row>
        <row r="3190">
          <cell r="G3190">
            <v>0</v>
          </cell>
          <cell r="O3190" t="str">
            <v/>
          </cell>
          <cell r="T3190"/>
          <cell r="AF3190" t="str">
            <v>동절기</v>
          </cell>
        </row>
        <row r="3191">
          <cell r="G3191">
            <v>0</v>
          </cell>
          <cell r="O3191" t="str">
            <v/>
          </cell>
          <cell r="T3191"/>
          <cell r="AF3191" t="str">
            <v>동절기</v>
          </cell>
        </row>
        <row r="3192">
          <cell r="G3192">
            <v>0</v>
          </cell>
          <cell r="O3192" t="str">
            <v/>
          </cell>
          <cell r="T3192"/>
          <cell r="AF3192" t="str">
            <v>동절기</v>
          </cell>
        </row>
        <row r="3193">
          <cell r="G3193">
            <v>0</v>
          </cell>
          <cell r="O3193" t="str">
            <v/>
          </cell>
          <cell r="T3193"/>
          <cell r="AF3193" t="str">
            <v>동절기</v>
          </cell>
        </row>
        <row r="3194">
          <cell r="G3194">
            <v>0</v>
          </cell>
          <cell r="O3194" t="str">
            <v/>
          </cell>
          <cell r="T3194"/>
          <cell r="AF3194" t="str">
            <v>동절기</v>
          </cell>
        </row>
        <row r="3195">
          <cell r="G3195">
            <v>0</v>
          </cell>
          <cell r="O3195" t="str">
            <v/>
          </cell>
          <cell r="T3195"/>
          <cell r="AF3195" t="str">
            <v>동절기</v>
          </cell>
        </row>
        <row r="3196">
          <cell r="G3196">
            <v>0</v>
          </cell>
          <cell r="O3196" t="str">
            <v/>
          </cell>
          <cell r="T3196"/>
          <cell r="AF3196" t="str">
            <v>동절기</v>
          </cell>
        </row>
        <row r="3197">
          <cell r="G3197">
            <v>0</v>
          </cell>
          <cell r="O3197" t="str">
            <v/>
          </cell>
          <cell r="T3197"/>
          <cell r="AF3197" t="str">
            <v>동절기</v>
          </cell>
        </row>
        <row r="3198">
          <cell r="G3198">
            <v>0</v>
          </cell>
          <cell r="O3198" t="str">
            <v/>
          </cell>
          <cell r="T3198"/>
          <cell r="AF3198" t="str">
            <v>동절기</v>
          </cell>
        </row>
        <row r="3199">
          <cell r="G3199">
            <v>0</v>
          </cell>
          <cell r="O3199" t="str">
            <v/>
          </cell>
          <cell r="T3199"/>
          <cell r="AF3199" t="str">
            <v>동절기</v>
          </cell>
        </row>
        <row r="3200">
          <cell r="G3200">
            <v>0</v>
          </cell>
          <cell r="O3200" t="str">
            <v/>
          </cell>
          <cell r="AF3200" t="str">
            <v>동절기</v>
          </cell>
        </row>
        <row r="3201">
          <cell r="G3201">
            <v>0</v>
          </cell>
          <cell r="O3201" t="str">
            <v/>
          </cell>
          <cell r="AF3201" t="str">
            <v>동절기</v>
          </cell>
        </row>
        <row r="3202">
          <cell r="G3202">
            <v>0</v>
          </cell>
          <cell r="O3202" t="str">
            <v/>
          </cell>
          <cell r="AF3202" t="str">
            <v>동절기</v>
          </cell>
        </row>
        <row r="3203">
          <cell r="G3203">
            <v>0</v>
          </cell>
          <cell r="O3203" t="str">
            <v/>
          </cell>
          <cell r="AF3203" t="str">
            <v>동절기</v>
          </cell>
        </row>
        <row r="3204">
          <cell r="G3204">
            <v>0</v>
          </cell>
          <cell r="O3204" t="str">
            <v/>
          </cell>
          <cell r="AF3204" t="str">
            <v>동절기</v>
          </cell>
        </row>
        <row r="3205">
          <cell r="G3205">
            <v>0</v>
          </cell>
          <cell r="O3205" t="str">
            <v/>
          </cell>
          <cell r="AF3205" t="str">
            <v>동절기</v>
          </cell>
        </row>
        <row r="3206">
          <cell r="G3206">
            <v>0</v>
          </cell>
          <cell r="O3206" t="str">
            <v/>
          </cell>
          <cell r="AF3206" t="str">
            <v>동절기</v>
          </cell>
        </row>
        <row r="3207">
          <cell r="G3207">
            <v>0</v>
          </cell>
          <cell r="O3207" t="str">
            <v/>
          </cell>
          <cell r="AF3207" t="str">
            <v>동절기</v>
          </cell>
        </row>
        <row r="3208">
          <cell r="G3208">
            <v>0</v>
          </cell>
          <cell r="O3208" t="str">
            <v/>
          </cell>
          <cell r="AF3208" t="str">
            <v>동절기</v>
          </cell>
        </row>
        <row r="3209">
          <cell r="G3209">
            <v>0</v>
          </cell>
          <cell r="O3209" t="str">
            <v/>
          </cell>
          <cell r="AF3209" t="str">
            <v>동절기</v>
          </cell>
        </row>
        <row r="3210">
          <cell r="G3210">
            <v>0</v>
          </cell>
          <cell r="O3210" t="str">
            <v/>
          </cell>
          <cell r="AF3210" t="str">
            <v>동절기</v>
          </cell>
        </row>
        <row r="3211">
          <cell r="G3211">
            <v>0</v>
          </cell>
          <cell r="O3211" t="str">
            <v/>
          </cell>
          <cell r="AF3211" t="str">
            <v>동절기</v>
          </cell>
        </row>
        <row r="3212">
          <cell r="G3212">
            <v>0</v>
          </cell>
          <cell r="O3212" t="str">
            <v/>
          </cell>
          <cell r="AF3212" t="str">
            <v>동절기</v>
          </cell>
        </row>
        <row r="3213">
          <cell r="G3213">
            <v>0</v>
          </cell>
          <cell r="O3213" t="str">
            <v/>
          </cell>
          <cell r="AF3213" t="str">
            <v>동절기</v>
          </cell>
        </row>
        <row r="3214">
          <cell r="G3214">
            <v>0</v>
          </cell>
          <cell r="O3214" t="str">
            <v/>
          </cell>
          <cell r="AF3214" t="str">
            <v>동절기</v>
          </cell>
        </row>
        <row r="3215">
          <cell r="G3215">
            <v>0</v>
          </cell>
          <cell r="O3215" t="str">
            <v/>
          </cell>
          <cell r="AF3215" t="str">
            <v>동절기</v>
          </cell>
        </row>
        <row r="3216">
          <cell r="G3216">
            <v>0</v>
          </cell>
          <cell r="O3216" t="str">
            <v/>
          </cell>
          <cell r="AF3216" t="str">
            <v>동절기</v>
          </cell>
        </row>
        <row r="3217">
          <cell r="G3217">
            <v>0</v>
          </cell>
          <cell r="O3217" t="str">
            <v/>
          </cell>
          <cell r="AF3217" t="str">
            <v>동절기</v>
          </cell>
        </row>
        <row r="3218">
          <cell r="G3218">
            <v>0</v>
          </cell>
          <cell r="O3218" t="str">
            <v/>
          </cell>
          <cell r="AF3218" t="str">
            <v>동절기</v>
          </cell>
        </row>
        <row r="3219">
          <cell r="G3219">
            <v>0</v>
          </cell>
          <cell r="O3219" t="str">
            <v/>
          </cell>
          <cell r="AF3219" t="str">
            <v>동절기</v>
          </cell>
        </row>
        <row r="3220">
          <cell r="G3220">
            <v>0</v>
          </cell>
          <cell r="O3220" t="str">
            <v/>
          </cell>
          <cell r="AF3220" t="str">
            <v>동절기</v>
          </cell>
        </row>
        <row r="3221">
          <cell r="G3221">
            <v>0</v>
          </cell>
          <cell r="O3221" t="str">
            <v/>
          </cell>
          <cell r="AF3221" t="str">
            <v>동절기</v>
          </cell>
        </row>
        <row r="3222">
          <cell r="G3222">
            <v>0</v>
          </cell>
          <cell r="O3222" t="str">
            <v/>
          </cell>
          <cell r="AF3222" t="str">
            <v>동절기</v>
          </cell>
        </row>
        <row r="3223">
          <cell r="G3223">
            <v>0</v>
          </cell>
          <cell r="O3223" t="str">
            <v/>
          </cell>
          <cell r="AF3223" t="str">
            <v>동절기</v>
          </cell>
        </row>
        <row r="3224">
          <cell r="G3224">
            <v>0</v>
          </cell>
          <cell r="O3224" t="str">
            <v/>
          </cell>
          <cell r="AF3224" t="str">
            <v>동절기</v>
          </cell>
        </row>
        <row r="3225">
          <cell r="G3225">
            <v>0</v>
          </cell>
          <cell r="O3225" t="str">
            <v/>
          </cell>
          <cell r="AF3225" t="str">
            <v>동절기</v>
          </cell>
        </row>
        <row r="3226">
          <cell r="G3226">
            <v>0</v>
          </cell>
          <cell r="O3226" t="str">
            <v/>
          </cell>
          <cell r="AF3226" t="str">
            <v>동절기</v>
          </cell>
        </row>
        <row r="3227">
          <cell r="G3227">
            <v>0</v>
          </cell>
          <cell r="O3227" t="str">
            <v/>
          </cell>
          <cell r="AF3227" t="str">
            <v>동절기</v>
          </cell>
        </row>
        <row r="3228">
          <cell r="G3228">
            <v>0</v>
          </cell>
          <cell r="O3228" t="str">
            <v/>
          </cell>
          <cell r="AF3228" t="str">
            <v>동절기</v>
          </cell>
        </row>
        <row r="3229">
          <cell r="G3229">
            <v>0</v>
          </cell>
          <cell r="O3229" t="str">
            <v/>
          </cell>
          <cell r="AF3229" t="str">
            <v>동절기</v>
          </cell>
        </row>
        <row r="3230">
          <cell r="G3230">
            <v>0</v>
          </cell>
          <cell r="O3230" t="str">
            <v/>
          </cell>
          <cell r="AF3230" t="str">
            <v>동절기</v>
          </cell>
        </row>
        <row r="3231">
          <cell r="G3231">
            <v>0</v>
          </cell>
          <cell r="O3231" t="str">
            <v/>
          </cell>
          <cell r="AF3231" t="str">
            <v>동절기</v>
          </cell>
        </row>
        <row r="3232">
          <cell r="G3232">
            <v>0</v>
          </cell>
          <cell r="O3232" t="str">
            <v/>
          </cell>
          <cell r="AF3232" t="str">
            <v>동절기</v>
          </cell>
        </row>
        <row r="3233">
          <cell r="G3233">
            <v>0</v>
          </cell>
          <cell r="O3233" t="str">
            <v/>
          </cell>
          <cell r="AF3233" t="str">
            <v>동절기</v>
          </cell>
        </row>
        <row r="3234">
          <cell r="G3234">
            <v>0</v>
          </cell>
          <cell r="O3234" t="str">
            <v/>
          </cell>
          <cell r="AF3234" t="str">
            <v>동절기</v>
          </cell>
        </row>
        <row r="3235">
          <cell r="G3235">
            <v>0</v>
          </cell>
          <cell r="O3235" t="str">
            <v/>
          </cell>
          <cell r="AF3235" t="str">
            <v>동절기</v>
          </cell>
        </row>
        <row r="3236">
          <cell r="G3236">
            <v>0</v>
          </cell>
          <cell r="O3236" t="str">
            <v/>
          </cell>
          <cell r="AF3236" t="str">
            <v>동절기</v>
          </cell>
        </row>
        <row r="3237">
          <cell r="G3237">
            <v>0</v>
          </cell>
          <cell r="O3237" t="str">
            <v/>
          </cell>
          <cell r="AF3237" t="str">
            <v>동절기</v>
          </cell>
        </row>
        <row r="3238">
          <cell r="G3238">
            <v>0</v>
          </cell>
          <cell r="O3238" t="str">
            <v/>
          </cell>
          <cell r="AF3238" t="str">
            <v>동절기</v>
          </cell>
        </row>
        <row r="3239">
          <cell r="G3239">
            <v>0</v>
          </cell>
          <cell r="O3239" t="str">
            <v/>
          </cell>
          <cell r="AF3239" t="str">
            <v>동절기</v>
          </cell>
        </row>
        <row r="3240">
          <cell r="G3240">
            <v>0</v>
          </cell>
          <cell r="O3240" t="str">
            <v/>
          </cell>
          <cell r="AF3240" t="str">
            <v>동절기</v>
          </cell>
        </row>
        <row r="3241">
          <cell r="G3241">
            <v>0</v>
          </cell>
          <cell r="O3241" t="str">
            <v/>
          </cell>
          <cell r="AF3241" t="str">
            <v>동절기</v>
          </cell>
        </row>
        <row r="3242">
          <cell r="G3242">
            <v>0</v>
          </cell>
          <cell r="O3242" t="str">
            <v/>
          </cell>
          <cell r="AF3242" t="str">
            <v>동절기</v>
          </cell>
        </row>
        <row r="3243">
          <cell r="G3243">
            <v>0</v>
          </cell>
          <cell r="O3243" t="str">
            <v/>
          </cell>
          <cell r="AF3243" t="str">
            <v>동절기</v>
          </cell>
        </row>
        <row r="3244">
          <cell r="G3244">
            <v>0</v>
          </cell>
          <cell r="O3244" t="str">
            <v/>
          </cell>
          <cell r="AF3244" t="str">
            <v>동절기</v>
          </cell>
        </row>
        <row r="3245">
          <cell r="G3245">
            <v>0</v>
          </cell>
          <cell r="O3245" t="str">
            <v/>
          </cell>
          <cell r="AF3245" t="str">
            <v>동절기</v>
          </cell>
        </row>
        <row r="3246">
          <cell r="G3246">
            <v>0</v>
          </cell>
          <cell r="O3246" t="str">
            <v/>
          </cell>
          <cell r="AF3246" t="str">
            <v>동절기</v>
          </cell>
        </row>
        <row r="3247">
          <cell r="G3247">
            <v>0</v>
          </cell>
          <cell r="O3247" t="str">
            <v/>
          </cell>
          <cell r="AF3247" t="str">
            <v>동절기</v>
          </cell>
        </row>
        <row r="3248">
          <cell r="G3248">
            <v>0</v>
          </cell>
          <cell r="O3248" t="str">
            <v/>
          </cell>
          <cell r="AF3248" t="str">
            <v>동절기</v>
          </cell>
        </row>
        <row r="3249">
          <cell r="G3249">
            <v>0</v>
          </cell>
          <cell r="O3249" t="str">
            <v/>
          </cell>
          <cell r="AF3249" t="str">
            <v>동절기</v>
          </cell>
        </row>
        <row r="3250">
          <cell r="G3250">
            <v>0</v>
          </cell>
          <cell r="O3250" t="str">
            <v/>
          </cell>
          <cell r="AF3250" t="str">
            <v>동절기</v>
          </cell>
        </row>
        <row r="3251">
          <cell r="G3251">
            <v>0</v>
          </cell>
          <cell r="O3251" t="str">
            <v/>
          </cell>
          <cell r="AF3251" t="str">
            <v>동절기</v>
          </cell>
        </row>
        <row r="3252">
          <cell r="G3252">
            <v>0</v>
          </cell>
          <cell r="O3252" t="str">
            <v/>
          </cell>
          <cell r="AF3252" t="str">
            <v>동절기</v>
          </cell>
        </row>
        <row r="3253">
          <cell r="G3253">
            <v>0</v>
          </cell>
          <cell r="O3253" t="str">
            <v/>
          </cell>
          <cell r="AF3253" t="str">
            <v>동절기</v>
          </cell>
        </row>
        <row r="3254">
          <cell r="G3254">
            <v>0</v>
          </cell>
          <cell r="O3254" t="str">
            <v/>
          </cell>
          <cell r="AF3254" t="str">
            <v>동절기</v>
          </cell>
        </row>
        <row r="3255">
          <cell r="G3255">
            <v>0</v>
          </cell>
          <cell r="O3255" t="str">
            <v/>
          </cell>
          <cell r="AF3255" t="str">
            <v>동절기</v>
          </cell>
        </row>
        <row r="3256">
          <cell r="G3256">
            <v>0</v>
          </cell>
          <cell r="O3256" t="str">
            <v/>
          </cell>
          <cell r="AF3256" t="str">
            <v>동절기</v>
          </cell>
        </row>
        <row r="3257">
          <cell r="G3257">
            <v>0</v>
          </cell>
          <cell r="O3257" t="str">
            <v/>
          </cell>
          <cell r="AF3257" t="str">
            <v>동절기</v>
          </cell>
        </row>
        <row r="3258">
          <cell r="G3258">
            <v>0</v>
          </cell>
          <cell r="O3258" t="str">
            <v/>
          </cell>
          <cell r="AF3258" t="str">
            <v>동절기</v>
          </cell>
        </row>
        <row r="3259">
          <cell r="G3259">
            <v>0</v>
          </cell>
          <cell r="O3259" t="str">
            <v/>
          </cell>
          <cell r="AF3259" t="str">
            <v>동절기</v>
          </cell>
        </row>
        <row r="3260">
          <cell r="G3260">
            <v>0</v>
          </cell>
          <cell r="O3260" t="str">
            <v/>
          </cell>
          <cell r="AF3260" t="str">
            <v>동절기</v>
          </cell>
        </row>
        <row r="3261">
          <cell r="G3261">
            <v>0</v>
          </cell>
          <cell r="O3261" t="str">
            <v/>
          </cell>
          <cell r="AF3261" t="str">
            <v>동절기</v>
          </cell>
        </row>
        <row r="3262">
          <cell r="G3262">
            <v>0</v>
          </cell>
          <cell r="O3262" t="str">
            <v/>
          </cell>
          <cell r="AF3262" t="str">
            <v>동절기</v>
          </cell>
        </row>
        <row r="3263">
          <cell r="G3263">
            <v>0</v>
          </cell>
          <cell r="O3263" t="str">
            <v/>
          </cell>
          <cell r="AF3263" t="str">
            <v>동절기</v>
          </cell>
        </row>
        <row r="3264">
          <cell r="G3264">
            <v>0</v>
          </cell>
          <cell r="O3264" t="str">
            <v/>
          </cell>
          <cell r="AF3264" t="str">
            <v>동절기</v>
          </cell>
        </row>
        <row r="3265">
          <cell r="G3265">
            <v>0</v>
          </cell>
          <cell r="O3265" t="str">
            <v/>
          </cell>
          <cell r="AF3265" t="str">
            <v>동절기</v>
          </cell>
        </row>
        <row r="3266">
          <cell r="G3266">
            <v>0</v>
          </cell>
          <cell r="O3266" t="str">
            <v/>
          </cell>
          <cell r="AF3266" t="str">
            <v>동절기</v>
          </cell>
        </row>
        <row r="3267">
          <cell r="G3267">
            <v>0</v>
          </cell>
          <cell r="O3267" t="str">
            <v/>
          </cell>
          <cell r="AF3267" t="str">
            <v>동절기</v>
          </cell>
        </row>
        <row r="3268">
          <cell r="G3268">
            <v>0</v>
          </cell>
          <cell r="O3268" t="str">
            <v/>
          </cell>
          <cell r="AF3268" t="str">
            <v>동절기</v>
          </cell>
        </row>
        <row r="3269">
          <cell r="G3269">
            <v>0</v>
          </cell>
          <cell r="O3269" t="str">
            <v/>
          </cell>
          <cell r="AF3269" t="str">
            <v>동절기</v>
          </cell>
        </row>
        <row r="3270">
          <cell r="G3270">
            <v>0</v>
          </cell>
          <cell r="O3270" t="str">
            <v/>
          </cell>
          <cell r="AF3270" t="str">
            <v>동절기</v>
          </cell>
        </row>
        <row r="3271">
          <cell r="G3271">
            <v>0</v>
          </cell>
          <cell r="O3271" t="str">
            <v/>
          </cell>
          <cell r="AF3271" t="str">
            <v>동절기</v>
          </cell>
        </row>
        <row r="3272">
          <cell r="G3272">
            <v>0</v>
          </cell>
          <cell r="O3272" t="str">
            <v/>
          </cell>
          <cell r="AF3272" t="str">
            <v>동절기</v>
          </cell>
        </row>
        <row r="3273">
          <cell r="G3273">
            <v>0</v>
          </cell>
          <cell r="O3273" t="str">
            <v/>
          </cell>
          <cell r="AF3273" t="str">
            <v>동절기</v>
          </cell>
        </row>
        <row r="3274">
          <cell r="G3274">
            <v>0</v>
          </cell>
          <cell r="O3274" t="str">
            <v/>
          </cell>
          <cell r="AF3274" t="str">
            <v>동절기</v>
          </cell>
        </row>
        <row r="3275">
          <cell r="G3275">
            <v>0</v>
          </cell>
          <cell r="O3275" t="str">
            <v/>
          </cell>
          <cell r="AF3275" t="str">
            <v>동절기</v>
          </cell>
        </row>
        <row r="3276">
          <cell r="G3276">
            <v>0</v>
          </cell>
          <cell r="O3276" t="str">
            <v/>
          </cell>
          <cell r="AF3276" t="str">
            <v>동절기</v>
          </cell>
        </row>
        <row r="3277">
          <cell r="G3277">
            <v>0</v>
          </cell>
          <cell r="O3277" t="str">
            <v/>
          </cell>
          <cell r="AF3277" t="str">
            <v>동절기</v>
          </cell>
        </row>
        <row r="3278">
          <cell r="G3278">
            <v>0</v>
          </cell>
          <cell r="O3278" t="str">
            <v/>
          </cell>
          <cell r="AF3278" t="str">
            <v>동절기</v>
          </cell>
        </row>
        <row r="3279">
          <cell r="G3279">
            <v>0</v>
          </cell>
          <cell r="O3279" t="str">
            <v/>
          </cell>
          <cell r="AF3279" t="str">
            <v>동절기</v>
          </cell>
        </row>
        <row r="3280">
          <cell r="G3280">
            <v>0</v>
          </cell>
          <cell r="O3280" t="str">
            <v/>
          </cell>
          <cell r="AF3280" t="str">
            <v>동절기</v>
          </cell>
        </row>
        <row r="3281">
          <cell r="G3281">
            <v>0</v>
          </cell>
          <cell r="O3281" t="str">
            <v/>
          </cell>
          <cell r="AF3281" t="str">
            <v>동절기</v>
          </cell>
        </row>
        <row r="3282">
          <cell r="G3282">
            <v>0</v>
          </cell>
          <cell r="O3282" t="str">
            <v/>
          </cell>
          <cell r="AF3282" t="str">
            <v>동절기</v>
          </cell>
        </row>
        <row r="3283">
          <cell r="G3283">
            <v>0</v>
          </cell>
          <cell r="O3283" t="str">
            <v/>
          </cell>
          <cell r="AF3283" t="str">
            <v>동절기</v>
          </cell>
        </row>
        <row r="3284">
          <cell r="G3284">
            <v>0</v>
          </cell>
          <cell r="O3284" t="str">
            <v/>
          </cell>
          <cell r="AF3284" t="str">
            <v>동절기</v>
          </cell>
        </row>
        <row r="3285">
          <cell r="G3285">
            <v>0</v>
          </cell>
          <cell r="O3285" t="str">
            <v/>
          </cell>
          <cell r="AF3285" t="str">
            <v>동절기</v>
          </cell>
        </row>
        <row r="3286">
          <cell r="G3286">
            <v>0</v>
          </cell>
          <cell r="O3286" t="str">
            <v/>
          </cell>
          <cell r="AF3286" t="str">
            <v>동절기</v>
          </cell>
        </row>
        <row r="3287">
          <cell r="G3287">
            <v>0</v>
          </cell>
          <cell r="O3287" t="str">
            <v/>
          </cell>
          <cell r="AF3287" t="str">
            <v>동절기</v>
          </cell>
        </row>
        <row r="3288">
          <cell r="G3288">
            <v>0</v>
          </cell>
          <cell r="O3288" t="str">
            <v/>
          </cell>
          <cell r="AF3288" t="str">
            <v>동절기</v>
          </cell>
        </row>
        <row r="3289">
          <cell r="G3289">
            <v>0</v>
          </cell>
          <cell r="O3289" t="str">
            <v/>
          </cell>
          <cell r="AF3289" t="str">
            <v>동절기</v>
          </cell>
        </row>
        <row r="3290">
          <cell r="G3290">
            <v>0</v>
          </cell>
          <cell r="O3290" t="str">
            <v/>
          </cell>
          <cell r="AF3290" t="str">
            <v>동절기</v>
          </cell>
        </row>
        <row r="3291">
          <cell r="G3291">
            <v>0</v>
          </cell>
          <cell r="O3291" t="str">
            <v/>
          </cell>
          <cell r="AF3291" t="str">
            <v>동절기</v>
          </cell>
        </row>
        <row r="3292">
          <cell r="G3292">
            <v>0</v>
          </cell>
          <cell r="O3292" t="str">
            <v/>
          </cell>
          <cell r="AF3292" t="str">
            <v>동절기</v>
          </cell>
        </row>
        <row r="3293">
          <cell r="G3293">
            <v>0</v>
          </cell>
          <cell r="O3293" t="str">
            <v/>
          </cell>
          <cell r="AF3293" t="str">
            <v>동절기</v>
          </cell>
        </row>
        <row r="3294">
          <cell r="G3294">
            <v>0</v>
          </cell>
          <cell r="O3294" t="str">
            <v/>
          </cell>
          <cell r="AF3294" t="str">
            <v>동절기</v>
          </cell>
        </row>
        <row r="3295">
          <cell r="G3295">
            <v>0</v>
          </cell>
          <cell r="O3295" t="str">
            <v/>
          </cell>
          <cell r="AF3295" t="str">
            <v>동절기</v>
          </cell>
        </row>
        <row r="3296">
          <cell r="G3296">
            <v>0</v>
          </cell>
          <cell r="O3296" t="str">
            <v/>
          </cell>
          <cell r="AF3296" t="str">
            <v>동절기</v>
          </cell>
        </row>
        <row r="3297">
          <cell r="G3297">
            <v>0</v>
          </cell>
          <cell r="O3297" t="str">
            <v/>
          </cell>
          <cell r="AF3297" t="str">
            <v>동절기</v>
          </cell>
        </row>
        <row r="3298">
          <cell r="G3298">
            <v>0</v>
          </cell>
          <cell r="O3298" t="str">
            <v/>
          </cell>
          <cell r="AF3298" t="str">
            <v>동절기</v>
          </cell>
        </row>
        <row r="3299">
          <cell r="G3299">
            <v>0</v>
          </cell>
          <cell r="O3299" t="str">
            <v/>
          </cell>
          <cell r="AF3299" t="str">
            <v>동절기</v>
          </cell>
        </row>
        <row r="3300">
          <cell r="G3300">
            <v>0</v>
          </cell>
          <cell r="O3300" t="str">
            <v/>
          </cell>
          <cell r="AF3300" t="str">
            <v>동절기</v>
          </cell>
        </row>
        <row r="3301">
          <cell r="G3301">
            <v>0</v>
          </cell>
          <cell r="O3301" t="str">
            <v/>
          </cell>
          <cell r="AF3301" t="str">
            <v>동절기</v>
          </cell>
        </row>
        <row r="3302">
          <cell r="G3302">
            <v>0</v>
          </cell>
          <cell r="O3302" t="str">
            <v/>
          </cell>
          <cell r="AF3302" t="str">
            <v>동절기</v>
          </cell>
        </row>
        <row r="3303">
          <cell r="G3303">
            <v>0</v>
          </cell>
          <cell r="O3303" t="str">
            <v/>
          </cell>
          <cell r="AF3303" t="str">
            <v>동절기</v>
          </cell>
        </row>
        <row r="3304">
          <cell r="G3304">
            <v>0</v>
          </cell>
          <cell r="O3304" t="str">
            <v/>
          </cell>
          <cell r="AF3304" t="str">
            <v>동절기</v>
          </cell>
        </row>
        <row r="3305">
          <cell r="G3305">
            <v>0</v>
          </cell>
          <cell r="O3305" t="str">
            <v/>
          </cell>
          <cell r="AF3305" t="str">
            <v>동절기</v>
          </cell>
        </row>
        <row r="3306">
          <cell r="G3306">
            <v>0</v>
          </cell>
          <cell r="O3306" t="str">
            <v/>
          </cell>
          <cell r="AF3306" t="str">
            <v>동절기</v>
          </cell>
        </row>
        <row r="3307">
          <cell r="G3307">
            <v>0</v>
          </cell>
          <cell r="O3307" t="str">
            <v/>
          </cell>
          <cell r="AF3307" t="str">
            <v>동절기</v>
          </cell>
        </row>
        <row r="3308">
          <cell r="G3308">
            <v>0</v>
          </cell>
          <cell r="O3308" t="str">
            <v/>
          </cell>
          <cell r="AF3308" t="str">
            <v>동절기</v>
          </cell>
        </row>
        <row r="3309">
          <cell r="G3309">
            <v>0</v>
          </cell>
          <cell r="O3309" t="str">
            <v/>
          </cell>
          <cell r="AF3309" t="str">
            <v>동절기</v>
          </cell>
        </row>
        <row r="3310">
          <cell r="G3310">
            <v>0</v>
          </cell>
          <cell r="O3310" t="str">
            <v/>
          </cell>
          <cell r="AF3310" t="str">
            <v>동절기</v>
          </cell>
        </row>
        <row r="3311">
          <cell r="G3311">
            <v>0</v>
          </cell>
          <cell r="O3311" t="str">
            <v/>
          </cell>
          <cell r="AF3311" t="str">
            <v>동절기</v>
          </cell>
        </row>
        <row r="3312">
          <cell r="G3312">
            <v>0</v>
          </cell>
          <cell r="O3312" t="str">
            <v/>
          </cell>
          <cell r="AF3312" t="str">
            <v>동절기</v>
          </cell>
        </row>
        <row r="3313">
          <cell r="G3313">
            <v>0</v>
          </cell>
          <cell r="O3313" t="str">
            <v/>
          </cell>
          <cell r="AF3313" t="str">
            <v>동절기</v>
          </cell>
        </row>
        <row r="3314">
          <cell r="G3314">
            <v>0</v>
          </cell>
          <cell r="O3314" t="str">
            <v/>
          </cell>
          <cell r="AF3314" t="str">
            <v>동절기</v>
          </cell>
        </row>
        <row r="3315">
          <cell r="G3315">
            <v>0</v>
          </cell>
          <cell r="O3315" t="str">
            <v/>
          </cell>
          <cell r="AF3315" t="str">
            <v>동절기</v>
          </cell>
        </row>
        <row r="3316">
          <cell r="G3316">
            <v>0</v>
          </cell>
          <cell r="O3316" t="str">
            <v/>
          </cell>
          <cell r="AF3316" t="str">
            <v>동절기</v>
          </cell>
        </row>
        <row r="3317">
          <cell r="G3317">
            <v>0</v>
          </cell>
          <cell r="O3317" t="str">
            <v/>
          </cell>
          <cell r="AF3317" t="str">
            <v>동절기</v>
          </cell>
        </row>
        <row r="3318">
          <cell r="G3318">
            <v>0</v>
          </cell>
          <cell r="O3318" t="str">
            <v/>
          </cell>
          <cell r="AF3318" t="str">
            <v>동절기</v>
          </cell>
        </row>
        <row r="3319">
          <cell r="G3319">
            <v>0</v>
          </cell>
          <cell r="O3319" t="str">
            <v/>
          </cell>
          <cell r="AF3319" t="str">
            <v>동절기</v>
          </cell>
        </row>
        <row r="3320">
          <cell r="G3320">
            <v>0</v>
          </cell>
          <cell r="O3320" t="str">
            <v/>
          </cell>
          <cell r="AF3320" t="str">
            <v>동절기</v>
          </cell>
        </row>
        <row r="3321">
          <cell r="G3321">
            <v>0</v>
          </cell>
          <cell r="O3321" t="str">
            <v/>
          </cell>
          <cell r="AF3321" t="str">
            <v>동절기</v>
          </cell>
        </row>
        <row r="3322">
          <cell r="G3322">
            <v>0</v>
          </cell>
          <cell r="O3322" t="str">
            <v/>
          </cell>
          <cell r="AF3322" t="str">
            <v>동절기</v>
          </cell>
        </row>
        <row r="3323">
          <cell r="G3323">
            <v>0</v>
          </cell>
          <cell r="O3323" t="str">
            <v/>
          </cell>
          <cell r="AF3323" t="str">
            <v>동절기</v>
          </cell>
        </row>
        <row r="3324">
          <cell r="G3324">
            <v>0</v>
          </cell>
          <cell r="O3324" t="str">
            <v/>
          </cell>
          <cell r="AF3324" t="str">
            <v>동절기</v>
          </cell>
        </row>
        <row r="3325">
          <cell r="G3325">
            <v>0</v>
          </cell>
          <cell r="O3325" t="str">
            <v/>
          </cell>
          <cell r="AF3325" t="str">
            <v>동절기</v>
          </cell>
        </row>
        <row r="3326">
          <cell r="G3326">
            <v>0</v>
          </cell>
          <cell r="O3326" t="str">
            <v/>
          </cell>
          <cell r="AF3326" t="str">
            <v>동절기</v>
          </cell>
        </row>
        <row r="3327">
          <cell r="G3327">
            <v>0</v>
          </cell>
          <cell r="O3327" t="str">
            <v/>
          </cell>
          <cell r="AF3327" t="str">
            <v>동절기</v>
          </cell>
        </row>
        <row r="3328">
          <cell r="G3328">
            <v>0</v>
          </cell>
          <cell r="O3328" t="str">
            <v/>
          </cell>
          <cell r="AF3328" t="str">
            <v>동절기</v>
          </cell>
        </row>
        <row r="3329">
          <cell r="G3329">
            <v>0</v>
          </cell>
          <cell r="O3329" t="str">
            <v/>
          </cell>
          <cell r="AF3329" t="str">
            <v>동절기</v>
          </cell>
        </row>
        <row r="3330">
          <cell r="G3330">
            <v>0</v>
          </cell>
          <cell r="O3330" t="str">
            <v/>
          </cell>
          <cell r="AF3330" t="str">
            <v>동절기</v>
          </cell>
        </row>
        <row r="3331">
          <cell r="G3331">
            <v>0</v>
          </cell>
          <cell r="O3331" t="str">
            <v/>
          </cell>
          <cell r="AF3331" t="str">
            <v>동절기</v>
          </cell>
        </row>
        <row r="3332">
          <cell r="G3332">
            <v>0</v>
          </cell>
          <cell r="O3332" t="str">
            <v/>
          </cell>
          <cell r="AF3332" t="str">
            <v>동절기</v>
          </cell>
        </row>
        <row r="3333">
          <cell r="G3333">
            <v>0</v>
          </cell>
          <cell r="O3333" t="str">
            <v/>
          </cell>
          <cell r="AF3333" t="str">
            <v>동절기</v>
          </cell>
        </row>
        <row r="3334">
          <cell r="G3334">
            <v>0</v>
          </cell>
          <cell r="O3334" t="str">
            <v/>
          </cell>
          <cell r="AF3334" t="str">
            <v>동절기</v>
          </cell>
        </row>
        <row r="3335">
          <cell r="G3335">
            <v>0</v>
          </cell>
          <cell r="O3335" t="str">
            <v/>
          </cell>
          <cell r="AF3335" t="str">
            <v>동절기</v>
          </cell>
        </row>
        <row r="3336">
          <cell r="G3336">
            <v>0</v>
          </cell>
          <cell r="O3336" t="str">
            <v/>
          </cell>
          <cell r="AF3336" t="str">
            <v>동절기</v>
          </cell>
        </row>
        <row r="3337">
          <cell r="G3337">
            <v>0</v>
          </cell>
          <cell r="O3337" t="str">
            <v/>
          </cell>
          <cell r="AF3337" t="str">
            <v>동절기</v>
          </cell>
        </row>
        <row r="3338">
          <cell r="G3338">
            <v>0</v>
          </cell>
          <cell r="O3338" t="str">
            <v/>
          </cell>
          <cell r="AF3338" t="str">
            <v>동절기</v>
          </cell>
        </row>
        <row r="3339">
          <cell r="G3339">
            <v>0</v>
          </cell>
          <cell r="O3339" t="str">
            <v/>
          </cell>
          <cell r="AF3339" t="str">
            <v>동절기</v>
          </cell>
        </row>
        <row r="3340">
          <cell r="G3340">
            <v>0</v>
          </cell>
          <cell r="O3340" t="str">
            <v/>
          </cell>
          <cell r="AF3340" t="str">
            <v>동절기</v>
          </cell>
        </row>
        <row r="3341">
          <cell r="G3341">
            <v>0</v>
          </cell>
          <cell r="O3341" t="str">
            <v/>
          </cell>
          <cell r="AF3341" t="str">
            <v>동절기</v>
          </cell>
        </row>
        <row r="3342">
          <cell r="G3342">
            <v>0</v>
          </cell>
          <cell r="O3342" t="str">
            <v/>
          </cell>
          <cell r="AF3342" t="str">
            <v>동절기</v>
          </cell>
        </row>
        <row r="3343">
          <cell r="G3343">
            <v>0</v>
          </cell>
          <cell r="O3343" t="str">
            <v/>
          </cell>
          <cell r="AF3343" t="str">
            <v>동절기</v>
          </cell>
        </row>
        <row r="3344">
          <cell r="G3344">
            <v>0</v>
          </cell>
          <cell r="O3344" t="str">
            <v/>
          </cell>
          <cell r="AF3344" t="str">
            <v>동절기</v>
          </cell>
        </row>
        <row r="3345">
          <cell r="G3345">
            <v>0</v>
          </cell>
          <cell r="O3345" t="str">
            <v/>
          </cell>
          <cell r="AF3345" t="str">
            <v>동절기</v>
          </cell>
        </row>
        <row r="3346">
          <cell r="G3346">
            <v>0</v>
          </cell>
          <cell r="O3346" t="str">
            <v/>
          </cell>
          <cell r="AF3346" t="str">
            <v>동절기</v>
          </cell>
        </row>
        <row r="3347">
          <cell r="G3347">
            <v>0</v>
          </cell>
          <cell r="O3347" t="str">
            <v/>
          </cell>
          <cell r="AF3347" t="str">
            <v>동절기</v>
          </cell>
        </row>
        <row r="3348">
          <cell r="G3348">
            <v>0</v>
          </cell>
          <cell r="O3348" t="str">
            <v/>
          </cell>
          <cell r="AF3348" t="str">
            <v>동절기</v>
          </cell>
        </row>
        <row r="3349">
          <cell r="G3349">
            <v>0</v>
          </cell>
          <cell r="O3349" t="str">
            <v/>
          </cell>
          <cell r="AF3349" t="str">
            <v>동절기</v>
          </cell>
        </row>
        <row r="3350">
          <cell r="G3350">
            <v>0</v>
          </cell>
          <cell r="O3350" t="str">
            <v/>
          </cell>
          <cell r="AF3350" t="str">
            <v>동절기</v>
          </cell>
        </row>
        <row r="3351">
          <cell r="G3351">
            <v>0</v>
          </cell>
          <cell r="O3351" t="str">
            <v/>
          </cell>
          <cell r="AF3351" t="str">
            <v>동절기</v>
          </cell>
        </row>
        <row r="3352">
          <cell r="G3352">
            <v>0</v>
          </cell>
          <cell r="O3352" t="str">
            <v/>
          </cell>
          <cell r="AF3352" t="str">
            <v>동절기</v>
          </cell>
        </row>
        <row r="3353">
          <cell r="G3353">
            <v>0</v>
          </cell>
          <cell r="O3353" t="str">
            <v/>
          </cell>
          <cell r="AF3353" t="str">
            <v>동절기</v>
          </cell>
        </row>
        <row r="3354">
          <cell r="G3354">
            <v>0</v>
          </cell>
          <cell r="O3354" t="str">
            <v/>
          </cell>
          <cell r="AF3354" t="str">
            <v>동절기</v>
          </cell>
        </row>
        <row r="3355">
          <cell r="G3355">
            <v>0</v>
          </cell>
          <cell r="O3355" t="str">
            <v/>
          </cell>
          <cell r="AF3355" t="str">
            <v>동절기</v>
          </cell>
        </row>
        <row r="3356">
          <cell r="G3356">
            <v>0</v>
          </cell>
          <cell r="O3356" t="str">
            <v/>
          </cell>
          <cell r="AF3356" t="str">
            <v>동절기</v>
          </cell>
        </row>
        <row r="3357">
          <cell r="G3357">
            <v>0</v>
          </cell>
          <cell r="O3357" t="str">
            <v/>
          </cell>
          <cell r="AF3357" t="str">
            <v>동절기</v>
          </cell>
        </row>
        <row r="3358">
          <cell r="G3358">
            <v>0</v>
          </cell>
          <cell r="O3358" t="str">
            <v/>
          </cell>
          <cell r="AF3358" t="str">
            <v>동절기</v>
          </cell>
        </row>
        <row r="3359">
          <cell r="G3359">
            <v>0</v>
          </cell>
          <cell r="O3359" t="str">
            <v/>
          </cell>
          <cell r="AF3359" t="str">
            <v>동절기</v>
          </cell>
        </row>
        <row r="3360">
          <cell r="G3360">
            <v>0</v>
          </cell>
          <cell r="O3360" t="str">
            <v/>
          </cell>
          <cell r="AF3360" t="str">
            <v>동절기</v>
          </cell>
        </row>
        <row r="3361">
          <cell r="G3361">
            <v>0</v>
          </cell>
          <cell r="O3361" t="str">
            <v/>
          </cell>
          <cell r="AF3361" t="str">
            <v>동절기</v>
          </cell>
        </row>
        <row r="3362">
          <cell r="G3362">
            <v>0</v>
          </cell>
          <cell r="O3362" t="str">
            <v/>
          </cell>
          <cell r="AF3362" t="str">
            <v>동절기</v>
          </cell>
        </row>
        <row r="3363">
          <cell r="G3363">
            <v>0</v>
          </cell>
          <cell r="O3363" t="str">
            <v/>
          </cell>
          <cell r="AF3363" t="str">
            <v>동절기</v>
          </cell>
        </row>
        <row r="3364">
          <cell r="G3364">
            <v>0</v>
          </cell>
          <cell r="O3364" t="str">
            <v/>
          </cell>
          <cell r="AF3364" t="str">
            <v>동절기</v>
          </cell>
        </row>
        <row r="3365">
          <cell r="G3365">
            <v>0</v>
          </cell>
          <cell r="O3365" t="str">
            <v/>
          </cell>
          <cell r="AF3365" t="str">
            <v>동절기</v>
          </cell>
        </row>
        <row r="3366">
          <cell r="G3366">
            <v>0</v>
          </cell>
          <cell r="O3366" t="str">
            <v/>
          </cell>
          <cell r="AF3366" t="str">
            <v>동절기</v>
          </cell>
        </row>
        <row r="3367">
          <cell r="G3367">
            <v>0</v>
          </cell>
          <cell r="O3367" t="str">
            <v/>
          </cell>
          <cell r="AF3367" t="str">
            <v>동절기</v>
          </cell>
        </row>
        <row r="3368">
          <cell r="G3368">
            <v>0</v>
          </cell>
          <cell r="O3368" t="str">
            <v/>
          </cell>
          <cell r="AF3368" t="str">
            <v>동절기</v>
          </cell>
        </row>
        <row r="3369">
          <cell r="G3369">
            <v>0</v>
          </cell>
          <cell r="O3369" t="str">
            <v/>
          </cell>
          <cell r="AF3369" t="str">
            <v>동절기</v>
          </cell>
        </row>
        <row r="3370">
          <cell r="G3370">
            <v>0</v>
          </cell>
          <cell r="O3370" t="str">
            <v/>
          </cell>
          <cell r="AF3370" t="str">
            <v>동절기</v>
          </cell>
        </row>
        <row r="3371">
          <cell r="G3371">
            <v>0</v>
          </cell>
          <cell r="O3371" t="str">
            <v/>
          </cell>
          <cell r="AF3371" t="str">
            <v>동절기</v>
          </cell>
        </row>
        <row r="3372">
          <cell r="G3372">
            <v>0</v>
          </cell>
          <cell r="O3372" t="str">
            <v/>
          </cell>
          <cell r="AF3372" t="str">
            <v>동절기</v>
          </cell>
        </row>
        <row r="3373">
          <cell r="G3373">
            <v>0</v>
          </cell>
          <cell r="O3373" t="str">
            <v/>
          </cell>
          <cell r="AF3373" t="str">
            <v>동절기</v>
          </cell>
        </row>
        <row r="3374">
          <cell r="G3374">
            <v>0</v>
          </cell>
          <cell r="O3374" t="str">
            <v/>
          </cell>
          <cell r="AF3374" t="str">
            <v>동절기</v>
          </cell>
        </row>
        <row r="3375">
          <cell r="G3375">
            <v>0</v>
          </cell>
          <cell r="O3375" t="str">
            <v/>
          </cell>
          <cell r="AF3375" t="str">
            <v>동절기</v>
          </cell>
        </row>
        <row r="3376">
          <cell r="G3376">
            <v>0</v>
          </cell>
          <cell r="O3376" t="str">
            <v/>
          </cell>
          <cell r="AF3376" t="str">
            <v>동절기</v>
          </cell>
        </row>
        <row r="3377">
          <cell r="G3377">
            <v>0</v>
          </cell>
          <cell r="O3377" t="str">
            <v/>
          </cell>
          <cell r="AF3377" t="str">
            <v>동절기</v>
          </cell>
        </row>
        <row r="3378">
          <cell r="G3378">
            <v>0</v>
          </cell>
          <cell r="O3378" t="str">
            <v/>
          </cell>
          <cell r="AF3378" t="str">
            <v>동절기</v>
          </cell>
        </row>
        <row r="3379">
          <cell r="G3379">
            <v>0</v>
          </cell>
          <cell r="O3379" t="str">
            <v/>
          </cell>
          <cell r="AF3379" t="str">
            <v>동절기</v>
          </cell>
        </row>
        <row r="3380">
          <cell r="G3380">
            <v>0</v>
          </cell>
          <cell r="O3380" t="str">
            <v/>
          </cell>
          <cell r="AF3380" t="str">
            <v>동절기</v>
          </cell>
        </row>
        <row r="3381">
          <cell r="G3381">
            <v>0</v>
          </cell>
          <cell r="O3381" t="str">
            <v/>
          </cell>
          <cell r="AF3381" t="str">
            <v>동절기</v>
          </cell>
        </row>
        <row r="3382">
          <cell r="G3382">
            <v>0</v>
          </cell>
          <cell r="O3382" t="str">
            <v/>
          </cell>
          <cell r="AF3382" t="str">
            <v>동절기</v>
          </cell>
        </row>
        <row r="3383">
          <cell r="G3383">
            <v>0</v>
          </cell>
          <cell r="O3383" t="str">
            <v/>
          </cell>
          <cell r="AF3383" t="str">
            <v>동절기</v>
          </cell>
        </row>
        <row r="3384">
          <cell r="G3384">
            <v>0</v>
          </cell>
          <cell r="O3384" t="str">
            <v/>
          </cell>
          <cell r="AF3384" t="str">
            <v>동절기</v>
          </cell>
        </row>
        <row r="3385">
          <cell r="G3385">
            <v>0</v>
          </cell>
          <cell r="O3385" t="str">
            <v/>
          </cell>
          <cell r="AF3385" t="str">
            <v>동절기</v>
          </cell>
        </row>
        <row r="3386">
          <cell r="G3386">
            <v>0</v>
          </cell>
          <cell r="O3386" t="str">
            <v/>
          </cell>
          <cell r="AF3386" t="str">
            <v>동절기</v>
          </cell>
        </row>
        <row r="3387">
          <cell r="G3387">
            <v>0</v>
          </cell>
          <cell r="O3387" t="str">
            <v/>
          </cell>
          <cell r="AF3387" t="str">
            <v>동절기</v>
          </cell>
        </row>
        <row r="3388">
          <cell r="G3388">
            <v>0</v>
          </cell>
          <cell r="O3388" t="str">
            <v/>
          </cell>
          <cell r="AF3388" t="str">
            <v>동절기</v>
          </cell>
        </row>
        <row r="3389">
          <cell r="G3389">
            <v>0</v>
          </cell>
          <cell r="O3389" t="str">
            <v/>
          </cell>
          <cell r="AF3389" t="str">
            <v>동절기</v>
          </cell>
        </row>
        <row r="3390">
          <cell r="G3390">
            <v>0</v>
          </cell>
          <cell r="O3390" t="str">
            <v/>
          </cell>
          <cell r="AF3390" t="str">
            <v>동절기</v>
          </cell>
        </row>
        <row r="3391">
          <cell r="G3391">
            <v>0</v>
          </cell>
          <cell r="O3391" t="str">
            <v/>
          </cell>
          <cell r="AF3391" t="str">
            <v>동절기</v>
          </cell>
        </row>
        <row r="3392">
          <cell r="G3392">
            <v>0</v>
          </cell>
          <cell r="O3392" t="str">
            <v/>
          </cell>
          <cell r="AF3392" t="str">
            <v>동절기</v>
          </cell>
        </row>
        <row r="3393">
          <cell r="G3393">
            <v>0</v>
          </cell>
          <cell r="O3393" t="str">
            <v/>
          </cell>
          <cell r="AF3393" t="str">
            <v>동절기</v>
          </cell>
        </row>
        <row r="3394">
          <cell r="G3394">
            <v>0</v>
          </cell>
          <cell r="O3394" t="str">
            <v/>
          </cell>
          <cell r="AF3394" t="str">
            <v>동절기</v>
          </cell>
        </row>
        <row r="3395">
          <cell r="G3395">
            <v>0</v>
          </cell>
          <cell r="O3395" t="str">
            <v/>
          </cell>
          <cell r="AF3395" t="str">
            <v>동절기</v>
          </cell>
        </row>
        <row r="3396">
          <cell r="G3396">
            <v>0</v>
          </cell>
          <cell r="O3396" t="str">
            <v/>
          </cell>
          <cell r="AF3396" t="str">
            <v>동절기</v>
          </cell>
        </row>
        <row r="3397">
          <cell r="G3397">
            <v>0</v>
          </cell>
          <cell r="O3397" t="str">
            <v/>
          </cell>
          <cell r="AF3397" t="str">
            <v>동절기</v>
          </cell>
        </row>
        <row r="3398">
          <cell r="G3398">
            <v>0</v>
          </cell>
          <cell r="O3398" t="str">
            <v/>
          </cell>
          <cell r="AF3398" t="str">
            <v>동절기</v>
          </cell>
        </row>
        <row r="3399">
          <cell r="G3399">
            <v>0</v>
          </cell>
          <cell r="O3399" t="str">
            <v/>
          </cell>
          <cell r="AF3399" t="str">
            <v>동절기</v>
          </cell>
        </row>
        <row r="3400">
          <cell r="G3400">
            <v>0</v>
          </cell>
          <cell r="O3400" t="str">
            <v/>
          </cell>
          <cell r="AF3400" t="str">
            <v>동절기</v>
          </cell>
        </row>
        <row r="3401">
          <cell r="G3401">
            <v>0</v>
          </cell>
          <cell r="O3401" t="str">
            <v/>
          </cell>
          <cell r="AF3401" t="str">
            <v>동절기</v>
          </cell>
        </row>
        <row r="3402">
          <cell r="G3402">
            <v>0</v>
          </cell>
          <cell r="O3402" t="str">
            <v/>
          </cell>
          <cell r="AF3402" t="str">
            <v>동절기</v>
          </cell>
        </row>
        <row r="3403">
          <cell r="G3403">
            <v>0</v>
          </cell>
          <cell r="O3403" t="str">
            <v/>
          </cell>
          <cell r="AF3403" t="str">
            <v>동절기</v>
          </cell>
        </row>
        <row r="3404">
          <cell r="G3404">
            <v>0</v>
          </cell>
          <cell r="O3404" t="str">
            <v/>
          </cell>
          <cell r="AF3404" t="str">
            <v>동절기</v>
          </cell>
        </row>
        <row r="3405">
          <cell r="G3405">
            <v>0</v>
          </cell>
          <cell r="O3405" t="str">
            <v/>
          </cell>
          <cell r="AF3405" t="str">
            <v>동절기</v>
          </cell>
        </row>
        <row r="3406">
          <cell r="G3406">
            <v>0</v>
          </cell>
          <cell r="O3406" t="str">
            <v/>
          </cell>
          <cell r="AF3406" t="str">
            <v>동절기</v>
          </cell>
        </row>
        <row r="3407">
          <cell r="G3407">
            <v>0</v>
          </cell>
          <cell r="O3407" t="str">
            <v/>
          </cell>
          <cell r="AF3407" t="str">
            <v>동절기</v>
          </cell>
        </row>
        <row r="3408">
          <cell r="G3408">
            <v>0</v>
          </cell>
          <cell r="O3408" t="str">
            <v/>
          </cell>
          <cell r="AF3408" t="str">
            <v>동절기</v>
          </cell>
        </row>
        <row r="3409">
          <cell r="G3409">
            <v>0</v>
          </cell>
          <cell r="O3409" t="str">
            <v/>
          </cell>
          <cell r="AF3409" t="str">
            <v>동절기</v>
          </cell>
        </row>
        <row r="3410">
          <cell r="G3410">
            <v>0</v>
          </cell>
          <cell r="O3410" t="str">
            <v/>
          </cell>
          <cell r="AF3410" t="str">
            <v>동절기</v>
          </cell>
        </row>
        <row r="3411">
          <cell r="G3411">
            <v>0</v>
          </cell>
          <cell r="O3411" t="str">
            <v/>
          </cell>
          <cell r="AF3411" t="str">
            <v>동절기</v>
          </cell>
        </row>
        <row r="3412">
          <cell r="G3412">
            <v>0</v>
          </cell>
          <cell r="O3412" t="str">
            <v/>
          </cell>
          <cell r="AF3412" t="str">
            <v>동절기</v>
          </cell>
        </row>
        <row r="3413">
          <cell r="G3413">
            <v>0</v>
          </cell>
          <cell r="O3413" t="str">
            <v/>
          </cell>
          <cell r="AF3413" t="str">
            <v>동절기</v>
          </cell>
        </row>
        <row r="3414">
          <cell r="G3414">
            <v>0</v>
          </cell>
          <cell r="O3414" t="str">
            <v/>
          </cell>
          <cell r="AF3414" t="str">
            <v>동절기</v>
          </cell>
        </row>
        <row r="3415">
          <cell r="G3415">
            <v>0</v>
          </cell>
          <cell r="O3415" t="str">
            <v/>
          </cell>
          <cell r="AF3415" t="str">
            <v>동절기</v>
          </cell>
        </row>
        <row r="3416">
          <cell r="G3416">
            <v>0</v>
          </cell>
          <cell r="O3416" t="str">
            <v/>
          </cell>
          <cell r="AF3416" t="str">
            <v>동절기</v>
          </cell>
        </row>
        <row r="3417">
          <cell r="G3417">
            <v>0</v>
          </cell>
          <cell r="O3417" t="str">
            <v/>
          </cell>
          <cell r="AF3417" t="str">
            <v>동절기</v>
          </cell>
        </row>
        <row r="3418">
          <cell r="G3418">
            <v>0</v>
          </cell>
          <cell r="O3418" t="str">
            <v/>
          </cell>
          <cell r="AF3418" t="str">
            <v>동절기</v>
          </cell>
        </row>
        <row r="3419">
          <cell r="G3419">
            <v>0</v>
          </cell>
          <cell r="O3419" t="str">
            <v/>
          </cell>
          <cell r="AF3419" t="str">
            <v>동절기</v>
          </cell>
        </row>
        <row r="3420">
          <cell r="G3420">
            <v>0</v>
          </cell>
          <cell r="O3420" t="str">
            <v/>
          </cell>
          <cell r="AF3420" t="str">
            <v>동절기</v>
          </cell>
        </row>
        <row r="3421">
          <cell r="G3421">
            <v>0</v>
          </cell>
          <cell r="O3421" t="str">
            <v/>
          </cell>
          <cell r="AF3421" t="str">
            <v>동절기</v>
          </cell>
        </row>
        <row r="3422">
          <cell r="G3422">
            <v>0</v>
          </cell>
          <cell r="O3422" t="str">
            <v/>
          </cell>
          <cell r="AF3422" t="str">
            <v>동절기</v>
          </cell>
        </row>
        <row r="3423">
          <cell r="G3423">
            <v>0</v>
          </cell>
          <cell r="O3423" t="str">
            <v/>
          </cell>
          <cell r="AF3423" t="str">
            <v>동절기</v>
          </cell>
        </row>
        <row r="3424">
          <cell r="G3424">
            <v>0</v>
          </cell>
          <cell r="O3424" t="str">
            <v/>
          </cell>
          <cell r="AF3424" t="str">
            <v>동절기</v>
          </cell>
        </row>
        <row r="3425">
          <cell r="G3425">
            <v>0</v>
          </cell>
          <cell r="O3425" t="str">
            <v/>
          </cell>
          <cell r="AF3425" t="str">
            <v>동절기</v>
          </cell>
        </row>
        <row r="3426">
          <cell r="G3426">
            <v>0</v>
          </cell>
          <cell r="O3426" t="str">
            <v/>
          </cell>
          <cell r="AF3426" t="str">
            <v>동절기</v>
          </cell>
        </row>
        <row r="3427">
          <cell r="G3427">
            <v>0</v>
          </cell>
          <cell r="O3427" t="str">
            <v/>
          </cell>
          <cell r="AF3427" t="str">
            <v>동절기</v>
          </cell>
        </row>
        <row r="3428">
          <cell r="G3428">
            <v>0</v>
          </cell>
          <cell r="O3428" t="str">
            <v/>
          </cell>
          <cell r="AF3428" t="str">
            <v>동절기</v>
          </cell>
        </row>
        <row r="3429">
          <cell r="G3429">
            <v>0</v>
          </cell>
          <cell r="O3429" t="str">
            <v/>
          </cell>
          <cell r="AF3429" t="str">
            <v>동절기</v>
          </cell>
        </row>
        <row r="3430">
          <cell r="G3430">
            <v>0</v>
          </cell>
          <cell r="O3430" t="str">
            <v/>
          </cell>
          <cell r="AF3430" t="str">
            <v>동절기</v>
          </cell>
        </row>
        <row r="3431">
          <cell r="G3431">
            <v>0</v>
          </cell>
          <cell r="O3431" t="str">
            <v/>
          </cell>
          <cell r="AF3431" t="str">
            <v>동절기</v>
          </cell>
        </row>
        <row r="3432">
          <cell r="G3432">
            <v>0</v>
          </cell>
          <cell r="O3432" t="str">
            <v/>
          </cell>
          <cell r="AF3432" t="str">
            <v>동절기</v>
          </cell>
        </row>
        <row r="3433">
          <cell r="G3433">
            <v>0</v>
          </cell>
          <cell r="O3433" t="str">
            <v/>
          </cell>
          <cell r="AF3433" t="str">
            <v>동절기</v>
          </cell>
        </row>
        <row r="3434">
          <cell r="G3434">
            <v>0</v>
          </cell>
          <cell r="O3434" t="str">
            <v/>
          </cell>
          <cell r="AF3434" t="str">
            <v>동절기</v>
          </cell>
        </row>
        <row r="3435">
          <cell r="G3435">
            <v>0</v>
          </cell>
          <cell r="O3435" t="str">
            <v/>
          </cell>
          <cell r="AF3435" t="str">
            <v>동절기</v>
          </cell>
        </row>
        <row r="3436">
          <cell r="G3436">
            <v>0</v>
          </cell>
          <cell r="O3436" t="str">
            <v/>
          </cell>
          <cell r="AF3436" t="str">
            <v>동절기</v>
          </cell>
        </row>
        <row r="3437">
          <cell r="G3437">
            <v>0</v>
          </cell>
          <cell r="O3437" t="str">
            <v/>
          </cell>
          <cell r="AF3437" t="str">
            <v>동절기</v>
          </cell>
        </row>
        <row r="3438">
          <cell r="G3438">
            <v>0</v>
          </cell>
          <cell r="O3438" t="str">
            <v/>
          </cell>
          <cell r="AF3438" t="str">
            <v>동절기</v>
          </cell>
        </row>
        <row r="3439">
          <cell r="G3439">
            <v>0</v>
          </cell>
          <cell r="O3439" t="str">
            <v/>
          </cell>
          <cell r="AF3439" t="str">
            <v>동절기</v>
          </cell>
        </row>
        <row r="3440">
          <cell r="G3440">
            <v>0</v>
          </cell>
          <cell r="O3440" t="str">
            <v/>
          </cell>
          <cell r="AF3440" t="str">
            <v>동절기</v>
          </cell>
        </row>
        <row r="3441">
          <cell r="G3441">
            <v>0</v>
          </cell>
          <cell r="O3441" t="str">
            <v/>
          </cell>
          <cell r="AF3441" t="str">
            <v>동절기</v>
          </cell>
        </row>
        <row r="3442">
          <cell r="G3442">
            <v>0</v>
          </cell>
          <cell r="O3442" t="str">
            <v/>
          </cell>
          <cell r="AF3442" t="str">
            <v>동절기</v>
          </cell>
        </row>
        <row r="3443">
          <cell r="G3443">
            <v>0</v>
          </cell>
          <cell r="O3443" t="str">
            <v/>
          </cell>
          <cell r="AF3443" t="str">
            <v>동절기</v>
          </cell>
        </row>
        <row r="3444">
          <cell r="G3444">
            <v>0</v>
          </cell>
          <cell r="O3444" t="str">
            <v/>
          </cell>
          <cell r="AF3444" t="str">
            <v>동절기</v>
          </cell>
        </row>
        <row r="3445">
          <cell r="G3445">
            <v>0</v>
          </cell>
          <cell r="O3445" t="str">
            <v/>
          </cell>
          <cell r="AF3445" t="str">
            <v>동절기</v>
          </cell>
        </row>
        <row r="3446">
          <cell r="G3446">
            <v>0</v>
          </cell>
          <cell r="O3446" t="str">
            <v/>
          </cell>
          <cell r="AF3446" t="str">
            <v>동절기</v>
          </cell>
        </row>
        <row r="3447">
          <cell r="G3447">
            <v>0</v>
          </cell>
          <cell r="O3447" t="str">
            <v/>
          </cell>
          <cell r="AF3447" t="str">
            <v>동절기</v>
          </cell>
        </row>
        <row r="3448">
          <cell r="G3448">
            <v>0</v>
          </cell>
          <cell r="O3448" t="str">
            <v/>
          </cell>
          <cell r="AF3448" t="str">
            <v>동절기</v>
          </cell>
        </row>
        <row r="3449">
          <cell r="G3449">
            <v>0</v>
          </cell>
          <cell r="O3449" t="str">
            <v/>
          </cell>
          <cell r="AF3449" t="str">
            <v>동절기</v>
          </cell>
        </row>
        <row r="3450">
          <cell r="G3450">
            <v>0</v>
          </cell>
          <cell r="O3450" t="str">
            <v/>
          </cell>
          <cell r="AF3450" t="str">
            <v>동절기</v>
          </cell>
        </row>
        <row r="3451">
          <cell r="G3451">
            <v>0</v>
          </cell>
          <cell r="O3451" t="str">
            <v/>
          </cell>
          <cell r="AF3451" t="str">
            <v>동절기</v>
          </cell>
        </row>
        <row r="3452">
          <cell r="G3452">
            <v>0</v>
          </cell>
          <cell r="O3452" t="str">
            <v/>
          </cell>
          <cell r="AF3452" t="str">
            <v>동절기</v>
          </cell>
        </row>
        <row r="3453">
          <cell r="G3453">
            <v>0</v>
          </cell>
          <cell r="O3453" t="str">
            <v/>
          </cell>
          <cell r="AF3453" t="str">
            <v>동절기</v>
          </cell>
        </row>
        <row r="3454">
          <cell r="G3454">
            <v>0</v>
          </cell>
          <cell r="O3454" t="str">
            <v/>
          </cell>
          <cell r="AF3454" t="str">
            <v>동절기</v>
          </cell>
        </row>
        <row r="3455">
          <cell r="G3455">
            <v>0</v>
          </cell>
          <cell r="O3455" t="str">
            <v/>
          </cell>
          <cell r="AF3455" t="str">
            <v>동절기</v>
          </cell>
        </row>
        <row r="3456">
          <cell r="G3456">
            <v>0</v>
          </cell>
          <cell r="O3456" t="str">
            <v/>
          </cell>
          <cell r="AF3456" t="str">
            <v>동절기</v>
          </cell>
        </row>
        <row r="3457">
          <cell r="G3457">
            <v>0</v>
          </cell>
          <cell r="O3457" t="str">
            <v/>
          </cell>
          <cell r="AF3457" t="str">
            <v>동절기</v>
          </cell>
        </row>
        <row r="3458">
          <cell r="G3458">
            <v>0</v>
          </cell>
          <cell r="O3458" t="str">
            <v/>
          </cell>
          <cell r="AF3458" t="str">
            <v>동절기</v>
          </cell>
        </row>
        <row r="3459">
          <cell r="G3459">
            <v>0</v>
          </cell>
          <cell r="O3459" t="str">
            <v/>
          </cell>
          <cell r="AF3459" t="str">
            <v>동절기</v>
          </cell>
        </row>
        <row r="3460">
          <cell r="G3460">
            <v>0</v>
          </cell>
          <cell r="O3460" t="str">
            <v/>
          </cell>
          <cell r="AF3460" t="str">
            <v>동절기</v>
          </cell>
        </row>
        <row r="3461">
          <cell r="G3461">
            <v>0</v>
          </cell>
          <cell r="O3461" t="str">
            <v/>
          </cell>
          <cell r="AF3461" t="str">
            <v>동절기</v>
          </cell>
        </row>
        <row r="3462">
          <cell r="G3462">
            <v>0</v>
          </cell>
          <cell r="O3462" t="str">
            <v/>
          </cell>
          <cell r="AF3462" t="str">
            <v>동절기</v>
          </cell>
        </row>
        <row r="3463">
          <cell r="G3463">
            <v>0</v>
          </cell>
          <cell r="O3463" t="str">
            <v/>
          </cell>
          <cell r="AF3463" t="str">
            <v>동절기</v>
          </cell>
        </row>
        <row r="3464">
          <cell r="G3464">
            <v>0</v>
          </cell>
          <cell r="O3464" t="str">
            <v/>
          </cell>
          <cell r="AF3464" t="str">
            <v>동절기</v>
          </cell>
        </row>
        <row r="3465">
          <cell r="G3465">
            <v>0</v>
          </cell>
          <cell r="O3465" t="str">
            <v/>
          </cell>
          <cell r="AF3465" t="str">
            <v>동절기</v>
          </cell>
        </row>
        <row r="3466">
          <cell r="G3466">
            <v>0</v>
          </cell>
          <cell r="O3466" t="str">
            <v/>
          </cell>
          <cell r="AF3466" t="str">
            <v>동절기</v>
          </cell>
        </row>
        <row r="3467">
          <cell r="G3467">
            <v>0</v>
          </cell>
          <cell r="O3467" t="str">
            <v/>
          </cell>
          <cell r="AF3467" t="str">
            <v>동절기</v>
          </cell>
        </row>
        <row r="3468">
          <cell r="G3468">
            <v>0</v>
          </cell>
          <cell r="O3468" t="str">
            <v/>
          </cell>
          <cell r="AF3468" t="str">
            <v>동절기</v>
          </cell>
        </row>
        <row r="3469">
          <cell r="G3469">
            <v>0</v>
          </cell>
          <cell r="O3469" t="str">
            <v/>
          </cell>
          <cell r="AF3469" t="str">
            <v>동절기</v>
          </cell>
        </row>
        <row r="3470">
          <cell r="G3470">
            <v>0</v>
          </cell>
          <cell r="O3470" t="str">
            <v/>
          </cell>
          <cell r="AF3470" t="str">
            <v>동절기</v>
          </cell>
        </row>
        <row r="3471">
          <cell r="G3471">
            <v>0</v>
          </cell>
          <cell r="O3471" t="str">
            <v/>
          </cell>
          <cell r="AF3471" t="str">
            <v>동절기</v>
          </cell>
        </row>
        <row r="3472">
          <cell r="G3472">
            <v>0</v>
          </cell>
          <cell r="O3472" t="str">
            <v/>
          </cell>
          <cell r="AF3472" t="str">
            <v>동절기</v>
          </cell>
        </row>
        <row r="3473">
          <cell r="G3473">
            <v>0</v>
          </cell>
          <cell r="O3473" t="str">
            <v/>
          </cell>
          <cell r="AF3473" t="str">
            <v>동절기</v>
          </cell>
        </row>
        <row r="3474">
          <cell r="G3474">
            <v>0</v>
          </cell>
          <cell r="O3474" t="str">
            <v/>
          </cell>
          <cell r="AF3474" t="str">
            <v>동절기</v>
          </cell>
        </row>
        <row r="3475">
          <cell r="G3475">
            <v>0</v>
          </cell>
          <cell r="O3475" t="str">
            <v/>
          </cell>
          <cell r="AF3475" t="str">
            <v>동절기</v>
          </cell>
        </row>
        <row r="3476">
          <cell r="G3476">
            <v>0</v>
          </cell>
          <cell r="O3476" t="str">
            <v/>
          </cell>
          <cell r="AF3476" t="str">
            <v>동절기</v>
          </cell>
        </row>
        <row r="3477">
          <cell r="G3477">
            <v>0</v>
          </cell>
          <cell r="O3477" t="str">
            <v/>
          </cell>
          <cell r="AF3477" t="str">
            <v>동절기</v>
          </cell>
        </row>
        <row r="3478">
          <cell r="G3478">
            <v>0</v>
          </cell>
          <cell r="O3478" t="str">
            <v/>
          </cell>
          <cell r="AF3478" t="str">
            <v>동절기</v>
          </cell>
        </row>
        <row r="3479">
          <cell r="G3479">
            <v>0</v>
          </cell>
          <cell r="O3479" t="str">
            <v/>
          </cell>
          <cell r="AF3479" t="str">
            <v>동절기</v>
          </cell>
        </row>
        <row r="3480">
          <cell r="G3480">
            <v>0</v>
          </cell>
          <cell r="O3480" t="str">
            <v/>
          </cell>
          <cell r="AF3480" t="str">
            <v>동절기</v>
          </cell>
        </row>
        <row r="3481">
          <cell r="G3481">
            <v>0</v>
          </cell>
          <cell r="O3481" t="str">
            <v/>
          </cell>
          <cell r="AF3481" t="str">
            <v>동절기</v>
          </cell>
        </row>
        <row r="3482">
          <cell r="G3482">
            <v>0</v>
          </cell>
          <cell r="O3482" t="str">
            <v/>
          </cell>
          <cell r="AF3482" t="str">
            <v>동절기</v>
          </cell>
        </row>
        <row r="3483">
          <cell r="G3483">
            <v>0</v>
          </cell>
          <cell r="O3483" t="str">
            <v/>
          </cell>
          <cell r="AF3483" t="str">
            <v>동절기</v>
          </cell>
        </row>
        <row r="3484">
          <cell r="G3484">
            <v>0</v>
          </cell>
          <cell r="O3484" t="str">
            <v/>
          </cell>
          <cell r="AF3484" t="str">
            <v>동절기</v>
          </cell>
        </row>
        <row r="3485">
          <cell r="G3485">
            <v>0</v>
          </cell>
          <cell r="O3485" t="str">
            <v/>
          </cell>
          <cell r="AF3485" t="str">
            <v>동절기</v>
          </cell>
        </row>
        <row r="3486">
          <cell r="G3486">
            <v>0</v>
          </cell>
          <cell r="O3486" t="str">
            <v/>
          </cell>
          <cell r="AF3486" t="str">
            <v>동절기</v>
          </cell>
        </row>
        <row r="3487">
          <cell r="G3487">
            <v>0</v>
          </cell>
          <cell r="O3487" t="str">
            <v/>
          </cell>
          <cell r="AF3487" t="str">
            <v>동절기</v>
          </cell>
        </row>
        <row r="3488">
          <cell r="G3488">
            <v>0</v>
          </cell>
          <cell r="O3488" t="str">
            <v/>
          </cell>
          <cell r="AF3488" t="str">
            <v>동절기</v>
          </cell>
        </row>
        <row r="3489">
          <cell r="G3489">
            <v>0</v>
          </cell>
          <cell r="O3489" t="str">
            <v/>
          </cell>
          <cell r="AF3489" t="str">
            <v>동절기</v>
          </cell>
        </row>
        <row r="3490">
          <cell r="G3490">
            <v>0</v>
          </cell>
          <cell r="O3490" t="str">
            <v/>
          </cell>
          <cell r="AF3490" t="str">
            <v>동절기</v>
          </cell>
        </row>
        <row r="3491">
          <cell r="G3491">
            <v>0</v>
          </cell>
          <cell r="O3491" t="str">
            <v/>
          </cell>
          <cell r="AF3491" t="str">
            <v>동절기</v>
          </cell>
        </row>
        <row r="3492">
          <cell r="G3492">
            <v>0</v>
          </cell>
          <cell r="O3492" t="str">
            <v/>
          </cell>
          <cell r="AF3492" t="str">
            <v>동절기</v>
          </cell>
        </row>
        <row r="3493">
          <cell r="G3493">
            <v>0</v>
          </cell>
          <cell r="O3493" t="str">
            <v/>
          </cell>
          <cell r="AF3493" t="str">
            <v>동절기</v>
          </cell>
        </row>
        <row r="3494">
          <cell r="G3494">
            <v>0</v>
          </cell>
          <cell r="O3494" t="str">
            <v/>
          </cell>
          <cell r="AF3494" t="str">
            <v>동절기</v>
          </cell>
        </row>
        <row r="3495">
          <cell r="G3495">
            <v>0</v>
          </cell>
          <cell r="O3495" t="str">
            <v/>
          </cell>
          <cell r="AF3495" t="str">
            <v>동절기</v>
          </cell>
        </row>
        <row r="3496">
          <cell r="G3496">
            <v>0</v>
          </cell>
          <cell r="O3496" t="str">
            <v/>
          </cell>
          <cell r="AF3496" t="str">
            <v>동절기</v>
          </cell>
        </row>
        <row r="3497">
          <cell r="G3497">
            <v>0</v>
          </cell>
          <cell r="O3497" t="str">
            <v/>
          </cell>
          <cell r="AF3497" t="str">
            <v>동절기</v>
          </cell>
        </row>
        <row r="3498">
          <cell r="G3498">
            <v>0</v>
          </cell>
          <cell r="O3498" t="str">
            <v/>
          </cell>
          <cell r="AF3498" t="str">
            <v>동절기</v>
          </cell>
        </row>
        <row r="3499">
          <cell r="G3499">
            <v>0</v>
          </cell>
          <cell r="O3499" t="str">
            <v/>
          </cell>
          <cell r="AF3499" t="str">
            <v>동절기</v>
          </cell>
        </row>
        <row r="3500">
          <cell r="G3500">
            <v>0</v>
          </cell>
          <cell r="O3500" t="str">
            <v/>
          </cell>
          <cell r="AF3500" t="str">
            <v>동절기</v>
          </cell>
        </row>
        <row r="3501">
          <cell r="G3501">
            <v>0</v>
          </cell>
          <cell r="O3501" t="str">
            <v/>
          </cell>
          <cell r="AF3501" t="str">
            <v>동절기</v>
          </cell>
        </row>
        <row r="3502">
          <cell r="G3502">
            <v>0</v>
          </cell>
          <cell r="O3502" t="str">
            <v/>
          </cell>
          <cell r="AF3502" t="str">
            <v>동절기</v>
          </cell>
        </row>
        <row r="3503">
          <cell r="G3503">
            <v>0</v>
          </cell>
          <cell r="O3503" t="str">
            <v/>
          </cell>
          <cell r="AF3503" t="str">
            <v>동절기</v>
          </cell>
        </row>
        <row r="3504">
          <cell r="G3504">
            <v>0</v>
          </cell>
          <cell r="O3504" t="str">
            <v/>
          </cell>
          <cell r="AF3504" t="str">
            <v>동절기</v>
          </cell>
        </row>
        <row r="3505">
          <cell r="G3505">
            <v>0</v>
          </cell>
          <cell r="O3505" t="str">
            <v/>
          </cell>
          <cell r="AF3505" t="str">
            <v>동절기</v>
          </cell>
        </row>
        <row r="3506">
          <cell r="G3506">
            <v>0</v>
          </cell>
          <cell r="O3506" t="str">
            <v/>
          </cell>
          <cell r="AF3506" t="str">
            <v>동절기</v>
          </cell>
        </row>
        <row r="3507">
          <cell r="G3507">
            <v>0</v>
          </cell>
          <cell r="O3507" t="str">
            <v/>
          </cell>
          <cell r="AF3507" t="str">
            <v>동절기</v>
          </cell>
        </row>
        <row r="3508">
          <cell r="G3508">
            <v>0</v>
          </cell>
          <cell r="O3508" t="str">
            <v/>
          </cell>
          <cell r="AF3508" t="str">
            <v>동절기</v>
          </cell>
        </row>
        <row r="3509">
          <cell r="G3509">
            <v>0</v>
          </cell>
          <cell r="O3509" t="str">
            <v/>
          </cell>
          <cell r="AF3509" t="str">
            <v>동절기</v>
          </cell>
        </row>
        <row r="3510">
          <cell r="G3510">
            <v>0</v>
          </cell>
          <cell r="O3510" t="str">
            <v/>
          </cell>
          <cell r="AF3510" t="str">
            <v>동절기</v>
          </cell>
        </row>
        <row r="3511">
          <cell r="G3511">
            <v>0</v>
          </cell>
          <cell r="O3511" t="str">
            <v/>
          </cell>
          <cell r="AF3511" t="str">
            <v>동절기</v>
          </cell>
        </row>
        <row r="3512">
          <cell r="G3512">
            <v>0</v>
          </cell>
          <cell r="O3512" t="str">
            <v/>
          </cell>
          <cell r="AF3512" t="str">
            <v>동절기</v>
          </cell>
        </row>
        <row r="3513">
          <cell r="G3513">
            <v>0</v>
          </cell>
          <cell r="O3513" t="str">
            <v/>
          </cell>
          <cell r="AF3513" t="str">
            <v>동절기</v>
          </cell>
        </row>
        <row r="3514">
          <cell r="G3514">
            <v>0</v>
          </cell>
          <cell r="O3514" t="str">
            <v/>
          </cell>
          <cell r="AF3514" t="str">
            <v>동절기</v>
          </cell>
        </row>
        <row r="3515">
          <cell r="G3515">
            <v>0</v>
          </cell>
          <cell r="O3515" t="str">
            <v/>
          </cell>
          <cell r="AF3515" t="str">
            <v>동절기</v>
          </cell>
        </row>
        <row r="3516">
          <cell r="G3516">
            <v>0</v>
          </cell>
          <cell r="O3516" t="str">
            <v/>
          </cell>
          <cell r="AF3516" t="str">
            <v>동절기</v>
          </cell>
        </row>
        <row r="3517">
          <cell r="G3517">
            <v>0</v>
          </cell>
          <cell r="O3517" t="str">
            <v/>
          </cell>
          <cell r="AF3517" t="str">
            <v>동절기</v>
          </cell>
        </row>
        <row r="3518">
          <cell r="G3518">
            <v>0</v>
          </cell>
          <cell r="O3518" t="str">
            <v/>
          </cell>
          <cell r="AF3518" t="str">
            <v>동절기</v>
          </cell>
        </row>
        <row r="3519">
          <cell r="G3519">
            <v>0</v>
          </cell>
          <cell r="O3519" t="str">
            <v/>
          </cell>
          <cell r="AF3519" t="str">
            <v>동절기</v>
          </cell>
        </row>
        <row r="3520">
          <cell r="G3520">
            <v>0</v>
          </cell>
          <cell r="O3520" t="str">
            <v/>
          </cell>
          <cell r="AF3520" t="str">
            <v>동절기</v>
          </cell>
        </row>
        <row r="3521">
          <cell r="G3521">
            <v>0</v>
          </cell>
          <cell r="O3521" t="str">
            <v/>
          </cell>
          <cell r="AF3521" t="str">
            <v>동절기</v>
          </cell>
        </row>
        <row r="3522">
          <cell r="G3522">
            <v>0</v>
          </cell>
          <cell r="O3522" t="str">
            <v/>
          </cell>
          <cell r="AF3522" t="str">
            <v>동절기</v>
          </cell>
        </row>
        <row r="3523">
          <cell r="G3523">
            <v>0</v>
          </cell>
          <cell r="O3523" t="str">
            <v/>
          </cell>
          <cell r="AF3523" t="str">
            <v>동절기</v>
          </cell>
        </row>
        <row r="3524">
          <cell r="G3524">
            <v>0</v>
          </cell>
          <cell r="O3524" t="str">
            <v/>
          </cell>
          <cell r="AF3524" t="str">
            <v>동절기</v>
          </cell>
        </row>
        <row r="3525">
          <cell r="G3525">
            <v>0</v>
          </cell>
          <cell r="O3525" t="str">
            <v/>
          </cell>
          <cell r="AF3525" t="str">
            <v>동절기</v>
          </cell>
        </row>
        <row r="3526">
          <cell r="G3526">
            <v>0</v>
          </cell>
          <cell r="O3526" t="str">
            <v/>
          </cell>
          <cell r="AF3526" t="str">
            <v>동절기</v>
          </cell>
        </row>
        <row r="3527">
          <cell r="G3527">
            <v>0</v>
          </cell>
          <cell r="O3527" t="str">
            <v/>
          </cell>
          <cell r="AF3527" t="str">
            <v>동절기</v>
          </cell>
        </row>
        <row r="3528">
          <cell r="G3528">
            <v>0</v>
          </cell>
          <cell r="O3528" t="str">
            <v/>
          </cell>
          <cell r="AF3528" t="str">
            <v>동절기</v>
          </cell>
        </row>
        <row r="3529">
          <cell r="G3529">
            <v>0</v>
          </cell>
          <cell r="O3529" t="str">
            <v/>
          </cell>
          <cell r="AF3529" t="str">
            <v>동절기</v>
          </cell>
        </row>
        <row r="3530">
          <cell r="G3530">
            <v>0</v>
          </cell>
          <cell r="O3530" t="str">
            <v/>
          </cell>
          <cell r="AF3530" t="str">
            <v>동절기</v>
          </cell>
        </row>
        <row r="3531">
          <cell r="G3531">
            <v>0</v>
          </cell>
          <cell r="O3531" t="str">
            <v/>
          </cell>
          <cell r="AF3531" t="str">
            <v>동절기</v>
          </cell>
        </row>
        <row r="3532">
          <cell r="G3532">
            <v>0</v>
          </cell>
          <cell r="O3532" t="str">
            <v/>
          </cell>
          <cell r="AF3532" t="str">
            <v>동절기</v>
          </cell>
        </row>
        <row r="3533">
          <cell r="G3533">
            <v>0</v>
          </cell>
          <cell r="O3533" t="str">
            <v/>
          </cell>
          <cell r="AF3533" t="str">
            <v>동절기</v>
          </cell>
        </row>
        <row r="3534">
          <cell r="G3534">
            <v>0</v>
          </cell>
          <cell r="O3534" t="str">
            <v/>
          </cell>
          <cell r="AF3534" t="str">
            <v>동절기</v>
          </cell>
        </row>
        <row r="3535">
          <cell r="G3535">
            <v>0</v>
          </cell>
          <cell r="O3535" t="str">
            <v/>
          </cell>
          <cell r="AF3535" t="str">
            <v>동절기</v>
          </cell>
        </row>
        <row r="3536">
          <cell r="G3536">
            <v>0</v>
          </cell>
          <cell r="O3536" t="str">
            <v/>
          </cell>
          <cell r="AF3536" t="str">
            <v>동절기</v>
          </cell>
        </row>
        <row r="3537">
          <cell r="G3537">
            <v>0</v>
          </cell>
          <cell r="O3537" t="str">
            <v/>
          </cell>
          <cell r="AF3537" t="str">
            <v>동절기</v>
          </cell>
        </row>
        <row r="3538">
          <cell r="G3538">
            <v>0</v>
          </cell>
          <cell r="O3538" t="str">
            <v/>
          </cell>
          <cell r="AF3538" t="str">
            <v>동절기</v>
          </cell>
        </row>
        <row r="3539">
          <cell r="G3539">
            <v>0</v>
          </cell>
          <cell r="O3539" t="str">
            <v/>
          </cell>
          <cell r="AF3539" t="str">
            <v>동절기</v>
          </cell>
        </row>
        <row r="3540">
          <cell r="G3540">
            <v>0</v>
          </cell>
          <cell r="O3540" t="str">
            <v/>
          </cell>
          <cell r="AF3540" t="str">
            <v>동절기</v>
          </cell>
        </row>
        <row r="3541">
          <cell r="G3541">
            <v>0</v>
          </cell>
          <cell r="O3541" t="str">
            <v/>
          </cell>
          <cell r="AF3541" t="str">
            <v>동절기</v>
          </cell>
        </row>
        <row r="3542">
          <cell r="G3542">
            <v>0</v>
          </cell>
          <cell r="O3542" t="str">
            <v/>
          </cell>
          <cell r="AF3542" t="str">
            <v>동절기</v>
          </cell>
        </row>
        <row r="3543">
          <cell r="G3543">
            <v>0</v>
          </cell>
          <cell r="O3543" t="str">
            <v/>
          </cell>
          <cell r="AF3543" t="str">
            <v>동절기</v>
          </cell>
        </row>
        <row r="3544">
          <cell r="G3544">
            <v>0</v>
          </cell>
          <cell r="O3544" t="str">
            <v/>
          </cell>
          <cell r="AF3544" t="str">
            <v>동절기</v>
          </cell>
        </row>
        <row r="3545">
          <cell r="G3545">
            <v>0</v>
          </cell>
          <cell r="O3545" t="str">
            <v/>
          </cell>
          <cell r="AF3545" t="str">
            <v>동절기</v>
          </cell>
        </row>
        <row r="3546">
          <cell r="G3546">
            <v>0</v>
          </cell>
          <cell r="O3546" t="str">
            <v/>
          </cell>
          <cell r="AF3546" t="str">
            <v>동절기</v>
          </cell>
        </row>
        <row r="3547">
          <cell r="G3547">
            <v>0</v>
          </cell>
          <cell r="O3547" t="str">
            <v/>
          </cell>
          <cell r="AF3547" t="str">
            <v>동절기</v>
          </cell>
        </row>
        <row r="3548">
          <cell r="G3548">
            <v>0</v>
          </cell>
          <cell r="O3548" t="str">
            <v/>
          </cell>
          <cell r="AF3548" t="str">
            <v>동절기</v>
          </cell>
        </row>
        <row r="3549">
          <cell r="G3549">
            <v>0</v>
          </cell>
          <cell r="O3549" t="str">
            <v/>
          </cell>
          <cell r="AF3549" t="str">
            <v>동절기</v>
          </cell>
        </row>
        <row r="3550">
          <cell r="G3550">
            <v>0</v>
          </cell>
          <cell r="O3550" t="str">
            <v/>
          </cell>
          <cell r="AF3550" t="str">
            <v>동절기</v>
          </cell>
        </row>
        <row r="3551">
          <cell r="G3551">
            <v>0</v>
          </cell>
          <cell r="O3551" t="str">
            <v/>
          </cell>
          <cell r="AF3551" t="str">
            <v>동절기</v>
          </cell>
        </row>
        <row r="3552">
          <cell r="G3552">
            <v>0</v>
          </cell>
          <cell r="O3552" t="str">
            <v/>
          </cell>
          <cell r="AF3552" t="str">
            <v>동절기</v>
          </cell>
        </row>
        <row r="3553">
          <cell r="G3553">
            <v>0</v>
          </cell>
          <cell r="O3553" t="str">
            <v/>
          </cell>
          <cell r="AF3553" t="str">
            <v>동절기</v>
          </cell>
        </row>
        <row r="3554">
          <cell r="G3554">
            <v>0</v>
          </cell>
          <cell r="O3554" t="str">
            <v/>
          </cell>
          <cell r="AF3554" t="str">
            <v>동절기</v>
          </cell>
        </row>
        <row r="3555">
          <cell r="G3555">
            <v>0</v>
          </cell>
          <cell r="O3555" t="str">
            <v/>
          </cell>
          <cell r="AF3555" t="str">
            <v>동절기</v>
          </cell>
        </row>
        <row r="3556">
          <cell r="G3556">
            <v>0</v>
          </cell>
          <cell r="O3556" t="str">
            <v/>
          </cell>
          <cell r="AF3556" t="str">
            <v>동절기</v>
          </cell>
        </row>
        <row r="3557">
          <cell r="G3557">
            <v>0</v>
          </cell>
          <cell r="O3557" t="str">
            <v/>
          </cell>
          <cell r="AF3557" t="str">
            <v>동절기</v>
          </cell>
        </row>
        <row r="3558">
          <cell r="G3558">
            <v>0</v>
          </cell>
          <cell r="O3558" t="str">
            <v/>
          </cell>
          <cell r="AF3558" t="str">
            <v>동절기</v>
          </cell>
        </row>
        <row r="3559">
          <cell r="G3559">
            <v>0</v>
          </cell>
          <cell r="O3559" t="str">
            <v/>
          </cell>
          <cell r="AF3559" t="str">
            <v>동절기</v>
          </cell>
        </row>
        <row r="3560">
          <cell r="G3560">
            <v>0</v>
          </cell>
          <cell r="O3560" t="str">
            <v/>
          </cell>
          <cell r="AF3560" t="str">
            <v>동절기</v>
          </cell>
        </row>
        <row r="3561">
          <cell r="G3561">
            <v>0</v>
          </cell>
          <cell r="O3561" t="str">
            <v/>
          </cell>
          <cell r="AF3561" t="str">
            <v>동절기</v>
          </cell>
        </row>
        <row r="3562">
          <cell r="G3562">
            <v>0</v>
          </cell>
          <cell r="O3562" t="str">
            <v/>
          </cell>
          <cell r="AF3562" t="str">
            <v>동절기</v>
          </cell>
        </row>
        <row r="3563">
          <cell r="G3563">
            <v>0</v>
          </cell>
          <cell r="O3563" t="str">
            <v/>
          </cell>
          <cell r="AF3563" t="str">
            <v>동절기</v>
          </cell>
        </row>
        <row r="3564">
          <cell r="G3564">
            <v>0</v>
          </cell>
          <cell r="O3564" t="str">
            <v/>
          </cell>
          <cell r="AF3564" t="str">
            <v>동절기</v>
          </cell>
        </row>
        <row r="3565">
          <cell r="G3565">
            <v>0</v>
          </cell>
          <cell r="O3565" t="str">
            <v/>
          </cell>
          <cell r="AF3565" t="str">
            <v>동절기</v>
          </cell>
        </row>
        <row r="3566">
          <cell r="G3566">
            <v>0</v>
          </cell>
          <cell r="O3566" t="str">
            <v/>
          </cell>
          <cell r="AF3566" t="str">
            <v>동절기</v>
          </cell>
        </row>
        <row r="3567">
          <cell r="G3567">
            <v>0</v>
          </cell>
          <cell r="O3567" t="str">
            <v/>
          </cell>
          <cell r="AF3567" t="str">
            <v>동절기</v>
          </cell>
        </row>
        <row r="3568">
          <cell r="G3568">
            <v>0</v>
          </cell>
          <cell r="O3568" t="str">
            <v/>
          </cell>
          <cell r="AF3568" t="str">
            <v>동절기</v>
          </cell>
        </row>
        <row r="3569">
          <cell r="G3569">
            <v>0</v>
          </cell>
          <cell r="O3569" t="str">
            <v/>
          </cell>
          <cell r="AF3569" t="str">
            <v>동절기</v>
          </cell>
        </row>
        <row r="3570">
          <cell r="G3570">
            <v>0</v>
          </cell>
          <cell r="O3570" t="str">
            <v/>
          </cell>
          <cell r="AF3570" t="str">
            <v>동절기</v>
          </cell>
        </row>
        <row r="3571">
          <cell r="G3571">
            <v>0</v>
          </cell>
          <cell r="O3571" t="str">
            <v/>
          </cell>
          <cell r="AF3571" t="str">
            <v>동절기</v>
          </cell>
        </row>
        <row r="3572">
          <cell r="G3572">
            <v>0</v>
          </cell>
          <cell r="O3572" t="str">
            <v/>
          </cell>
          <cell r="AF3572" t="str">
            <v>동절기</v>
          </cell>
        </row>
        <row r="3573">
          <cell r="G3573">
            <v>0</v>
          </cell>
          <cell r="O3573" t="str">
            <v/>
          </cell>
          <cell r="AF3573" t="str">
            <v>동절기</v>
          </cell>
        </row>
        <row r="3574">
          <cell r="G3574">
            <v>0</v>
          </cell>
          <cell r="O3574" t="str">
            <v/>
          </cell>
          <cell r="AF3574" t="str">
            <v>동절기</v>
          </cell>
        </row>
        <row r="3575">
          <cell r="G3575">
            <v>0</v>
          </cell>
          <cell r="O3575" t="str">
            <v/>
          </cell>
          <cell r="AF3575" t="str">
            <v>동절기</v>
          </cell>
        </row>
        <row r="3576">
          <cell r="G3576">
            <v>0</v>
          </cell>
          <cell r="O3576" t="str">
            <v/>
          </cell>
          <cell r="AF3576" t="str">
            <v>동절기</v>
          </cell>
        </row>
        <row r="3577">
          <cell r="G3577">
            <v>0</v>
          </cell>
          <cell r="O3577" t="str">
            <v/>
          </cell>
          <cell r="AF3577" t="str">
            <v>동절기</v>
          </cell>
        </row>
        <row r="3578">
          <cell r="G3578">
            <v>0</v>
          </cell>
          <cell r="O3578" t="str">
            <v/>
          </cell>
          <cell r="AF3578" t="str">
            <v>동절기</v>
          </cell>
        </row>
        <row r="3579">
          <cell r="G3579">
            <v>0</v>
          </cell>
          <cell r="O3579" t="str">
            <v/>
          </cell>
          <cell r="AF3579" t="str">
            <v>동절기</v>
          </cell>
        </row>
        <row r="3580">
          <cell r="G3580">
            <v>0</v>
          </cell>
          <cell r="O3580" t="str">
            <v/>
          </cell>
          <cell r="AF3580" t="str">
            <v>동절기</v>
          </cell>
        </row>
        <row r="3581">
          <cell r="G3581">
            <v>0</v>
          </cell>
          <cell r="O3581" t="str">
            <v/>
          </cell>
          <cell r="AF3581" t="str">
            <v>동절기</v>
          </cell>
        </row>
        <row r="3582">
          <cell r="G3582">
            <v>0</v>
          </cell>
          <cell r="O3582" t="str">
            <v/>
          </cell>
          <cell r="AF3582" t="str">
            <v>동절기</v>
          </cell>
        </row>
        <row r="3583">
          <cell r="G3583">
            <v>0</v>
          </cell>
          <cell r="O3583" t="str">
            <v/>
          </cell>
          <cell r="AF3583" t="str">
            <v>동절기</v>
          </cell>
        </row>
        <row r="3584">
          <cell r="G3584">
            <v>0</v>
          </cell>
          <cell r="O3584" t="str">
            <v/>
          </cell>
          <cell r="AF3584" t="str">
            <v>동절기</v>
          </cell>
        </row>
        <row r="3585">
          <cell r="G3585">
            <v>0</v>
          </cell>
          <cell r="O3585" t="str">
            <v/>
          </cell>
          <cell r="AF3585" t="str">
            <v>동절기</v>
          </cell>
        </row>
        <row r="3586">
          <cell r="G3586">
            <v>0</v>
          </cell>
          <cell r="O3586" t="str">
            <v/>
          </cell>
          <cell r="AF3586" t="str">
            <v>동절기</v>
          </cell>
        </row>
        <row r="3587">
          <cell r="G3587">
            <v>0</v>
          </cell>
          <cell r="O3587" t="str">
            <v/>
          </cell>
          <cell r="AF3587" t="str">
            <v>동절기</v>
          </cell>
        </row>
        <row r="3588">
          <cell r="G3588">
            <v>0</v>
          </cell>
          <cell r="O3588" t="str">
            <v/>
          </cell>
          <cell r="AF3588" t="str">
            <v>동절기</v>
          </cell>
        </row>
        <row r="3589">
          <cell r="G3589">
            <v>0</v>
          </cell>
          <cell r="O3589" t="str">
            <v/>
          </cell>
          <cell r="AF3589" t="str">
            <v>동절기</v>
          </cell>
        </row>
        <row r="3590">
          <cell r="G3590">
            <v>0</v>
          </cell>
          <cell r="O3590" t="str">
            <v/>
          </cell>
          <cell r="AF3590" t="str">
            <v>동절기</v>
          </cell>
        </row>
        <row r="3591">
          <cell r="G3591">
            <v>0</v>
          </cell>
          <cell r="O3591" t="str">
            <v/>
          </cell>
          <cell r="AF3591" t="str">
            <v>동절기</v>
          </cell>
        </row>
        <row r="3592">
          <cell r="G3592">
            <v>0</v>
          </cell>
          <cell r="O3592" t="str">
            <v/>
          </cell>
          <cell r="AF3592" t="str">
            <v>동절기</v>
          </cell>
        </row>
        <row r="3593">
          <cell r="G3593">
            <v>0</v>
          </cell>
          <cell r="O3593" t="str">
            <v/>
          </cell>
          <cell r="AF3593" t="str">
            <v>동절기</v>
          </cell>
        </row>
        <row r="3594">
          <cell r="G3594">
            <v>0</v>
          </cell>
          <cell r="O3594" t="str">
            <v/>
          </cell>
          <cell r="AF3594" t="str">
            <v>동절기</v>
          </cell>
        </row>
        <row r="3595">
          <cell r="G3595">
            <v>0</v>
          </cell>
          <cell r="O3595" t="str">
            <v/>
          </cell>
          <cell r="AF3595" t="str">
            <v>동절기</v>
          </cell>
        </row>
        <row r="3596">
          <cell r="G3596">
            <v>0</v>
          </cell>
          <cell r="O3596" t="str">
            <v/>
          </cell>
          <cell r="AF3596" t="str">
            <v>동절기</v>
          </cell>
        </row>
        <row r="3597">
          <cell r="G3597">
            <v>0</v>
          </cell>
          <cell r="O3597" t="str">
            <v/>
          </cell>
          <cell r="AF3597" t="str">
            <v>동절기</v>
          </cell>
        </row>
        <row r="3598">
          <cell r="G3598">
            <v>0</v>
          </cell>
          <cell r="O3598" t="str">
            <v/>
          </cell>
          <cell r="AF3598" t="str">
            <v>동절기</v>
          </cell>
        </row>
        <row r="3599">
          <cell r="G3599">
            <v>0</v>
          </cell>
          <cell r="O3599" t="str">
            <v/>
          </cell>
          <cell r="AF3599" t="str">
            <v>동절기</v>
          </cell>
        </row>
        <row r="3600">
          <cell r="G3600">
            <v>0</v>
          </cell>
          <cell r="O3600" t="str">
            <v/>
          </cell>
          <cell r="AF3600" t="str">
            <v>동절기</v>
          </cell>
        </row>
        <row r="3601">
          <cell r="G3601">
            <v>0</v>
          </cell>
          <cell r="O3601" t="str">
            <v/>
          </cell>
          <cell r="AF3601" t="str">
            <v>동절기</v>
          </cell>
        </row>
        <row r="3602">
          <cell r="G3602">
            <v>0</v>
          </cell>
          <cell r="O3602" t="str">
            <v/>
          </cell>
          <cell r="AF3602" t="str">
            <v>동절기</v>
          </cell>
        </row>
        <row r="3603">
          <cell r="G3603">
            <v>0</v>
          </cell>
          <cell r="O3603" t="str">
            <v/>
          </cell>
          <cell r="AF3603" t="str">
            <v>동절기</v>
          </cell>
        </row>
        <row r="3604">
          <cell r="G3604">
            <v>0</v>
          </cell>
          <cell r="O3604" t="str">
            <v/>
          </cell>
          <cell r="AF3604" t="str">
            <v>동절기</v>
          </cell>
        </row>
        <row r="3605">
          <cell r="G3605">
            <v>0</v>
          </cell>
          <cell r="O3605" t="str">
            <v/>
          </cell>
          <cell r="AF3605" t="str">
            <v>동절기</v>
          </cell>
        </row>
        <row r="3606">
          <cell r="G3606">
            <v>0</v>
          </cell>
          <cell r="O3606" t="str">
            <v/>
          </cell>
          <cell r="AF3606" t="str">
            <v>동절기</v>
          </cell>
        </row>
        <row r="3607">
          <cell r="G3607">
            <v>0</v>
          </cell>
          <cell r="O3607" t="str">
            <v/>
          </cell>
          <cell r="AF3607" t="str">
            <v>동절기</v>
          </cell>
        </row>
        <row r="3608">
          <cell r="G3608">
            <v>0</v>
          </cell>
          <cell r="O3608" t="str">
            <v/>
          </cell>
          <cell r="AF3608" t="str">
            <v>동절기</v>
          </cell>
        </row>
        <row r="3609">
          <cell r="G3609">
            <v>0</v>
          </cell>
          <cell r="O3609" t="str">
            <v/>
          </cell>
          <cell r="AF3609" t="str">
            <v>동절기</v>
          </cell>
        </row>
        <row r="3610">
          <cell r="G3610">
            <v>0</v>
          </cell>
          <cell r="O3610" t="str">
            <v/>
          </cell>
          <cell r="AF3610" t="str">
            <v>동절기</v>
          </cell>
        </row>
        <row r="3611">
          <cell r="G3611">
            <v>0</v>
          </cell>
          <cell r="O3611" t="str">
            <v/>
          </cell>
          <cell r="AF3611" t="str">
            <v>동절기</v>
          </cell>
        </row>
        <row r="3612">
          <cell r="G3612">
            <v>0</v>
          </cell>
          <cell r="O3612" t="str">
            <v/>
          </cell>
          <cell r="AF3612" t="str">
            <v>동절기</v>
          </cell>
        </row>
        <row r="3613">
          <cell r="G3613">
            <v>0</v>
          </cell>
          <cell r="O3613" t="str">
            <v/>
          </cell>
          <cell r="AF3613" t="str">
            <v>동절기</v>
          </cell>
        </row>
        <row r="3614">
          <cell r="G3614">
            <v>0</v>
          </cell>
          <cell r="O3614" t="str">
            <v/>
          </cell>
          <cell r="AF3614" t="str">
            <v>동절기</v>
          </cell>
        </row>
        <row r="3615">
          <cell r="G3615">
            <v>0</v>
          </cell>
          <cell r="O3615" t="str">
            <v/>
          </cell>
          <cell r="AF3615" t="str">
            <v>동절기</v>
          </cell>
        </row>
        <row r="3616">
          <cell r="G3616">
            <v>0</v>
          </cell>
          <cell r="O3616" t="str">
            <v/>
          </cell>
          <cell r="AF3616" t="str">
            <v>동절기</v>
          </cell>
        </row>
        <row r="3617">
          <cell r="G3617">
            <v>0</v>
          </cell>
          <cell r="O3617" t="str">
            <v/>
          </cell>
          <cell r="AF3617" t="str">
            <v>동절기</v>
          </cell>
        </row>
        <row r="3618">
          <cell r="G3618">
            <v>0</v>
          </cell>
          <cell r="O3618" t="str">
            <v/>
          </cell>
          <cell r="AF3618" t="str">
            <v>동절기</v>
          </cell>
        </row>
        <row r="3619">
          <cell r="G3619">
            <v>0</v>
          </cell>
          <cell r="O3619" t="str">
            <v/>
          </cell>
          <cell r="AF3619" t="str">
            <v>동절기</v>
          </cell>
        </row>
        <row r="3620">
          <cell r="G3620">
            <v>0</v>
          </cell>
          <cell r="O3620" t="str">
            <v/>
          </cell>
          <cell r="AF3620" t="str">
            <v>동절기</v>
          </cell>
        </row>
        <row r="3621">
          <cell r="G3621">
            <v>0</v>
          </cell>
          <cell r="O3621" t="str">
            <v/>
          </cell>
          <cell r="AF3621" t="str">
            <v>동절기</v>
          </cell>
        </row>
        <row r="3622">
          <cell r="G3622">
            <v>0</v>
          </cell>
          <cell r="O3622" t="str">
            <v/>
          </cell>
          <cell r="AF3622" t="str">
            <v>동절기</v>
          </cell>
        </row>
        <row r="3623">
          <cell r="G3623">
            <v>0</v>
          </cell>
          <cell r="O3623" t="str">
            <v/>
          </cell>
          <cell r="AF3623" t="str">
            <v>동절기</v>
          </cell>
        </row>
        <row r="3624">
          <cell r="G3624">
            <v>0</v>
          </cell>
          <cell r="O3624" t="str">
            <v/>
          </cell>
          <cell r="AF3624" t="str">
            <v>동절기</v>
          </cell>
        </row>
        <row r="3625">
          <cell r="G3625">
            <v>0</v>
          </cell>
          <cell r="O3625" t="str">
            <v/>
          </cell>
          <cell r="AF3625" t="str">
            <v>동절기</v>
          </cell>
        </row>
        <row r="3626">
          <cell r="G3626">
            <v>0</v>
          </cell>
          <cell r="O3626" t="str">
            <v/>
          </cell>
          <cell r="AF3626" t="str">
            <v>동절기</v>
          </cell>
        </row>
        <row r="3627">
          <cell r="G3627">
            <v>0</v>
          </cell>
          <cell r="O3627" t="str">
            <v/>
          </cell>
          <cell r="AF3627" t="str">
            <v>동절기</v>
          </cell>
        </row>
        <row r="3628">
          <cell r="G3628">
            <v>0</v>
          </cell>
          <cell r="O3628" t="str">
            <v/>
          </cell>
          <cell r="AF3628" t="str">
            <v>동절기</v>
          </cell>
        </row>
        <row r="3629">
          <cell r="G3629">
            <v>0</v>
          </cell>
          <cell r="O3629" t="str">
            <v/>
          </cell>
          <cell r="AF3629" t="str">
            <v>동절기</v>
          </cell>
        </row>
        <row r="3630">
          <cell r="G3630">
            <v>0</v>
          </cell>
          <cell r="O3630" t="str">
            <v/>
          </cell>
          <cell r="AF3630" t="str">
            <v>동절기</v>
          </cell>
        </row>
        <row r="3631">
          <cell r="G3631">
            <v>0</v>
          </cell>
          <cell r="O3631" t="str">
            <v/>
          </cell>
          <cell r="AF3631" t="str">
            <v>동절기</v>
          </cell>
        </row>
        <row r="3632">
          <cell r="G3632">
            <v>0</v>
          </cell>
          <cell r="O3632" t="str">
            <v/>
          </cell>
          <cell r="AF3632" t="str">
            <v>동절기</v>
          </cell>
        </row>
        <row r="3633">
          <cell r="G3633">
            <v>0</v>
          </cell>
          <cell r="O3633" t="str">
            <v/>
          </cell>
          <cell r="AF3633" t="str">
            <v>동절기</v>
          </cell>
        </row>
        <row r="3634">
          <cell r="G3634">
            <v>0</v>
          </cell>
          <cell r="O3634" t="str">
            <v/>
          </cell>
          <cell r="AF3634" t="str">
            <v>동절기</v>
          </cell>
        </row>
        <row r="3635">
          <cell r="G3635">
            <v>0</v>
          </cell>
          <cell r="O3635" t="str">
            <v/>
          </cell>
          <cell r="AF3635" t="str">
            <v>동절기</v>
          </cell>
        </row>
        <row r="3636">
          <cell r="G3636">
            <v>0</v>
          </cell>
          <cell r="O3636" t="str">
            <v/>
          </cell>
          <cell r="AF3636" t="str">
            <v>동절기</v>
          </cell>
        </row>
        <row r="3637">
          <cell r="G3637">
            <v>0</v>
          </cell>
          <cell r="O3637" t="str">
            <v/>
          </cell>
          <cell r="AF3637" t="str">
            <v>동절기</v>
          </cell>
        </row>
        <row r="3638">
          <cell r="G3638">
            <v>0</v>
          </cell>
          <cell r="O3638" t="str">
            <v/>
          </cell>
          <cell r="AF3638" t="str">
            <v>동절기</v>
          </cell>
        </row>
        <row r="3639">
          <cell r="G3639">
            <v>0</v>
          </cell>
          <cell r="O3639" t="str">
            <v/>
          </cell>
          <cell r="AF3639" t="str">
            <v>동절기</v>
          </cell>
        </row>
        <row r="3640">
          <cell r="G3640">
            <v>0</v>
          </cell>
          <cell r="O3640" t="str">
            <v/>
          </cell>
          <cell r="AF3640" t="str">
            <v>동절기</v>
          </cell>
        </row>
        <row r="3641">
          <cell r="G3641">
            <v>0</v>
          </cell>
          <cell r="O3641" t="str">
            <v/>
          </cell>
          <cell r="AF3641" t="str">
            <v>동절기</v>
          </cell>
        </row>
        <row r="3642">
          <cell r="G3642">
            <v>0</v>
          </cell>
          <cell r="O3642" t="str">
            <v/>
          </cell>
          <cell r="AF3642" t="str">
            <v>동절기</v>
          </cell>
        </row>
        <row r="3643">
          <cell r="G3643">
            <v>0</v>
          </cell>
          <cell r="O3643" t="str">
            <v/>
          </cell>
          <cell r="AF3643" t="str">
            <v>동절기</v>
          </cell>
        </row>
        <row r="3644">
          <cell r="G3644">
            <v>0</v>
          </cell>
          <cell r="O3644" t="str">
            <v/>
          </cell>
          <cell r="AF3644" t="str">
            <v>동절기</v>
          </cell>
        </row>
        <row r="3645">
          <cell r="G3645">
            <v>0</v>
          </cell>
          <cell r="O3645" t="str">
            <v/>
          </cell>
          <cell r="AF3645" t="str">
            <v>동절기</v>
          </cell>
        </row>
        <row r="3646">
          <cell r="G3646">
            <v>0</v>
          </cell>
          <cell r="O3646" t="str">
            <v/>
          </cell>
          <cell r="AF3646" t="str">
            <v>동절기</v>
          </cell>
        </row>
        <row r="3647">
          <cell r="G3647">
            <v>0</v>
          </cell>
          <cell r="O3647" t="str">
            <v/>
          </cell>
          <cell r="AF3647" t="str">
            <v>동절기</v>
          </cell>
        </row>
        <row r="3648">
          <cell r="G3648">
            <v>0</v>
          </cell>
          <cell r="O3648" t="str">
            <v/>
          </cell>
          <cell r="AF3648" t="str">
            <v>동절기</v>
          </cell>
        </row>
        <row r="3649">
          <cell r="G3649">
            <v>0</v>
          </cell>
          <cell r="O3649" t="str">
            <v/>
          </cell>
          <cell r="AF3649" t="str">
            <v>동절기</v>
          </cell>
        </row>
        <row r="3650">
          <cell r="G3650">
            <v>0</v>
          </cell>
          <cell r="O3650" t="str">
            <v/>
          </cell>
          <cell r="AF3650" t="str">
            <v>동절기</v>
          </cell>
        </row>
        <row r="3651">
          <cell r="G3651">
            <v>0</v>
          </cell>
          <cell r="O3651" t="str">
            <v/>
          </cell>
          <cell r="AF3651" t="str">
            <v>동절기</v>
          </cell>
        </row>
        <row r="3652">
          <cell r="G3652">
            <v>0</v>
          </cell>
          <cell r="O3652" t="str">
            <v/>
          </cell>
          <cell r="AF3652" t="str">
            <v>동절기</v>
          </cell>
        </row>
        <row r="3653">
          <cell r="G3653">
            <v>0</v>
          </cell>
          <cell r="O3653" t="str">
            <v/>
          </cell>
          <cell r="AF3653" t="str">
            <v>동절기</v>
          </cell>
        </row>
        <row r="3654">
          <cell r="G3654">
            <v>0</v>
          </cell>
          <cell r="O3654" t="str">
            <v/>
          </cell>
          <cell r="AF3654" t="str">
            <v>동절기</v>
          </cell>
        </row>
        <row r="3655">
          <cell r="G3655">
            <v>0</v>
          </cell>
          <cell r="O3655" t="str">
            <v/>
          </cell>
          <cell r="AF3655" t="str">
            <v>동절기</v>
          </cell>
        </row>
        <row r="3656">
          <cell r="G3656">
            <v>0</v>
          </cell>
          <cell r="O3656" t="str">
            <v/>
          </cell>
          <cell r="AF3656" t="str">
            <v>동절기</v>
          </cell>
        </row>
        <row r="3657">
          <cell r="G3657">
            <v>0</v>
          </cell>
          <cell r="O3657" t="str">
            <v/>
          </cell>
          <cell r="AF3657" t="str">
            <v>동절기</v>
          </cell>
        </row>
        <row r="3658">
          <cell r="G3658">
            <v>0</v>
          </cell>
          <cell r="O3658" t="str">
            <v/>
          </cell>
          <cell r="AF3658" t="str">
            <v>동절기</v>
          </cell>
        </row>
        <row r="3659">
          <cell r="G3659">
            <v>0</v>
          </cell>
          <cell r="O3659" t="str">
            <v/>
          </cell>
          <cell r="AF3659" t="str">
            <v>동절기</v>
          </cell>
        </row>
        <row r="3660">
          <cell r="G3660">
            <v>0</v>
          </cell>
          <cell r="O3660" t="str">
            <v/>
          </cell>
          <cell r="AF3660" t="str">
            <v>동절기</v>
          </cell>
        </row>
        <row r="3661">
          <cell r="G3661">
            <v>0</v>
          </cell>
          <cell r="O3661" t="str">
            <v/>
          </cell>
          <cell r="AF3661" t="str">
            <v>동절기</v>
          </cell>
        </row>
        <row r="3662">
          <cell r="G3662">
            <v>0</v>
          </cell>
          <cell r="O3662" t="str">
            <v/>
          </cell>
          <cell r="AF3662" t="str">
            <v>동절기</v>
          </cell>
        </row>
        <row r="3663">
          <cell r="G3663">
            <v>0</v>
          </cell>
          <cell r="O3663" t="str">
            <v/>
          </cell>
          <cell r="AF3663" t="str">
            <v>동절기</v>
          </cell>
        </row>
        <row r="3664">
          <cell r="G3664">
            <v>0</v>
          </cell>
          <cell r="O3664" t="str">
            <v/>
          </cell>
          <cell r="AF3664" t="str">
            <v>동절기</v>
          </cell>
        </row>
        <row r="3665">
          <cell r="G3665">
            <v>0</v>
          </cell>
          <cell r="O3665" t="str">
            <v/>
          </cell>
          <cell r="AF3665" t="str">
            <v>동절기</v>
          </cell>
        </row>
        <row r="3666">
          <cell r="G3666">
            <v>0</v>
          </cell>
          <cell r="O3666" t="str">
            <v/>
          </cell>
          <cell r="AF3666" t="str">
            <v>동절기</v>
          </cell>
        </row>
        <row r="3667">
          <cell r="G3667">
            <v>0</v>
          </cell>
          <cell r="O3667" t="str">
            <v/>
          </cell>
          <cell r="AF3667" t="str">
            <v>동절기</v>
          </cell>
        </row>
        <row r="3668">
          <cell r="G3668">
            <v>0</v>
          </cell>
          <cell r="O3668" t="str">
            <v/>
          </cell>
          <cell r="AF3668" t="str">
            <v>동절기</v>
          </cell>
        </row>
        <row r="3669">
          <cell r="G3669">
            <v>0</v>
          </cell>
          <cell r="O3669" t="str">
            <v/>
          </cell>
          <cell r="AF3669" t="str">
            <v>동절기</v>
          </cell>
        </row>
        <row r="3670">
          <cell r="G3670">
            <v>0</v>
          </cell>
          <cell r="O3670" t="str">
            <v/>
          </cell>
          <cell r="AF3670" t="str">
            <v>동절기</v>
          </cell>
        </row>
        <row r="3671">
          <cell r="G3671">
            <v>0</v>
          </cell>
          <cell r="O3671" t="str">
            <v/>
          </cell>
          <cell r="AF3671" t="str">
            <v>동절기</v>
          </cell>
        </row>
        <row r="3672">
          <cell r="G3672">
            <v>0</v>
          </cell>
          <cell r="O3672" t="str">
            <v/>
          </cell>
          <cell r="AF3672" t="str">
            <v>동절기</v>
          </cell>
        </row>
        <row r="3673">
          <cell r="G3673">
            <v>0</v>
          </cell>
          <cell r="O3673" t="str">
            <v/>
          </cell>
          <cell r="AF3673" t="str">
            <v>동절기</v>
          </cell>
        </row>
        <row r="3674">
          <cell r="G3674">
            <v>0</v>
          </cell>
          <cell r="O3674" t="str">
            <v/>
          </cell>
          <cell r="AF3674" t="str">
            <v>동절기</v>
          </cell>
        </row>
        <row r="3675">
          <cell r="G3675">
            <v>0</v>
          </cell>
          <cell r="O3675" t="str">
            <v/>
          </cell>
          <cell r="AF3675" t="str">
            <v>동절기</v>
          </cell>
        </row>
        <row r="3676">
          <cell r="G3676">
            <v>0</v>
          </cell>
          <cell r="O3676" t="str">
            <v/>
          </cell>
          <cell r="AF3676" t="str">
            <v>동절기</v>
          </cell>
        </row>
        <row r="3677">
          <cell r="G3677">
            <v>0</v>
          </cell>
          <cell r="O3677" t="str">
            <v/>
          </cell>
          <cell r="AF3677" t="str">
            <v>동절기</v>
          </cell>
        </row>
        <row r="3678">
          <cell r="G3678">
            <v>0</v>
          </cell>
          <cell r="O3678" t="str">
            <v/>
          </cell>
          <cell r="AF3678" t="str">
            <v>동절기</v>
          </cell>
        </row>
        <row r="3679">
          <cell r="G3679">
            <v>0</v>
          </cell>
          <cell r="O3679" t="str">
            <v/>
          </cell>
          <cell r="AF3679" t="str">
            <v>동절기</v>
          </cell>
        </row>
        <row r="3680">
          <cell r="G3680">
            <v>0</v>
          </cell>
          <cell r="O3680" t="str">
            <v/>
          </cell>
          <cell r="AF3680" t="str">
            <v>동절기</v>
          </cell>
        </row>
        <row r="3681">
          <cell r="G3681">
            <v>0</v>
          </cell>
          <cell r="O3681" t="str">
            <v/>
          </cell>
          <cell r="AF3681" t="str">
            <v>동절기</v>
          </cell>
        </row>
        <row r="3682">
          <cell r="G3682">
            <v>0</v>
          </cell>
          <cell r="O3682" t="str">
            <v/>
          </cell>
          <cell r="AF3682" t="str">
            <v>동절기</v>
          </cell>
        </row>
        <row r="3683">
          <cell r="G3683">
            <v>0</v>
          </cell>
          <cell r="O3683" t="str">
            <v/>
          </cell>
          <cell r="AF3683" t="str">
            <v>동절기</v>
          </cell>
        </row>
        <row r="3684">
          <cell r="G3684">
            <v>0</v>
          </cell>
          <cell r="O3684" t="str">
            <v/>
          </cell>
          <cell r="AF3684" t="str">
            <v>동절기</v>
          </cell>
        </row>
        <row r="3685">
          <cell r="G3685">
            <v>0</v>
          </cell>
          <cell r="O3685" t="str">
            <v/>
          </cell>
          <cell r="AF3685" t="str">
            <v>동절기</v>
          </cell>
        </row>
        <row r="3686">
          <cell r="G3686">
            <v>0</v>
          </cell>
          <cell r="O3686" t="str">
            <v/>
          </cell>
          <cell r="AF3686" t="str">
            <v>동절기</v>
          </cell>
        </row>
        <row r="3687">
          <cell r="G3687">
            <v>0</v>
          </cell>
          <cell r="O3687" t="str">
            <v/>
          </cell>
          <cell r="AF3687" t="str">
            <v>동절기</v>
          </cell>
        </row>
        <row r="3688">
          <cell r="G3688">
            <v>0</v>
          </cell>
          <cell r="O3688" t="str">
            <v/>
          </cell>
          <cell r="AF3688" t="str">
            <v>동절기</v>
          </cell>
        </row>
        <row r="3689">
          <cell r="G3689">
            <v>0</v>
          </cell>
          <cell r="O3689" t="str">
            <v/>
          </cell>
          <cell r="AF3689" t="str">
            <v>동절기</v>
          </cell>
        </row>
        <row r="3690">
          <cell r="G3690">
            <v>0</v>
          </cell>
          <cell r="O3690" t="str">
            <v/>
          </cell>
          <cell r="AF3690" t="str">
            <v>동절기</v>
          </cell>
        </row>
        <row r="3691">
          <cell r="G3691">
            <v>0</v>
          </cell>
          <cell r="O3691" t="str">
            <v/>
          </cell>
          <cell r="AF3691" t="str">
            <v>동절기</v>
          </cell>
        </row>
        <row r="3692">
          <cell r="G3692">
            <v>0</v>
          </cell>
          <cell r="O3692" t="str">
            <v/>
          </cell>
          <cell r="AF3692" t="str">
            <v>동절기</v>
          </cell>
        </row>
        <row r="3693">
          <cell r="G3693">
            <v>0</v>
          </cell>
          <cell r="O3693" t="str">
            <v/>
          </cell>
          <cell r="AF3693" t="str">
            <v>동절기</v>
          </cell>
        </row>
        <row r="3694">
          <cell r="G3694">
            <v>0</v>
          </cell>
          <cell r="O3694" t="str">
            <v/>
          </cell>
          <cell r="AF3694" t="str">
            <v>동절기</v>
          </cell>
        </row>
        <row r="3695">
          <cell r="G3695">
            <v>0</v>
          </cell>
          <cell r="O3695" t="str">
            <v/>
          </cell>
          <cell r="AF3695" t="str">
            <v>동절기</v>
          </cell>
        </row>
        <row r="3696">
          <cell r="G3696">
            <v>0</v>
          </cell>
          <cell r="O3696" t="str">
            <v/>
          </cell>
          <cell r="AF3696" t="str">
            <v>동절기</v>
          </cell>
        </row>
        <row r="3697">
          <cell r="G3697">
            <v>0</v>
          </cell>
          <cell r="O3697" t="str">
            <v/>
          </cell>
          <cell r="AF3697" t="str">
            <v>동절기</v>
          </cell>
        </row>
        <row r="3698">
          <cell r="G3698">
            <v>0</v>
          </cell>
          <cell r="O3698" t="str">
            <v/>
          </cell>
          <cell r="AF3698" t="str">
            <v>동절기</v>
          </cell>
        </row>
        <row r="3699">
          <cell r="G3699">
            <v>0</v>
          </cell>
          <cell r="O3699" t="str">
            <v/>
          </cell>
          <cell r="AF3699" t="str">
            <v>동절기</v>
          </cell>
        </row>
        <row r="3700">
          <cell r="G3700">
            <v>0</v>
          </cell>
          <cell r="O3700" t="str">
            <v/>
          </cell>
          <cell r="AF3700" t="str">
            <v>동절기</v>
          </cell>
        </row>
        <row r="3701">
          <cell r="G3701">
            <v>0</v>
          </cell>
          <cell r="O3701" t="str">
            <v/>
          </cell>
          <cell r="AF3701" t="str">
            <v>동절기</v>
          </cell>
        </row>
        <row r="3702">
          <cell r="G3702">
            <v>0</v>
          </cell>
          <cell r="O3702" t="str">
            <v/>
          </cell>
          <cell r="AF3702" t="str">
            <v>동절기</v>
          </cell>
        </row>
        <row r="3703">
          <cell r="G3703">
            <v>0</v>
          </cell>
          <cell r="O3703" t="str">
            <v/>
          </cell>
          <cell r="AF3703" t="str">
            <v>동절기</v>
          </cell>
        </row>
        <row r="3704">
          <cell r="G3704">
            <v>0</v>
          </cell>
          <cell r="O3704" t="str">
            <v/>
          </cell>
          <cell r="AF3704" t="str">
            <v>동절기</v>
          </cell>
        </row>
        <row r="3705">
          <cell r="G3705">
            <v>0</v>
          </cell>
          <cell r="O3705" t="str">
            <v/>
          </cell>
          <cell r="AF3705" t="str">
            <v>동절기</v>
          </cell>
        </row>
        <row r="3706">
          <cell r="G3706">
            <v>0</v>
          </cell>
          <cell r="O3706" t="str">
            <v/>
          </cell>
          <cell r="AF3706" t="str">
            <v>동절기</v>
          </cell>
        </row>
        <row r="3707">
          <cell r="G3707">
            <v>0</v>
          </cell>
          <cell r="O3707" t="str">
            <v/>
          </cell>
          <cell r="AF3707" t="str">
            <v>동절기</v>
          </cell>
        </row>
        <row r="3708">
          <cell r="G3708">
            <v>0</v>
          </cell>
          <cell r="O3708" t="str">
            <v/>
          </cell>
          <cell r="AF3708" t="str">
            <v>동절기</v>
          </cell>
        </row>
        <row r="3709">
          <cell r="G3709">
            <v>0</v>
          </cell>
          <cell r="O3709" t="str">
            <v/>
          </cell>
          <cell r="AF3709" t="str">
            <v>동절기</v>
          </cell>
        </row>
        <row r="3710">
          <cell r="G3710">
            <v>0</v>
          </cell>
          <cell r="O3710" t="str">
            <v/>
          </cell>
          <cell r="AF3710" t="str">
            <v>동절기</v>
          </cell>
        </row>
        <row r="3711">
          <cell r="G3711">
            <v>0</v>
          </cell>
          <cell r="O3711" t="str">
            <v/>
          </cell>
          <cell r="AF3711" t="str">
            <v>동절기</v>
          </cell>
        </row>
        <row r="3712">
          <cell r="G3712">
            <v>0</v>
          </cell>
          <cell r="O3712" t="str">
            <v/>
          </cell>
          <cell r="AF3712" t="str">
            <v>동절기</v>
          </cell>
        </row>
        <row r="3713">
          <cell r="G3713">
            <v>0</v>
          </cell>
          <cell r="O3713" t="str">
            <v/>
          </cell>
          <cell r="AF3713" t="str">
            <v>동절기</v>
          </cell>
        </row>
        <row r="3714">
          <cell r="G3714">
            <v>0</v>
          </cell>
          <cell r="O3714" t="str">
            <v/>
          </cell>
          <cell r="AF3714" t="str">
            <v>동절기</v>
          </cell>
        </row>
        <row r="3715">
          <cell r="G3715">
            <v>0</v>
          </cell>
          <cell r="O3715" t="str">
            <v/>
          </cell>
          <cell r="AF3715" t="str">
            <v>동절기</v>
          </cell>
        </row>
        <row r="3716">
          <cell r="G3716">
            <v>0</v>
          </cell>
          <cell r="O3716" t="str">
            <v/>
          </cell>
          <cell r="AF3716" t="str">
            <v>동절기</v>
          </cell>
        </row>
        <row r="3717">
          <cell r="G3717">
            <v>0</v>
          </cell>
          <cell r="O3717" t="str">
            <v/>
          </cell>
          <cell r="AF3717" t="str">
            <v>동절기</v>
          </cell>
        </row>
        <row r="3718">
          <cell r="G3718">
            <v>0</v>
          </cell>
          <cell r="O3718" t="str">
            <v/>
          </cell>
          <cell r="AF3718" t="str">
            <v>동절기</v>
          </cell>
        </row>
        <row r="3719">
          <cell r="G3719">
            <v>0</v>
          </cell>
          <cell r="O3719" t="str">
            <v/>
          </cell>
          <cell r="AF3719" t="str">
            <v>동절기</v>
          </cell>
        </row>
        <row r="3720">
          <cell r="G3720">
            <v>0</v>
          </cell>
          <cell r="O3720" t="str">
            <v/>
          </cell>
          <cell r="AF3720" t="str">
            <v>동절기</v>
          </cell>
        </row>
        <row r="3721">
          <cell r="G3721">
            <v>0</v>
          </cell>
          <cell r="O3721" t="str">
            <v/>
          </cell>
          <cell r="AF3721" t="str">
            <v>동절기</v>
          </cell>
        </row>
        <row r="3722">
          <cell r="G3722">
            <v>0</v>
          </cell>
          <cell r="O3722" t="str">
            <v/>
          </cell>
          <cell r="AF3722" t="str">
            <v>동절기</v>
          </cell>
        </row>
        <row r="3723">
          <cell r="G3723">
            <v>0</v>
          </cell>
          <cell r="O3723" t="str">
            <v/>
          </cell>
          <cell r="AF3723" t="str">
            <v>동절기</v>
          </cell>
        </row>
        <row r="3724">
          <cell r="G3724">
            <v>0</v>
          </cell>
          <cell r="O3724" t="str">
            <v/>
          </cell>
          <cell r="AF3724" t="str">
            <v>동절기</v>
          </cell>
        </row>
        <row r="3725">
          <cell r="G3725">
            <v>0</v>
          </cell>
          <cell r="O3725" t="str">
            <v/>
          </cell>
          <cell r="AF3725" t="str">
            <v>동절기</v>
          </cell>
        </row>
        <row r="3726">
          <cell r="G3726">
            <v>0</v>
          </cell>
          <cell r="O3726" t="str">
            <v/>
          </cell>
          <cell r="AF3726" t="str">
            <v>동절기</v>
          </cell>
        </row>
        <row r="3727">
          <cell r="G3727">
            <v>0</v>
          </cell>
          <cell r="O3727" t="str">
            <v/>
          </cell>
          <cell r="AF3727" t="str">
            <v>동절기</v>
          </cell>
        </row>
        <row r="3728">
          <cell r="G3728">
            <v>0</v>
          </cell>
          <cell r="O3728" t="str">
            <v/>
          </cell>
          <cell r="AF3728" t="str">
            <v>동절기</v>
          </cell>
        </row>
        <row r="3729">
          <cell r="G3729">
            <v>0</v>
          </cell>
          <cell r="O3729" t="str">
            <v/>
          </cell>
          <cell r="AF3729" t="str">
            <v>동절기</v>
          </cell>
        </row>
        <row r="3730">
          <cell r="G3730">
            <v>0</v>
          </cell>
          <cell r="O3730" t="str">
            <v/>
          </cell>
          <cell r="AF3730" t="str">
            <v>동절기</v>
          </cell>
        </row>
        <row r="3731">
          <cell r="G3731">
            <v>0</v>
          </cell>
          <cell r="O3731" t="str">
            <v/>
          </cell>
          <cell r="AF3731" t="str">
            <v>동절기</v>
          </cell>
        </row>
        <row r="3732">
          <cell r="G3732">
            <v>0</v>
          </cell>
          <cell r="O3732" t="str">
            <v/>
          </cell>
          <cell r="AF3732" t="str">
            <v>동절기</v>
          </cell>
        </row>
        <row r="3733">
          <cell r="G3733">
            <v>0</v>
          </cell>
          <cell r="O3733" t="str">
            <v/>
          </cell>
          <cell r="AF3733" t="str">
            <v>동절기</v>
          </cell>
        </row>
        <row r="3734">
          <cell r="G3734">
            <v>0</v>
          </cell>
          <cell r="O3734" t="str">
            <v/>
          </cell>
          <cell r="AF3734" t="str">
            <v>동절기</v>
          </cell>
        </row>
        <row r="3735">
          <cell r="G3735">
            <v>0</v>
          </cell>
          <cell r="O3735" t="str">
            <v/>
          </cell>
          <cell r="AF3735" t="str">
            <v>동절기</v>
          </cell>
        </row>
        <row r="3736">
          <cell r="G3736">
            <v>0</v>
          </cell>
          <cell r="O3736" t="str">
            <v/>
          </cell>
          <cell r="AF3736" t="str">
            <v>동절기</v>
          </cell>
        </row>
        <row r="3737">
          <cell r="G3737">
            <v>0</v>
          </cell>
          <cell r="O3737" t="str">
            <v/>
          </cell>
          <cell r="AF3737" t="str">
            <v>동절기</v>
          </cell>
        </row>
        <row r="3738">
          <cell r="G3738">
            <v>0</v>
          </cell>
          <cell r="O3738" t="str">
            <v/>
          </cell>
          <cell r="AF3738" t="str">
            <v>동절기</v>
          </cell>
        </row>
        <row r="3739">
          <cell r="G3739">
            <v>0</v>
          </cell>
          <cell r="O3739" t="str">
            <v/>
          </cell>
          <cell r="AF3739" t="str">
            <v>동절기</v>
          </cell>
        </row>
        <row r="3740">
          <cell r="G3740">
            <v>0</v>
          </cell>
          <cell r="O3740" t="str">
            <v/>
          </cell>
          <cell r="AF3740" t="str">
            <v>동절기</v>
          </cell>
        </row>
        <row r="3741">
          <cell r="G3741">
            <v>0</v>
          </cell>
          <cell r="O3741" t="str">
            <v/>
          </cell>
          <cell r="AF3741" t="str">
            <v>동절기</v>
          </cell>
        </row>
        <row r="3742">
          <cell r="G3742">
            <v>0</v>
          </cell>
          <cell r="O3742" t="str">
            <v/>
          </cell>
          <cell r="AF3742" t="str">
            <v>동절기</v>
          </cell>
        </row>
        <row r="3743">
          <cell r="G3743">
            <v>0</v>
          </cell>
          <cell r="O3743" t="str">
            <v/>
          </cell>
          <cell r="AF3743" t="str">
            <v>동절기</v>
          </cell>
        </row>
        <row r="3744">
          <cell r="G3744">
            <v>0</v>
          </cell>
          <cell r="O3744" t="str">
            <v/>
          </cell>
          <cell r="AF3744" t="str">
            <v>동절기</v>
          </cell>
        </row>
        <row r="3745">
          <cell r="G3745">
            <v>0</v>
          </cell>
          <cell r="O3745" t="str">
            <v/>
          </cell>
          <cell r="AF3745" t="str">
            <v>동절기</v>
          </cell>
        </row>
        <row r="3746">
          <cell r="G3746">
            <v>0</v>
          </cell>
          <cell r="O3746" t="str">
            <v/>
          </cell>
          <cell r="AF3746" t="str">
            <v>동절기</v>
          </cell>
        </row>
        <row r="3747">
          <cell r="G3747">
            <v>0</v>
          </cell>
          <cell r="O3747" t="str">
            <v/>
          </cell>
          <cell r="AF3747" t="str">
            <v>동절기</v>
          </cell>
        </row>
        <row r="3748">
          <cell r="G3748">
            <v>0</v>
          </cell>
          <cell r="O3748" t="str">
            <v/>
          </cell>
          <cell r="AF3748" t="str">
            <v>동절기</v>
          </cell>
        </row>
        <row r="3749">
          <cell r="G3749">
            <v>0</v>
          </cell>
          <cell r="O3749" t="str">
            <v/>
          </cell>
          <cell r="AF3749" t="str">
            <v>동절기</v>
          </cell>
        </row>
        <row r="3750">
          <cell r="G3750">
            <v>0</v>
          </cell>
          <cell r="O3750" t="str">
            <v/>
          </cell>
          <cell r="AF3750" t="str">
            <v>동절기</v>
          </cell>
        </row>
        <row r="3751">
          <cell r="G3751">
            <v>0</v>
          </cell>
          <cell r="O3751" t="str">
            <v/>
          </cell>
          <cell r="AF3751" t="str">
            <v>동절기</v>
          </cell>
        </row>
        <row r="3752">
          <cell r="G3752">
            <v>0</v>
          </cell>
          <cell r="O3752" t="str">
            <v/>
          </cell>
          <cell r="AF3752" t="str">
            <v>동절기</v>
          </cell>
        </row>
        <row r="3753">
          <cell r="G3753">
            <v>0</v>
          </cell>
          <cell r="O3753" t="str">
            <v/>
          </cell>
          <cell r="AF3753" t="str">
            <v>동절기</v>
          </cell>
        </row>
        <row r="3754">
          <cell r="G3754">
            <v>0</v>
          </cell>
          <cell r="O3754" t="str">
            <v/>
          </cell>
          <cell r="AF3754" t="str">
            <v>동절기</v>
          </cell>
        </row>
        <row r="3755">
          <cell r="G3755">
            <v>0</v>
          </cell>
          <cell r="O3755" t="str">
            <v/>
          </cell>
          <cell r="AF3755" t="str">
            <v>동절기</v>
          </cell>
        </row>
        <row r="3756">
          <cell r="G3756">
            <v>0</v>
          </cell>
          <cell r="O3756" t="str">
            <v/>
          </cell>
          <cell r="AF3756" t="str">
            <v>동절기</v>
          </cell>
        </row>
        <row r="3757">
          <cell r="G3757">
            <v>0</v>
          </cell>
          <cell r="O3757" t="str">
            <v/>
          </cell>
          <cell r="AF3757" t="str">
            <v>동절기</v>
          </cell>
        </row>
        <row r="3758">
          <cell r="G3758">
            <v>0</v>
          </cell>
          <cell r="O3758" t="str">
            <v/>
          </cell>
          <cell r="AF3758" t="str">
            <v>동절기</v>
          </cell>
        </row>
        <row r="3759">
          <cell r="G3759">
            <v>0</v>
          </cell>
          <cell r="O3759" t="str">
            <v/>
          </cell>
          <cell r="AF3759" t="str">
            <v>동절기</v>
          </cell>
        </row>
        <row r="3760">
          <cell r="G3760">
            <v>0</v>
          </cell>
          <cell r="O3760" t="str">
            <v/>
          </cell>
          <cell r="AF3760" t="str">
            <v>동절기</v>
          </cell>
        </row>
        <row r="3761">
          <cell r="G3761">
            <v>0</v>
          </cell>
          <cell r="O3761" t="str">
            <v/>
          </cell>
          <cell r="AF3761" t="str">
            <v>동절기</v>
          </cell>
        </row>
        <row r="3762">
          <cell r="G3762">
            <v>0</v>
          </cell>
          <cell r="O3762" t="str">
            <v/>
          </cell>
          <cell r="AF3762" t="str">
            <v>동절기</v>
          </cell>
        </row>
        <row r="3763">
          <cell r="G3763">
            <v>0</v>
          </cell>
          <cell r="O3763" t="str">
            <v/>
          </cell>
          <cell r="AF3763" t="str">
            <v>동절기</v>
          </cell>
        </row>
        <row r="3764">
          <cell r="G3764">
            <v>0</v>
          </cell>
          <cell r="O3764" t="str">
            <v/>
          </cell>
          <cell r="AF3764" t="str">
            <v>동절기</v>
          </cell>
        </row>
        <row r="3765">
          <cell r="G3765">
            <v>0</v>
          </cell>
          <cell r="O3765" t="str">
            <v/>
          </cell>
          <cell r="AF3765" t="str">
            <v>동절기</v>
          </cell>
        </row>
        <row r="3766">
          <cell r="G3766">
            <v>0</v>
          </cell>
          <cell r="O3766" t="str">
            <v/>
          </cell>
          <cell r="AF3766" t="str">
            <v>동절기</v>
          </cell>
        </row>
        <row r="3767">
          <cell r="G3767">
            <v>0</v>
          </cell>
          <cell r="O3767" t="str">
            <v/>
          </cell>
          <cell r="AF3767" t="str">
            <v>동절기</v>
          </cell>
        </row>
        <row r="3768">
          <cell r="G3768">
            <v>0</v>
          </cell>
          <cell r="O3768" t="str">
            <v/>
          </cell>
          <cell r="AF3768" t="str">
            <v>동절기</v>
          </cell>
        </row>
        <row r="3769">
          <cell r="G3769">
            <v>0</v>
          </cell>
          <cell r="O3769" t="str">
            <v/>
          </cell>
          <cell r="AF3769" t="str">
            <v>동절기</v>
          </cell>
        </row>
        <row r="3770">
          <cell r="G3770">
            <v>0</v>
          </cell>
          <cell r="O3770" t="str">
            <v/>
          </cell>
          <cell r="AF3770" t="str">
            <v>동절기</v>
          </cell>
        </row>
        <row r="3771">
          <cell r="G3771">
            <v>0</v>
          </cell>
          <cell r="O3771" t="str">
            <v/>
          </cell>
          <cell r="AF3771" t="str">
            <v>동절기</v>
          </cell>
        </row>
        <row r="3772">
          <cell r="G3772">
            <v>0</v>
          </cell>
          <cell r="O3772" t="str">
            <v/>
          </cell>
          <cell r="AF3772" t="str">
            <v>동절기</v>
          </cell>
        </row>
        <row r="3773">
          <cell r="G3773">
            <v>0</v>
          </cell>
          <cell r="O3773" t="str">
            <v/>
          </cell>
          <cell r="AF3773" t="str">
            <v>동절기</v>
          </cell>
        </row>
        <row r="3774">
          <cell r="G3774">
            <v>0</v>
          </cell>
          <cell r="O3774" t="str">
            <v/>
          </cell>
          <cell r="AF3774" t="str">
            <v>동절기</v>
          </cell>
        </row>
        <row r="3775">
          <cell r="G3775">
            <v>0</v>
          </cell>
          <cell r="O3775" t="str">
            <v/>
          </cell>
          <cell r="AF3775" t="str">
            <v>동절기</v>
          </cell>
        </row>
        <row r="3776">
          <cell r="G3776">
            <v>0</v>
          </cell>
          <cell r="O3776" t="str">
            <v/>
          </cell>
          <cell r="AF3776" t="str">
            <v>동절기</v>
          </cell>
        </row>
        <row r="3777">
          <cell r="G3777">
            <v>0</v>
          </cell>
          <cell r="O3777" t="str">
            <v/>
          </cell>
          <cell r="AF3777" t="str">
            <v>동절기</v>
          </cell>
        </row>
        <row r="3778">
          <cell r="G3778">
            <v>0</v>
          </cell>
          <cell r="O3778" t="str">
            <v/>
          </cell>
          <cell r="AF3778" t="str">
            <v>동절기</v>
          </cell>
        </row>
        <row r="3779">
          <cell r="G3779">
            <v>0</v>
          </cell>
          <cell r="O3779" t="str">
            <v/>
          </cell>
          <cell r="AF3779" t="str">
            <v>동절기</v>
          </cell>
        </row>
        <row r="3780">
          <cell r="G3780">
            <v>0</v>
          </cell>
          <cell r="O3780" t="str">
            <v/>
          </cell>
          <cell r="AF3780" t="str">
            <v>동절기</v>
          </cell>
        </row>
        <row r="3781">
          <cell r="G3781">
            <v>0</v>
          </cell>
          <cell r="O3781" t="str">
            <v/>
          </cell>
          <cell r="AF3781" t="str">
            <v>동절기</v>
          </cell>
        </row>
        <row r="3782">
          <cell r="G3782">
            <v>0</v>
          </cell>
          <cell r="O3782" t="str">
            <v/>
          </cell>
          <cell r="AF3782" t="str">
            <v>동절기</v>
          </cell>
        </row>
        <row r="3783">
          <cell r="G3783">
            <v>0</v>
          </cell>
          <cell r="O3783" t="str">
            <v/>
          </cell>
          <cell r="AF3783" t="str">
            <v>동절기</v>
          </cell>
        </row>
        <row r="3784">
          <cell r="G3784">
            <v>0</v>
          </cell>
          <cell r="O3784" t="str">
            <v/>
          </cell>
          <cell r="AF3784" t="str">
            <v>동절기</v>
          </cell>
        </row>
        <row r="3785">
          <cell r="G3785">
            <v>0</v>
          </cell>
          <cell r="O3785" t="str">
            <v/>
          </cell>
          <cell r="AF3785" t="str">
            <v>동절기</v>
          </cell>
        </row>
        <row r="3786">
          <cell r="G3786">
            <v>0</v>
          </cell>
          <cell r="O3786" t="str">
            <v/>
          </cell>
          <cell r="AF3786" t="str">
            <v>동절기</v>
          </cell>
        </row>
        <row r="3787">
          <cell r="G3787">
            <v>0</v>
          </cell>
          <cell r="O3787" t="str">
            <v/>
          </cell>
          <cell r="AF3787" t="str">
            <v>동절기</v>
          </cell>
        </row>
        <row r="3788">
          <cell r="G3788">
            <v>0</v>
          </cell>
          <cell r="O3788" t="str">
            <v/>
          </cell>
          <cell r="AF3788" t="str">
            <v>동절기</v>
          </cell>
        </row>
        <row r="3789">
          <cell r="G3789">
            <v>0</v>
          </cell>
          <cell r="O3789" t="str">
            <v/>
          </cell>
          <cell r="AF3789" t="str">
            <v>동절기</v>
          </cell>
        </row>
        <row r="3790">
          <cell r="G3790">
            <v>0</v>
          </cell>
          <cell r="O3790" t="str">
            <v/>
          </cell>
          <cell r="AF3790" t="str">
            <v>동절기</v>
          </cell>
        </row>
        <row r="3791">
          <cell r="G3791">
            <v>0</v>
          </cell>
          <cell r="O3791" t="str">
            <v/>
          </cell>
          <cell r="AF3791" t="str">
            <v>동절기</v>
          </cell>
        </row>
        <row r="3792">
          <cell r="G3792">
            <v>0</v>
          </cell>
          <cell r="O3792" t="str">
            <v/>
          </cell>
          <cell r="AF3792" t="str">
            <v>동절기</v>
          </cell>
        </row>
        <row r="3793">
          <cell r="G3793">
            <v>0</v>
          </cell>
          <cell r="O3793" t="str">
            <v/>
          </cell>
          <cell r="AF3793" t="str">
            <v>동절기</v>
          </cell>
        </row>
        <row r="3794">
          <cell r="G3794">
            <v>0</v>
          </cell>
          <cell r="O3794" t="str">
            <v/>
          </cell>
          <cell r="AF3794" t="str">
            <v>동절기</v>
          </cell>
        </row>
        <row r="3795">
          <cell r="G3795">
            <v>0</v>
          </cell>
          <cell r="O3795" t="str">
            <v/>
          </cell>
          <cell r="AF3795" t="str">
            <v>동절기</v>
          </cell>
        </row>
        <row r="3796">
          <cell r="G3796">
            <v>0</v>
          </cell>
          <cell r="O3796" t="str">
            <v/>
          </cell>
          <cell r="AF3796" t="str">
            <v>동절기</v>
          </cell>
        </row>
        <row r="3797">
          <cell r="G3797">
            <v>0</v>
          </cell>
          <cell r="O3797" t="str">
            <v/>
          </cell>
          <cell r="AF3797" t="str">
            <v>동절기</v>
          </cell>
        </row>
        <row r="3798">
          <cell r="G3798">
            <v>0</v>
          </cell>
          <cell r="O3798" t="str">
            <v/>
          </cell>
          <cell r="AF3798" t="str">
            <v>동절기</v>
          </cell>
        </row>
        <row r="3799">
          <cell r="G3799">
            <v>0</v>
          </cell>
          <cell r="O3799" t="str">
            <v/>
          </cell>
          <cell r="AF3799" t="str">
            <v>동절기</v>
          </cell>
        </row>
        <row r="3800">
          <cell r="G3800">
            <v>0</v>
          </cell>
          <cell r="O3800" t="str">
            <v/>
          </cell>
          <cell r="AF3800" t="str">
            <v>동절기</v>
          </cell>
        </row>
        <row r="3801">
          <cell r="G3801">
            <v>0</v>
          </cell>
          <cell r="O3801" t="str">
            <v/>
          </cell>
          <cell r="AF3801" t="str">
            <v>동절기</v>
          </cell>
        </row>
        <row r="3802">
          <cell r="G3802">
            <v>0</v>
          </cell>
          <cell r="O3802" t="str">
            <v/>
          </cell>
          <cell r="AF3802" t="str">
            <v>동절기</v>
          </cell>
        </row>
        <row r="3803">
          <cell r="G3803">
            <v>0</v>
          </cell>
          <cell r="O3803" t="str">
            <v/>
          </cell>
          <cell r="AF3803" t="str">
            <v>동절기</v>
          </cell>
        </row>
        <row r="3804">
          <cell r="G3804">
            <v>0</v>
          </cell>
          <cell r="O3804" t="str">
            <v/>
          </cell>
          <cell r="AF3804" t="str">
            <v>동절기</v>
          </cell>
        </row>
        <row r="3805">
          <cell r="G3805">
            <v>0</v>
          </cell>
          <cell r="O3805" t="str">
            <v/>
          </cell>
          <cell r="AF3805" t="str">
            <v>동절기</v>
          </cell>
        </row>
        <row r="3806">
          <cell r="G3806">
            <v>0</v>
          </cell>
          <cell r="O3806" t="str">
            <v/>
          </cell>
          <cell r="AF3806" t="str">
            <v>동절기</v>
          </cell>
        </row>
        <row r="3807">
          <cell r="G3807">
            <v>0</v>
          </cell>
          <cell r="O3807" t="str">
            <v/>
          </cell>
          <cell r="AF3807" t="str">
            <v>동절기</v>
          </cell>
        </row>
        <row r="3808">
          <cell r="G3808">
            <v>0</v>
          </cell>
          <cell r="O3808" t="str">
            <v/>
          </cell>
          <cell r="AF3808" t="str">
            <v>동절기</v>
          </cell>
        </row>
        <row r="3809">
          <cell r="G3809">
            <v>0</v>
          </cell>
          <cell r="O3809" t="str">
            <v/>
          </cell>
          <cell r="AF3809" t="str">
            <v>동절기</v>
          </cell>
        </row>
        <row r="3810">
          <cell r="G3810">
            <v>0</v>
          </cell>
          <cell r="O3810" t="str">
            <v/>
          </cell>
          <cell r="AF3810" t="str">
            <v>동절기</v>
          </cell>
        </row>
        <row r="3811">
          <cell r="G3811">
            <v>0</v>
          </cell>
          <cell r="O3811" t="str">
            <v/>
          </cell>
          <cell r="AF3811" t="str">
            <v>동절기</v>
          </cell>
        </row>
        <row r="3812">
          <cell r="G3812">
            <v>0</v>
          </cell>
          <cell r="O3812" t="str">
            <v/>
          </cell>
          <cell r="AF3812" t="str">
            <v>동절기</v>
          </cell>
        </row>
        <row r="3813">
          <cell r="G3813">
            <v>0</v>
          </cell>
          <cell r="O3813" t="str">
            <v/>
          </cell>
          <cell r="AF3813" t="str">
            <v>동절기</v>
          </cell>
        </row>
        <row r="3814">
          <cell r="G3814">
            <v>0</v>
          </cell>
          <cell r="O3814" t="str">
            <v/>
          </cell>
          <cell r="AF3814" t="str">
            <v>동절기</v>
          </cell>
        </row>
        <row r="3815">
          <cell r="G3815">
            <v>0</v>
          </cell>
          <cell r="O3815" t="str">
            <v/>
          </cell>
          <cell r="AF3815" t="str">
            <v>동절기</v>
          </cell>
        </row>
        <row r="3816">
          <cell r="G3816">
            <v>0</v>
          </cell>
          <cell r="O3816" t="str">
            <v/>
          </cell>
          <cell r="AF3816" t="str">
            <v>동절기</v>
          </cell>
        </row>
        <row r="3817">
          <cell r="G3817">
            <v>0</v>
          </cell>
          <cell r="O3817" t="str">
            <v/>
          </cell>
          <cell r="AF3817" t="str">
            <v>동절기</v>
          </cell>
        </row>
        <row r="3818">
          <cell r="G3818">
            <v>0</v>
          </cell>
          <cell r="O3818" t="str">
            <v/>
          </cell>
          <cell r="AF3818" t="str">
            <v>동절기</v>
          </cell>
        </row>
        <row r="3819">
          <cell r="G3819">
            <v>0</v>
          </cell>
          <cell r="O3819" t="str">
            <v/>
          </cell>
          <cell r="AF3819" t="str">
            <v>동절기</v>
          </cell>
        </row>
        <row r="3820">
          <cell r="G3820">
            <v>0</v>
          </cell>
          <cell r="O3820" t="str">
            <v/>
          </cell>
          <cell r="AF3820" t="str">
            <v>동절기</v>
          </cell>
        </row>
        <row r="3821">
          <cell r="G3821">
            <v>0</v>
          </cell>
          <cell r="O3821" t="str">
            <v/>
          </cell>
          <cell r="AF3821" t="str">
            <v>동절기</v>
          </cell>
        </row>
        <row r="3822">
          <cell r="G3822">
            <v>0</v>
          </cell>
          <cell r="O3822" t="str">
            <v/>
          </cell>
          <cell r="AF3822" t="str">
            <v>동절기</v>
          </cell>
        </row>
        <row r="3823">
          <cell r="G3823">
            <v>0</v>
          </cell>
          <cell r="O3823" t="str">
            <v/>
          </cell>
          <cell r="AF3823" t="str">
            <v>동절기</v>
          </cell>
        </row>
        <row r="3824">
          <cell r="G3824">
            <v>0</v>
          </cell>
          <cell r="O3824" t="str">
            <v/>
          </cell>
          <cell r="AF3824" t="str">
            <v>동절기</v>
          </cell>
        </row>
        <row r="3825">
          <cell r="G3825">
            <v>0</v>
          </cell>
          <cell r="O3825" t="str">
            <v/>
          </cell>
          <cell r="AF3825" t="str">
            <v>동절기</v>
          </cell>
        </row>
        <row r="3826">
          <cell r="G3826">
            <v>0</v>
          </cell>
          <cell r="O3826" t="str">
            <v/>
          </cell>
          <cell r="AF3826" t="str">
            <v>동절기</v>
          </cell>
        </row>
        <row r="3827">
          <cell r="G3827">
            <v>0</v>
          </cell>
          <cell r="O3827" t="str">
            <v/>
          </cell>
          <cell r="AF3827" t="str">
            <v>동절기</v>
          </cell>
        </row>
        <row r="3828">
          <cell r="G3828">
            <v>0</v>
          </cell>
          <cell r="O3828" t="str">
            <v/>
          </cell>
          <cell r="AF3828" t="str">
            <v>동절기</v>
          </cell>
        </row>
        <row r="3829">
          <cell r="G3829">
            <v>0</v>
          </cell>
          <cell r="O3829" t="str">
            <v/>
          </cell>
          <cell r="AF3829" t="str">
            <v>동절기</v>
          </cell>
        </row>
        <row r="3830">
          <cell r="G3830">
            <v>0</v>
          </cell>
          <cell r="O3830" t="str">
            <v/>
          </cell>
          <cell r="AF3830" t="str">
            <v>동절기</v>
          </cell>
        </row>
        <row r="3831">
          <cell r="G3831">
            <v>0</v>
          </cell>
          <cell r="O3831" t="str">
            <v/>
          </cell>
          <cell r="AF3831" t="str">
            <v>동절기</v>
          </cell>
        </row>
        <row r="3832">
          <cell r="G3832">
            <v>0</v>
          </cell>
          <cell r="O3832" t="str">
            <v/>
          </cell>
          <cell r="AF3832" t="str">
            <v>동절기</v>
          </cell>
        </row>
        <row r="3833">
          <cell r="G3833">
            <v>0</v>
          </cell>
          <cell r="O3833" t="str">
            <v/>
          </cell>
          <cell r="AF3833" t="str">
            <v>동절기</v>
          </cell>
        </row>
        <row r="3834">
          <cell r="G3834">
            <v>0</v>
          </cell>
          <cell r="O3834" t="str">
            <v/>
          </cell>
          <cell r="AF3834" t="str">
            <v>동절기</v>
          </cell>
        </row>
        <row r="3835">
          <cell r="G3835">
            <v>0</v>
          </cell>
          <cell r="O3835" t="str">
            <v/>
          </cell>
          <cell r="AF3835" t="str">
            <v>동절기</v>
          </cell>
        </row>
        <row r="3836">
          <cell r="G3836">
            <v>0</v>
          </cell>
          <cell r="O3836" t="str">
            <v/>
          </cell>
          <cell r="AF3836" t="str">
            <v>동절기</v>
          </cell>
        </row>
        <row r="3837">
          <cell r="G3837">
            <v>0</v>
          </cell>
          <cell r="O3837" t="str">
            <v/>
          </cell>
          <cell r="AF3837" t="str">
            <v>동절기</v>
          </cell>
        </row>
        <row r="3838">
          <cell r="G3838">
            <v>0</v>
          </cell>
          <cell r="O3838" t="str">
            <v/>
          </cell>
          <cell r="AF3838" t="str">
            <v>동절기</v>
          </cell>
        </row>
        <row r="3839">
          <cell r="G3839">
            <v>0</v>
          </cell>
          <cell r="O3839" t="str">
            <v/>
          </cell>
          <cell r="AF3839" t="str">
            <v>동절기</v>
          </cell>
        </row>
        <row r="3840">
          <cell r="G3840">
            <v>0</v>
          </cell>
          <cell r="O3840" t="str">
            <v/>
          </cell>
          <cell r="AF3840" t="str">
            <v>동절기</v>
          </cell>
        </row>
        <row r="3841">
          <cell r="G3841">
            <v>0</v>
          </cell>
          <cell r="O3841" t="str">
            <v/>
          </cell>
          <cell r="AF3841" t="str">
            <v>동절기</v>
          </cell>
        </row>
        <row r="3842">
          <cell r="G3842">
            <v>0</v>
          </cell>
          <cell r="O3842" t="str">
            <v/>
          </cell>
          <cell r="AF3842" t="str">
            <v>동절기</v>
          </cell>
        </row>
        <row r="3843">
          <cell r="G3843">
            <v>0</v>
          </cell>
          <cell r="O3843" t="str">
            <v/>
          </cell>
          <cell r="AF3843" t="str">
            <v>동절기</v>
          </cell>
        </row>
        <row r="3844">
          <cell r="G3844">
            <v>0</v>
          </cell>
          <cell r="O3844" t="str">
            <v/>
          </cell>
          <cell r="AF3844" t="str">
            <v>동절기</v>
          </cell>
        </row>
        <row r="3845">
          <cell r="G3845">
            <v>0</v>
          </cell>
          <cell r="O3845" t="str">
            <v/>
          </cell>
          <cell r="AF3845" t="str">
            <v>동절기</v>
          </cell>
        </row>
        <row r="3846">
          <cell r="G3846">
            <v>0</v>
          </cell>
          <cell r="O3846" t="str">
            <v/>
          </cell>
          <cell r="AF3846" t="str">
            <v>동절기</v>
          </cell>
        </row>
        <row r="3847">
          <cell r="G3847">
            <v>0</v>
          </cell>
          <cell r="O3847" t="str">
            <v/>
          </cell>
        </row>
        <row r="3848">
          <cell r="G3848">
            <v>0</v>
          </cell>
          <cell r="O3848" t="str">
            <v/>
          </cell>
        </row>
        <row r="3849">
          <cell r="G3849">
            <v>0</v>
          </cell>
          <cell r="O3849" t="str">
            <v/>
          </cell>
        </row>
        <row r="3850">
          <cell r="G3850">
            <v>0</v>
          </cell>
          <cell r="O3850" t="str">
            <v/>
          </cell>
        </row>
        <row r="3851">
          <cell r="G3851">
            <v>0</v>
          </cell>
          <cell r="O3851" t="str">
            <v/>
          </cell>
        </row>
        <row r="3852">
          <cell r="G3852">
            <v>0</v>
          </cell>
          <cell r="O3852" t="str">
            <v/>
          </cell>
        </row>
        <row r="3853">
          <cell r="G3853">
            <v>0</v>
          </cell>
          <cell r="O3853" t="str">
            <v/>
          </cell>
        </row>
        <row r="3854">
          <cell r="G3854">
            <v>0</v>
          </cell>
          <cell r="O3854" t="str">
            <v/>
          </cell>
        </row>
        <row r="3855">
          <cell r="G3855">
            <v>0</v>
          </cell>
          <cell r="O3855" t="str">
            <v/>
          </cell>
        </row>
        <row r="3856">
          <cell r="G3856">
            <v>0</v>
          </cell>
          <cell r="O3856" t="str">
            <v/>
          </cell>
        </row>
        <row r="3857">
          <cell r="G3857">
            <v>0</v>
          </cell>
          <cell r="O3857" t="str">
            <v/>
          </cell>
        </row>
        <row r="3858">
          <cell r="G3858">
            <v>0</v>
          </cell>
          <cell r="O3858" t="str">
            <v/>
          </cell>
        </row>
        <row r="3859">
          <cell r="G3859">
            <v>0</v>
          </cell>
          <cell r="O3859" t="str">
            <v/>
          </cell>
        </row>
        <row r="3860">
          <cell r="G3860">
            <v>0</v>
          </cell>
          <cell r="O3860" t="str">
            <v/>
          </cell>
        </row>
        <row r="3861">
          <cell r="G3861">
            <v>0</v>
          </cell>
          <cell r="O3861" t="str">
            <v/>
          </cell>
        </row>
        <row r="3862">
          <cell r="G3862">
            <v>0</v>
          </cell>
          <cell r="O3862" t="str">
            <v/>
          </cell>
        </row>
        <row r="3863">
          <cell r="G3863">
            <v>0</v>
          </cell>
          <cell r="O3863" t="str">
            <v/>
          </cell>
        </row>
        <row r="3864">
          <cell r="G3864">
            <v>0</v>
          </cell>
          <cell r="O3864" t="str">
            <v/>
          </cell>
        </row>
        <row r="3865">
          <cell r="G3865">
            <v>0</v>
          </cell>
          <cell r="O3865" t="str">
            <v/>
          </cell>
        </row>
        <row r="3866">
          <cell r="G3866">
            <v>0</v>
          </cell>
          <cell r="O3866" t="str">
            <v/>
          </cell>
        </row>
        <row r="3867">
          <cell r="G3867">
            <v>0</v>
          </cell>
          <cell r="O3867" t="str">
            <v/>
          </cell>
        </row>
        <row r="3868">
          <cell r="G3868">
            <v>0</v>
          </cell>
          <cell r="O3868" t="str">
            <v/>
          </cell>
        </row>
        <row r="3869">
          <cell r="G3869">
            <v>0</v>
          </cell>
          <cell r="O3869" t="str">
            <v/>
          </cell>
        </row>
        <row r="3870">
          <cell r="G3870">
            <v>0</v>
          </cell>
          <cell r="O3870" t="str">
            <v/>
          </cell>
        </row>
        <row r="3871">
          <cell r="G3871">
            <v>0</v>
          </cell>
          <cell r="O3871" t="str">
            <v/>
          </cell>
        </row>
        <row r="3872">
          <cell r="G3872">
            <v>0</v>
          </cell>
          <cell r="O3872" t="str">
            <v/>
          </cell>
        </row>
        <row r="3873">
          <cell r="G3873">
            <v>0</v>
          </cell>
          <cell r="O3873" t="str">
            <v/>
          </cell>
        </row>
        <row r="3874">
          <cell r="G3874">
            <v>0</v>
          </cell>
          <cell r="O3874" t="str">
            <v/>
          </cell>
        </row>
        <row r="3875">
          <cell r="G3875">
            <v>0</v>
          </cell>
          <cell r="O3875" t="str">
            <v/>
          </cell>
        </row>
        <row r="3876">
          <cell r="G3876">
            <v>0</v>
          </cell>
          <cell r="O3876" t="str">
            <v/>
          </cell>
        </row>
        <row r="3877">
          <cell r="G3877">
            <v>0</v>
          </cell>
          <cell r="O3877" t="str">
            <v/>
          </cell>
        </row>
        <row r="3878">
          <cell r="G3878">
            <v>0</v>
          </cell>
          <cell r="O3878" t="str">
            <v/>
          </cell>
        </row>
        <row r="3879">
          <cell r="G3879">
            <v>0</v>
          </cell>
          <cell r="O3879" t="str">
            <v/>
          </cell>
        </row>
        <row r="3880">
          <cell r="G3880">
            <v>0</v>
          </cell>
          <cell r="O3880" t="str">
            <v/>
          </cell>
        </row>
        <row r="3881">
          <cell r="G3881">
            <v>0</v>
          </cell>
          <cell r="O3881" t="str">
            <v/>
          </cell>
        </row>
        <row r="3882">
          <cell r="G3882">
            <v>0</v>
          </cell>
          <cell r="O3882" t="str">
            <v/>
          </cell>
        </row>
        <row r="3883">
          <cell r="G3883">
            <v>0</v>
          </cell>
          <cell r="O3883" t="str">
            <v/>
          </cell>
        </row>
        <row r="3884">
          <cell r="G3884">
            <v>0</v>
          </cell>
          <cell r="O3884" t="str">
            <v/>
          </cell>
        </row>
        <row r="3885">
          <cell r="G3885">
            <v>0</v>
          </cell>
          <cell r="O3885" t="str">
            <v/>
          </cell>
        </row>
        <row r="3886">
          <cell r="G3886">
            <v>0</v>
          </cell>
          <cell r="O3886" t="str">
            <v/>
          </cell>
        </row>
        <row r="3887">
          <cell r="G3887">
            <v>0</v>
          </cell>
          <cell r="O3887" t="str">
            <v/>
          </cell>
        </row>
        <row r="3888">
          <cell r="G3888">
            <v>0</v>
          </cell>
          <cell r="O3888" t="str">
            <v/>
          </cell>
        </row>
        <row r="3889">
          <cell r="G3889">
            <v>0</v>
          </cell>
          <cell r="O3889" t="str">
            <v/>
          </cell>
        </row>
        <row r="3890">
          <cell r="G3890">
            <v>0</v>
          </cell>
          <cell r="O3890" t="str">
            <v/>
          </cell>
        </row>
        <row r="3891">
          <cell r="G3891">
            <v>0</v>
          </cell>
          <cell r="O3891" t="str">
            <v/>
          </cell>
        </row>
        <row r="3892">
          <cell r="G3892">
            <v>0</v>
          </cell>
          <cell r="O3892" t="str">
            <v/>
          </cell>
        </row>
        <row r="3893">
          <cell r="G3893">
            <v>0</v>
          </cell>
          <cell r="O3893" t="str">
            <v/>
          </cell>
        </row>
        <row r="3894">
          <cell r="G3894">
            <v>0</v>
          </cell>
          <cell r="O3894" t="str">
            <v/>
          </cell>
        </row>
        <row r="3895">
          <cell r="G3895">
            <v>0</v>
          </cell>
          <cell r="O3895" t="str">
            <v/>
          </cell>
        </row>
        <row r="3896">
          <cell r="G3896">
            <v>0</v>
          </cell>
          <cell r="O3896" t="str">
            <v/>
          </cell>
        </row>
        <row r="3897">
          <cell r="G3897">
            <v>0</v>
          </cell>
          <cell r="O3897" t="str">
            <v/>
          </cell>
        </row>
        <row r="3898">
          <cell r="G3898">
            <v>0</v>
          </cell>
          <cell r="O3898" t="str">
            <v/>
          </cell>
        </row>
        <row r="3899">
          <cell r="G3899">
            <v>0</v>
          </cell>
          <cell r="O3899" t="str">
            <v/>
          </cell>
        </row>
        <row r="3900">
          <cell r="G3900">
            <v>0</v>
          </cell>
          <cell r="O3900" t="str">
            <v/>
          </cell>
        </row>
        <row r="3901">
          <cell r="G3901">
            <v>0</v>
          </cell>
          <cell r="O3901" t="str">
            <v/>
          </cell>
        </row>
        <row r="3902">
          <cell r="G3902">
            <v>0</v>
          </cell>
          <cell r="O3902" t="str">
            <v/>
          </cell>
        </row>
        <row r="3903">
          <cell r="G3903">
            <v>0</v>
          </cell>
          <cell r="O3903" t="str">
            <v/>
          </cell>
        </row>
        <row r="3904">
          <cell r="G3904">
            <v>0</v>
          </cell>
          <cell r="O3904" t="str">
            <v/>
          </cell>
        </row>
        <row r="3905">
          <cell r="G3905">
            <v>0</v>
          </cell>
          <cell r="O3905" t="str">
            <v/>
          </cell>
        </row>
        <row r="3906">
          <cell r="G3906">
            <v>0</v>
          </cell>
          <cell r="O3906" t="str">
            <v/>
          </cell>
        </row>
        <row r="3907">
          <cell r="G3907">
            <v>0</v>
          </cell>
          <cell r="O3907" t="str">
            <v/>
          </cell>
        </row>
        <row r="3908">
          <cell r="G3908">
            <v>0</v>
          </cell>
          <cell r="O3908" t="str">
            <v/>
          </cell>
        </row>
        <row r="3909">
          <cell r="G3909">
            <v>0</v>
          </cell>
          <cell r="O3909" t="str">
            <v/>
          </cell>
        </row>
        <row r="3910">
          <cell r="G3910">
            <v>0</v>
          </cell>
          <cell r="O3910" t="str">
            <v/>
          </cell>
        </row>
        <row r="3911">
          <cell r="G3911">
            <v>0</v>
          </cell>
          <cell r="O3911" t="str">
            <v/>
          </cell>
        </row>
        <row r="3912">
          <cell r="G3912">
            <v>0</v>
          </cell>
          <cell r="O3912" t="str">
            <v/>
          </cell>
        </row>
        <row r="3913">
          <cell r="G3913">
            <v>0</v>
          </cell>
          <cell r="O3913" t="str">
            <v/>
          </cell>
        </row>
        <row r="3914">
          <cell r="G3914">
            <v>0</v>
          </cell>
          <cell r="O3914" t="str">
            <v/>
          </cell>
        </row>
        <row r="3915">
          <cell r="G3915">
            <v>0</v>
          </cell>
          <cell r="O3915" t="str">
            <v/>
          </cell>
        </row>
        <row r="3916">
          <cell r="G3916">
            <v>0</v>
          </cell>
          <cell r="O3916" t="str">
            <v/>
          </cell>
        </row>
        <row r="3917">
          <cell r="G3917">
            <v>0</v>
          </cell>
          <cell r="O3917" t="str">
            <v/>
          </cell>
        </row>
        <row r="3918">
          <cell r="G3918">
            <v>0</v>
          </cell>
          <cell r="O3918" t="str">
            <v/>
          </cell>
        </row>
        <row r="3919">
          <cell r="G3919">
            <v>0</v>
          </cell>
          <cell r="O3919" t="str">
            <v/>
          </cell>
        </row>
        <row r="3920">
          <cell r="G3920">
            <v>0</v>
          </cell>
          <cell r="O3920" t="str">
            <v/>
          </cell>
        </row>
        <row r="3921">
          <cell r="G3921">
            <v>0</v>
          </cell>
          <cell r="O3921" t="str">
            <v/>
          </cell>
        </row>
        <row r="3922">
          <cell r="G3922">
            <v>0</v>
          </cell>
          <cell r="O3922" t="str">
            <v/>
          </cell>
        </row>
        <row r="3923">
          <cell r="G3923">
            <v>0</v>
          </cell>
          <cell r="O3923" t="str">
            <v/>
          </cell>
        </row>
        <row r="3924">
          <cell r="G3924">
            <v>0</v>
          </cell>
          <cell r="O3924" t="str">
            <v/>
          </cell>
        </row>
        <row r="3925">
          <cell r="G3925">
            <v>0</v>
          </cell>
          <cell r="O3925" t="str">
            <v/>
          </cell>
        </row>
        <row r="3926">
          <cell r="G3926">
            <v>0</v>
          </cell>
          <cell r="O3926" t="str">
            <v/>
          </cell>
        </row>
        <row r="3927">
          <cell r="G3927">
            <v>0</v>
          </cell>
          <cell r="O3927" t="str">
            <v/>
          </cell>
        </row>
        <row r="3928">
          <cell r="G3928">
            <v>0</v>
          </cell>
          <cell r="O3928" t="str">
            <v/>
          </cell>
        </row>
        <row r="3929">
          <cell r="G3929">
            <v>0</v>
          </cell>
          <cell r="O3929" t="str">
            <v/>
          </cell>
        </row>
        <row r="3930">
          <cell r="G3930">
            <v>0</v>
          </cell>
          <cell r="O3930" t="str">
            <v/>
          </cell>
        </row>
        <row r="3931">
          <cell r="G3931">
            <v>0</v>
          </cell>
          <cell r="O3931" t="str">
            <v/>
          </cell>
        </row>
        <row r="3932">
          <cell r="G3932">
            <v>0</v>
          </cell>
          <cell r="O3932" t="str">
            <v/>
          </cell>
        </row>
        <row r="3933">
          <cell r="G3933">
            <v>0</v>
          </cell>
          <cell r="O3933" t="str">
            <v/>
          </cell>
        </row>
        <row r="3934">
          <cell r="G3934">
            <v>0</v>
          </cell>
          <cell r="O3934" t="str">
            <v/>
          </cell>
        </row>
        <row r="3935">
          <cell r="G3935">
            <v>0</v>
          </cell>
          <cell r="O3935" t="str">
            <v/>
          </cell>
        </row>
        <row r="3936">
          <cell r="G3936">
            <v>0</v>
          </cell>
          <cell r="O3936" t="str">
            <v/>
          </cell>
        </row>
        <row r="3937">
          <cell r="G3937">
            <v>0</v>
          </cell>
          <cell r="O3937" t="str">
            <v/>
          </cell>
        </row>
        <row r="3938">
          <cell r="G3938">
            <v>0</v>
          </cell>
          <cell r="O3938" t="str">
            <v/>
          </cell>
        </row>
        <row r="3939">
          <cell r="G3939">
            <v>0</v>
          </cell>
          <cell r="O3939" t="str">
            <v/>
          </cell>
        </row>
        <row r="3940">
          <cell r="G3940">
            <v>0</v>
          </cell>
          <cell r="O3940" t="str">
            <v/>
          </cell>
        </row>
        <row r="3941">
          <cell r="G3941">
            <v>0</v>
          </cell>
          <cell r="O3941" t="str">
            <v/>
          </cell>
        </row>
        <row r="3942">
          <cell r="G3942">
            <v>0</v>
          </cell>
          <cell r="O3942" t="str">
            <v/>
          </cell>
        </row>
        <row r="3943">
          <cell r="G3943">
            <v>0</v>
          </cell>
          <cell r="O3943" t="str">
            <v/>
          </cell>
        </row>
        <row r="3944">
          <cell r="G3944">
            <v>0</v>
          </cell>
          <cell r="O3944" t="str">
            <v/>
          </cell>
        </row>
        <row r="3945">
          <cell r="G3945">
            <v>0</v>
          </cell>
          <cell r="O3945" t="str">
            <v/>
          </cell>
        </row>
        <row r="3946">
          <cell r="G3946">
            <v>0</v>
          </cell>
          <cell r="O3946" t="str">
            <v/>
          </cell>
        </row>
        <row r="3947">
          <cell r="G3947">
            <v>0</v>
          </cell>
          <cell r="O3947" t="str">
            <v/>
          </cell>
        </row>
        <row r="3948">
          <cell r="G3948">
            <v>0</v>
          </cell>
          <cell r="O3948" t="str">
            <v/>
          </cell>
        </row>
        <row r="3949">
          <cell r="G3949">
            <v>0</v>
          </cell>
          <cell r="O3949" t="str">
            <v/>
          </cell>
        </row>
        <row r="3950">
          <cell r="G3950">
            <v>0</v>
          </cell>
          <cell r="O3950" t="str">
            <v/>
          </cell>
        </row>
        <row r="3951">
          <cell r="G3951">
            <v>0</v>
          </cell>
          <cell r="O3951" t="str">
            <v/>
          </cell>
        </row>
        <row r="3952">
          <cell r="G3952">
            <v>0</v>
          </cell>
          <cell r="O3952" t="str">
            <v/>
          </cell>
        </row>
        <row r="3953">
          <cell r="G3953">
            <v>0</v>
          </cell>
          <cell r="O3953" t="str">
            <v/>
          </cell>
        </row>
        <row r="3954">
          <cell r="G3954">
            <v>0</v>
          </cell>
          <cell r="O3954" t="str">
            <v/>
          </cell>
        </row>
        <row r="3955">
          <cell r="G3955">
            <v>0</v>
          </cell>
          <cell r="O3955" t="str">
            <v/>
          </cell>
        </row>
        <row r="3956">
          <cell r="G3956">
            <v>0</v>
          </cell>
          <cell r="O3956" t="str">
            <v/>
          </cell>
        </row>
        <row r="3957">
          <cell r="G3957">
            <v>0</v>
          </cell>
          <cell r="O3957" t="str">
            <v/>
          </cell>
        </row>
        <row r="3958">
          <cell r="G3958">
            <v>0</v>
          </cell>
          <cell r="O3958" t="str">
            <v/>
          </cell>
        </row>
        <row r="3959">
          <cell r="G3959">
            <v>0</v>
          </cell>
          <cell r="O3959" t="str">
            <v/>
          </cell>
        </row>
        <row r="3960">
          <cell r="G3960">
            <v>0</v>
          </cell>
          <cell r="O3960" t="str">
            <v/>
          </cell>
        </row>
        <row r="3961">
          <cell r="G3961">
            <v>0</v>
          </cell>
          <cell r="O3961" t="str">
            <v/>
          </cell>
        </row>
        <row r="3962">
          <cell r="G3962">
            <v>0</v>
          </cell>
          <cell r="O3962" t="str">
            <v/>
          </cell>
        </row>
        <row r="3963">
          <cell r="G3963">
            <v>0</v>
          </cell>
          <cell r="O3963" t="str">
            <v/>
          </cell>
        </row>
        <row r="3964">
          <cell r="G3964">
            <v>0</v>
          </cell>
          <cell r="O3964" t="str">
            <v/>
          </cell>
        </row>
        <row r="3965">
          <cell r="G3965">
            <v>0</v>
          </cell>
          <cell r="O3965" t="str">
            <v/>
          </cell>
        </row>
        <row r="3966">
          <cell r="G3966">
            <v>0</v>
          </cell>
          <cell r="O3966" t="str">
            <v/>
          </cell>
        </row>
        <row r="3967">
          <cell r="G3967">
            <v>0</v>
          </cell>
          <cell r="O3967" t="str">
            <v/>
          </cell>
        </row>
        <row r="3968">
          <cell r="G3968">
            <v>0</v>
          </cell>
          <cell r="O3968" t="str">
            <v/>
          </cell>
        </row>
        <row r="3969">
          <cell r="G3969">
            <v>0</v>
          </cell>
          <cell r="O3969" t="str">
            <v/>
          </cell>
        </row>
        <row r="3970">
          <cell r="G3970">
            <v>0</v>
          </cell>
          <cell r="O3970" t="str">
            <v/>
          </cell>
        </row>
        <row r="3971">
          <cell r="G3971">
            <v>0</v>
          </cell>
          <cell r="O3971" t="str">
            <v/>
          </cell>
        </row>
        <row r="3972">
          <cell r="G3972">
            <v>0</v>
          </cell>
          <cell r="O3972" t="str">
            <v/>
          </cell>
        </row>
        <row r="3973">
          <cell r="G3973">
            <v>0</v>
          </cell>
          <cell r="O3973" t="str">
            <v/>
          </cell>
        </row>
        <row r="3974">
          <cell r="G3974">
            <v>0</v>
          </cell>
          <cell r="O3974" t="str">
            <v/>
          </cell>
        </row>
        <row r="3975">
          <cell r="G3975">
            <v>0</v>
          </cell>
          <cell r="O3975" t="str">
            <v/>
          </cell>
        </row>
        <row r="3976">
          <cell r="G3976">
            <v>0</v>
          </cell>
          <cell r="O3976" t="str">
            <v/>
          </cell>
        </row>
        <row r="3977">
          <cell r="G3977">
            <v>0</v>
          </cell>
          <cell r="O3977" t="str">
            <v/>
          </cell>
        </row>
        <row r="3978">
          <cell r="G3978">
            <v>0</v>
          </cell>
          <cell r="O3978" t="str">
            <v/>
          </cell>
        </row>
        <row r="3979">
          <cell r="G3979">
            <v>0</v>
          </cell>
          <cell r="O3979" t="str">
            <v/>
          </cell>
        </row>
        <row r="3980">
          <cell r="G3980">
            <v>0</v>
          </cell>
          <cell r="O3980" t="str">
            <v/>
          </cell>
        </row>
        <row r="3981">
          <cell r="G3981">
            <v>0</v>
          </cell>
          <cell r="O3981" t="str">
            <v/>
          </cell>
        </row>
        <row r="3982">
          <cell r="G3982">
            <v>0</v>
          </cell>
          <cell r="O3982" t="str">
            <v/>
          </cell>
        </row>
        <row r="3983">
          <cell r="G3983">
            <v>0</v>
          </cell>
          <cell r="O3983" t="str">
            <v/>
          </cell>
        </row>
        <row r="3984">
          <cell r="G3984">
            <v>0</v>
          </cell>
          <cell r="O3984" t="str">
            <v/>
          </cell>
        </row>
        <row r="3985">
          <cell r="G3985">
            <v>0</v>
          </cell>
          <cell r="O3985" t="str">
            <v/>
          </cell>
        </row>
        <row r="3986">
          <cell r="G3986">
            <v>0</v>
          </cell>
          <cell r="O3986" t="str">
            <v/>
          </cell>
        </row>
        <row r="3987">
          <cell r="G3987">
            <v>0</v>
          </cell>
          <cell r="O3987" t="str">
            <v/>
          </cell>
        </row>
        <row r="3988">
          <cell r="G3988">
            <v>0</v>
          </cell>
          <cell r="O3988" t="str">
            <v/>
          </cell>
        </row>
        <row r="3989">
          <cell r="G3989">
            <v>0</v>
          </cell>
          <cell r="O3989" t="str">
            <v/>
          </cell>
        </row>
        <row r="3990">
          <cell r="G3990">
            <v>0</v>
          </cell>
          <cell r="O3990" t="str">
            <v/>
          </cell>
        </row>
        <row r="3991">
          <cell r="G3991">
            <v>0</v>
          </cell>
          <cell r="O3991" t="str">
            <v/>
          </cell>
        </row>
        <row r="3992">
          <cell r="G3992">
            <v>0</v>
          </cell>
          <cell r="O3992" t="str">
            <v/>
          </cell>
        </row>
        <row r="3993">
          <cell r="G3993">
            <v>0</v>
          </cell>
          <cell r="O3993" t="str">
            <v/>
          </cell>
        </row>
        <row r="3994">
          <cell r="G3994">
            <v>0</v>
          </cell>
          <cell r="O3994" t="str">
            <v/>
          </cell>
        </row>
        <row r="3995">
          <cell r="G3995">
            <v>0</v>
          </cell>
          <cell r="O3995" t="str">
            <v/>
          </cell>
        </row>
        <row r="3996">
          <cell r="G3996">
            <v>0</v>
          </cell>
          <cell r="O3996" t="str">
            <v/>
          </cell>
        </row>
        <row r="3997">
          <cell r="G3997">
            <v>0</v>
          </cell>
          <cell r="O3997" t="str">
            <v/>
          </cell>
        </row>
        <row r="3998">
          <cell r="G3998">
            <v>0</v>
          </cell>
          <cell r="O3998" t="str">
            <v/>
          </cell>
        </row>
        <row r="3999">
          <cell r="G3999">
            <v>0</v>
          </cell>
          <cell r="O3999" t="str">
            <v/>
          </cell>
        </row>
        <row r="4000">
          <cell r="G4000">
            <v>0</v>
          </cell>
          <cell r="O4000" t="str">
            <v/>
          </cell>
        </row>
        <row r="4001">
          <cell r="G4001">
            <v>0</v>
          </cell>
          <cell r="O4001" t="str">
            <v/>
          </cell>
        </row>
        <row r="4002">
          <cell r="G4002">
            <v>0</v>
          </cell>
          <cell r="O4002" t="str">
            <v/>
          </cell>
        </row>
        <row r="4003">
          <cell r="G4003">
            <v>0</v>
          </cell>
          <cell r="O4003" t="str">
            <v/>
          </cell>
        </row>
        <row r="4004">
          <cell r="G4004">
            <v>0</v>
          </cell>
          <cell r="O4004" t="str">
            <v/>
          </cell>
        </row>
        <row r="4005">
          <cell r="G4005">
            <v>0</v>
          </cell>
          <cell r="O4005" t="str">
            <v/>
          </cell>
        </row>
        <row r="4006">
          <cell r="G4006">
            <v>0</v>
          </cell>
          <cell r="O4006" t="str">
            <v/>
          </cell>
        </row>
        <row r="4007">
          <cell r="G4007">
            <v>0</v>
          </cell>
          <cell r="O4007" t="str">
            <v/>
          </cell>
        </row>
        <row r="4008">
          <cell r="G4008">
            <v>0</v>
          </cell>
          <cell r="O4008" t="str">
            <v/>
          </cell>
        </row>
        <row r="4009">
          <cell r="G4009">
            <v>0</v>
          </cell>
          <cell r="O4009" t="str">
            <v/>
          </cell>
        </row>
        <row r="4010">
          <cell r="G4010">
            <v>0</v>
          </cell>
          <cell r="O4010" t="str">
            <v/>
          </cell>
        </row>
        <row r="4011">
          <cell r="G4011">
            <v>0</v>
          </cell>
          <cell r="O4011" t="str">
            <v/>
          </cell>
        </row>
        <row r="4012">
          <cell r="G4012">
            <v>0</v>
          </cell>
          <cell r="O4012" t="str">
            <v/>
          </cell>
        </row>
        <row r="4013">
          <cell r="G4013">
            <v>0</v>
          </cell>
          <cell r="O4013" t="str">
            <v/>
          </cell>
        </row>
        <row r="4014">
          <cell r="G4014">
            <v>0</v>
          </cell>
          <cell r="O4014" t="str">
            <v/>
          </cell>
        </row>
        <row r="4015">
          <cell r="G4015">
            <v>0</v>
          </cell>
          <cell r="O4015" t="str">
            <v/>
          </cell>
        </row>
        <row r="4016">
          <cell r="G4016">
            <v>0</v>
          </cell>
          <cell r="O4016" t="str">
            <v/>
          </cell>
        </row>
        <row r="4017">
          <cell r="G4017">
            <v>0</v>
          </cell>
          <cell r="O4017" t="str">
            <v/>
          </cell>
        </row>
        <row r="4018">
          <cell r="G4018">
            <v>0</v>
          </cell>
          <cell r="O4018" t="str">
            <v/>
          </cell>
        </row>
        <row r="4019">
          <cell r="O4019" t="str">
            <v/>
          </cell>
        </row>
        <row r="4020">
          <cell r="O4020" t="str">
            <v/>
          </cell>
        </row>
        <row r="4021">
          <cell r="O4021" t="str">
            <v/>
          </cell>
        </row>
        <row r="4022">
          <cell r="O4022" t="str">
            <v/>
          </cell>
        </row>
        <row r="4023">
          <cell r="O4023" t="str">
            <v/>
          </cell>
        </row>
        <row r="4024">
          <cell r="O4024" t="str">
            <v/>
          </cell>
        </row>
        <row r="4025">
          <cell r="O4025" t="str">
            <v/>
          </cell>
        </row>
        <row r="4026">
          <cell r="O4026" t="str">
            <v/>
          </cell>
        </row>
        <row r="4027">
          <cell r="O4027" t="str">
            <v/>
          </cell>
        </row>
        <row r="4028">
          <cell r="O4028" t="str">
            <v/>
          </cell>
        </row>
        <row r="4029">
          <cell r="O4029" t="str">
            <v/>
          </cell>
        </row>
        <row r="4030">
          <cell r="O4030" t="str">
            <v/>
          </cell>
        </row>
        <row r="4031">
          <cell r="O4031" t="str">
            <v/>
          </cell>
        </row>
        <row r="4032">
          <cell r="O4032" t="str">
            <v/>
          </cell>
        </row>
        <row r="4033">
          <cell r="O4033" t="str">
            <v/>
          </cell>
        </row>
        <row r="4034">
          <cell r="O4034" t="str">
            <v/>
          </cell>
        </row>
        <row r="4035">
          <cell r="O4035" t="str">
            <v/>
          </cell>
        </row>
        <row r="4036">
          <cell r="O4036" t="str">
            <v/>
          </cell>
        </row>
        <row r="4037">
          <cell r="O4037" t="str">
            <v/>
          </cell>
        </row>
        <row r="4038">
          <cell r="O4038" t="str">
            <v/>
          </cell>
        </row>
        <row r="4039">
          <cell r="O4039" t="str">
            <v/>
          </cell>
        </row>
        <row r="4040">
          <cell r="O4040" t="str">
            <v/>
          </cell>
        </row>
        <row r="4041">
          <cell r="O4041" t="str">
            <v/>
          </cell>
        </row>
        <row r="4042">
          <cell r="O4042" t="str">
            <v/>
          </cell>
        </row>
        <row r="4043">
          <cell r="O4043" t="str">
            <v/>
          </cell>
        </row>
        <row r="4044">
          <cell r="O4044" t="str">
            <v/>
          </cell>
        </row>
        <row r="4045">
          <cell r="O4045" t="str">
            <v/>
          </cell>
        </row>
        <row r="4046">
          <cell r="O4046" t="str">
            <v/>
          </cell>
        </row>
        <row r="4047">
          <cell r="O4047" t="str">
            <v/>
          </cell>
        </row>
        <row r="4048">
          <cell r="O4048" t="str">
            <v/>
          </cell>
        </row>
        <row r="4049">
          <cell r="O4049" t="str">
            <v/>
          </cell>
        </row>
        <row r="4050">
          <cell r="O4050" t="str">
            <v/>
          </cell>
        </row>
        <row r="4051">
          <cell r="O4051" t="str">
            <v/>
          </cell>
        </row>
        <row r="4052">
          <cell r="O4052" t="str">
            <v/>
          </cell>
        </row>
        <row r="4053">
          <cell r="O4053" t="str">
            <v/>
          </cell>
        </row>
        <row r="4054">
          <cell r="O4054" t="str">
            <v/>
          </cell>
        </row>
        <row r="4055">
          <cell r="O4055" t="str">
            <v/>
          </cell>
        </row>
        <row r="4056">
          <cell r="O4056" t="str">
            <v/>
          </cell>
        </row>
        <row r="4057">
          <cell r="O4057" t="str">
            <v/>
          </cell>
        </row>
        <row r="4058">
          <cell r="O4058" t="str">
            <v/>
          </cell>
        </row>
        <row r="4059">
          <cell r="O4059" t="str">
            <v/>
          </cell>
        </row>
        <row r="4060">
          <cell r="O4060" t="str">
            <v/>
          </cell>
        </row>
        <row r="4061">
          <cell r="O4061" t="str">
            <v/>
          </cell>
        </row>
        <row r="4062">
          <cell r="O4062" t="str">
            <v/>
          </cell>
        </row>
        <row r="4063">
          <cell r="O4063" t="str">
            <v/>
          </cell>
        </row>
        <row r="4064">
          <cell r="O4064" t="str">
            <v/>
          </cell>
        </row>
        <row r="4065">
          <cell r="O4065" t="str">
            <v/>
          </cell>
        </row>
        <row r="4066">
          <cell r="O4066" t="str">
            <v/>
          </cell>
        </row>
        <row r="4067">
          <cell r="O4067" t="str">
            <v/>
          </cell>
        </row>
        <row r="4068">
          <cell r="O4068" t="str">
            <v/>
          </cell>
        </row>
        <row r="4069">
          <cell r="O4069" t="str">
            <v/>
          </cell>
        </row>
        <row r="4070">
          <cell r="O4070" t="str">
            <v/>
          </cell>
        </row>
        <row r="4071">
          <cell r="O4071" t="str">
            <v/>
          </cell>
        </row>
        <row r="4072">
          <cell r="O4072" t="str">
            <v/>
          </cell>
        </row>
        <row r="4073">
          <cell r="O4073" t="str">
            <v/>
          </cell>
        </row>
        <row r="4074">
          <cell r="O4074" t="str">
            <v/>
          </cell>
        </row>
        <row r="4075">
          <cell r="O4075" t="str">
            <v/>
          </cell>
        </row>
        <row r="4076">
          <cell r="O4076" t="str">
            <v/>
          </cell>
        </row>
        <row r="4077">
          <cell r="O4077" t="str">
            <v/>
          </cell>
        </row>
        <row r="4078">
          <cell r="O4078" t="str">
            <v/>
          </cell>
        </row>
        <row r="4079">
          <cell r="O4079" t="str">
            <v/>
          </cell>
        </row>
        <row r="4080">
          <cell r="O4080" t="str">
            <v/>
          </cell>
        </row>
        <row r="4081">
          <cell r="O4081" t="str">
            <v/>
          </cell>
        </row>
        <row r="4082">
          <cell r="O4082" t="str">
            <v/>
          </cell>
        </row>
        <row r="4083">
          <cell r="O4083" t="str">
            <v/>
          </cell>
        </row>
        <row r="4084">
          <cell r="O4084" t="str">
            <v/>
          </cell>
        </row>
        <row r="4085">
          <cell r="O4085" t="str">
            <v/>
          </cell>
        </row>
        <row r="4086">
          <cell r="O4086" t="str">
            <v/>
          </cell>
        </row>
        <row r="4087">
          <cell r="O4087" t="str">
            <v/>
          </cell>
        </row>
        <row r="4088">
          <cell r="O4088" t="str">
            <v/>
          </cell>
        </row>
        <row r="4089">
          <cell r="O4089" t="str">
            <v/>
          </cell>
        </row>
        <row r="4090">
          <cell r="O4090" t="str">
            <v/>
          </cell>
        </row>
        <row r="4091">
          <cell r="O4091" t="str">
            <v/>
          </cell>
        </row>
        <row r="4092">
          <cell r="O4092" t="str">
            <v/>
          </cell>
        </row>
        <row r="4093">
          <cell r="O4093" t="str">
            <v/>
          </cell>
        </row>
        <row r="4094">
          <cell r="O4094" t="str">
            <v/>
          </cell>
        </row>
        <row r="4095">
          <cell r="O4095" t="str">
            <v/>
          </cell>
        </row>
        <row r="4096">
          <cell r="O4096" t="str">
            <v/>
          </cell>
        </row>
        <row r="4097">
          <cell r="O4097" t="str">
            <v/>
          </cell>
        </row>
        <row r="4098">
          <cell r="O4098" t="str">
            <v/>
          </cell>
        </row>
        <row r="4099">
          <cell r="O4099" t="str">
            <v/>
          </cell>
        </row>
        <row r="4100">
          <cell r="O4100" t="str">
            <v/>
          </cell>
        </row>
        <row r="4101">
          <cell r="O4101" t="str">
            <v/>
          </cell>
        </row>
        <row r="4102">
          <cell r="O4102" t="str">
            <v/>
          </cell>
        </row>
        <row r="4103">
          <cell r="O4103" t="str">
            <v/>
          </cell>
        </row>
        <row r="4104">
          <cell r="O4104" t="str">
            <v/>
          </cell>
        </row>
        <row r="4105">
          <cell r="O4105" t="str">
            <v/>
          </cell>
        </row>
        <row r="4106">
          <cell r="O4106" t="str">
            <v/>
          </cell>
        </row>
        <row r="4107">
          <cell r="O4107" t="str">
            <v/>
          </cell>
        </row>
        <row r="4108">
          <cell r="O4108" t="str">
            <v/>
          </cell>
        </row>
        <row r="4109">
          <cell r="O4109" t="str">
            <v/>
          </cell>
        </row>
        <row r="4110">
          <cell r="O4110" t="str">
            <v/>
          </cell>
        </row>
        <row r="4111">
          <cell r="O4111" t="str">
            <v/>
          </cell>
        </row>
        <row r="4112">
          <cell r="O4112" t="str">
            <v/>
          </cell>
        </row>
        <row r="4113">
          <cell r="O4113" t="str">
            <v/>
          </cell>
        </row>
        <row r="4114">
          <cell r="O4114" t="str">
            <v/>
          </cell>
        </row>
        <row r="4115">
          <cell r="O4115" t="str">
            <v/>
          </cell>
        </row>
        <row r="4116">
          <cell r="O4116" t="str">
            <v/>
          </cell>
        </row>
        <row r="4117">
          <cell r="O4117" t="str">
            <v/>
          </cell>
        </row>
        <row r="4118">
          <cell r="O4118" t="str">
            <v/>
          </cell>
        </row>
        <row r="4119">
          <cell r="O4119" t="str">
            <v/>
          </cell>
        </row>
        <row r="4120">
          <cell r="O4120" t="str">
            <v/>
          </cell>
        </row>
        <row r="4121">
          <cell r="O4121" t="str">
            <v/>
          </cell>
        </row>
        <row r="4122">
          <cell r="O4122" t="str">
            <v/>
          </cell>
        </row>
        <row r="4123">
          <cell r="O4123" t="str">
            <v/>
          </cell>
        </row>
        <row r="4124">
          <cell r="O4124" t="str">
            <v/>
          </cell>
        </row>
        <row r="4125">
          <cell r="O4125" t="str">
            <v/>
          </cell>
        </row>
        <row r="4126">
          <cell r="O4126" t="str">
            <v/>
          </cell>
        </row>
        <row r="4127">
          <cell r="O4127" t="str">
            <v/>
          </cell>
        </row>
        <row r="4128">
          <cell r="O4128" t="str">
            <v/>
          </cell>
        </row>
        <row r="4129">
          <cell r="O4129" t="str">
            <v/>
          </cell>
        </row>
        <row r="4130">
          <cell r="O4130" t="str">
            <v/>
          </cell>
        </row>
        <row r="4131">
          <cell r="O4131" t="str">
            <v/>
          </cell>
        </row>
        <row r="4132">
          <cell r="O4132" t="str">
            <v/>
          </cell>
        </row>
        <row r="4133">
          <cell r="O4133" t="str">
            <v/>
          </cell>
        </row>
        <row r="4134">
          <cell r="O4134" t="str">
            <v/>
          </cell>
        </row>
        <row r="4135">
          <cell r="O4135" t="str">
            <v/>
          </cell>
        </row>
        <row r="4136">
          <cell r="O4136" t="str">
            <v/>
          </cell>
        </row>
        <row r="4137">
          <cell r="O4137" t="str">
            <v/>
          </cell>
        </row>
        <row r="4138">
          <cell r="O4138" t="str">
            <v/>
          </cell>
        </row>
        <row r="4139">
          <cell r="O4139" t="str">
            <v/>
          </cell>
        </row>
        <row r="4140">
          <cell r="O4140" t="str">
            <v/>
          </cell>
        </row>
        <row r="4141">
          <cell r="O4141" t="str">
            <v/>
          </cell>
        </row>
        <row r="4142">
          <cell r="O4142" t="str">
            <v/>
          </cell>
        </row>
        <row r="4143">
          <cell r="O4143" t="str">
            <v/>
          </cell>
        </row>
        <row r="4144">
          <cell r="O4144" t="str">
            <v/>
          </cell>
        </row>
        <row r="4145">
          <cell r="O4145" t="str">
            <v/>
          </cell>
        </row>
        <row r="4146">
          <cell r="O4146" t="str">
            <v/>
          </cell>
        </row>
        <row r="4147">
          <cell r="O4147" t="str">
            <v/>
          </cell>
        </row>
        <row r="4148">
          <cell r="O4148" t="str">
            <v/>
          </cell>
        </row>
        <row r="4149">
          <cell r="O4149" t="str">
            <v/>
          </cell>
        </row>
        <row r="4150">
          <cell r="O4150" t="str">
            <v/>
          </cell>
        </row>
        <row r="4151">
          <cell r="O4151" t="str">
            <v/>
          </cell>
        </row>
        <row r="4152">
          <cell r="O4152" t="str">
            <v/>
          </cell>
        </row>
        <row r="4153">
          <cell r="O4153" t="str">
            <v/>
          </cell>
        </row>
        <row r="4154">
          <cell r="O4154" t="str">
            <v/>
          </cell>
        </row>
        <row r="4155">
          <cell r="O4155" t="str">
            <v/>
          </cell>
        </row>
        <row r="4156">
          <cell r="O4156" t="str">
            <v/>
          </cell>
        </row>
        <row r="4157">
          <cell r="O4157" t="str">
            <v/>
          </cell>
        </row>
        <row r="4158">
          <cell r="O4158" t="str">
            <v/>
          </cell>
        </row>
        <row r="4159">
          <cell r="O4159" t="str">
            <v/>
          </cell>
        </row>
        <row r="4160">
          <cell r="O4160" t="str">
            <v/>
          </cell>
        </row>
        <row r="4161">
          <cell r="O4161" t="str">
            <v/>
          </cell>
        </row>
        <row r="4162">
          <cell r="O4162" t="str">
            <v/>
          </cell>
        </row>
        <row r="4163">
          <cell r="O4163" t="str">
            <v/>
          </cell>
        </row>
        <row r="4164">
          <cell r="O4164" t="str">
            <v/>
          </cell>
        </row>
        <row r="4165">
          <cell r="O4165" t="str">
            <v/>
          </cell>
        </row>
        <row r="4166">
          <cell r="O4166" t="str">
            <v/>
          </cell>
        </row>
        <row r="4167">
          <cell r="O4167" t="str">
            <v/>
          </cell>
        </row>
        <row r="4168">
          <cell r="O4168" t="str">
            <v/>
          </cell>
        </row>
        <row r="4169">
          <cell r="O4169" t="str">
            <v/>
          </cell>
        </row>
        <row r="4170">
          <cell r="O4170" t="str">
            <v/>
          </cell>
        </row>
        <row r="4171">
          <cell r="O4171" t="str">
            <v/>
          </cell>
        </row>
        <row r="4172">
          <cell r="O4172" t="str">
            <v/>
          </cell>
        </row>
        <row r="4173">
          <cell r="O4173" t="str">
            <v/>
          </cell>
        </row>
        <row r="4174">
          <cell r="O4174" t="str">
            <v/>
          </cell>
        </row>
        <row r="4175">
          <cell r="O4175" t="str">
            <v/>
          </cell>
        </row>
        <row r="4176">
          <cell r="O4176" t="str">
            <v/>
          </cell>
        </row>
        <row r="4177">
          <cell r="O4177" t="str">
            <v/>
          </cell>
        </row>
        <row r="4178">
          <cell r="O4178" t="str">
            <v/>
          </cell>
        </row>
        <row r="4179">
          <cell r="O4179" t="str">
            <v/>
          </cell>
        </row>
        <row r="4180">
          <cell r="O4180" t="str">
            <v/>
          </cell>
        </row>
        <row r="4181">
          <cell r="O4181" t="str">
            <v/>
          </cell>
        </row>
        <row r="4182">
          <cell r="O4182" t="str">
            <v/>
          </cell>
        </row>
        <row r="4183">
          <cell r="O4183" t="str">
            <v/>
          </cell>
        </row>
        <row r="4184">
          <cell r="O4184" t="str">
            <v/>
          </cell>
        </row>
        <row r="4185">
          <cell r="O4185" t="str">
            <v/>
          </cell>
        </row>
        <row r="4186">
          <cell r="O4186" t="str">
            <v/>
          </cell>
        </row>
        <row r="4187">
          <cell r="O4187" t="str">
            <v/>
          </cell>
        </row>
        <row r="4188">
          <cell r="O4188" t="str">
            <v/>
          </cell>
        </row>
        <row r="4189">
          <cell r="O4189" t="str">
            <v/>
          </cell>
        </row>
        <row r="4190">
          <cell r="O4190" t="str">
            <v/>
          </cell>
        </row>
        <row r="4191">
          <cell r="O4191" t="str">
            <v/>
          </cell>
        </row>
        <row r="4192">
          <cell r="O4192" t="str">
            <v/>
          </cell>
        </row>
        <row r="4193">
          <cell r="O4193" t="str">
            <v/>
          </cell>
        </row>
        <row r="4194">
          <cell r="O4194" t="str">
            <v/>
          </cell>
        </row>
        <row r="4195">
          <cell r="O4195" t="str">
            <v/>
          </cell>
        </row>
        <row r="4196">
          <cell r="O4196" t="str">
            <v/>
          </cell>
        </row>
        <row r="4197">
          <cell r="O4197" t="str">
            <v/>
          </cell>
        </row>
        <row r="4198">
          <cell r="O4198" t="str">
            <v/>
          </cell>
        </row>
        <row r="4199">
          <cell r="O4199" t="str">
            <v/>
          </cell>
        </row>
        <row r="4200">
          <cell r="O4200" t="str">
            <v/>
          </cell>
        </row>
        <row r="4201">
          <cell r="O4201" t="str">
            <v/>
          </cell>
        </row>
        <row r="4202">
          <cell r="O4202" t="str">
            <v/>
          </cell>
        </row>
        <row r="4203">
          <cell r="O4203" t="str">
            <v/>
          </cell>
        </row>
        <row r="4204">
          <cell r="O4204" t="str">
            <v/>
          </cell>
        </row>
        <row r="4205">
          <cell r="O4205" t="str">
            <v/>
          </cell>
        </row>
        <row r="4206">
          <cell r="O4206" t="str">
            <v/>
          </cell>
        </row>
        <row r="4207">
          <cell r="O4207" t="str">
            <v/>
          </cell>
        </row>
        <row r="4208">
          <cell r="O4208" t="str">
            <v/>
          </cell>
        </row>
        <row r="4209">
          <cell r="O4209" t="str">
            <v/>
          </cell>
        </row>
        <row r="4210">
          <cell r="O4210" t="str">
            <v/>
          </cell>
        </row>
        <row r="4211">
          <cell r="O4211" t="str">
            <v/>
          </cell>
        </row>
        <row r="4212">
          <cell r="O4212" t="str">
            <v/>
          </cell>
        </row>
        <row r="4213">
          <cell r="O4213" t="str">
            <v/>
          </cell>
        </row>
        <row r="4214">
          <cell r="O4214" t="str">
            <v/>
          </cell>
        </row>
        <row r="4215">
          <cell r="O4215" t="str">
            <v/>
          </cell>
        </row>
        <row r="4216">
          <cell r="O4216" t="str">
            <v/>
          </cell>
        </row>
        <row r="4217">
          <cell r="O4217" t="str">
            <v/>
          </cell>
        </row>
        <row r="4218">
          <cell r="O4218" t="str">
            <v/>
          </cell>
        </row>
        <row r="4219">
          <cell r="O4219" t="str">
            <v/>
          </cell>
        </row>
        <row r="4220">
          <cell r="O4220" t="str">
            <v/>
          </cell>
        </row>
        <row r="4221">
          <cell r="O4221" t="str">
            <v/>
          </cell>
        </row>
        <row r="4222">
          <cell r="O4222" t="str">
            <v/>
          </cell>
        </row>
        <row r="4223">
          <cell r="O4223" t="str">
            <v/>
          </cell>
        </row>
        <row r="4224">
          <cell r="O4224" t="str">
            <v/>
          </cell>
        </row>
        <row r="4225">
          <cell r="O4225" t="str">
            <v/>
          </cell>
        </row>
        <row r="4226">
          <cell r="O4226" t="str">
            <v/>
          </cell>
        </row>
        <row r="4227">
          <cell r="O4227" t="str">
            <v/>
          </cell>
        </row>
        <row r="4228">
          <cell r="O4228" t="str">
            <v/>
          </cell>
        </row>
        <row r="4229">
          <cell r="O4229" t="str">
            <v/>
          </cell>
        </row>
        <row r="4230">
          <cell r="O4230" t="str">
            <v/>
          </cell>
        </row>
        <row r="4231">
          <cell r="O4231" t="str">
            <v/>
          </cell>
        </row>
        <row r="4232">
          <cell r="O4232" t="str">
            <v/>
          </cell>
        </row>
        <row r="4233">
          <cell r="O4233" t="str">
            <v/>
          </cell>
        </row>
        <row r="4234">
          <cell r="O4234" t="str">
            <v/>
          </cell>
        </row>
        <row r="4235">
          <cell r="O4235" t="str">
            <v/>
          </cell>
        </row>
        <row r="4236">
          <cell r="O4236" t="str">
            <v/>
          </cell>
        </row>
        <row r="4237">
          <cell r="O4237" t="str">
            <v/>
          </cell>
        </row>
        <row r="4238">
          <cell r="O4238" t="str">
            <v/>
          </cell>
        </row>
        <row r="4239">
          <cell r="O4239" t="str">
            <v/>
          </cell>
        </row>
        <row r="4240">
          <cell r="O4240" t="str">
            <v/>
          </cell>
        </row>
        <row r="4241">
          <cell r="O4241" t="str">
            <v/>
          </cell>
        </row>
        <row r="4242">
          <cell r="O4242" t="str">
            <v/>
          </cell>
        </row>
        <row r="4243">
          <cell r="O4243" t="str">
            <v/>
          </cell>
        </row>
        <row r="4244">
          <cell r="O4244" t="str">
            <v/>
          </cell>
        </row>
        <row r="4245">
          <cell r="O4245" t="str">
            <v/>
          </cell>
        </row>
        <row r="4246">
          <cell r="O4246" t="str">
            <v/>
          </cell>
        </row>
        <row r="4247">
          <cell r="O4247" t="str">
            <v/>
          </cell>
        </row>
        <row r="4248">
          <cell r="O4248" t="str">
            <v/>
          </cell>
        </row>
        <row r="4249">
          <cell r="O4249" t="str">
            <v/>
          </cell>
        </row>
        <row r="4250">
          <cell r="O4250" t="str">
            <v/>
          </cell>
        </row>
        <row r="4251">
          <cell r="O4251" t="str">
            <v/>
          </cell>
        </row>
        <row r="4252">
          <cell r="O4252" t="str">
            <v/>
          </cell>
        </row>
        <row r="4253">
          <cell r="O4253" t="str">
            <v/>
          </cell>
        </row>
        <row r="4254">
          <cell r="O4254" t="str">
            <v/>
          </cell>
        </row>
        <row r="4255">
          <cell r="O4255" t="str">
            <v/>
          </cell>
        </row>
        <row r="4256">
          <cell r="O4256" t="str">
            <v/>
          </cell>
        </row>
        <row r="4257">
          <cell r="O4257" t="str">
            <v/>
          </cell>
        </row>
        <row r="4258">
          <cell r="O4258" t="str">
            <v/>
          </cell>
        </row>
        <row r="4259">
          <cell r="O4259" t="str">
            <v/>
          </cell>
        </row>
        <row r="4260">
          <cell r="O4260" t="str">
            <v/>
          </cell>
        </row>
        <row r="4261">
          <cell r="O4261" t="str">
            <v/>
          </cell>
        </row>
        <row r="4262">
          <cell r="O4262" t="str">
            <v/>
          </cell>
        </row>
        <row r="4263">
          <cell r="O4263" t="str">
            <v/>
          </cell>
        </row>
        <row r="4264">
          <cell r="O4264" t="str">
            <v/>
          </cell>
        </row>
        <row r="4265">
          <cell r="O4265" t="str">
            <v/>
          </cell>
        </row>
        <row r="4266">
          <cell r="O4266" t="str">
            <v/>
          </cell>
        </row>
        <row r="4267">
          <cell r="O4267" t="str">
            <v/>
          </cell>
        </row>
        <row r="4268">
          <cell r="O4268" t="str">
            <v/>
          </cell>
        </row>
        <row r="4269">
          <cell r="O4269" t="str">
            <v/>
          </cell>
        </row>
        <row r="4270">
          <cell r="O4270" t="str">
            <v/>
          </cell>
        </row>
        <row r="4271">
          <cell r="O4271" t="str">
            <v/>
          </cell>
        </row>
        <row r="4272">
          <cell r="O4272" t="str">
            <v/>
          </cell>
        </row>
        <row r="4273">
          <cell r="O4273" t="str">
            <v/>
          </cell>
        </row>
        <row r="4274">
          <cell r="O4274" t="str">
            <v/>
          </cell>
        </row>
        <row r="4275">
          <cell r="O4275" t="str">
            <v/>
          </cell>
        </row>
        <row r="4276">
          <cell r="O4276" t="str">
            <v/>
          </cell>
        </row>
        <row r="4277">
          <cell r="O4277" t="str">
            <v/>
          </cell>
        </row>
        <row r="4278">
          <cell r="O4278" t="str">
            <v/>
          </cell>
        </row>
        <row r="4279">
          <cell r="O4279" t="str">
            <v/>
          </cell>
        </row>
        <row r="4280">
          <cell r="O4280" t="str">
            <v/>
          </cell>
        </row>
        <row r="4281">
          <cell r="O4281" t="str">
            <v/>
          </cell>
        </row>
        <row r="4282">
          <cell r="O4282" t="str">
            <v/>
          </cell>
        </row>
        <row r="4283">
          <cell r="O4283" t="str">
            <v/>
          </cell>
        </row>
        <row r="4284">
          <cell r="O4284" t="str">
            <v/>
          </cell>
        </row>
        <row r="4285">
          <cell r="O4285" t="str">
            <v/>
          </cell>
        </row>
        <row r="4286">
          <cell r="O4286" t="str">
            <v/>
          </cell>
        </row>
        <row r="4287">
          <cell r="O4287" t="str">
            <v/>
          </cell>
        </row>
        <row r="4288">
          <cell r="O4288" t="str">
            <v/>
          </cell>
        </row>
        <row r="4289">
          <cell r="O4289" t="str">
            <v/>
          </cell>
        </row>
        <row r="4290">
          <cell r="O4290" t="str">
            <v/>
          </cell>
        </row>
        <row r="4291">
          <cell r="O4291" t="str">
            <v/>
          </cell>
        </row>
        <row r="4292">
          <cell r="O4292" t="str">
            <v/>
          </cell>
        </row>
        <row r="4293">
          <cell r="O4293" t="str">
            <v/>
          </cell>
        </row>
        <row r="4294">
          <cell r="O4294" t="str">
            <v/>
          </cell>
        </row>
        <row r="4295">
          <cell r="O4295" t="str">
            <v/>
          </cell>
        </row>
        <row r="4296">
          <cell r="O4296" t="str">
            <v/>
          </cell>
        </row>
        <row r="4297">
          <cell r="O4297" t="str">
            <v/>
          </cell>
        </row>
        <row r="4298">
          <cell r="O4298" t="str">
            <v/>
          </cell>
        </row>
        <row r="4299">
          <cell r="O4299" t="str">
            <v/>
          </cell>
        </row>
        <row r="4300">
          <cell r="O4300" t="str">
            <v/>
          </cell>
        </row>
        <row r="4301">
          <cell r="O4301" t="str">
            <v/>
          </cell>
        </row>
        <row r="4302">
          <cell r="O4302" t="str">
            <v/>
          </cell>
        </row>
        <row r="4303">
          <cell r="O4303" t="str">
            <v/>
          </cell>
        </row>
        <row r="4304">
          <cell r="O4304" t="str">
            <v/>
          </cell>
        </row>
        <row r="4305">
          <cell r="O4305" t="str">
            <v/>
          </cell>
        </row>
        <row r="4306">
          <cell r="O4306" t="str">
            <v/>
          </cell>
        </row>
        <row r="4307">
          <cell r="O4307" t="str">
            <v/>
          </cell>
        </row>
        <row r="4308">
          <cell r="O4308" t="str">
            <v/>
          </cell>
        </row>
        <row r="4309">
          <cell r="O4309" t="str">
            <v/>
          </cell>
        </row>
        <row r="4310">
          <cell r="O4310" t="str">
            <v/>
          </cell>
        </row>
        <row r="4311">
          <cell r="O4311" t="str">
            <v/>
          </cell>
        </row>
        <row r="4312">
          <cell r="O4312" t="str">
            <v/>
          </cell>
        </row>
        <row r="4313">
          <cell r="O4313" t="str">
            <v/>
          </cell>
        </row>
        <row r="4314">
          <cell r="O4314" t="str">
            <v/>
          </cell>
        </row>
        <row r="4315">
          <cell r="O4315" t="str">
            <v/>
          </cell>
        </row>
        <row r="4316">
          <cell r="O4316" t="str">
            <v/>
          </cell>
        </row>
        <row r="4317">
          <cell r="O4317" t="str">
            <v/>
          </cell>
        </row>
        <row r="4318">
          <cell r="O4318" t="str">
            <v/>
          </cell>
        </row>
        <row r="4319">
          <cell r="O4319" t="str">
            <v/>
          </cell>
        </row>
        <row r="4320">
          <cell r="O4320" t="str">
            <v/>
          </cell>
        </row>
        <row r="4321">
          <cell r="O4321" t="str">
            <v/>
          </cell>
        </row>
        <row r="4322">
          <cell r="O4322" t="str">
            <v/>
          </cell>
        </row>
        <row r="4323">
          <cell r="O4323" t="str">
            <v/>
          </cell>
        </row>
        <row r="4324">
          <cell r="O4324" t="str">
            <v/>
          </cell>
        </row>
        <row r="4325">
          <cell r="O4325" t="str">
            <v/>
          </cell>
        </row>
        <row r="4326">
          <cell r="O4326" t="str">
            <v/>
          </cell>
        </row>
        <row r="4327">
          <cell r="O4327" t="str">
            <v/>
          </cell>
        </row>
        <row r="4328">
          <cell r="O4328" t="str">
            <v/>
          </cell>
        </row>
        <row r="4329">
          <cell r="O4329" t="str">
            <v/>
          </cell>
        </row>
        <row r="4330">
          <cell r="O4330" t="str">
            <v/>
          </cell>
        </row>
        <row r="4331">
          <cell r="O4331" t="str">
            <v/>
          </cell>
        </row>
        <row r="4332">
          <cell r="O4332" t="str">
            <v/>
          </cell>
        </row>
        <row r="4333">
          <cell r="O4333" t="str">
            <v/>
          </cell>
        </row>
        <row r="4334">
          <cell r="O4334" t="str">
            <v/>
          </cell>
        </row>
        <row r="4335">
          <cell r="O4335" t="str">
            <v/>
          </cell>
        </row>
        <row r="4336">
          <cell r="O4336" t="str">
            <v/>
          </cell>
        </row>
        <row r="4337">
          <cell r="O4337" t="str">
            <v/>
          </cell>
        </row>
        <row r="4338">
          <cell r="O4338" t="str">
            <v/>
          </cell>
        </row>
        <row r="4339">
          <cell r="O4339" t="str">
            <v/>
          </cell>
        </row>
        <row r="4340">
          <cell r="O4340" t="str">
            <v/>
          </cell>
        </row>
        <row r="4341">
          <cell r="O4341" t="str">
            <v/>
          </cell>
        </row>
        <row r="4342">
          <cell r="O4342" t="str">
            <v/>
          </cell>
        </row>
        <row r="4343">
          <cell r="O4343" t="str">
            <v/>
          </cell>
        </row>
        <row r="4344">
          <cell r="O4344" t="str">
            <v/>
          </cell>
        </row>
        <row r="4345">
          <cell r="O4345" t="str">
            <v/>
          </cell>
        </row>
        <row r="4346">
          <cell r="O4346" t="str">
            <v/>
          </cell>
        </row>
        <row r="4347">
          <cell r="O4347" t="str">
            <v/>
          </cell>
        </row>
        <row r="4348">
          <cell r="O4348" t="str">
            <v/>
          </cell>
        </row>
        <row r="4349">
          <cell r="O4349" t="str">
            <v/>
          </cell>
        </row>
        <row r="4350">
          <cell r="O4350" t="str">
            <v/>
          </cell>
        </row>
        <row r="4351">
          <cell r="O4351" t="str">
            <v/>
          </cell>
        </row>
        <row r="4352">
          <cell r="O4352" t="str">
            <v/>
          </cell>
        </row>
        <row r="4353">
          <cell r="O4353" t="str">
            <v/>
          </cell>
        </row>
        <row r="4354">
          <cell r="O4354" t="str">
            <v/>
          </cell>
        </row>
        <row r="4355">
          <cell r="O4355" t="str">
            <v/>
          </cell>
        </row>
        <row r="4356">
          <cell r="O4356" t="str">
            <v/>
          </cell>
        </row>
        <row r="4357">
          <cell r="O4357" t="str">
            <v/>
          </cell>
        </row>
        <row r="4358">
          <cell r="O4358" t="str">
            <v/>
          </cell>
        </row>
        <row r="4359">
          <cell r="O4359" t="str">
            <v/>
          </cell>
        </row>
        <row r="4360">
          <cell r="O4360" t="str">
            <v/>
          </cell>
        </row>
        <row r="4361">
          <cell r="O4361" t="str">
            <v/>
          </cell>
        </row>
        <row r="4362">
          <cell r="O4362" t="str">
            <v/>
          </cell>
        </row>
        <row r="4363">
          <cell r="O4363" t="str">
            <v/>
          </cell>
        </row>
        <row r="4364">
          <cell r="O4364" t="str">
            <v/>
          </cell>
        </row>
        <row r="4365">
          <cell r="O4365" t="str">
            <v/>
          </cell>
        </row>
        <row r="4366">
          <cell r="O4366" t="str">
            <v/>
          </cell>
        </row>
        <row r="4367">
          <cell r="O4367" t="str">
            <v/>
          </cell>
        </row>
        <row r="4368">
          <cell r="O4368" t="str">
            <v/>
          </cell>
        </row>
        <row r="4369">
          <cell r="O4369" t="str">
            <v/>
          </cell>
        </row>
        <row r="4370">
          <cell r="O4370" t="str">
            <v/>
          </cell>
        </row>
        <row r="4371">
          <cell r="O4371" t="str">
            <v/>
          </cell>
        </row>
        <row r="4372">
          <cell r="O4372" t="str">
            <v/>
          </cell>
        </row>
        <row r="4373">
          <cell r="O4373" t="str">
            <v/>
          </cell>
        </row>
        <row r="4374">
          <cell r="O4374" t="str">
            <v/>
          </cell>
        </row>
        <row r="4375">
          <cell r="O4375" t="str">
            <v/>
          </cell>
        </row>
        <row r="4376">
          <cell r="O4376" t="str">
            <v/>
          </cell>
        </row>
        <row r="4377">
          <cell r="O4377" t="str">
            <v/>
          </cell>
        </row>
        <row r="4378">
          <cell r="O4378" t="str">
            <v/>
          </cell>
        </row>
        <row r="4379">
          <cell r="O4379" t="str">
            <v/>
          </cell>
        </row>
        <row r="4380">
          <cell r="O4380" t="str">
            <v/>
          </cell>
        </row>
        <row r="4381">
          <cell r="O4381" t="str">
            <v/>
          </cell>
        </row>
        <row r="4382">
          <cell r="O4382" t="str">
            <v/>
          </cell>
        </row>
        <row r="4383">
          <cell r="O4383" t="str">
            <v/>
          </cell>
        </row>
        <row r="4384">
          <cell r="O4384" t="str">
            <v/>
          </cell>
        </row>
        <row r="4385">
          <cell r="O4385" t="str">
            <v/>
          </cell>
        </row>
        <row r="4386">
          <cell r="O4386" t="str">
            <v/>
          </cell>
        </row>
        <row r="4387">
          <cell r="O4387" t="str">
            <v/>
          </cell>
        </row>
        <row r="4388">
          <cell r="O4388" t="str">
            <v/>
          </cell>
        </row>
        <row r="4389">
          <cell r="O4389" t="str">
            <v/>
          </cell>
        </row>
        <row r="4390">
          <cell r="O4390" t="str">
            <v/>
          </cell>
        </row>
        <row r="4391">
          <cell r="O4391" t="str">
            <v/>
          </cell>
        </row>
        <row r="4392">
          <cell r="O4392" t="str">
            <v/>
          </cell>
        </row>
        <row r="4393">
          <cell r="O4393" t="str">
            <v/>
          </cell>
        </row>
        <row r="4394">
          <cell r="O4394" t="str">
            <v/>
          </cell>
        </row>
        <row r="4395">
          <cell r="O4395" t="str">
            <v/>
          </cell>
        </row>
        <row r="4396">
          <cell r="O4396" t="str">
            <v/>
          </cell>
        </row>
        <row r="4397">
          <cell r="O4397" t="str">
            <v/>
          </cell>
        </row>
        <row r="4398">
          <cell r="O4398" t="str">
            <v/>
          </cell>
        </row>
        <row r="4399">
          <cell r="O4399" t="str">
            <v/>
          </cell>
        </row>
        <row r="4400">
          <cell r="O4400" t="str">
            <v/>
          </cell>
        </row>
        <row r="4401">
          <cell r="O4401" t="str">
            <v/>
          </cell>
        </row>
        <row r="4402">
          <cell r="O4402" t="str">
            <v/>
          </cell>
        </row>
        <row r="4403">
          <cell r="O4403" t="str">
            <v/>
          </cell>
        </row>
        <row r="4404">
          <cell r="O4404" t="str">
            <v/>
          </cell>
        </row>
        <row r="4405">
          <cell r="O4405" t="str">
            <v/>
          </cell>
        </row>
        <row r="4406">
          <cell r="O4406" t="str">
            <v/>
          </cell>
        </row>
        <row r="4407">
          <cell r="O4407" t="str">
            <v/>
          </cell>
        </row>
        <row r="4408">
          <cell r="O4408" t="str">
            <v/>
          </cell>
        </row>
        <row r="4409">
          <cell r="O4409" t="str">
            <v/>
          </cell>
        </row>
        <row r="4410">
          <cell r="O4410" t="str">
            <v/>
          </cell>
        </row>
        <row r="4411">
          <cell r="O4411" t="str">
            <v/>
          </cell>
        </row>
        <row r="4412">
          <cell r="O4412" t="str">
            <v/>
          </cell>
        </row>
        <row r="4413">
          <cell r="O4413" t="str">
            <v/>
          </cell>
        </row>
        <row r="4414">
          <cell r="O4414" t="str">
            <v/>
          </cell>
        </row>
        <row r="4415">
          <cell r="O4415" t="str">
            <v/>
          </cell>
        </row>
        <row r="4416">
          <cell r="O4416" t="str">
            <v/>
          </cell>
        </row>
        <row r="4417">
          <cell r="O4417" t="str">
            <v/>
          </cell>
        </row>
        <row r="4418">
          <cell r="O4418" t="str">
            <v/>
          </cell>
        </row>
        <row r="4419">
          <cell r="O4419" t="str">
            <v/>
          </cell>
        </row>
        <row r="4420">
          <cell r="O4420" t="str">
            <v/>
          </cell>
        </row>
        <row r="4421">
          <cell r="O4421" t="str">
            <v/>
          </cell>
        </row>
        <row r="4422">
          <cell r="O4422" t="str">
            <v/>
          </cell>
        </row>
        <row r="4423">
          <cell r="O4423" t="str">
            <v/>
          </cell>
        </row>
        <row r="4424">
          <cell r="O4424" t="str">
            <v/>
          </cell>
        </row>
        <row r="4425">
          <cell r="O4425" t="str">
            <v/>
          </cell>
        </row>
        <row r="4426">
          <cell r="O4426" t="str">
            <v/>
          </cell>
        </row>
        <row r="4427">
          <cell r="O4427" t="str">
            <v/>
          </cell>
        </row>
        <row r="4428">
          <cell r="O4428" t="str">
            <v/>
          </cell>
        </row>
        <row r="4429">
          <cell r="O4429" t="str">
            <v/>
          </cell>
        </row>
        <row r="4430">
          <cell r="O4430" t="str">
            <v/>
          </cell>
        </row>
        <row r="4431">
          <cell r="O4431" t="str">
            <v/>
          </cell>
        </row>
        <row r="4432">
          <cell r="O4432" t="str">
            <v/>
          </cell>
        </row>
        <row r="4433">
          <cell r="O4433" t="str">
            <v/>
          </cell>
        </row>
        <row r="4434">
          <cell r="O4434" t="str">
            <v/>
          </cell>
        </row>
        <row r="4435">
          <cell r="O4435" t="str">
            <v/>
          </cell>
        </row>
        <row r="4436">
          <cell r="O4436" t="str">
            <v/>
          </cell>
        </row>
        <row r="4437">
          <cell r="O4437" t="str">
            <v/>
          </cell>
        </row>
        <row r="4438">
          <cell r="O4438" t="str">
            <v/>
          </cell>
        </row>
        <row r="4439">
          <cell r="O4439" t="str">
            <v/>
          </cell>
        </row>
        <row r="4440">
          <cell r="O4440" t="str">
            <v/>
          </cell>
        </row>
        <row r="4441">
          <cell r="O4441" t="str">
            <v/>
          </cell>
        </row>
        <row r="4442">
          <cell r="O4442" t="str">
            <v/>
          </cell>
        </row>
        <row r="4443">
          <cell r="O4443" t="str">
            <v/>
          </cell>
        </row>
        <row r="4444">
          <cell r="O4444" t="str">
            <v/>
          </cell>
        </row>
        <row r="4445">
          <cell r="O4445" t="str">
            <v/>
          </cell>
        </row>
        <row r="4446">
          <cell r="O4446" t="str">
            <v/>
          </cell>
        </row>
        <row r="4447">
          <cell r="O4447" t="str">
            <v/>
          </cell>
        </row>
        <row r="4448">
          <cell r="O4448" t="str">
            <v/>
          </cell>
        </row>
        <row r="4449">
          <cell r="O4449" t="str">
            <v/>
          </cell>
        </row>
        <row r="4450">
          <cell r="O4450" t="str">
            <v/>
          </cell>
        </row>
        <row r="4451">
          <cell r="O4451" t="str">
            <v/>
          </cell>
        </row>
        <row r="4452">
          <cell r="O4452" t="str">
            <v/>
          </cell>
        </row>
        <row r="4453">
          <cell r="O4453" t="str">
            <v/>
          </cell>
        </row>
        <row r="4454">
          <cell r="O4454" t="str">
            <v/>
          </cell>
        </row>
        <row r="4455">
          <cell r="O4455" t="str">
            <v/>
          </cell>
        </row>
        <row r="4456">
          <cell r="O4456" t="str">
            <v/>
          </cell>
        </row>
        <row r="4457">
          <cell r="O4457" t="str">
            <v/>
          </cell>
        </row>
        <row r="4458">
          <cell r="O4458" t="str">
            <v/>
          </cell>
        </row>
        <row r="4459">
          <cell r="O4459" t="str">
            <v/>
          </cell>
        </row>
        <row r="4460">
          <cell r="O4460" t="str">
            <v/>
          </cell>
        </row>
        <row r="4461">
          <cell r="O4461" t="str">
            <v/>
          </cell>
        </row>
        <row r="4462">
          <cell r="O4462" t="str">
            <v/>
          </cell>
        </row>
        <row r="4463">
          <cell r="O4463" t="str">
            <v/>
          </cell>
        </row>
        <row r="4464">
          <cell r="O4464" t="str">
            <v/>
          </cell>
        </row>
        <row r="4465">
          <cell r="O4465" t="str">
            <v/>
          </cell>
        </row>
        <row r="4466">
          <cell r="O4466" t="str">
            <v/>
          </cell>
        </row>
        <row r="4467">
          <cell r="O4467" t="str">
            <v/>
          </cell>
        </row>
        <row r="4468">
          <cell r="O4468" t="str">
            <v/>
          </cell>
        </row>
        <row r="4469">
          <cell r="O4469" t="str">
            <v/>
          </cell>
        </row>
        <row r="4470">
          <cell r="O4470" t="str">
            <v/>
          </cell>
        </row>
        <row r="4471">
          <cell r="O4471" t="str">
            <v/>
          </cell>
        </row>
        <row r="4472">
          <cell r="O4472" t="str">
            <v/>
          </cell>
        </row>
        <row r="4473">
          <cell r="O4473" t="str">
            <v/>
          </cell>
        </row>
        <row r="4474">
          <cell r="O4474" t="str">
            <v/>
          </cell>
        </row>
        <row r="4475">
          <cell r="O4475" t="str">
            <v/>
          </cell>
        </row>
        <row r="4476">
          <cell r="O4476" t="str">
            <v/>
          </cell>
        </row>
        <row r="4477">
          <cell r="O4477" t="str">
            <v/>
          </cell>
        </row>
        <row r="4478">
          <cell r="O4478" t="str">
            <v/>
          </cell>
        </row>
        <row r="4479">
          <cell r="O4479" t="str">
            <v/>
          </cell>
        </row>
        <row r="4480">
          <cell r="O4480" t="str">
            <v/>
          </cell>
        </row>
        <row r="4481">
          <cell r="O4481" t="str">
            <v/>
          </cell>
        </row>
        <row r="4482">
          <cell r="O4482" t="str">
            <v/>
          </cell>
        </row>
        <row r="4483">
          <cell r="O4483" t="str">
            <v/>
          </cell>
        </row>
        <row r="4484">
          <cell r="O4484" t="str">
            <v/>
          </cell>
        </row>
        <row r="4485">
          <cell r="O4485" t="str">
            <v/>
          </cell>
        </row>
        <row r="4486">
          <cell r="O4486" t="str">
            <v/>
          </cell>
        </row>
        <row r="4487">
          <cell r="O4487" t="str">
            <v/>
          </cell>
        </row>
        <row r="4488">
          <cell r="O4488" t="str">
            <v/>
          </cell>
        </row>
        <row r="4489">
          <cell r="O4489" t="str">
            <v/>
          </cell>
        </row>
        <row r="4490">
          <cell r="O4490" t="str">
            <v/>
          </cell>
        </row>
        <row r="4491">
          <cell r="O4491" t="str">
            <v/>
          </cell>
        </row>
        <row r="4492">
          <cell r="O4492" t="str">
            <v/>
          </cell>
        </row>
        <row r="4493">
          <cell r="O4493" t="str">
            <v/>
          </cell>
        </row>
        <row r="4494">
          <cell r="O4494" t="str">
            <v/>
          </cell>
        </row>
        <row r="4495">
          <cell r="O4495" t="str">
            <v/>
          </cell>
        </row>
        <row r="4496">
          <cell r="O4496" t="str">
            <v/>
          </cell>
        </row>
        <row r="4497">
          <cell r="O4497" t="str">
            <v/>
          </cell>
        </row>
        <row r="4498">
          <cell r="O4498" t="str">
            <v/>
          </cell>
        </row>
        <row r="4499">
          <cell r="O4499" t="str">
            <v/>
          </cell>
        </row>
        <row r="4500">
          <cell r="O4500" t="str">
            <v/>
          </cell>
        </row>
        <row r="4501">
          <cell r="O4501" t="str">
            <v/>
          </cell>
        </row>
        <row r="4502">
          <cell r="O4502" t="str">
            <v/>
          </cell>
        </row>
        <row r="4503">
          <cell r="O4503" t="str">
            <v/>
          </cell>
        </row>
        <row r="4504">
          <cell r="O4504" t="str">
            <v/>
          </cell>
        </row>
        <row r="4505">
          <cell r="O4505" t="str">
            <v/>
          </cell>
        </row>
        <row r="4506">
          <cell r="O4506" t="str">
            <v/>
          </cell>
        </row>
        <row r="4507">
          <cell r="O4507" t="str">
            <v/>
          </cell>
        </row>
        <row r="4508">
          <cell r="O4508" t="str">
            <v/>
          </cell>
        </row>
        <row r="4509">
          <cell r="O4509" t="str">
            <v/>
          </cell>
        </row>
        <row r="4510">
          <cell r="O4510" t="str">
            <v/>
          </cell>
        </row>
        <row r="4511">
          <cell r="O4511" t="str">
            <v/>
          </cell>
        </row>
        <row r="4512">
          <cell r="O4512" t="str">
            <v/>
          </cell>
        </row>
        <row r="4513">
          <cell r="O4513" t="str">
            <v/>
          </cell>
        </row>
        <row r="4514">
          <cell r="O4514" t="str">
            <v/>
          </cell>
        </row>
        <row r="4515">
          <cell r="O4515" t="str">
            <v/>
          </cell>
        </row>
        <row r="4516">
          <cell r="O4516" t="str">
            <v/>
          </cell>
        </row>
        <row r="4517">
          <cell r="O4517" t="str">
            <v/>
          </cell>
        </row>
        <row r="4518">
          <cell r="O4518" t="str">
            <v/>
          </cell>
        </row>
        <row r="4519">
          <cell r="O4519" t="str">
            <v/>
          </cell>
        </row>
        <row r="4520">
          <cell r="O4520" t="str">
            <v/>
          </cell>
        </row>
        <row r="4521">
          <cell r="O4521" t="str">
            <v/>
          </cell>
        </row>
        <row r="4522">
          <cell r="O4522" t="str">
            <v/>
          </cell>
        </row>
        <row r="4523">
          <cell r="O4523" t="str">
            <v/>
          </cell>
        </row>
        <row r="4524">
          <cell r="O4524" t="str">
            <v/>
          </cell>
        </row>
        <row r="4525">
          <cell r="O4525" t="str">
            <v/>
          </cell>
        </row>
        <row r="4526">
          <cell r="O4526" t="str">
            <v/>
          </cell>
        </row>
        <row r="4527">
          <cell r="O4527" t="str">
            <v/>
          </cell>
        </row>
        <row r="4528">
          <cell r="O4528" t="str">
            <v/>
          </cell>
        </row>
        <row r="4529">
          <cell r="O4529" t="str">
            <v/>
          </cell>
        </row>
        <row r="4530">
          <cell r="O4530" t="str">
            <v/>
          </cell>
        </row>
        <row r="4531">
          <cell r="O4531" t="str">
            <v/>
          </cell>
        </row>
        <row r="4532">
          <cell r="O4532" t="str">
            <v/>
          </cell>
        </row>
        <row r="4533">
          <cell r="O4533" t="str">
            <v/>
          </cell>
        </row>
        <row r="4534">
          <cell r="O4534" t="str">
            <v/>
          </cell>
        </row>
        <row r="4535">
          <cell r="O4535" t="str">
            <v/>
          </cell>
        </row>
        <row r="4536">
          <cell r="O4536" t="str">
            <v/>
          </cell>
        </row>
        <row r="4537">
          <cell r="O4537" t="str">
            <v/>
          </cell>
        </row>
        <row r="4538">
          <cell r="O4538" t="str">
            <v/>
          </cell>
        </row>
        <row r="4539">
          <cell r="O4539" t="str">
            <v/>
          </cell>
        </row>
        <row r="4540">
          <cell r="O4540" t="str">
            <v/>
          </cell>
        </row>
        <row r="4541">
          <cell r="O4541" t="str">
            <v/>
          </cell>
        </row>
        <row r="4542">
          <cell r="O4542" t="str">
            <v/>
          </cell>
        </row>
        <row r="4543">
          <cell r="O4543" t="str">
            <v/>
          </cell>
        </row>
        <row r="4544">
          <cell r="O4544" t="str">
            <v/>
          </cell>
        </row>
        <row r="4545">
          <cell r="O4545" t="str">
            <v/>
          </cell>
        </row>
        <row r="4546">
          <cell r="O4546" t="str">
            <v/>
          </cell>
        </row>
        <row r="4547">
          <cell r="O4547" t="str">
            <v/>
          </cell>
        </row>
        <row r="4548">
          <cell r="O4548" t="str">
            <v/>
          </cell>
        </row>
        <row r="4549">
          <cell r="O4549" t="str">
            <v/>
          </cell>
        </row>
        <row r="4550">
          <cell r="O4550" t="str">
            <v/>
          </cell>
        </row>
        <row r="4551">
          <cell r="O4551" t="str">
            <v/>
          </cell>
        </row>
        <row r="4552">
          <cell r="O4552" t="str">
            <v/>
          </cell>
        </row>
        <row r="4553">
          <cell r="O4553" t="str">
            <v/>
          </cell>
        </row>
        <row r="4554">
          <cell r="O4554" t="str">
            <v/>
          </cell>
        </row>
        <row r="4555">
          <cell r="O4555" t="str">
            <v/>
          </cell>
        </row>
        <row r="4556">
          <cell r="O4556" t="str">
            <v/>
          </cell>
        </row>
        <row r="4557">
          <cell r="O4557" t="str">
            <v/>
          </cell>
        </row>
        <row r="4558">
          <cell r="O4558" t="str">
            <v/>
          </cell>
        </row>
        <row r="4559">
          <cell r="O4559" t="str">
            <v/>
          </cell>
        </row>
        <row r="4560">
          <cell r="O4560" t="str">
            <v/>
          </cell>
        </row>
        <row r="4561">
          <cell r="O4561" t="str">
            <v/>
          </cell>
        </row>
        <row r="4562">
          <cell r="O4562" t="str">
            <v/>
          </cell>
        </row>
        <row r="4563">
          <cell r="O4563" t="str">
            <v/>
          </cell>
        </row>
        <row r="4564">
          <cell r="O4564" t="str">
            <v/>
          </cell>
        </row>
        <row r="4565">
          <cell r="O4565" t="str">
            <v/>
          </cell>
        </row>
        <row r="4566">
          <cell r="O4566" t="str">
            <v/>
          </cell>
        </row>
        <row r="4567">
          <cell r="O4567" t="str">
            <v/>
          </cell>
        </row>
        <row r="4568">
          <cell r="O4568" t="str">
            <v/>
          </cell>
        </row>
        <row r="4569">
          <cell r="O4569" t="str">
            <v/>
          </cell>
        </row>
        <row r="4570">
          <cell r="O4570" t="str">
            <v/>
          </cell>
        </row>
        <row r="4571">
          <cell r="O4571" t="str">
            <v/>
          </cell>
        </row>
        <row r="4572">
          <cell r="O4572" t="str">
            <v/>
          </cell>
        </row>
        <row r="4573">
          <cell r="O4573" t="str">
            <v/>
          </cell>
        </row>
        <row r="4574">
          <cell r="O4574" t="str">
            <v/>
          </cell>
        </row>
        <row r="4575">
          <cell r="O4575" t="str">
            <v/>
          </cell>
        </row>
        <row r="4576">
          <cell r="O4576" t="str">
            <v/>
          </cell>
        </row>
        <row r="4577">
          <cell r="O4577" t="str">
            <v/>
          </cell>
        </row>
        <row r="4578">
          <cell r="O4578" t="str">
            <v/>
          </cell>
        </row>
        <row r="4579">
          <cell r="O4579" t="str">
            <v/>
          </cell>
        </row>
        <row r="4580">
          <cell r="O4580" t="str">
            <v/>
          </cell>
        </row>
        <row r="4581">
          <cell r="O4581" t="str">
            <v/>
          </cell>
        </row>
        <row r="4582">
          <cell r="O4582" t="str">
            <v/>
          </cell>
        </row>
        <row r="4583">
          <cell r="O4583" t="str">
            <v/>
          </cell>
        </row>
        <row r="4584">
          <cell r="O4584" t="str">
            <v/>
          </cell>
        </row>
        <row r="4585">
          <cell r="O4585" t="str">
            <v/>
          </cell>
        </row>
        <row r="4586">
          <cell r="O4586" t="str">
            <v/>
          </cell>
        </row>
        <row r="4587">
          <cell r="O4587" t="str">
            <v/>
          </cell>
        </row>
        <row r="4588">
          <cell r="O4588" t="str">
            <v/>
          </cell>
        </row>
        <row r="4589">
          <cell r="O4589" t="str">
            <v/>
          </cell>
        </row>
        <row r="4590">
          <cell r="O4590" t="str">
            <v/>
          </cell>
        </row>
        <row r="4591">
          <cell r="O4591" t="str">
            <v/>
          </cell>
        </row>
        <row r="4592">
          <cell r="O4592" t="str">
            <v/>
          </cell>
        </row>
        <row r="4593">
          <cell r="O4593" t="str">
            <v/>
          </cell>
        </row>
        <row r="4594">
          <cell r="O4594" t="str">
            <v/>
          </cell>
        </row>
        <row r="4595">
          <cell r="O4595" t="str">
            <v/>
          </cell>
        </row>
        <row r="4596">
          <cell r="O4596" t="str">
            <v/>
          </cell>
        </row>
        <row r="4597">
          <cell r="O4597" t="str">
            <v/>
          </cell>
        </row>
        <row r="4598">
          <cell r="O4598" t="str">
            <v/>
          </cell>
        </row>
        <row r="4599">
          <cell r="O4599" t="str">
            <v/>
          </cell>
        </row>
        <row r="4600">
          <cell r="O4600" t="str">
            <v/>
          </cell>
        </row>
        <row r="4601">
          <cell r="O4601" t="str">
            <v/>
          </cell>
        </row>
        <row r="4602">
          <cell r="O4602" t="str">
            <v/>
          </cell>
        </row>
        <row r="4603">
          <cell r="O4603" t="str">
            <v/>
          </cell>
        </row>
        <row r="4604">
          <cell r="O4604" t="str">
            <v/>
          </cell>
        </row>
        <row r="4605">
          <cell r="O4605" t="str">
            <v/>
          </cell>
        </row>
        <row r="4606">
          <cell r="O4606" t="str">
            <v/>
          </cell>
        </row>
        <row r="4607">
          <cell r="O4607" t="str">
            <v/>
          </cell>
        </row>
        <row r="4608">
          <cell r="O4608" t="str">
            <v/>
          </cell>
        </row>
        <row r="4609">
          <cell r="O4609" t="str">
            <v/>
          </cell>
        </row>
        <row r="4610">
          <cell r="O4610" t="str">
            <v/>
          </cell>
        </row>
        <row r="4611">
          <cell r="O4611" t="str">
            <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물성시험(#1)"/>
      <sheetName val="물성시험(#2)"/>
      <sheetName val="물성시험(#3)"/>
      <sheetName val="물성시험(#4)"/>
      <sheetName val="물성시험(#5)"/>
      <sheetName val="물성시험(#6)"/>
      <sheetName val="물성시험(#7)"/>
      <sheetName val="물성시험(#8)"/>
      <sheetName val="물성시험(#9)"/>
      <sheetName val="f7"/>
      <sheetName val="f28"/>
      <sheetName val="f28 (봉합양생)"/>
      <sheetName val="f28 (2)"/>
      <sheetName val="f28 (3)"/>
      <sheetName val="25112602"/>
    </sheetNames>
    <definedNames>
      <definedName name="Pictures"/>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ctrlProp" Target="../ctrlProps/ctrlProp1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D76B2-F158-4A03-A554-8855A9194012}">
  <dimension ref="A1:AF41"/>
  <sheetViews>
    <sheetView tabSelected="1" view="pageBreakPreview" topLeftCell="A10" zoomScaleNormal="70" zoomScaleSheetLayoutView="100" workbookViewId="0">
      <selection activeCell="O26" sqref="O26"/>
    </sheetView>
  </sheetViews>
  <sheetFormatPr defaultColWidth="10" defaultRowHeight="16.5"/>
  <cols>
    <col min="1" max="12" width="8.625" style="1" customWidth="1"/>
    <col min="13" max="13" width="4.75" style="1" customWidth="1"/>
    <col min="14" max="14" width="8.625" style="1" customWidth="1"/>
    <col min="15" max="15" width="10" style="1" customWidth="1"/>
    <col min="16" max="16" width="10.375" style="1" customWidth="1"/>
    <col min="17" max="17" width="10.25" style="1" customWidth="1"/>
    <col min="18" max="19" width="10" style="1" customWidth="1"/>
    <col min="20" max="20" width="11.625" style="1" customWidth="1"/>
    <col min="21" max="21" width="3" style="1" customWidth="1"/>
    <col min="22" max="22" width="12.625" style="1" customWidth="1"/>
    <col min="23" max="23" width="13.75" style="1" bestFit="1" customWidth="1"/>
    <col min="24" max="25" width="12.625" style="1" customWidth="1"/>
    <col min="26" max="26" width="13.75" style="1" bestFit="1" customWidth="1"/>
    <col min="27" max="27" width="13" style="1" bestFit="1" customWidth="1"/>
    <col min="28" max="28" width="12.25" style="1" bestFit="1" customWidth="1"/>
    <col min="29" max="16384" width="10" style="1"/>
  </cols>
  <sheetData>
    <row r="1" spans="1:32" ht="39.950000000000003" customHeight="1">
      <c r="A1" s="132" t="s">
        <v>0</v>
      </c>
      <c r="B1" s="133"/>
      <c r="C1" s="134"/>
      <c r="D1" s="134"/>
      <c r="E1" s="134"/>
      <c r="F1" s="134"/>
      <c r="G1" s="134"/>
      <c r="H1" s="134"/>
      <c r="I1" s="134"/>
      <c r="J1" s="134"/>
      <c r="K1" s="134"/>
      <c r="L1" s="134"/>
      <c r="M1" s="135"/>
      <c r="N1" s="136"/>
      <c r="W1" s="2"/>
      <c r="X1" s="3"/>
      <c r="AB1" s="2"/>
      <c r="AC1" s="2"/>
      <c r="AD1" s="2"/>
    </row>
    <row r="2" spans="1:32" ht="5.0999999999999996" customHeight="1" thickBot="1">
      <c r="A2" s="4"/>
      <c r="B2" s="4"/>
      <c r="C2" s="4"/>
      <c r="D2" s="4"/>
      <c r="E2" s="4"/>
      <c r="F2" s="4"/>
      <c r="G2" s="4"/>
      <c r="H2" s="4"/>
      <c r="I2" s="4"/>
      <c r="J2" s="4"/>
      <c r="K2" s="4"/>
      <c r="L2" s="4"/>
      <c r="M2" s="4"/>
      <c r="N2" s="4"/>
      <c r="W2" s="2"/>
    </row>
    <row r="3" spans="1:32" ht="31.5" customHeight="1" thickBot="1">
      <c r="A3" s="128" t="s">
        <v>1</v>
      </c>
      <c r="B3" s="128"/>
      <c r="C3" s="128"/>
      <c r="D3" s="137" t="s">
        <v>2</v>
      </c>
      <c r="E3" s="119"/>
      <c r="F3" s="119"/>
      <c r="G3" s="119"/>
      <c r="H3" s="138"/>
      <c r="I3" s="129" t="s">
        <v>3</v>
      </c>
      <c r="J3" s="130"/>
      <c r="K3" s="131"/>
      <c r="L3" s="139">
        <f>LEFT(O3,8)*1</f>
        <v>25120501</v>
      </c>
      <c r="M3" s="140"/>
      <c r="N3" s="141"/>
      <c r="O3" s="5">
        <f>W3</f>
        <v>2512050101</v>
      </c>
      <c r="P3" s="6">
        <f>O3+1</f>
        <v>2512050102</v>
      </c>
      <c r="Q3" s="6">
        <f>P3+1</f>
        <v>2512050103</v>
      </c>
      <c r="R3" s="6"/>
      <c r="S3" s="6"/>
      <c r="T3" s="1">
        <f>O3+1</f>
        <v>2512050102</v>
      </c>
      <c r="U3" s="1">
        <f>T3+1</f>
        <v>2512050103</v>
      </c>
      <c r="W3" s="7">
        <f>AA4+AB4+AC4+AD5</f>
        <v>2512050101</v>
      </c>
      <c r="X3" s="8" t="str">
        <f>HYPERLINK("[사진대지\00_사진대지.xlsm]'물성시험(#1)'!A1","사진대지")</f>
        <v>사진대지</v>
      </c>
      <c r="Z3" s="3"/>
      <c r="AA3" s="9">
        <f>V9</f>
        <v>25</v>
      </c>
      <c r="AB3" s="10">
        <v>12</v>
      </c>
      <c r="AC3" s="11">
        <f>X9</f>
        <v>5</v>
      </c>
      <c r="AD3" s="12">
        <f>Y9</f>
        <v>1</v>
      </c>
    </row>
    <row r="4" spans="1:32" ht="31.5" customHeight="1" thickBot="1">
      <c r="A4" s="142" t="s">
        <v>4</v>
      </c>
      <c r="B4" s="128"/>
      <c r="C4" s="128"/>
      <c r="D4" s="159"/>
      <c r="E4" s="160"/>
      <c r="F4" s="160"/>
      <c r="G4" s="160"/>
      <c r="H4" s="161"/>
      <c r="I4" s="129" t="s">
        <v>5</v>
      </c>
      <c r="J4" s="130"/>
      <c r="K4" s="131"/>
      <c r="L4" s="143"/>
      <c r="M4" s="144"/>
      <c r="N4" s="145"/>
      <c r="O4" s="5">
        <f>VLOOKUP(O3,[44]구조물별타설현황!$G$7:$AT$18477,6,0)</f>
        <v>12</v>
      </c>
      <c r="P4" s="6"/>
      <c r="Q4" s="6"/>
      <c r="R4" s="6"/>
      <c r="S4" s="6"/>
      <c r="W4" s="13" t="str">
        <f>TEXT(LEFT(W3,8),"@")</f>
        <v>25120501</v>
      </c>
      <c r="X4" s="14"/>
      <c r="Z4" s="15"/>
      <c r="AA4" s="14">
        <f>AA3*100000000</f>
        <v>2500000000</v>
      </c>
      <c r="AB4" s="14">
        <f>AB3*1000000</f>
        <v>12000000</v>
      </c>
      <c r="AC4" s="14">
        <f>AC3*10000</f>
        <v>50000</v>
      </c>
      <c r="AD4" s="16">
        <v>1</v>
      </c>
    </row>
    <row r="5" spans="1:32" ht="31.5" customHeight="1" thickBot="1">
      <c r="A5" s="128" t="s">
        <v>6</v>
      </c>
      <c r="B5" s="128"/>
      <c r="C5" s="128"/>
      <c r="D5" s="162"/>
      <c r="E5" s="163"/>
      <c r="F5" s="163"/>
      <c r="G5" s="163"/>
      <c r="H5" s="164"/>
      <c r="I5" s="129" t="s">
        <v>7</v>
      </c>
      <c r="J5" s="130"/>
      <c r="K5" s="131"/>
      <c r="L5" s="17">
        <f>VLOOKUP(O3,[44]구조물별타설현황!$G$7:$AT$18477,10,0)</f>
        <v>1331</v>
      </c>
      <c r="M5" s="18" t="s">
        <v>8</v>
      </c>
      <c r="N5" s="19">
        <f>VLOOKUP(O3,[44]구조물별타설현황!$G$7:$AT$18477,11,0)</f>
        <v>1356</v>
      </c>
      <c r="O5" s="5"/>
      <c r="P5" s="6"/>
      <c r="Q5" s="6"/>
      <c r="R5" s="6"/>
      <c r="S5" s="6"/>
      <c r="W5" s="7" t="str">
        <f>LEFT(W3,6)</f>
        <v>251205</v>
      </c>
      <c r="X5" s="8" t="str">
        <f>HYPERLINK("사진\"&amp;W5,"사진폴더열기")</f>
        <v>사진폴더열기</v>
      </c>
      <c r="Y5" s="20"/>
      <c r="AD5" s="1">
        <f>AD4*100+1</f>
        <v>101</v>
      </c>
    </row>
    <row r="6" spans="1:32" ht="31.5" customHeight="1">
      <c r="A6" s="128" t="s">
        <v>9</v>
      </c>
      <c r="B6" s="128"/>
      <c r="C6" s="128"/>
      <c r="D6" s="165"/>
      <c r="E6" s="166"/>
      <c r="F6" s="166"/>
      <c r="G6" s="166"/>
      <c r="H6" s="167"/>
      <c r="I6" s="129" t="s">
        <v>10</v>
      </c>
      <c r="J6" s="130"/>
      <c r="K6" s="131"/>
      <c r="L6" s="173"/>
      <c r="M6" s="174"/>
      <c r="N6" s="175"/>
      <c r="O6" s="117"/>
      <c r="P6" s="118"/>
      <c r="Q6" s="118"/>
      <c r="R6" s="118"/>
      <c r="S6" s="118"/>
      <c r="V6" s="21">
        <f>DATE((V9+2000),W9,X9)</f>
        <v>45996</v>
      </c>
    </row>
    <row r="7" spans="1:32" ht="5.0999999999999996" customHeight="1">
      <c r="A7" s="119"/>
      <c r="B7" s="119"/>
      <c r="C7" s="119"/>
      <c r="D7" s="119"/>
      <c r="E7" s="119"/>
      <c r="F7" s="119"/>
      <c r="G7" s="119"/>
      <c r="H7" s="119"/>
      <c r="I7" s="119"/>
      <c r="J7" s="119"/>
      <c r="K7" s="119"/>
      <c r="L7" s="119"/>
      <c r="M7" s="119"/>
      <c r="N7" s="119"/>
    </row>
    <row r="8" spans="1:32" ht="27.95" customHeight="1">
      <c r="A8" s="120" t="s">
        <v>11</v>
      </c>
      <c r="B8" s="121"/>
      <c r="C8" s="121"/>
      <c r="D8" s="121"/>
      <c r="E8" s="121"/>
      <c r="F8" s="121"/>
      <c r="G8" s="121"/>
      <c r="H8" s="121"/>
      <c r="I8" s="121"/>
      <c r="J8" s="121"/>
      <c r="K8" s="121"/>
      <c r="L8" s="121"/>
      <c r="M8" s="121"/>
      <c r="N8" s="122"/>
      <c r="O8" s="22"/>
      <c r="P8" s="23"/>
      <c r="Q8" s="23"/>
      <c r="R8" s="23"/>
      <c r="V8" s="24" t="s">
        <v>12</v>
      </c>
      <c r="W8" s="25" t="s">
        <v>13</v>
      </c>
      <c r="X8" s="25" t="s">
        <v>14</v>
      </c>
      <c r="Y8" s="25" t="s">
        <v>15</v>
      </c>
      <c r="Z8" s="25" t="s">
        <v>16</v>
      </c>
    </row>
    <row r="9" spans="1:32" ht="24.95" customHeight="1">
      <c r="A9" s="67" t="s">
        <v>17</v>
      </c>
      <c r="B9" s="68"/>
      <c r="C9" s="68"/>
      <c r="D9" s="68"/>
      <c r="E9" s="68"/>
      <c r="F9" s="68"/>
      <c r="G9" s="68"/>
      <c r="H9" s="68"/>
      <c r="I9" s="68"/>
      <c r="J9" s="123" t="s">
        <v>18</v>
      </c>
      <c r="K9" s="124"/>
      <c r="L9" s="124"/>
      <c r="M9" s="124"/>
      <c r="N9" s="125"/>
      <c r="O9" s="126"/>
      <c r="P9" s="127"/>
      <c r="Q9" s="127"/>
      <c r="R9" s="127"/>
      <c r="V9" s="26">
        <v>25</v>
      </c>
      <c r="W9" s="27">
        <v>12</v>
      </c>
      <c r="X9" s="27">
        <v>5</v>
      </c>
      <c r="Y9" s="28">
        <f>AD4</f>
        <v>1</v>
      </c>
      <c r="Z9" s="29">
        <f>ROUNDUP(L4/120,0)</f>
        <v>0</v>
      </c>
    </row>
    <row r="10" spans="1:32" ht="24.95" customHeight="1">
      <c r="A10" s="69" t="s">
        <v>19</v>
      </c>
      <c r="B10" s="70"/>
      <c r="C10" s="71"/>
      <c r="D10" s="72" t="s">
        <v>20</v>
      </c>
      <c r="E10" s="72"/>
      <c r="F10" s="72" t="s">
        <v>21</v>
      </c>
      <c r="G10" s="72"/>
      <c r="H10" s="72" t="s">
        <v>22</v>
      </c>
      <c r="I10" s="73"/>
      <c r="J10" s="108" t="str">
        <f>D10</f>
        <v>①</v>
      </c>
      <c r="K10" s="109"/>
      <c r="L10" s="109"/>
      <c r="M10" s="109"/>
      <c r="N10" s="110"/>
      <c r="O10" s="30"/>
      <c r="P10" s="31"/>
      <c r="Q10" s="31"/>
      <c r="R10" s="31"/>
      <c r="W10" s="14"/>
      <c r="X10" s="14"/>
      <c r="Z10" s="32"/>
    </row>
    <row r="11" spans="1:32" ht="24.95" customHeight="1">
      <c r="A11" s="111" t="s">
        <v>23</v>
      </c>
      <c r="B11" s="112"/>
      <c r="C11" s="113"/>
      <c r="D11" s="168"/>
      <c r="E11" s="168"/>
      <c r="F11" s="60" t="str">
        <f>IFERROR(VLOOKUP(P3,[44]구조물별타설현황!$G$7:$AT$18477,12,0),"")</f>
        <v/>
      </c>
      <c r="G11" s="60"/>
      <c r="H11" s="60" t="str">
        <f>IFERROR(VLOOKUP(Q3,[44]구조물별타설현황!$G$7:$AT$18477,12,0),"")</f>
        <v/>
      </c>
      <c r="I11" s="93"/>
      <c r="J11" s="114"/>
      <c r="K11" s="115"/>
      <c r="L11" s="115"/>
      <c r="M11" s="115"/>
      <c r="N11" s="116"/>
      <c r="O11" s="30"/>
      <c r="P11" s="31"/>
      <c r="Q11" s="31"/>
      <c r="R11" s="31"/>
      <c r="Z11" s="32"/>
      <c r="AE11" s="1">
        <v>5</v>
      </c>
      <c r="AF11" s="1">
        <f>AE11*100</f>
        <v>500</v>
      </c>
    </row>
    <row r="12" spans="1:32" ht="24.95" customHeight="1">
      <c r="A12" s="63" t="s">
        <v>24</v>
      </c>
      <c r="B12" s="63"/>
      <c r="C12" s="63"/>
      <c r="D12" s="102" t="str">
        <f>RIGHT(D4,3)&amp;"±25㎜"</f>
        <v>±25㎜</v>
      </c>
      <c r="E12" s="102"/>
      <c r="F12" s="102"/>
      <c r="G12" s="102"/>
      <c r="H12" s="102" t="str">
        <f>IF(OR((H11=0),(H11="")),"",RIGHT($D$4,2)&amp;"0±25㎜")</f>
        <v/>
      </c>
      <c r="I12" s="103"/>
      <c r="J12" s="81"/>
      <c r="K12" s="82"/>
      <c r="L12" s="82"/>
      <c r="M12" s="82"/>
      <c r="N12" s="83"/>
      <c r="O12" s="30"/>
      <c r="P12" s="31"/>
      <c r="Q12" t="s">
        <v>25</v>
      </c>
      <c r="R12" t="s">
        <v>26</v>
      </c>
      <c r="Z12" s="32"/>
    </row>
    <row r="13" spans="1:32" ht="24.95" customHeight="1">
      <c r="A13" s="54" t="s">
        <v>27</v>
      </c>
      <c r="B13" s="54"/>
      <c r="C13" s="54"/>
      <c r="D13" s="104" t="s">
        <v>67</v>
      </c>
      <c r="E13" s="104"/>
      <c r="F13" s="104" t="str">
        <f>IF(OR((F11=0),(F11="")),"","적합")</f>
        <v/>
      </c>
      <c r="G13" s="104"/>
      <c r="H13" s="104" t="str">
        <f>IF(OR((H11=0),(H11="")),"","적합")</f>
        <v/>
      </c>
      <c r="I13" s="105"/>
      <c r="J13" s="81"/>
      <c r="K13" s="82"/>
      <c r="L13" s="82"/>
      <c r="M13" s="82"/>
      <c r="N13" s="83"/>
      <c r="O13" s="30"/>
      <c r="Q13" t="s">
        <v>28</v>
      </c>
      <c r="R13" t="s">
        <v>29</v>
      </c>
      <c r="Y13" s="33"/>
      <c r="Z13" s="32"/>
    </row>
    <row r="14" spans="1:32" ht="24.95" customHeight="1">
      <c r="A14" s="67" t="s">
        <v>30</v>
      </c>
      <c r="B14" s="68"/>
      <c r="C14" s="68"/>
      <c r="D14" s="68"/>
      <c r="E14" s="68"/>
      <c r="F14" s="68"/>
      <c r="G14" s="68"/>
      <c r="H14" s="68"/>
      <c r="I14" s="68"/>
      <c r="J14" s="81"/>
      <c r="K14" s="82"/>
      <c r="L14" s="82"/>
      <c r="M14" s="82"/>
      <c r="N14" s="83"/>
      <c r="O14" s="30"/>
      <c r="Q14" t="s">
        <v>31</v>
      </c>
      <c r="R14" t="s">
        <v>32</v>
      </c>
      <c r="Y14" s="33"/>
      <c r="Z14" s="32"/>
    </row>
    <row r="15" spans="1:32" ht="24.95" customHeight="1">
      <c r="A15" s="69" t="s">
        <v>19</v>
      </c>
      <c r="B15" s="70"/>
      <c r="C15" s="71"/>
      <c r="D15" s="72" t="str">
        <f>D10</f>
        <v>①</v>
      </c>
      <c r="E15" s="72"/>
      <c r="F15" s="72" t="str">
        <f>F10</f>
        <v>②</v>
      </c>
      <c r="G15" s="72"/>
      <c r="H15" s="72" t="str">
        <f>H10</f>
        <v>③</v>
      </c>
      <c r="I15" s="73"/>
      <c r="J15" s="81"/>
      <c r="K15" s="82"/>
      <c r="L15" s="82"/>
      <c r="M15" s="82"/>
      <c r="N15" s="83"/>
      <c r="O15" s="30"/>
      <c r="Q15" t="s">
        <v>33</v>
      </c>
      <c r="R15" t="s">
        <v>34</v>
      </c>
      <c r="X15" s="14"/>
      <c r="Z15" s="32"/>
    </row>
    <row r="16" spans="1:32" ht="24.95" customHeight="1">
      <c r="A16" s="60" t="s">
        <v>35</v>
      </c>
      <c r="B16" s="60"/>
      <c r="C16" s="60"/>
      <c r="D16" s="169"/>
      <c r="E16" s="169"/>
      <c r="F16" s="100" t="str">
        <f>IFERROR(VLOOKUP(P3,[44]구조물별타설현황!$G$7:$AT$18477,13,0)/10,"")</f>
        <v/>
      </c>
      <c r="G16" s="100"/>
      <c r="H16" s="100" t="str">
        <f>IFERROR(VLOOKUP(Q3,[44]구조물별타설현황!$G$7:$AT$18477,13,0)/10,"")</f>
        <v/>
      </c>
      <c r="I16" s="101"/>
      <c r="J16" s="81"/>
      <c r="K16" s="82"/>
      <c r="L16" s="82"/>
      <c r="M16" s="82"/>
      <c r="N16" s="83"/>
      <c r="O16" s="30"/>
      <c r="Q16" t="s">
        <v>36</v>
      </c>
      <c r="R16" t="s">
        <v>37</v>
      </c>
      <c r="Z16" s="32"/>
    </row>
    <row r="17" spans="1:27" ht="24.95" customHeight="1">
      <c r="A17" s="102" t="s">
        <v>38</v>
      </c>
      <c r="B17" s="102"/>
      <c r="C17" s="102"/>
      <c r="D17" s="106">
        <v>0.2</v>
      </c>
      <c r="E17" s="106"/>
      <c r="F17" s="106" t="str">
        <f>IF(OR((F11=0),(F11="")),"",0.2)</f>
        <v/>
      </c>
      <c r="G17" s="106"/>
      <c r="H17" s="106" t="str">
        <f>IF(OR((H11=0),(H11="")),"",0.2)</f>
        <v/>
      </c>
      <c r="I17" s="107"/>
      <c r="J17" s="81"/>
      <c r="K17" s="82"/>
      <c r="L17" s="82"/>
      <c r="M17" s="82"/>
      <c r="N17" s="83"/>
      <c r="O17" s="30"/>
      <c r="Q17" t="s">
        <v>39</v>
      </c>
      <c r="R17" t="s">
        <v>40</v>
      </c>
      <c r="Z17" s="32"/>
    </row>
    <row r="18" spans="1:27" ht="24.95" customHeight="1">
      <c r="A18" s="63" t="s">
        <v>41</v>
      </c>
      <c r="B18" s="63"/>
      <c r="C18" s="63"/>
      <c r="D18" s="106" t="e">
        <f>LEFT(D16,3)-D17</f>
        <v>#VALUE!</v>
      </c>
      <c r="E18" s="106"/>
      <c r="F18" s="106" t="str">
        <f>IFERROR(F16-F17,"")</f>
        <v/>
      </c>
      <c r="G18" s="106"/>
      <c r="H18" s="106" t="str">
        <f>IFERROR(H16-H17,"")</f>
        <v/>
      </c>
      <c r="I18" s="107"/>
      <c r="J18" s="81"/>
      <c r="K18" s="82"/>
      <c r="L18" s="82"/>
      <c r="M18" s="82"/>
      <c r="N18" s="83"/>
      <c r="O18" s="30"/>
      <c r="Q18" t="s">
        <v>42</v>
      </c>
      <c r="R18" t="s">
        <v>43</v>
      </c>
    </row>
    <row r="19" spans="1:27" ht="24.95" customHeight="1">
      <c r="A19" s="63" t="s">
        <v>24</v>
      </c>
      <c r="B19" s="63"/>
      <c r="C19" s="63"/>
      <c r="D19" s="102" t="s">
        <v>68</v>
      </c>
      <c r="E19" s="102"/>
      <c r="F19" s="102" t="str">
        <f>IF(OR((F11=0),(F11="")),"","4.5±1.5%")</f>
        <v/>
      </c>
      <c r="G19" s="102"/>
      <c r="H19" s="102" t="str">
        <f>IF(OR((H11=0),(H11="")),"","4.5±1.5%")</f>
        <v/>
      </c>
      <c r="I19" s="103"/>
      <c r="J19" s="74" t="str">
        <f>F15</f>
        <v>②</v>
      </c>
      <c r="K19" s="75"/>
      <c r="L19" s="75"/>
      <c r="M19" s="75"/>
      <c r="N19" s="76"/>
      <c r="O19" s="30"/>
      <c r="Q19" t="s">
        <v>44</v>
      </c>
      <c r="R19" t="s">
        <v>45</v>
      </c>
      <c r="Z19" s="33"/>
      <c r="AA19" s="33"/>
    </row>
    <row r="20" spans="1:27" ht="24.95" customHeight="1">
      <c r="A20" s="54" t="s">
        <v>27</v>
      </c>
      <c r="B20" s="54"/>
      <c r="C20" s="54"/>
      <c r="D20" s="104" t="s">
        <v>67</v>
      </c>
      <c r="E20" s="104"/>
      <c r="F20" s="104" t="str">
        <f>IF(OR((F11=0),(F11="")),"","적합")</f>
        <v/>
      </c>
      <c r="G20" s="104"/>
      <c r="H20" s="104" t="str">
        <f>IF(OR((H11=0),(H11="")),"","적합")</f>
        <v/>
      </c>
      <c r="I20" s="105"/>
      <c r="J20" s="81"/>
      <c r="K20" s="82"/>
      <c r="L20" s="82"/>
      <c r="M20" s="82"/>
      <c r="N20" s="83"/>
      <c r="O20" s="30"/>
      <c r="Q20" t="s">
        <v>46</v>
      </c>
      <c r="R20" t="s">
        <v>47</v>
      </c>
    </row>
    <row r="21" spans="1:27" ht="24.95" customHeight="1">
      <c r="A21" s="67" t="s">
        <v>48</v>
      </c>
      <c r="B21" s="68"/>
      <c r="C21" s="68"/>
      <c r="D21" s="68"/>
      <c r="E21" s="68"/>
      <c r="F21" s="68"/>
      <c r="G21" s="68"/>
      <c r="H21" s="68"/>
      <c r="I21" s="68"/>
      <c r="J21" s="81"/>
      <c r="K21" s="82"/>
      <c r="L21" s="82"/>
      <c r="M21" s="82"/>
      <c r="N21" s="83"/>
      <c r="O21" s="30"/>
      <c r="Q21" t="s">
        <v>49</v>
      </c>
      <c r="R21" t="s">
        <v>50</v>
      </c>
      <c r="W21" s="1">
        <f>293+42</f>
        <v>335</v>
      </c>
    </row>
    <row r="22" spans="1:27" ht="24.95" customHeight="1">
      <c r="A22" s="69" t="s">
        <v>19</v>
      </c>
      <c r="B22" s="70"/>
      <c r="C22" s="71"/>
      <c r="D22" s="72" t="str">
        <f>D10</f>
        <v>①</v>
      </c>
      <c r="E22" s="72"/>
      <c r="F22" s="72" t="str">
        <f>F10</f>
        <v>②</v>
      </c>
      <c r="G22" s="72"/>
      <c r="H22" s="72" t="str">
        <f>H10</f>
        <v>③</v>
      </c>
      <c r="I22" s="73"/>
      <c r="J22" s="81"/>
      <c r="K22" s="82"/>
      <c r="L22" s="82"/>
      <c r="M22" s="82"/>
      <c r="N22" s="83"/>
      <c r="O22" s="30"/>
      <c r="Q22" t="s">
        <v>51</v>
      </c>
      <c r="R22" t="s">
        <v>52</v>
      </c>
    </row>
    <row r="23" spans="1:27" ht="24.95" customHeight="1">
      <c r="A23" s="90" t="s">
        <v>53</v>
      </c>
      <c r="B23" s="91"/>
      <c r="C23" s="92"/>
      <c r="D23" s="169"/>
      <c r="E23" s="169"/>
      <c r="F23" s="100" t="str">
        <f>IFERROR(VLOOKUP(P3,[44]구조물별타설현황!$G$7:$AT$18477,25,0),"")</f>
        <v/>
      </c>
      <c r="G23" s="100"/>
      <c r="H23" s="100" t="str">
        <f>IFERROR(VLOOKUP(Q3,[44]구조물별타설현황!$G$7:$AT$18477,25,0),"")</f>
        <v/>
      </c>
      <c r="I23" s="101"/>
      <c r="J23" s="81"/>
      <c r="K23" s="82"/>
      <c r="L23" s="82"/>
      <c r="M23" s="82"/>
      <c r="N23" s="83"/>
      <c r="O23" s="30"/>
      <c r="R23" s="1" t="str">
        <f>(VLOOKUP(O3,[44]구조물별타설현황!$G$7:$AT$18477,8,0))</f>
        <v>용호</v>
      </c>
    </row>
    <row r="24" spans="1:27" ht="24.95" customHeight="1">
      <c r="A24" s="63" t="s">
        <v>24</v>
      </c>
      <c r="B24" s="63"/>
      <c r="C24" s="63"/>
      <c r="D24" s="95" t="s">
        <v>71</v>
      </c>
      <c r="E24" s="96"/>
      <c r="F24" s="95" t="str">
        <f>IF(OR((F11=0),(F11="")),"",$S$24&amp;"±20㎏/㎥이내")</f>
        <v/>
      </c>
      <c r="G24" s="96"/>
      <c r="H24" s="95" t="str">
        <f>IF(OR((H11=0),(H11="")),"",$S$24&amp;"±20㎏/㎥이내")</f>
        <v/>
      </c>
      <c r="I24" s="97"/>
      <c r="J24" s="81"/>
      <c r="K24" s="82"/>
      <c r="L24" s="82"/>
      <c r="M24" s="82"/>
      <c r="N24" s="83"/>
      <c r="O24" s="30"/>
      <c r="Q24" s="34">
        <v>1812</v>
      </c>
      <c r="R24" s="34">
        <v>7</v>
      </c>
      <c r="S24" s="1" t="e">
        <f ca="1">INDIRECT(R23&amp;"!"&amp;ADDRESS(VLOOKUP(D4,$Q$24:$R$32,2,0),12))</f>
        <v>#N/A</v>
      </c>
    </row>
    <row r="25" spans="1:27" ht="24.95" customHeight="1">
      <c r="A25" s="54" t="s">
        <v>27</v>
      </c>
      <c r="B25" s="54"/>
      <c r="C25" s="54"/>
      <c r="D25" s="98" t="s">
        <v>67</v>
      </c>
      <c r="E25" s="98"/>
      <c r="F25" s="98" t="str">
        <f>IF(OR((F11=0),(F11="")),"","적합")</f>
        <v/>
      </c>
      <c r="G25" s="98"/>
      <c r="H25" s="98" t="str">
        <f>IF(OR((H11=0),(H11="")),"","적합")</f>
        <v/>
      </c>
      <c r="I25" s="99"/>
      <c r="J25" s="81"/>
      <c r="K25" s="82"/>
      <c r="L25" s="82"/>
      <c r="M25" s="82"/>
      <c r="N25" s="83"/>
      <c r="O25" s="30"/>
      <c r="Q25" s="34">
        <v>1815</v>
      </c>
      <c r="R25" s="34">
        <v>8</v>
      </c>
    </row>
    <row r="26" spans="1:27" ht="24.95" customHeight="1">
      <c r="A26" s="67" t="s">
        <v>54</v>
      </c>
      <c r="B26" s="68"/>
      <c r="C26" s="68"/>
      <c r="D26" s="68"/>
      <c r="E26" s="68"/>
      <c r="F26" s="68"/>
      <c r="G26" s="68"/>
      <c r="H26" s="68"/>
      <c r="I26" s="68"/>
      <c r="J26" s="81"/>
      <c r="K26" s="82"/>
      <c r="L26" s="82"/>
      <c r="M26" s="82"/>
      <c r="N26" s="83"/>
      <c r="O26" s="30"/>
      <c r="Q26" s="34">
        <v>2118</v>
      </c>
      <c r="R26" s="34">
        <v>9</v>
      </c>
    </row>
    <row r="27" spans="1:27" ht="24.95" customHeight="1">
      <c r="A27" s="87" t="s">
        <v>19</v>
      </c>
      <c r="B27" s="88"/>
      <c r="C27" s="89"/>
      <c r="D27" s="72" t="str">
        <f>D15</f>
        <v>①</v>
      </c>
      <c r="E27" s="72"/>
      <c r="F27" s="72" t="str">
        <f>F15</f>
        <v>②</v>
      </c>
      <c r="G27" s="72"/>
      <c r="H27" s="72" t="str">
        <f>H15</f>
        <v>③</v>
      </c>
      <c r="I27" s="73"/>
      <c r="J27" s="81"/>
      <c r="K27" s="82"/>
      <c r="L27" s="82"/>
      <c r="M27" s="82"/>
      <c r="N27" s="83"/>
      <c r="O27" s="30"/>
      <c r="Q27" s="34">
        <v>2412</v>
      </c>
      <c r="R27" s="34">
        <v>10</v>
      </c>
    </row>
    <row r="28" spans="1:27" ht="24.95" customHeight="1">
      <c r="A28" s="90" t="s">
        <v>53</v>
      </c>
      <c r="B28" s="91"/>
      <c r="C28" s="92"/>
      <c r="D28" s="101">
        <f>D23</f>
        <v>0</v>
      </c>
      <c r="E28" s="94"/>
      <c r="F28" s="93" t="str">
        <f>IF(OR((F11=0),(F11="")),"",$S$24)</f>
        <v/>
      </c>
      <c r="G28" s="94"/>
      <c r="H28" s="93" t="str">
        <f>IF(OR((H11=0),(H11="")),"",$S$24)</f>
        <v/>
      </c>
      <c r="I28" s="91"/>
      <c r="J28" s="74" t="str">
        <f>H27</f>
        <v>③</v>
      </c>
      <c r="K28" s="75"/>
      <c r="L28" s="75"/>
      <c r="M28" s="75"/>
      <c r="N28" s="76"/>
      <c r="O28" s="30"/>
      <c r="P28" s="2"/>
      <c r="Q28" s="34">
        <v>2415</v>
      </c>
      <c r="R28" s="34">
        <v>11</v>
      </c>
    </row>
    <row r="29" spans="1:27" ht="24.95" customHeight="1">
      <c r="A29" s="64" t="s">
        <v>55</v>
      </c>
      <c r="B29" s="77"/>
      <c r="C29" s="65"/>
      <c r="D29" s="170"/>
      <c r="E29" s="171"/>
      <c r="F29" s="78" t="str">
        <f>IFERROR(VLOOKUP(P3,[44]구조물별타설현황!$G$7:$AT$18477,14,0)/1000,"")</f>
        <v/>
      </c>
      <c r="G29" s="79"/>
      <c r="H29" s="78" t="str">
        <f>IFERROR(VLOOKUP(Q3,[44]구조물별타설현황!$G$7:$AT$18477,14,0)/1000,"")</f>
        <v/>
      </c>
      <c r="I29" s="80"/>
      <c r="J29" s="81"/>
      <c r="K29" s="82"/>
      <c r="L29" s="82"/>
      <c r="M29" s="82"/>
      <c r="N29" s="83"/>
      <c r="O29" s="30"/>
      <c r="P29" s="2"/>
      <c r="Q29" s="34">
        <v>2712</v>
      </c>
      <c r="R29" s="34">
        <v>12</v>
      </c>
    </row>
    <row r="30" spans="1:27" ht="24.95" customHeight="1">
      <c r="A30" s="63" t="s">
        <v>24</v>
      </c>
      <c r="B30" s="63"/>
      <c r="C30" s="63"/>
      <c r="D30" s="64" t="s">
        <v>69</v>
      </c>
      <c r="E30" s="65"/>
      <c r="F30" s="64" t="str">
        <f>IF(OR((F11=0),(F11="")),"","0.3 ㎏/㎥이하")</f>
        <v/>
      </c>
      <c r="G30" s="65"/>
      <c r="H30" s="64" t="str">
        <f>IF(OR((H11=0),(H11="")),"","0.3 ㎏/㎥이하")</f>
        <v/>
      </c>
      <c r="I30" s="66"/>
      <c r="J30" s="81"/>
      <c r="K30" s="82"/>
      <c r="L30" s="82"/>
      <c r="M30" s="82"/>
      <c r="N30" s="83"/>
      <c r="O30" s="30"/>
      <c r="P30" s="2"/>
      <c r="Q30" s="34">
        <v>2715</v>
      </c>
      <c r="R30" s="34">
        <v>13</v>
      </c>
    </row>
    <row r="31" spans="1:27" ht="24.95" customHeight="1">
      <c r="A31" s="54" t="s">
        <v>27</v>
      </c>
      <c r="B31" s="54"/>
      <c r="C31" s="54"/>
      <c r="D31" s="55" t="s">
        <v>67</v>
      </c>
      <c r="E31" s="56"/>
      <c r="F31" s="55" t="str">
        <f>IF(OR((F11=0),(F11="")),"","적합")</f>
        <v/>
      </c>
      <c r="G31" s="56"/>
      <c r="H31" s="55" t="str">
        <f>IF(OR((H11=0),(H11="")),"","적합")</f>
        <v/>
      </c>
      <c r="I31" s="57"/>
      <c r="J31" s="81"/>
      <c r="K31" s="82"/>
      <c r="L31" s="82"/>
      <c r="M31" s="82"/>
      <c r="N31" s="83"/>
      <c r="O31" s="30"/>
      <c r="P31" s="2"/>
      <c r="Q31" s="34">
        <v>3015</v>
      </c>
      <c r="R31" s="34">
        <v>14</v>
      </c>
    </row>
    <row r="32" spans="1:27" ht="24.95" customHeight="1">
      <c r="A32" s="67" t="s">
        <v>56</v>
      </c>
      <c r="B32" s="68"/>
      <c r="C32" s="68"/>
      <c r="D32" s="68"/>
      <c r="E32" s="68"/>
      <c r="F32" s="68"/>
      <c r="G32" s="68"/>
      <c r="H32" s="68"/>
      <c r="I32" s="68"/>
      <c r="J32" s="81"/>
      <c r="K32" s="82"/>
      <c r="L32" s="82"/>
      <c r="M32" s="82"/>
      <c r="N32" s="83"/>
      <c r="O32" s="30"/>
      <c r="P32" s="2"/>
      <c r="Q32" s="34">
        <v>3018</v>
      </c>
      <c r="R32" s="34">
        <v>15</v>
      </c>
    </row>
    <row r="33" spans="1:24" ht="24.95" customHeight="1">
      <c r="A33" s="69" t="s">
        <v>19</v>
      </c>
      <c r="B33" s="70"/>
      <c r="C33" s="71"/>
      <c r="D33" s="72" t="str">
        <f>D27</f>
        <v>①</v>
      </c>
      <c r="E33" s="72"/>
      <c r="F33" s="72" t="str">
        <f>F27</f>
        <v>②</v>
      </c>
      <c r="G33" s="72"/>
      <c r="H33" s="72" t="str">
        <f>H27</f>
        <v>③</v>
      </c>
      <c r="I33" s="73"/>
      <c r="J33" s="81"/>
      <c r="K33" s="82"/>
      <c r="L33" s="82"/>
      <c r="M33" s="82"/>
      <c r="N33" s="83"/>
      <c r="O33" s="30"/>
    </row>
    <row r="34" spans="1:24" ht="24.95" customHeight="1">
      <c r="A34" s="60" t="s">
        <v>57</v>
      </c>
      <c r="B34" s="60"/>
      <c r="C34" s="60"/>
      <c r="D34" s="172"/>
      <c r="E34" s="172"/>
      <c r="F34" s="61" t="str">
        <f>IFERROR(VLOOKUP(P3,[44]구조물별타설현황!$G$7:$AT$18477,15,0)/10,"")</f>
        <v/>
      </c>
      <c r="G34" s="61"/>
      <c r="H34" s="61" t="str">
        <f>IFERROR(VLOOKUP(Q3,[44]구조물별타설현황!$G$7:$AT$18477,15,0)/10,"")</f>
        <v/>
      </c>
      <c r="I34" s="62"/>
      <c r="J34" s="81"/>
      <c r="K34" s="82"/>
      <c r="L34" s="82"/>
      <c r="M34" s="82"/>
      <c r="N34" s="83"/>
      <c r="O34" s="30"/>
    </row>
    <row r="35" spans="1:24" ht="24.95" customHeight="1">
      <c r="A35" s="63" t="s">
        <v>24</v>
      </c>
      <c r="B35" s="63"/>
      <c r="C35" s="63"/>
      <c r="D35" s="64" t="s">
        <v>70</v>
      </c>
      <c r="E35" s="65"/>
      <c r="F35" s="64" t="str">
        <f>IF(OR((F11=0),(F11="")),"","10 ~ 35℃")</f>
        <v/>
      </c>
      <c r="G35" s="65"/>
      <c r="H35" s="64" t="str">
        <f>IF(OR((H11=0),(H11="")),"","10 ~ 35℃")</f>
        <v/>
      </c>
      <c r="I35" s="66"/>
      <c r="J35" s="81"/>
      <c r="K35" s="82"/>
      <c r="L35" s="82"/>
      <c r="M35" s="82"/>
      <c r="N35" s="83"/>
      <c r="O35" s="30"/>
    </row>
    <row r="36" spans="1:24" ht="24.95" customHeight="1">
      <c r="A36" s="54" t="s">
        <v>27</v>
      </c>
      <c r="B36" s="54"/>
      <c r="C36" s="54"/>
      <c r="D36" s="55" t="s">
        <v>67</v>
      </c>
      <c r="E36" s="56"/>
      <c r="F36" s="55" t="str">
        <f>IF(OR((F11=0),(F11="")),"","적합")</f>
        <v/>
      </c>
      <c r="G36" s="56"/>
      <c r="H36" s="55" t="str">
        <f>IF(OR((H11=0),(H11="")),"","적합")</f>
        <v/>
      </c>
      <c r="I36" s="57"/>
      <c r="J36" s="84"/>
      <c r="K36" s="85"/>
      <c r="L36" s="85"/>
      <c r="M36" s="85"/>
      <c r="N36" s="86"/>
      <c r="O36" s="30"/>
    </row>
    <row r="37" spans="1:24" ht="14.25" customHeight="1">
      <c r="A37" s="35"/>
      <c r="B37" s="36"/>
      <c r="C37" s="36"/>
      <c r="D37" s="36"/>
      <c r="E37" s="36"/>
      <c r="F37" s="36"/>
      <c r="G37" s="36"/>
      <c r="H37" s="36"/>
      <c r="I37" s="36"/>
      <c r="J37" s="36"/>
      <c r="K37" s="36"/>
      <c r="L37" s="36"/>
      <c r="M37" s="36"/>
      <c r="N37" s="36"/>
    </row>
    <row r="38" spans="1:24" s="39" customFormat="1" ht="15" customHeight="1">
      <c r="A38" s="37" t="s">
        <v>58</v>
      </c>
      <c r="B38" s="38"/>
      <c r="C38" s="38"/>
      <c r="D38" s="38"/>
      <c r="E38" s="38"/>
      <c r="F38" s="38"/>
      <c r="G38" s="38"/>
      <c r="H38" s="38"/>
      <c r="I38" s="38"/>
      <c r="J38" s="38"/>
      <c r="K38" s="38"/>
      <c r="L38" s="38"/>
      <c r="M38" s="38"/>
      <c r="N38" s="38"/>
    </row>
    <row r="39" spans="1:24" s="39" customFormat="1" ht="15" customHeight="1">
      <c r="A39" s="37" t="s">
        <v>59</v>
      </c>
      <c r="B39" s="38"/>
      <c r="C39" s="38"/>
      <c r="D39" s="38"/>
      <c r="E39" s="38"/>
      <c r="F39" s="38"/>
      <c r="G39" s="38"/>
      <c r="H39" s="38"/>
      <c r="I39" s="38"/>
      <c r="J39" s="38"/>
      <c r="K39" s="38"/>
      <c r="L39" s="38"/>
      <c r="M39" s="38"/>
      <c r="N39" s="38"/>
    </row>
    <row r="40" spans="1:24" s="39" customFormat="1" ht="6" customHeight="1">
      <c r="A40" s="37" t="s">
        <v>60</v>
      </c>
      <c r="B40" s="38"/>
      <c r="C40" s="38"/>
      <c r="D40" s="38"/>
      <c r="E40" s="38"/>
      <c r="F40" s="38"/>
      <c r="G40" s="38"/>
      <c r="H40" s="38"/>
      <c r="I40" s="38"/>
      <c r="J40" s="38"/>
      <c r="K40" s="38"/>
      <c r="L40" s="38"/>
      <c r="M40" s="38"/>
      <c r="N40" s="38"/>
    </row>
    <row r="41" spans="1:24" ht="42.95" customHeight="1">
      <c r="A41" s="40" t="s">
        <v>61</v>
      </c>
      <c r="B41" s="58" t="str">
        <f>"품질관리자  "&amp;Q41</f>
        <v>품질관리자  박대규</v>
      </c>
      <c r="C41" s="59"/>
      <c r="D41" s="59"/>
      <c r="E41" s="59"/>
      <c r="F41" s="41" t="s">
        <v>62</v>
      </c>
      <c r="G41" s="40" t="s">
        <v>63</v>
      </c>
      <c r="H41" s="58" t="str">
        <f>"감독(감리)자  "&amp;$R$41</f>
        <v>감독(감리)자  이홍걸</v>
      </c>
      <c r="I41" s="59"/>
      <c r="J41" s="59"/>
      <c r="K41" s="59"/>
      <c r="L41" s="41" t="s">
        <v>62</v>
      </c>
      <c r="M41" s="42" t="s">
        <v>64</v>
      </c>
      <c r="N41" s="43"/>
      <c r="Q41" s="1" t="str">
        <f>VLOOKUP(O3,[44]구조물별타설현황!$G$7:$AT$18477,17,0)</f>
        <v>박대규</v>
      </c>
      <c r="R41" s="1" t="str">
        <f>VLOOKUP(O3,[44]구조물별타설현황!$G$7:$AT$18477,21,0)</f>
        <v>이홍걸</v>
      </c>
      <c r="X41" s="44"/>
    </row>
  </sheetData>
  <mergeCells count="126">
    <mergeCell ref="A5:C5"/>
    <mergeCell ref="D5:H5"/>
    <mergeCell ref="I5:K5"/>
    <mergeCell ref="A6:C6"/>
    <mergeCell ref="D6:H6"/>
    <mergeCell ref="I6:K6"/>
    <mergeCell ref="A1:N1"/>
    <mergeCell ref="A3:C3"/>
    <mergeCell ref="D3:H3"/>
    <mergeCell ref="I3:K3"/>
    <mergeCell ref="L3:N3"/>
    <mergeCell ref="A4:C4"/>
    <mergeCell ref="D4:H4"/>
    <mergeCell ref="I4:K4"/>
    <mergeCell ref="L4:N4"/>
    <mergeCell ref="J10:N10"/>
    <mergeCell ref="A11:C11"/>
    <mergeCell ref="D11:E11"/>
    <mergeCell ref="F11:G11"/>
    <mergeCell ref="H11:I11"/>
    <mergeCell ref="J11:N18"/>
    <mergeCell ref="L6:N6"/>
    <mergeCell ref="O6:S6"/>
    <mergeCell ref="A7:N7"/>
    <mergeCell ref="A8:N8"/>
    <mergeCell ref="A9:I9"/>
    <mergeCell ref="J9:N9"/>
    <mergeCell ref="O9:R9"/>
    <mergeCell ref="A12:C12"/>
    <mergeCell ref="D12:E12"/>
    <mergeCell ref="F12:G12"/>
    <mergeCell ref="H12:I12"/>
    <mergeCell ref="A13:C13"/>
    <mergeCell ref="D13:E13"/>
    <mergeCell ref="F13:G13"/>
    <mergeCell ref="H13:I13"/>
    <mergeCell ref="A10:C10"/>
    <mergeCell ref="D10:E10"/>
    <mergeCell ref="F10:G10"/>
    <mergeCell ref="H10:I10"/>
    <mergeCell ref="A17:C17"/>
    <mergeCell ref="D17:E17"/>
    <mergeCell ref="F17:G17"/>
    <mergeCell ref="H17:I17"/>
    <mergeCell ref="A18:C18"/>
    <mergeCell ref="D18:E18"/>
    <mergeCell ref="F18:G18"/>
    <mergeCell ref="H18:I18"/>
    <mergeCell ref="A14:I14"/>
    <mergeCell ref="A15:C15"/>
    <mergeCell ref="D15:E15"/>
    <mergeCell ref="F15:G15"/>
    <mergeCell ref="H15:I15"/>
    <mergeCell ref="A16:C16"/>
    <mergeCell ref="D16:E16"/>
    <mergeCell ref="F16:G16"/>
    <mergeCell ref="H16:I16"/>
    <mergeCell ref="A19:C19"/>
    <mergeCell ref="D19:E19"/>
    <mergeCell ref="F19:G19"/>
    <mergeCell ref="H19:I19"/>
    <mergeCell ref="J19:N19"/>
    <mergeCell ref="A20:C20"/>
    <mergeCell ref="D20:E20"/>
    <mergeCell ref="F20:G20"/>
    <mergeCell ref="H20:I20"/>
    <mergeCell ref="J20:N27"/>
    <mergeCell ref="A24:C24"/>
    <mergeCell ref="D24:E24"/>
    <mergeCell ref="F24:G24"/>
    <mergeCell ref="H24:I24"/>
    <mergeCell ref="A25:C25"/>
    <mergeCell ref="D25:E25"/>
    <mergeCell ref="F25:G25"/>
    <mergeCell ref="H25:I25"/>
    <mergeCell ref="A21:I21"/>
    <mergeCell ref="A22:C22"/>
    <mergeCell ref="D22:E22"/>
    <mergeCell ref="F22:G22"/>
    <mergeCell ref="H22:I22"/>
    <mergeCell ref="A23:C23"/>
    <mergeCell ref="D23:E23"/>
    <mergeCell ref="F23:G23"/>
    <mergeCell ref="H23:I23"/>
    <mergeCell ref="A26:I26"/>
    <mergeCell ref="A27:C27"/>
    <mergeCell ref="D27:E27"/>
    <mergeCell ref="F27:G27"/>
    <mergeCell ref="H27:I27"/>
    <mergeCell ref="A28:C28"/>
    <mergeCell ref="D28:E28"/>
    <mergeCell ref="F28:G28"/>
    <mergeCell ref="H28:I28"/>
    <mergeCell ref="J28:N28"/>
    <mergeCell ref="A29:C29"/>
    <mergeCell ref="D29:E29"/>
    <mergeCell ref="F29:G29"/>
    <mergeCell ref="H29:I29"/>
    <mergeCell ref="J29:N36"/>
    <mergeCell ref="A30:C30"/>
    <mergeCell ref="D30:E30"/>
    <mergeCell ref="F30:G30"/>
    <mergeCell ref="H30:I30"/>
    <mergeCell ref="A31:C31"/>
    <mergeCell ref="D31:E31"/>
    <mergeCell ref="F31:G31"/>
    <mergeCell ref="H31:I31"/>
    <mergeCell ref="A32:I32"/>
    <mergeCell ref="A33:C33"/>
    <mergeCell ref="D33:E33"/>
    <mergeCell ref="F33:G33"/>
    <mergeCell ref="H33:I33"/>
    <mergeCell ref="A36:C36"/>
    <mergeCell ref="D36:E36"/>
    <mergeCell ref="F36:G36"/>
    <mergeCell ref="H36:I36"/>
    <mergeCell ref="B41:E41"/>
    <mergeCell ref="H41:K41"/>
    <mergeCell ref="A34:C34"/>
    <mergeCell ref="D34:E34"/>
    <mergeCell ref="F34:G34"/>
    <mergeCell ref="H34:I34"/>
    <mergeCell ref="A35:C35"/>
    <mergeCell ref="D35:E35"/>
    <mergeCell ref="F35:G35"/>
    <mergeCell ref="H35:I35"/>
  </mergeCells>
  <phoneticPr fontId="4" type="noConversion"/>
  <printOptions horizontalCentered="1"/>
  <pageMargins left="0.39370078740157483" right="0.39370078740157483" top="0.6692913385826772" bottom="0.39370078740157483" header="0.31496062992125984" footer="0.23622047244094491"/>
  <pageSetup paperSize="9" scale="75"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Spinner 1">
              <controlPr defaultSize="0" autoPict="0">
                <anchor moveWithCells="1" sizeWithCells="1">
                  <from>
                    <xdr:col>22</xdr:col>
                    <xdr:colOff>0</xdr:colOff>
                    <xdr:row>9</xdr:row>
                    <xdr:rowOff>28575</xdr:rowOff>
                  </from>
                  <to>
                    <xdr:col>23</xdr:col>
                    <xdr:colOff>0</xdr:colOff>
                    <xdr:row>13</xdr:row>
                    <xdr:rowOff>0</xdr:rowOff>
                  </to>
                </anchor>
              </controlPr>
            </control>
          </mc:Choice>
        </mc:AlternateContent>
        <mc:AlternateContent xmlns:mc="http://schemas.openxmlformats.org/markup-compatibility/2006">
          <mc:Choice Requires="x14">
            <control shapeId="1026" r:id="rId5" name="Spinner 2">
              <controlPr defaultSize="0" autoPict="0">
                <anchor moveWithCells="1" sizeWithCells="1">
                  <from>
                    <xdr:col>23</xdr:col>
                    <xdr:colOff>0</xdr:colOff>
                    <xdr:row>9</xdr:row>
                    <xdr:rowOff>28575</xdr:rowOff>
                  </from>
                  <to>
                    <xdr:col>24</xdr:col>
                    <xdr:colOff>0</xdr:colOff>
                    <xdr:row>13</xdr:row>
                    <xdr:rowOff>0</xdr:rowOff>
                  </to>
                </anchor>
              </controlPr>
            </control>
          </mc:Choice>
        </mc:AlternateContent>
        <mc:AlternateContent xmlns:mc="http://schemas.openxmlformats.org/markup-compatibility/2006">
          <mc:Choice Requires="x14">
            <control shapeId="1027" r:id="rId6" name="Option Button 3">
              <controlPr defaultSize="0" autoFill="0" autoLine="0" autoPict="0">
                <anchor moveWithCells="1">
                  <from>
                    <xdr:col>24</xdr:col>
                    <xdr:colOff>0</xdr:colOff>
                    <xdr:row>9</xdr:row>
                    <xdr:rowOff>0</xdr:rowOff>
                  </from>
                  <to>
                    <xdr:col>25</xdr:col>
                    <xdr:colOff>0</xdr:colOff>
                    <xdr:row>10</xdr:row>
                    <xdr:rowOff>0</xdr:rowOff>
                  </to>
                </anchor>
              </controlPr>
            </control>
          </mc:Choice>
        </mc:AlternateContent>
        <mc:AlternateContent xmlns:mc="http://schemas.openxmlformats.org/markup-compatibility/2006">
          <mc:Choice Requires="x14">
            <control shapeId="1028" r:id="rId7" name="Option Button 4">
              <controlPr defaultSize="0" autoFill="0" autoLine="0" autoPict="0">
                <anchor moveWithCells="1">
                  <from>
                    <xdr:col>24</xdr:col>
                    <xdr:colOff>0</xdr:colOff>
                    <xdr:row>10</xdr:row>
                    <xdr:rowOff>0</xdr:rowOff>
                  </from>
                  <to>
                    <xdr:col>25</xdr:col>
                    <xdr:colOff>0</xdr:colOff>
                    <xdr:row>11</xdr:row>
                    <xdr:rowOff>0</xdr:rowOff>
                  </to>
                </anchor>
              </controlPr>
            </control>
          </mc:Choice>
        </mc:AlternateContent>
        <mc:AlternateContent xmlns:mc="http://schemas.openxmlformats.org/markup-compatibility/2006">
          <mc:Choice Requires="x14">
            <control shapeId="1029" r:id="rId8" name="Option Button 5">
              <controlPr defaultSize="0" autoFill="0" autoLine="0" autoPict="0">
                <anchor moveWithCells="1">
                  <from>
                    <xdr:col>24</xdr:col>
                    <xdr:colOff>0</xdr:colOff>
                    <xdr:row>11</xdr:row>
                    <xdr:rowOff>0</xdr:rowOff>
                  </from>
                  <to>
                    <xdr:col>25</xdr:col>
                    <xdr:colOff>0</xdr:colOff>
                    <xdr:row>12</xdr:row>
                    <xdr:rowOff>0</xdr:rowOff>
                  </to>
                </anchor>
              </controlPr>
            </control>
          </mc:Choice>
        </mc:AlternateContent>
        <mc:AlternateContent xmlns:mc="http://schemas.openxmlformats.org/markup-compatibility/2006">
          <mc:Choice Requires="x14">
            <control shapeId="1030" r:id="rId9" name="Option Button 6">
              <controlPr defaultSize="0" autoFill="0" autoLine="0" autoPict="0">
                <anchor moveWithCells="1">
                  <from>
                    <xdr:col>24</xdr:col>
                    <xdr:colOff>0</xdr:colOff>
                    <xdr:row>12</xdr:row>
                    <xdr:rowOff>0</xdr:rowOff>
                  </from>
                  <to>
                    <xdr:col>25</xdr:col>
                    <xdr:colOff>0</xdr:colOff>
                    <xdr:row>13</xdr:row>
                    <xdr:rowOff>0</xdr:rowOff>
                  </to>
                </anchor>
              </controlPr>
            </control>
          </mc:Choice>
        </mc:AlternateContent>
        <mc:AlternateContent xmlns:mc="http://schemas.openxmlformats.org/markup-compatibility/2006">
          <mc:Choice Requires="x14">
            <control shapeId="1031" r:id="rId10" name="Option Button 7">
              <controlPr defaultSize="0" autoFill="0" autoLine="0" autoPict="0">
                <anchor moveWithCells="1">
                  <from>
                    <xdr:col>24</xdr:col>
                    <xdr:colOff>0</xdr:colOff>
                    <xdr:row>13</xdr:row>
                    <xdr:rowOff>0</xdr:rowOff>
                  </from>
                  <to>
                    <xdr:col>25</xdr:col>
                    <xdr:colOff>0</xdr:colOff>
                    <xdr:row>14</xdr:row>
                    <xdr:rowOff>0</xdr:rowOff>
                  </to>
                </anchor>
              </controlPr>
            </control>
          </mc:Choice>
        </mc:AlternateContent>
        <mc:AlternateContent xmlns:mc="http://schemas.openxmlformats.org/markup-compatibility/2006">
          <mc:Choice Requires="x14">
            <control shapeId="1032" r:id="rId11" name="Option Button 8">
              <controlPr defaultSize="0" autoFill="0" autoLine="0" autoPict="0">
                <anchor moveWithCells="1">
                  <from>
                    <xdr:col>24</xdr:col>
                    <xdr:colOff>0</xdr:colOff>
                    <xdr:row>14</xdr:row>
                    <xdr:rowOff>0</xdr:rowOff>
                  </from>
                  <to>
                    <xdr:col>25</xdr:col>
                    <xdr:colOff>0</xdr:colOff>
                    <xdr:row>15</xdr:row>
                    <xdr:rowOff>0</xdr:rowOff>
                  </to>
                </anchor>
              </controlPr>
            </control>
          </mc:Choice>
        </mc:AlternateContent>
        <mc:AlternateContent xmlns:mc="http://schemas.openxmlformats.org/markup-compatibility/2006">
          <mc:Choice Requires="x14">
            <control shapeId="1033" r:id="rId12" name="Option Button 9">
              <controlPr defaultSize="0" autoFill="0" autoLine="0" autoPict="0">
                <anchor moveWithCells="1">
                  <from>
                    <xdr:col>24</xdr:col>
                    <xdr:colOff>0</xdr:colOff>
                    <xdr:row>15</xdr:row>
                    <xdr:rowOff>0</xdr:rowOff>
                  </from>
                  <to>
                    <xdr:col>25</xdr:col>
                    <xdr:colOff>0</xdr:colOff>
                    <xdr:row>16</xdr:row>
                    <xdr:rowOff>0</xdr:rowOff>
                  </to>
                </anchor>
              </controlPr>
            </control>
          </mc:Choice>
        </mc:AlternateContent>
        <mc:AlternateContent xmlns:mc="http://schemas.openxmlformats.org/markup-compatibility/2006">
          <mc:Choice Requires="x14">
            <control shapeId="1034" r:id="rId13" name="Option Button 10">
              <controlPr defaultSize="0" autoFill="0" autoLine="0" autoPict="0">
                <anchor moveWithCells="1">
                  <from>
                    <xdr:col>24</xdr:col>
                    <xdr:colOff>0</xdr:colOff>
                    <xdr:row>16</xdr:row>
                    <xdr:rowOff>0</xdr:rowOff>
                  </from>
                  <to>
                    <xdr:col>25</xdr:col>
                    <xdr:colOff>0</xdr:colOff>
                    <xdr:row>17</xdr:row>
                    <xdr:rowOff>0</xdr:rowOff>
                  </to>
                </anchor>
              </controlPr>
            </control>
          </mc:Choice>
        </mc:AlternateContent>
        <mc:AlternateContent xmlns:mc="http://schemas.openxmlformats.org/markup-compatibility/2006">
          <mc:Choice Requires="x14">
            <control shapeId="1035" r:id="rId14" name="Option Button 11">
              <controlPr defaultSize="0" autoFill="0" autoLine="0" autoPict="0">
                <anchor moveWithCells="1">
                  <from>
                    <xdr:col>24</xdr:col>
                    <xdr:colOff>0</xdr:colOff>
                    <xdr:row>17</xdr:row>
                    <xdr:rowOff>0</xdr:rowOff>
                  </from>
                  <to>
                    <xdr:col>25</xdr:col>
                    <xdr:colOff>0</xdr:colOff>
                    <xdr:row>18</xdr:row>
                    <xdr:rowOff>0</xdr:rowOff>
                  </to>
                </anchor>
              </controlPr>
            </control>
          </mc:Choice>
        </mc:AlternateContent>
        <mc:AlternateContent xmlns:mc="http://schemas.openxmlformats.org/markup-compatibility/2006">
          <mc:Choice Requires="x14">
            <control shapeId="1036" r:id="rId15" name="Option Button 12">
              <controlPr defaultSize="0" autoFill="0" autoLine="0" autoPict="0">
                <anchor moveWithCells="1">
                  <from>
                    <xdr:col>24</xdr:col>
                    <xdr:colOff>0</xdr:colOff>
                    <xdr:row>18</xdr:row>
                    <xdr:rowOff>0</xdr:rowOff>
                  </from>
                  <to>
                    <xdr:col>25</xdr:col>
                    <xdr:colOff>0</xdr:colOff>
                    <xdr:row>19</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2000B-2A87-4B2B-B5A3-11B31926ED91}">
  <sheetPr codeName="Sheet1"/>
  <dimension ref="A1:Q15"/>
  <sheetViews>
    <sheetView zoomScale="70" zoomScaleNormal="70" workbookViewId="0">
      <selection activeCell="AC3" sqref="AC3"/>
    </sheetView>
  </sheetViews>
  <sheetFormatPr defaultRowHeight="16.5"/>
  <cols>
    <col min="1" max="1" width="2.625" customWidth="1"/>
    <col min="2" max="11" width="7.625" customWidth="1"/>
    <col min="12" max="12" width="2.625" customWidth="1"/>
    <col min="13" max="14" width="8.625" customWidth="1"/>
    <col min="15" max="15" width="10" bestFit="1" customWidth="1"/>
    <col min="16" max="17" width="10" customWidth="1"/>
    <col min="18" max="18" width="16.125" bestFit="1" customWidth="1"/>
  </cols>
  <sheetData>
    <row r="1" spans="1:17" ht="45" customHeight="1">
      <c r="A1" s="149" t="s">
        <v>65</v>
      </c>
      <c r="B1" s="150"/>
      <c r="C1" s="150"/>
      <c r="D1" s="150"/>
      <c r="E1" s="150"/>
      <c r="F1" s="150"/>
      <c r="G1" s="150"/>
      <c r="H1" s="150"/>
      <c r="I1" s="150"/>
      <c r="J1" s="150"/>
      <c r="K1" s="150"/>
      <c r="L1" s="151"/>
    </row>
    <row r="2" spans="1:17" ht="8.1" customHeight="1">
      <c r="A2" s="45"/>
      <c r="B2" s="46"/>
      <c r="C2" s="46"/>
      <c r="D2" s="46"/>
      <c r="E2" s="46"/>
      <c r="F2" s="46"/>
      <c r="G2" s="46"/>
      <c r="H2" s="46"/>
      <c r="I2" s="46"/>
      <c r="J2" s="46"/>
      <c r="K2" s="46"/>
      <c r="L2" s="47"/>
    </row>
    <row r="3" spans="1:17" ht="305.10000000000002" customHeight="1">
      <c r="A3" s="48"/>
      <c r="B3" s="146"/>
      <c r="C3" s="146"/>
      <c r="D3" s="146"/>
      <c r="E3" s="146"/>
      <c r="F3" s="146"/>
      <c r="G3" s="146"/>
      <c r="H3" s="146"/>
      <c r="I3" s="146"/>
      <c r="J3" s="146"/>
      <c r="K3" s="146"/>
      <c r="L3" s="49"/>
      <c r="N3">
        <v>2715</v>
      </c>
      <c r="O3" s="50">
        <f>물성1!D5</f>
        <v>0</v>
      </c>
      <c r="P3" s="152">
        <f>MOD(YEAR(G5),100)*10000+MONTH(G5)*100+DAY(G5)</f>
        <v>100</v>
      </c>
      <c r="Q3" s="152"/>
    </row>
    <row r="4" spans="1:17" ht="8.1" customHeight="1">
      <c r="A4" s="51"/>
      <c r="B4" s="52"/>
      <c r="C4" s="52"/>
      <c r="D4" s="52"/>
      <c r="E4" s="52"/>
      <c r="F4" s="52"/>
      <c r="G4" s="52"/>
      <c r="H4" s="52"/>
      <c r="I4" s="52"/>
      <c r="J4" s="52"/>
      <c r="K4" s="52"/>
      <c r="L4" s="53"/>
      <c r="P4" s="153" t="str">
        <f>HYPERLINK("\\woomi\woomi\9. 품질\QBB03구조물별타설현황\사진\"&amp;P3,"사진폴더열기")</f>
        <v>사진폴더열기</v>
      </c>
      <c r="Q4" s="154"/>
    </row>
    <row r="5" spans="1:17" ht="30" customHeight="1">
      <c r="A5" s="155" t="s">
        <v>66</v>
      </c>
      <c r="B5" s="155"/>
      <c r="C5" s="155"/>
      <c r="D5" s="155"/>
      <c r="E5" s="155"/>
      <c r="F5" s="155"/>
      <c r="G5" s="156">
        <f>O3</f>
        <v>0</v>
      </c>
      <c r="H5" s="157"/>
      <c r="I5" s="157"/>
      <c r="J5" s="157"/>
      <c r="K5" s="157"/>
      <c r="L5" s="158"/>
      <c r="P5" s="154"/>
      <c r="Q5" s="154"/>
    </row>
    <row r="6" spans="1:17" ht="8.1" customHeight="1">
      <c r="A6" s="45"/>
      <c r="B6" s="46"/>
      <c r="C6" s="46"/>
      <c r="D6" s="46"/>
      <c r="E6" s="46"/>
      <c r="F6" s="46"/>
      <c r="G6" s="46"/>
      <c r="H6" s="46"/>
      <c r="I6" s="46"/>
      <c r="J6" s="46"/>
      <c r="K6" s="46"/>
      <c r="L6" s="47"/>
      <c r="P6" s="154"/>
      <c r="Q6" s="154"/>
    </row>
    <row r="7" spans="1:17" ht="305.10000000000002" customHeight="1">
      <c r="A7" s="48"/>
      <c r="B7" s="146"/>
      <c r="C7" s="146"/>
      <c r="D7" s="146"/>
      <c r="E7" s="146"/>
      <c r="F7" s="146"/>
      <c r="G7" s="146"/>
      <c r="H7" s="146"/>
      <c r="I7" s="146"/>
      <c r="J7" s="146"/>
      <c r="K7" s="146"/>
      <c r="L7" s="49"/>
    </row>
    <row r="8" spans="1:17" ht="8.1" customHeight="1">
      <c r="A8" s="51"/>
      <c r="B8" s="52"/>
      <c r="C8" s="52"/>
      <c r="D8" s="52"/>
      <c r="E8" s="52"/>
      <c r="F8" s="52"/>
      <c r="G8" s="52"/>
      <c r="H8" s="52"/>
      <c r="I8" s="52"/>
      <c r="J8" s="52"/>
      <c r="K8" s="52"/>
      <c r="L8" s="53"/>
    </row>
    <row r="9" spans="1:17" ht="30" customHeight="1">
      <c r="A9" s="147">
        <f>N3</f>
        <v>2715</v>
      </c>
      <c r="B9" s="147"/>
      <c r="C9" s="147"/>
      <c r="D9" s="147"/>
      <c r="E9" s="147"/>
      <c r="F9" s="147"/>
      <c r="G9" s="148">
        <f>G5</f>
        <v>0</v>
      </c>
      <c r="H9" s="148"/>
      <c r="I9" s="148"/>
      <c r="J9" s="148"/>
      <c r="K9" s="148"/>
      <c r="L9" s="148"/>
    </row>
    <row r="15" spans="1:17">
      <c r="N15" s="50"/>
      <c r="O15" s="50"/>
    </row>
  </sheetData>
  <mergeCells count="9">
    <mergeCell ref="P3:Q3"/>
    <mergeCell ref="P4:Q6"/>
    <mergeCell ref="A5:F5"/>
    <mergeCell ref="G5:L5"/>
    <mergeCell ref="B7:K7"/>
    <mergeCell ref="A9:F9"/>
    <mergeCell ref="G9:L9"/>
    <mergeCell ref="A1:L1"/>
    <mergeCell ref="B3:K3"/>
  </mergeCells>
  <phoneticPr fontId="4" type="noConversion"/>
  <pageMargins left="0.59055118110236227" right="0.59055118110236227" top="0.78740157480314965" bottom="0.3937007874015748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Button 1">
              <controlPr defaultSize="0" print="0" autoFill="0" autoPict="0" macro="[45]!Pictures">
                <anchor moveWithCells="1" sizeWithCells="1">
                  <from>
                    <xdr:col>19</xdr:col>
                    <xdr:colOff>0</xdr:colOff>
                    <xdr:row>4</xdr:row>
                    <xdr:rowOff>0</xdr:rowOff>
                  </from>
                  <to>
                    <xdr:col>21</xdr:col>
                    <xdr:colOff>47625</xdr:colOff>
                    <xdr:row>6</xdr:row>
                    <xdr:rowOff>95250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2</vt:i4>
      </vt:variant>
    </vt:vector>
  </HeadingPairs>
  <TitlesOfParts>
    <vt:vector size="4" baseType="lpstr">
      <vt:lpstr>물성1</vt:lpstr>
      <vt:lpstr>물성시험(#1)</vt:lpstr>
      <vt:lpstr>물성1!Print_Area</vt:lpstr>
      <vt:lpstr>'물성시험(#1)'!Print_Area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2026-01-12T00:13:15Z</dcterms:created>
  <dcterms:modified xsi:type="dcterms:W3CDTF">2026-01-12T01:46:58Z</dcterms:modified>
</cp:coreProperties>
</file>